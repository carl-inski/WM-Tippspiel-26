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christinahitzfeld/Desktop/Sebastian/Verschiedenes/"/>
    </mc:Choice>
  </mc:AlternateContent>
  <xr:revisionPtr revIDLastSave="0" documentId="13_ncr:1_{701E3413-178A-054F-833C-A96CB166B855}" xr6:coauthVersionLast="47" xr6:coauthVersionMax="47" xr10:uidLastSave="{00000000-0000-0000-0000-000000000000}"/>
  <bookViews>
    <workbookView xWindow="1440" yWindow="920" windowWidth="35080" windowHeight="17640" tabRatio="234" xr2:uid="{00000000-000D-0000-FFFF-FFFF00000000}"/>
  </bookViews>
  <sheets>
    <sheet name="WM 2026" sheetId="2" r:id="rId1"/>
  </sheet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Q130" i="2" l="1"/>
  <c r="SQ132" i="2"/>
  <c r="SQ128" i="2"/>
  <c r="SR123" i="2"/>
  <c r="SQ123" i="2"/>
  <c r="SR120" i="2"/>
  <c r="SQ120" i="2"/>
  <c r="SR117" i="2"/>
  <c r="SQ117" i="2"/>
  <c r="SR116" i="2"/>
  <c r="SQ116" i="2"/>
  <c r="SR113" i="2"/>
  <c r="SQ113" i="2"/>
  <c r="SR112" i="2"/>
  <c r="SQ112" i="2"/>
  <c r="SR111" i="2"/>
  <c r="SQ111" i="2"/>
  <c r="SR110" i="2"/>
  <c r="SQ110" i="2"/>
  <c r="SR107" i="2"/>
  <c r="SQ107" i="2"/>
  <c r="SR106" i="2"/>
  <c r="SQ106" i="2"/>
  <c r="SR105" i="2"/>
  <c r="SQ105" i="2"/>
  <c r="SR104" i="2"/>
  <c r="SQ104" i="2"/>
  <c r="SR103" i="2"/>
  <c r="SQ103" i="2"/>
  <c r="SR102" i="2"/>
  <c r="SQ102" i="2"/>
  <c r="SR101" i="2"/>
  <c r="SQ101" i="2"/>
  <c r="SR100" i="2"/>
  <c r="SQ100" i="2"/>
  <c r="SR97" i="2"/>
  <c r="SR96" i="2"/>
  <c r="SR95" i="2"/>
  <c r="SR94" i="2"/>
  <c r="SR93" i="2"/>
  <c r="SR92" i="2"/>
  <c r="SR91" i="2"/>
  <c r="SR90" i="2"/>
  <c r="SR89" i="2"/>
  <c r="SR88" i="2"/>
  <c r="SR87" i="2"/>
  <c r="SR86" i="2"/>
  <c r="SR85" i="2"/>
  <c r="SR84" i="2"/>
  <c r="SR83" i="2"/>
  <c r="SR82" i="2"/>
  <c r="SR79" i="2"/>
  <c r="SR78" i="2"/>
  <c r="SR77" i="2"/>
  <c r="SR76" i="2"/>
  <c r="SR75" i="2"/>
  <c r="SR74" i="2"/>
  <c r="SR73" i="2"/>
  <c r="SR72" i="2"/>
  <c r="SQ72" i="2"/>
  <c r="SR71" i="2"/>
  <c r="SR70" i="2"/>
  <c r="SR69" i="2"/>
  <c r="SR68" i="2"/>
  <c r="SR67" i="2"/>
  <c r="SR66" i="2"/>
  <c r="SR65" i="2"/>
  <c r="SR64" i="2"/>
  <c r="SR63" i="2"/>
  <c r="SR62" i="2"/>
  <c r="SR61" i="2"/>
  <c r="SR60" i="2"/>
  <c r="SR59" i="2"/>
  <c r="SR58" i="2"/>
  <c r="SR57" i="2"/>
  <c r="SR56" i="2"/>
  <c r="SQ56" i="2"/>
  <c r="SR54" i="2"/>
  <c r="SR53" i="2"/>
  <c r="SR52" i="2"/>
  <c r="SR51" i="2"/>
  <c r="SR50" i="2"/>
  <c r="SQ50" i="2"/>
  <c r="SR49" i="2"/>
  <c r="SR48" i="2"/>
  <c r="SQ48" i="2"/>
  <c r="SR47" i="2"/>
  <c r="SR46" i="2"/>
  <c r="SR45" i="2"/>
  <c r="SR44" i="2"/>
  <c r="SR43" i="2"/>
  <c r="SR42" i="2"/>
  <c r="SR41" i="2"/>
  <c r="SR40" i="2"/>
  <c r="SR39" i="2"/>
  <c r="SR38" i="2"/>
  <c r="SR37" i="2"/>
  <c r="SR36" i="2"/>
  <c r="SR35" i="2"/>
  <c r="SR34" i="2"/>
  <c r="SR33" i="2"/>
  <c r="SR32" i="2"/>
  <c r="SR31" i="2"/>
  <c r="SR29" i="2"/>
  <c r="SR28" i="2"/>
  <c r="SR27" i="2"/>
  <c r="SR26" i="2"/>
  <c r="SR25" i="2"/>
  <c r="SR24" i="2"/>
  <c r="SR23" i="2"/>
  <c r="SR22" i="2"/>
  <c r="SR21" i="2"/>
  <c r="SQ21" i="2"/>
  <c r="SR20" i="2"/>
  <c r="SR19" i="2"/>
  <c r="SR18" i="2"/>
  <c r="SR17" i="2"/>
  <c r="SR16" i="2"/>
  <c r="SR15" i="2"/>
  <c r="SR14" i="2"/>
  <c r="SR13" i="2"/>
  <c r="SR12" i="2"/>
  <c r="SR11" i="2"/>
  <c r="SR10" i="2"/>
  <c r="SR9" i="2"/>
  <c r="SR8" i="2"/>
  <c r="SR7" i="2"/>
  <c r="SR6" i="2"/>
  <c r="SQ6" i="2"/>
  <c r="SC130" i="2"/>
  <c r="SJ130" i="2"/>
  <c r="RV130" i="2"/>
  <c r="RO130" i="2"/>
  <c r="SJ132" i="2"/>
  <c r="SC132" i="2"/>
  <c r="RV132" i="2"/>
  <c r="RO132" i="2"/>
  <c r="SJ128" i="2"/>
  <c r="SC128" i="2"/>
  <c r="RV128" i="2"/>
  <c r="RO128" i="2"/>
  <c r="SK123" i="2"/>
  <c r="SJ123" i="2"/>
  <c r="SD123" i="2"/>
  <c r="SC123" i="2"/>
  <c r="RW123" i="2"/>
  <c r="RV123" i="2"/>
  <c r="RP123" i="2"/>
  <c r="RO123" i="2"/>
  <c r="SK120" i="2"/>
  <c r="SJ120" i="2"/>
  <c r="SD120" i="2"/>
  <c r="SC120" i="2"/>
  <c r="RW120" i="2"/>
  <c r="RV120" i="2"/>
  <c r="RP120" i="2"/>
  <c r="RO120" i="2"/>
  <c r="SK117" i="2"/>
  <c r="SJ117" i="2"/>
  <c r="SD117" i="2"/>
  <c r="SC117" i="2"/>
  <c r="RW117" i="2"/>
  <c r="RV117" i="2"/>
  <c r="RP117" i="2"/>
  <c r="RO117" i="2"/>
  <c r="SK116" i="2"/>
  <c r="SJ116" i="2"/>
  <c r="SD116" i="2"/>
  <c r="SC116" i="2"/>
  <c r="RW116" i="2"/>
  <c r="RV116" i="2"/>
  <c r="RP116" i="2"/>
  <c r="RO116" i="2"/>
  <c r="SK113" i="2"/>
  <c r="SJ113" i="2"/>
  <c r="SD113" i="2"/>
  <c r="SC113" i="2"/>
  <c r="RW113" i="2"/>
  <c r="RV113" i="2"/>
  <c r="RP113" i="2"/>
  <c r="RO113" i="2"/>
  <c r="SK112" i="2"/>
  <c r="SJ112" i="2"/>
  <c r="SD112" i="2"/>
  <c r="SC112" i="2"/>
  <c r="RW112" i="2"/>
  <c r="RV112" i="2"/>
  <c r="RP112" i="2"/>
  <c r="RO112" i="2"/>
  <c r="SK111" i="2"/>
  <c r="SJ111" i="2"/>
  <c r="SD111" i="2"/>
  <c r="SC111" i="2"/>
  <c r="RW111" i="2"/>
  <c r="RV111" i="2"/>
  <c r="RP111" i="2"/>
  <c r="RO111" i="2"/>
  <c r="SK110" i="2"/>
  <c r="SJ110" i="2"/>
  <c r="SD110" i="2"/>
  <c r="SC110" i="2"/>
  <c r="RW110" i="2"/>
  <c r="RV110" i="2"/>
  <c r="RP110" i="2"/>
  <c r="RO110" i="2"/>
  <c r="SK107" i="2"/>
  <c r="SJ107" i="2"/>
  <c r="SD107" i="2"/>
  <c r="SC107" i="2"/>
  <c r="RW107" i="2"/>
  <c r="RV107" i="2"/>
  <c r="RP107" i="2"/>
  <c r="RO107" i="2"/>
  <c r="SK106" i="2"/>
  <c r="SJ106" i="2"/>
  <c r="SD106" i="2"/>
  <c r="SC106" i="2"/>
  <c r="RW106" i="2"/>
  <c r="RV106" i="2"/>
  <c r="RP106" i="2"/>
  <c r="RO106" i="2"/>
  <c r="SK105" i="2"/>
  <c r="SJ105" i="2"/>
  <c r="SD105" i="2"/>
  <c r="SC105" i="2"/>
  <c r="RW105" i="2"/>
  <c r="RV105" i="2"/>
  <c r="RP105" i="2"/>
  <c r="RO105" i="2"/>
  <c r="SK104" i="2"/>
  <c r="SJ104" i="2"/>
  <c r="SD104" i="2"/>
  <c r="SC104" i="2"/>
  <c r="RW104" i="2"/>
  <c r="RV104" i="2"/>
  <c r="RP104" i="2"/>
  <c r="RO104" i="2"/>
  <c r="SK103" i="2"/>
  <c r="SJ103" i="2"/>
  <c r="SD103" i="2"/>
  <c r="SC103" i="2"/>
  <c r="RW103" i="2"/>
  <c r="RV103" i="2"/>
  <c r="RP103" i="2"/>
  <c r="RO103" i="2"/>
  <c r="SK102" i="2"/>
  <c r="SJ102" i="2"/>
  <c r="SD102" i="2"/>
  <c r="SC102" i="2"/>
  <c r="RW102" i="2"/>
  <c r="RV102" i="2"/>
  <c r="RP102" i="2"/>
  <c r="RO102" i="2"/>
  <c r="SK101" i="2"/>
  <c r="SJ101" i="2"/>
  <c r="SD101" i="2"/>
  <c r="SC101" i="2"/>
  <c r="RW101" i="2"/>
  <c r="RV101" i="2"/>
  <c r="RP101" i="2"/>
  <c r="RO101" i="2"/>
  <c r="SK100" i="2"/>
  <c r="SJ100" i="2"/>
  <c r="SD100" i="2"/>
  <c r="SC100" i="2"/>
  <c r="RW100" i="2"/>
  <c r="RV100" i="2"/>
  <c r="RP100" i="2"/>
  <c r="RO100" i="2"/>
  <c r="SK97" i="2"/>
  <c r="SD97" i="2"/>
  <c r="RW97" i="2"/>
  <c r="RP97" i="2"/>
  <c r="SK96" i="2"/>
  <c r="SD96" i="2"/>
  <c r="RW96" i="2"/>
  <c r="RP96" i="2"/>
  <c r="SK95" i="2"/>
  <c r="SD95" i="2"/>
  <c r="RW95" i="2"/>
  <c r="RP95" i="2"/>
  <c r="SK94" i="2"/>
  <c r="SD94" i="2"/>
  <c r="RW94" i="2"/>
  <c r="RP94" i="2"/>
  <c r="SK93" i="2"/>
  <c r="SD93" i="2"/>
  <c r="RW93" i="2"/>
  <c r="RP93" i="2"/>
  <c r="SK92" i="2"/>
  <c r="SD92" i="2"/>
  <c r="RW92" i="2"/>
  <c r="RP92" i="2"/>
  <c r="SK91" i="2"/>
  <c r="SD91" i="2"/>
  <c r="RW91" i="2"/>
  <c r="RP91" i="2"/>
  <c r="SK90" i="2"/>
  <c r="SD90" i="2"/>
  <c r="RW90" i="2"/>
  <c r="RP90" i="2"/>
  <c r="SK89" i="2"/>
  <c r="SD89" i="2"/>
  <c r="RW89" i="2"/>
  <c r="RP89" i="2"/>
  <c r="SK88" i="2"/>
  <c r="SD88" i="2"/>
  <c r="RW88" i="2"/>
  <c r="RP88" i="2"/>
  <c r="SK87" i="2"/>
  <c r="SD87" i="2"/>
  <c r="RW87" i="2"/>
  <c r="RP87" i="2"/>
  <c r="SK86" i="2"/>
  <c r="SJ86" i="2"/>
  <c r="SD86" i="2"/>
  <c r="SC86" i="2"/>
  <c r="RW86" i="2"/>
  <c r="RV86" i="2"/>
  <c r="RP86" i="2"/>
  <c r="SK85" i="2"/>
  <c r="SD85" i="2"/>
  <c r="RW85" i="2"/>
  <c r="RP85" i="2"/>
  <c r="SK84" i="2"/>
  <c r="SD84" i="2"/>
  <c r="RW84" i="2"/>
  <c r="RP84" i="2"/>
  <c r="SK83" i="2"/>
  <c r="SD83" i="2"/>
  <c r="RW83" i="2"/>
  <c r="RP83" i="2"/>
  <c r="SK82" i="2"/>
  <c r="SD82" i="2"/>
  <c r="RW82" i="2"/>
  <c r="RV82" i="2"/>
  <c r="RP82" i="2"/>
  <c r="SK79" i="2"/>
  <c r="SD79" i="2"/>
  <c r="RW79" i="2"/>
  <c r="RP79" i="2"/>
  <c r="SK78" i="2"/>
  <c r="SD78" i="2"/>
  <c r="RW78" i="2"/>
  <c r="RP78" i="2"/>
  <c r="SK77" i="2"/>
  <c r="SD77" i="2"/>
  <c r="RW77" i="2"/>
  <c r="RP77" i="2"/>
  <c r="SK76" i="2"/>
  <c r="SD76" i="2"/>
  <c r="RW76" i="2"/>
  <c r="RP76" i="2"/>
  <c r="SK75" i="2"/>
  <c r="SD75" i="2"/>
  <c r="RW75" i="2"/>
  <c r="RP75" i="2"/>
  <c r="SK74" i="2"/>
  <c r="SD74" i="2"/>
  <c r="RW74" i="2"/>
  <c r="RP74" i="2"/>
  <c r="SK73" i="2"/>
  <c r="SD73" i="2"/>
  <c r="RW73" i="2"/>
  <c r="RP73" i="2"/>
  <c r="SK72" i="2"/>
  <c r="SD72" i="2"/>
  <c r="SC72" i="2"/>
  <c r="RW72" i="2"/>
  <c r="RV72" i="2"/>
  <c r="RP72" i="2"/>
  <c r="RO72" i="2"/>
  <c r="SK71" i="2"/>
  <c r="SD71" i="2"/>
  <c r="RW71" i="2"/>
  <c r="RP71" i="2"/>
  <c r="SK70" i="2"/>
  <c r="SD70" i="2"/>
  <c r="RW70" i="2"/>
  <c r="RP70" i="2"/>
  <c r="SK69" i="2"/>
  <c r="SD69" i="2"/>
  <c r="RW69" i="2"/>
  <c r="RP69" i="2"/>
  <c r="SK68" i="2"/>
  <c r="SD68" i="2"/>
  <c r="RW68" i="2"/>
  <c r="RP68" i="2"/>
  <c r="SK67" i="2"/>
  <c r="SD67" i="2"/>
  <c r="RW67" i="2"/>
  <c r="RP67" i="2"/>
  <c r="RO67" i="2"/>
  <c r="SK66" i="2"/>
  <c r="SD66" i="2"/>
  <c r="RW66" i="2"/>
  <c r="RP66" i="2"/>
  <c r="SK65" i="2"/>
  <c r="SD65" i="2"/>
  <c r="RW65" i="2"/>
  <c r="RP65" i="2"/>
  <c r="SK64" i="2"/>
  <c r="SJ64" i="2"/>
  <c r="SD64" i="2"/>
  <c r="SC64" i="2"/>
  <c r="RW64" i="2"/>
  <c r="RV64" i="2"/>
  <c r="RP64" i="2"/>
  <c r="RO64" i="2"/>
  <c r="SK63" i="2"/>
  <c r="SD63" i="2"/>
  <c r="RW63" i="2"/>
  <c r="RP63" i="2"/>
  <c r="SK62" i="2"/>
  <c r="SD62" i="2"/>
  <c r="RW62" i="2"/>
  <c r="RP62" i="2"/>
  <c r="RO62" i="2"/>
  <c r="SK61" i="2"/>
  <c r="SD61" i="2"/>
  <c r="RW61" i="2"/>
  <c r="RP61" i="2"/>
  <c r="SK60" i="2"/>
  <c r="SD60" i="2"/>
  <c r="RW60" i="2"/>
  <c r="RP60" i="2"/>
  <c r="SK59" i="2"/>
  <c r="SD59" i="2"/>
  <c r="RW59" i="2"/>
  <c r="RP59" i="2"/>
  <c r="SK58" i="2"/>
  <c r="SD58" i="2"/>
  <c r="RW58" i="2"/>
  <c r="RP58" i="2"/>
  <c r="SK57" i="2"/>
  <c r="SD57" i="2"/>
  <c r="RW57" i="2"/>
  <c r="RP57" i="2"/>
  <c r="SK56" i="2"/>
  <c r="SD56" i="2"/>
  <c r="RW56" i="2"/>
  <c r="RP56" i="2"/>
  <c r="SK54" i="2"/>
  <c r="SD54" i="2"/>
  <c r="RW54" i="2"/>
  <c r="RP54" i="2"/>
  <c r="SK53" i="2"/>
  <c r="SD53" i="2"/>
  <c r="RW53" i="2"/>
  <c r="RP53" i="2"/>
  <c r="SK52" i="2"/>
  <c r="SD52" i="2"/>
  <c r="RW52" i="2"/>
  <c r="RP52" i="2"/>
  <c r="SK51" i="2"/>
  <c r="SD51" i="2"/>
  <c r="RW51" i="2"/>
  <c r="RP51" i="2"/>
  <c r="SK50" i="2"/>
  <c r="SD50" i="2"/>
  <c r="RW50" i="2"/>
  <c r="RP50" i="2"/>
  <c r="SK49" i="2"/>
  <c r="SD49" i="2"/>
  <c r="RW49" i="2"/>
  <c r="RP49" i="2"/>
  <c r="SK48" i="2"/>
  <c r="SJ48" i="2"/>
  <c r="SD48" i="2"/>
  <c r="SC48" i="2"/>
  <c r="RW48" i="2"/>
  <c r="RV48" i="2"/>
  <c r="RP48" i="2"/>
  <c r="SK47" i="2"/>
  <c r="SD47" i="2"/>
  <c r="RW47" i="2"/>
  <c r="RP47" i="2"/>
  <c r="SK46" i="2"/>
  <c r="SD46" i="2"/>
  <c r="RW46" i="2"/>
  <c r="RP46" i="2"/>
  <c r="SK45" i="2"/>
  <c r="SD45" i="2"/>
  <c r="RW45" i="2"/>
  <c r="RP45" i="2"/>
  <c r="SK44" i="2"/>
  <c r="SD44" i="2"/>
  <c r="RW44" i="2"/>
  <c r="RP44" i="2"/>
  <c r="SK43" i="2"/>
  <c r="SD43" i="2"/>
  <c r="RW43" i="2"/>
  <c r="RP43" i="2"/>
  <c r="SK42" i="2"/>
  <c r="SD42" i="2"/>
  <c r="RW42" i="2"/>
  <c r="RP42" i="2"/>
  <c r="SK41" i="2"/>
  <c r="SD41" i="2"/>
  <c r="RW41" i="2"/>
  <c r="RP41" i="2"/>
  <c r="SK40" i="2"/>
  <c r="SD40" i="2"/>
  <c r="RW40" i="2"/>
  <c r="RP40" i="2"/>
  <c r="SK39" i="2"/>
  <c r="SD39" i="2"/>
  <c r="RW39" i="2"/>
  <c r="RP39" i="2"/>
  <c r="SK38" i="2"/>
  <c r="SD38" i="2"/>
  <c r="RW38" i="2"/>
  <c r="RP38" i="2"/>
  <c r="SK37" i="2"/>
  <c r="SD37" i="2"/>
  <c r="RW37" i="2"/>
  <c r="RP37" i="2"/>
  <c r="SK36" i="2"/>
  <c r="SD36" i="2"/>
  <c r="RW36" i="2"/>
  <c r="RP36" i="2"/>
  <c r="SK35" i="2"/>
  <c r="SD35" i="2"/>
  <c r="RW35" i="2"/>
  <c r="RP35" i="2"/>
  <c r="SK34" i="2"/>
  <c r="SD34" i="2"/>
  <c r="RW34" i="2"/>
  <c r="RP34" i="2"/>
  <c r="SK33" i="2"/>
  <c r="SD33" i="2"/>
  <c r="RW33" i="2"/>
  <c r="RP33" i="2"/>
  <c r="SK32" i="2"/>
  <c r="SD32" i="2"/>
  <c r="RW32" i="2"/>
  <c r="RP32" i="2"/>
  <c r="SK31" i="2"/>
  <c r="SD31" i="2"/>
  <c r="RW31" i="2"/>
  <c r="RP31" i="2"/>
  <c r="SK29" i="2"/>
  <c r="SD29" i="2"/>
  <c r="RW29" i="2"/>
  <c r="RP29" i="2"/>
  <c r="SK28" i="2"/>
  <c r="SD28" i="2"/>
  <c r="RW28" i="2"/>
  <c r="RP28" i="2"/>
  <c r="SK27" i="2"/>
  <c r="SD27" i="2"/>
  <c r="RW27" i="2"/>
  <c r="RP27" i="2"/>
  <c r="SK26" i="2"/>
  <c r="SD26" i="2"/>
  <c r="RW26" i="2"/>
  <c r="RP26" i="2"/>
  <c r="SK25" i="2"/>
  <c r="SD25" i="2"/>
  <c r="RW25" i="2"/>
  <c r="RP25" i="2"/>
  <c r="SK24" i="2"/>
  <c r="SJ24" i="2"/>
  <c r="SD24" i="2"/>
  <c r="SC24" i="2"/>
  <c r="RW24" i="2"/>
  <c r="RV24" i="2"/>
  <c r="RP24" i="2"/>
  <c r="SK23" i="2"/>
  <c r="SD23" i="2"/>
  <c r="RW23" i="2"/>
  <c r="RP23" i="2"/>
  <c r="SK22" i="2"/>
  <c r="SJ22" i="2"/>
  <c r="SD22" i="2"/>
  <c r="SC22" i="2"/>
  <c r="RW22" i="2"/>
  <c r="RV22" i="2"/>
  <c r="RP22" i="2"/>
  <c r="RO22" i="2"/>
  <c r="SK21" i="2"/>
  <c r="SD21" i="2"/>
  <c r="RW21" i="2"/>
  <c r="RP21" i="2"/>
  <c r="SK20" i="2"/>
  <c r="SD20" i="2"/>
  <c r="RW20" i="2"/>
  <c r="RP20" i="2"/>
  <c r="SK19" i="2"/>
  <c r="SD19" i="2"/>
  <c r="RW19" i="2"/>
  <c r="RP19" i="2"/>
  <c r="SK18" i="2"/>
  <c r="SD18" i="2"/>
  <c r="RW18" i="2"/>
  <c r="RP18" i="2"/>
  <c r="SK17" i="2"/>
  <c r="SD17" i="2"/>
  <c r="RW17" i="2"/>
  <c r="RP17" i="2"/>
  <c r="SK16" i="2"/>
  <c r="SD16" i="2"/>
  <c r="RW16" i="2"/>
  <c r="RP16" i="2"/>
  <c r="SK15" i="2"/>
  <c r="SD15" i="2"/>
  <c r="RW15" i="2"/>
  <c r="RP15" i="2"/>
  <c r="SK14" i="2"/>
  <c r="SD14" i="2"/>
  <c r="RW14" i="2"/>
  <c r="RP14" i="2"/>
  <c r="SK13" i="2"/>
  <c r="SD13" i="2"/>
  <c r="RW13" i="2"/>
  <c r="RP13" i="2"/>
  <c r="SK12" i="2"/>
  <c r="SD12" i="2"/>
  <c r="RW12" i="2"/>
  <c r="RP12" i="2"/>
  <c r="RO12" i="2"/>
  <c r="SK11" i="2"/>
  <c r="SD11" i="2"/>
  <c r="RW11" i="2"/>
  <c r="RP11" i="2"/>
  <c r="SK10" i="2"/>
  <c r="SD10" i="2"/>
  <c r="RW10" i="2"/>
  <c r="RP10" i="2"/>
  <c r="SK9" i="2"/>
  <c r="SD9" i="2"/>
  <c r="RW9" i="2"/>
  <c r="RP9" i="2"/>
  <c r="SK8" i="2"/>
  <c r="SD8" i="2"/>
  <c r="RW8" i="2"/>
  <c r="RP8" i="2"/>
  <c r="SK7" i="2"/>
  <c r="SD7" i="2"/>
  <c r="RW7" i="2"/>
  <c r="RP7" i="2"/>
  <c r="SK6" i="2"/>
  <c r="SJ6" i="2"/>
  <c r="SD6" i="2"/>
  <c r="RW6" i="2"/>
  <c r="RP6" i="2"/>
  <c r="PY130" i="2"/>
  <c r="RH130" i="2"/>
  <c r="RA130" i="2"/>
  <c r="QT130" i="2"/>
  <c r="NN130" i="2"/>
  <c r="QF130" i="2"/>
  <c r="QM130" i="2"/>
  <c r="PR130" i="2"/>
  <c r="PK130" i="2"/>
  <c r="PD130" i="2"/>
  <c r="PD16" i="2"/>
  <c r="PD28" i="2"/>
  <c r="PD48" i="2"/>
  <c r="PD50" i="2"/>
  <c r="PD56" i="2"/>
  <c r="PD70" i="2"/>
  <c r="OW130" i="2"/>
  <c r="NU132" i="2"/>
  <c r="OP130" i="2"/>
  <c r="OI130" i="2"/>
  <c r="OB130" i="2"/>
  <c r="NU130" i="2"/>
  <c r="NG130" i="2"/>
  <c r="JM130" i="2"/>
  <c r="MZ130" i="2"/>
  <c r="MS130" i="2"/>
  <c r="ML130" i="2"/>
  <c r="ME130" i="2"/>
  <c r="LX130" i="2"/>
  <c r="LQ130" i="2"/>
  <c r="LJ130" i="2"/>
  <c r="LC130" i="2"/>
  <c r="KO130" i="2"/>
  <c r="KV130" i="2"/>
  <c r="KH130" i="2"/>
  <c r="KA130" i="2"/>
  <c r="JT130" i="2"/>
  <c r="JF130" i="2"/>
  <c r="IR130" i="2"/>
  <c r="IY130" i="2"/>
  <c r="IK130" i="2"/>
  <c r="ID130" i="2"/>
  <c r="HW130" i="2"/>
  <c r="HP130" i="2"/>
  <c r="HI130" i="2"/>
  <c r="HB130" i="2"/>
  <c r="GU130" i="2"/>
  <c r="GN130" i="2"/>
  <c r="GG130" i="2"/>
  <c r="RH132" i="2"/>
  <c r="RA132" i="2"/>
  <c r="QT132" i="2"/>
  <c r="QM132" i="2"/>
  <c r="QF132" i="2"/>
  <c r="PY132" i="2"/>
  <c r="PR132" i="2"/>
  <c r="RH128" i="2"/>
  <c r="RA128" i="2"/>
  <c r="QT128" i="2"/>
  <c r="QM128" i="2"/>
  <c r="QF128" i="2"/>
  <c r="PY128" i="2"/>
  <c r="PR128" i="2"/>
  <c r="RI123" i="2"/>
  <c r="RH123" i="2"/>
  <c r="RB123" i="2"/>
  <c r="RA123" i="2"/>
  <c r="QU123" i="2"/>
  <c r="QT123" i="2"/>
  <c r="QN123" i="2"/>
  <c r="QM123" i="2"/>
  <c r="QG123" i="2"/>
  <c r="QF123" i="2"/>
  <c r="PZ123" i="2"/>
  <c r="PY123" i="2"/>
  <c r="PS123" i="2"/>
  <c r="PR123" i="2"/>
  <c r="RI120" i="2"/>
  <c r="RH120" i="2"/>
  <c r="RB120" i="2"/>
  <c r="RA120" i="2"/>
  <c r="QU120" i="2"/>
  <c r="QT120" i="2"/>
  <c r="QN120" i="2"/>
  <c r="QM120" i="2"/>
  <c r="QG120" i="2"/>
  <c r="QF120" i="2"/>
  <c r="PZ120" i="2"/>
  <c r="PY120" i="2"/>
  <c r="PS120" i="2"/>
  <c r="PR120" i="2"/>
  <c r="RI117" i="2"/>
  <c r="RH117" i="2"/>
  <c r="RB117" i="2"/>
  <c r="RA117" i="2"/>
  <c r="QU117" i="2"/>
  <c r="QT117" i="2"/>
  <c r="QN117" i="2"/>
  <c r="QM117" i="2"/>
  <c r="QG117" i="2"/>
  <c r="QF117" i="2"/>
  <c r="PZ117" i="2"/>
  <c r="PY117" i="2"/>
  <c r="PS117" i="2"/>
  <c r="PR117" i="2"/>
  <c r="RI116" i="2"/>
  <c r="RH116" i="2"/>
  <c r="RB116" i="2"/>
  <c r="RA116" i="2"/>
  <c r="QU116" i="2"/>
  <c r="QT116" i="2"/>
  <c r="QN116" i="2"/>
  <c r="QM116" i="2"/>
  <c r="QG116" i="2"/>
  <c r="QF116" i="2"/>
  <c r="PZ116" i="2"/>
  <c r="PY116" i="2"/>
  <c r="PS116" i="2"/>
  <c r="PR116" i="2"/>
  <c r="RI113" i="2"/>
  <c r="RH113" i="2"/>
  <c r="RB113" i="2"/>
  <c r="RA113" i="2"/>
  <c r="QU113" i="2"/>
  <c r="QT113" i="2"/>
  <c r="QN113" i="2"/>
  <c r="QM113" i="2"/>
  <c r="QG113" i="2"/>
  <c r="QF113" i="2"/>
  <c r="PZ113" i="2"/>
  <c r="PY113" i="2"/>
  <c r="PS113" i="2"/>
  <c r="PR113" i="2"/>
  <c r="RI112" i="2"/>
  <c r="RH112" i="2"/>
  <c r="RB112" i="2"/>
  <c r="RA112" i="2"/>
  <c r="QU112" i="2"/>
  <c r="QT112" i="2"/>
  <c r="QN112" i="2"/>
  <c r="QM112" i="2"/>
  <c r="QG112" i="2"/>
  <c r="QF112" i="2"/>
  <c r="PZ112" i="2"/>
  <c r="PY112" i="2"/>
  <c r="PS112" i="2"/>
  <c r="PR112" i="2"/>
  <c r="RI111" i="2"/>
  <c r="RH111" i="2"/>
  <c r="RB111" i="2"/>
  <c r="RA111" i="2"/>
  <c r="QU111" i="2"/>
  <c r="QT111" i="2"/>
  <c r="QN111" i="2"/>
  <c r="QM111" i="2"/>
  <c r="QG111" i="2"/>
  <c r="QF111" i="2"/>
  <c r="PZ111" i="2"/>
  <c r="PY111" i="2"/>
  <c r="PS111" i="2"/>
  <c r="PR111" i="2"/>
  <c r="RI110" i="2"/>
  <c r="RH110" i="2"/>
  <c r="RB110" i="2"/>
  <c r="RA110" i="2"/>
  <c r="QU110" i="2"/>
  <c r="QT110" i="2"/>
  <c r="QN110" i="2"/>
  <c r="QM110" i="2"/>
  <c r="QG110" i="2"/>
  <c r="QF110" i="2"/>
  <c r="PZ110" i="2"/>
  <c r="PY110" i="2"/>
  <c r="PS110" i="2"/>
  <c r="PR110" i="2"/>
  <c r="RI107" i="2"/>
  <c r="RH107" i="2"/>
  <c r="RB107" i="2"/>
  <c r="RA107" i="2"/>
  <c r="QU107" i="2"/>
  <c r="QT107" i="2"/>
  <c r="QN107" i="2"/>
  <c r="QM107" i="2"/>
  <c r="QG107" i="2"/>
  <c r="QF107" i="2"/>
  <c r="PZ107" i="2"/>
  <c r="PY107" i="2"/>
  <c r="PS107" i="2"/>
  <c r="PR107" i="2"/>
  <c r="RI106" i="2"/>
  <c r="RH106" i="2"/>
  <c r="RB106" i="2"/>
  <c r="RA106" i="2"/>
  <c r="QU106" i="2"/>
  <c r="QT106" i="2"/>
  <c r="QN106" i="2"/>
  <c r="QM106" i="2"/>
  <c r="QG106" i="2"/>
  <c r="QF106" i="2"/>
  <c r="PZ106" i="2"/>
  <c r="PY106" i="2"/>
  <c r="PS106" i="2"/>
  <c r="PR106" i="2"/>
  <c r="RI105" i="2"/>
  <c r="RH105" i="2"/>
  <c r="RB105" i="2"/>
  <c r="RA105" i="2"/>
  <c r="QU105" i="2"/>
  <c r="QT105" i="2"/>
  <c r="QN105" i="2"/>
  <c r="QM105" i="2"/>
  <c r="QG105" i="2"/>
  <c r="QF105" i="2"/>
  <c r="PZ105" i="2"/>
  <c r="PY105" i="2"/>
  <c r="PS105" i="2"/>
  <c r="PR105" i="2"/>
  <c r="RI104" i="2"/>
  <c r="RH104" i="2"/>
  <c r="RB104" i="2"/>
  <c r="RA104" i="2"/>
  <c r="QU104" i="2"/>
  <c r="QT104" i="2"/>
  <c r="QN104" i="2"/>
  <c r="QM104" i="2"/>
  <c r="QG104" i="2"/>
  <c r="QF104" i="2"/>
  <c r="PZ104" i="2"/>
  <c r="PY104" i="2"/>
  <c r="PS104" i="2"/>
  <c r="PR104" i="2"/>
  <c r="RI103" i="2"/>
  <c r="RH103" i="2"/>
  <c r="RB103" i="2"/>
  <c r="RA103" i="2"/>
  <c r="QU103" i="2"/>
  <c r="QT103" i="2"/>
  <c r="QN103" i="2"/>
  <c r="QM103" i="2"/>
  <c r="QG103" i="2"/>
  <c r="QF103" i="2"/>
  <c r="PZ103" i="2"/>
  <c r="PY103" i="2"/>
  <c r="PS103" i="2"/>
  <c r="PR103" i="2"/>
  <c r="RI102" i="2"/>
  <c r="RH102" i="2"/>
  <c r="RB102" i="2"/>
  <c r="RA102" i="2"/>
  <c r="QU102" i="2"/>
  <c r="QT102" i="2"/>
  <c r="QN102" i="2"/>
  <c r="QM102" i="2"/>
  <c r="QG102" i="2"/>
  <c r="QF102" i="2"/>
  <c r="PZ102" i="2"/>
  <c r="PY102" i="2"/>
  <c r="PS102" i="2"/>
  <c r="PR102" i="2"/>
  <c r="RI101" i="2"/>
  <c r="RH101" i="2"/>
  <c r="RB101" i="2"/>
  <c r="RA101" i="2"/>
  <c r="QU101" i="2"/>
  <c r="QT101" i="2"/>
  <c r="QN101" i="2"/>
  <c r="QM101" i="2"/>
  <c r="QG101" i="2"/>
  <c r="QF101" i="2"/>
  <c r="PZ101" i="2"/>
  <c r="PY101" i="2"/>
  <c r="PS101" i="2"/>
  <c r="PR101" i="2"/>
  <c r="RI100" i="2"/>
  <c r="RH100" i="2"/>
  <c r="RB100" i="2"/>
  <c r="QU100" i="2"/>
  <c r="QN100" i="2"/>
  <c r="QG100" i="2"/>
  <c r="PZ100" i="2"/>
  <c r="PS100" i="2"/>
  <c r="RI97" i="2"/>
  <c r="RH97" i="2"/>
  <c r="RB97" i="2"/>
  <c r="QU97" i="2"/>
  <c r="QN97" i="2"/>
  <c r="QG97" i="2"/>
  <c r="PZ97" i="2"/>
  <c r="PS97" i="2"/>
  <c r="RI96" i="2"/>
  <c r="RH96" i="2"/>
  <c r="RB96" i="2"/>
  <c r="QU96" i="2"/>
  <c r="QN96" i="2"/>
  <c r="QG96" i="2"/>
  <c r="PZ96" i="2"/>
  <c r="PS96" i="2"/>
  <c r="RI95" i="2"/>
  <c r="RH95" i="2"/>
  <c r="RB95" i="2"/>
  <c r="QU95" i="2"/>
  <c r="QN95" i="2"/>
  <c r="QG95" i="2"/>
  <c r="PZ95" i="2"/>
  <c r="PS95" i="2"/>
  <c r="RI94" i="2"/>
  <c r="RH94" i="2"/>
  <c r="RB94" i="2"/>
  <c r="QU94" i="2"/>
  <c r="QN94" i="2"/>
  <c r="QG94" i="2"/>
  <c r="PZ94" i="2"/>
  <c r="PS94" i="2"/>
  <c r="RI93" i="2"/>
  <c r="RH93" i="2"/>
  <c r="RB93" i="2"/>
  <c r="QU93" i="2"/>
  <c r="QN93" i="2"/>
  <c r="QG93" i="2"/>
  <c r="PZ93" i="2"/>
  <c r="PS93" i="2"/>
  <c r="RI92" i="2"/>
  <c r="RH92" i="2"/>
  <c r="RB92" i="2"/>
  <c r="QU92" i="2"/>
  <c r="QN92" i="2"/>
  <c r="QG92" i="2"/>
  <c r="PZ92" i="2"/>
  <c r="PS92" i="2"/>
  <c r="RI91" i="2"/>
  <c r="RH91" i="2"/>
  <c r="RB91" i="2"/>
  <c r="QU91" i="2"/>
  <c r="QN91" i="2"/>
  <c r="QG91" i="2"/>
  <c r="PZ91" i="2"/>
  <c r="PS91" i="2"/>
  <c r="RI90" i="2"/>
  <c r="RH90" i="2"/>
  <c r="RB90" i="2"/>
  <c r="QU90" i="2"/>
  <c r="QN90" i="2"/>
  <c r="QG90" i="2"/>
  <c r="PZ90" i="2"/>
  <c r="PS90" i="2"/>
  <c r="RI89" i="2"/>
  <c r="RH89" i="2"/>
  <c r="RB89" i="2"/>
  <c r="QU89" i="2"/>
  <c r="QN89" i="2"/>
  <c r="QG89" i="2"/>
  <c r="PZ89" i="2"/>
  <c r="PS89" i="2"/>
  <c r="RI88" i="2"/>
  <c r="RH88" i="2"/>
  <c r="RB88" i="2"/>
  <c r="QU88" i="2"/>
  <c r="QT88" i="2"/>
  <c r="QN88" i="2"/>
  <c r="QG88" i="2"/>
  <c r="PZ88" i="2"/>
  <c r="PY88" i="2"/>
  <c r="PS88" i="2"/>
  <c r="PR88" i="2"/>
  <c r="RI87" i="2"/>
  <c r="RH87" i="2"/>
  <c r="RB87" i="2"/>
  <c r="QU87" i="2"/>
  <c r="QN87" i="2"/>
  <c r="QG87" i="2"/>
  <c r="PZ87" i="2"/>
  <c r="PS87" i="2"/>
  <c r="RI86" i="2"/>
  <c r="RH86" i="2"/>
  <c r="RB86" i="2"/>
  <c r="QU86" i="2"/>
  <c r="QN86" i="2"/>
  <c r="QG86" i="2"/>
  <c r="PZ86" i="2"/>
  <c r="PS86" i="2"/>
  <c r="PR86" i="2"/>
  <c r="RI85" i="2"/>
  <c r="RH85" i="2"/>
  <c r="RB85" i="2"/>
  <c r="QU85" i="2"/>
  <c r="QN85" i="2"/>
  <c r="QG85" i="2"/>
  <c r="PZ85" i="2"/>
  <c r="PS85" i="2"/>
  <c r="RI84" i="2"/>
  <c r="RH84" i="2"/>
  <c r="RB84" i="2"/>
  <c r="QU84" i="2"/>
  <c r="QN84" i="2"/>
  <c r="QG84" i="2"/>
  <c r="PZ84" i="2"/>
  <c r="PS84" i="2"/>
  <c r="RI83" i="2"/>
  <c r="RH83" i="2"/>
  <c r="RB83" i="2"/>
  <c r="RA83" i="2"/>
  <c r="QU83" i="2"/>
  <c r="QN83" i="2"/>
  <c r="QG83" i="2"/>
  <c r="QF83" i="2"/>
  <c r="PZ83" i="2"/>
  <c r="PY83" i="2"/>
  <c r="PS83" i="2"/>
  <c r="RI82" i="2"/>
  <c r="RH82" i="2"/>
  <c r="RB82" i="2"/>
  <c r="QU82" i="2"/>
  <c r="QN82" i="2"/>
  <c r="QM82" i="2"/>
  <c r="QG82" i="2"/>
  <c r="PZ82" i="2"/>
  <c r="PS82" i="2"/>
  <c r="RI79" i="2"/>
  <c r="RH79" i="2"/>
  <c r="RB79" i="2"/>
  <c r="QU79" i="2"/>
  <c r="QN79" i="2"/>
  <c r="QG79" i="2"/>
  <c r="PZ79" i="2"/>
  <c r="PS79" i="2"/>
  <c r="RI78" i="2"/>
  <c r="RH78" i="2"/>
  <c r="RB78" i="2"/>
  <c r="QU78" i="2"/>
  <c r="QN78" i="2"/>
  <c r="QG78" i="2"/>
  <c r="PZ78" i="2"/>
  <c r="PS78" i="2"/>
  <c r="RI77" i="2"/>
  <c r="RH77" i="2"/>
  <c r="RB77" i="2"/>
  <c r="QU77" i="2"/>
  <c r="QN77" i="2"/>
  <c r="QG77" i="2"/>
  <c r="PZ77" i="2"/>
  <c r="PS77" i="2"/>
  <c r="RI76" i="2"/>
  <c r="RH76" i="2"/>
  <c r="RB76" i="2"/>
  <c r="QU76" i="2"/>
  <c r="QN76" i="2"/>
  <c r="QG76" i="2"/>
  <c r="PZ76" i="2"/>
  <c r="PS76" i="2"/>
  <c r="RI75" i="2"/>
  <c r="RH75" i="2"/>
  <c r="RB75" i="2"/>
  <c r="QU75" i="2"/>
  <c r="QN75" i="2"/>
  <c r="QG75" i="2"/>
  <c r="PZ75" i="2"/>
  <c r="PS75" i="2"/>
  <c r="RI74" i="2"/>
  <c r="RH74" i="2"/>
  <c r="RB74" i="2"/>
  <c r="QU74" i="2"/>
  <c r="QN74" i="2"/>
  <c r="QG74" i="2"/>
  <c r="PZ74" i="2"/>
  <c r="PS74" i="2"/>
  <c r="RI73" i="2"/>
  <c r="RH73" i="2"/>
  <c r="RB73" i="2"/>
  <c r="QU73" i="2"/>
  <c r="QN73" i="2"/>
  <c r="QG73" i="2"/>
  <c r="PZ73" i="2"/>
  <c r="PS73" i="2"/>
  <c r="RI72" i="2"/>
  <c r="RH72" i="2"/>
  <c r="RB72" i="2"/>
  <c r="QU72" i="2"/>
  <c r="QN72" i="2"/>
  <c r="QG72" i="2"/>
  <c r="PZ72" i="2"/>
  <c r="PS72" i="2"/>
  <c r="PR72" i="2"/>
  <c r="RI71" i="2"/>
  <c r="RH71" i="2"/>
  <c r="RB71" i="2"/>
  <c r="QU71" i="2"/>
  <c r="QN71" i="2"/>
  <c r="QG71" i="2"/>
  <c r="PZ71" i="2"/>
  <c r="PS71" i="2"/>
  <c r="RI70" i="2"/>
  <c r="RH70" i="2"/>
  <c r="RB70" i="2"/>
  <c r="QU70" i="2"/>
  <c r="QN70" i="2"/>
  <c r="QM70" i="2"/>
  <c r="QG70" i="2"/>
  <c r="PZ70" i="2"/>
  <c r="PS70" i="2"/>
  <c r="RI69" i="2"/>
  <c r="RH69" i="2"/>
  <c r="RB69" i="2"/>
  <c r="QU69" i="2"/>
  <c r="QN69" i="2"/>
  <c r="QG69" i="2"/>
  <c r="PZ69" i="2"/>
  <c r="PS69" i="2"/>
  <c r="RI68" i="2"/>
  <c r="RH68" i="2"/>
  <c r="RB68" i="2"/>
  <c r="QU68" i="2"/>
  <c r="QT68" i="2"/>
  <c r="QN68" i="2"/>
  <c r="QG68" i="2"/>
  <c r="PZ68" i="2"/>
  <c r="PS68" i="2"/>
  <c r="RI67" i="2"/>
  <c r="RH67" i="2"/>
  <c r="RB67" i="2"/>
  <c r="QU67" i="2"/>
  <c r="QN67" i="2"/>
  <c r="QG67" i="2"/>
  <c r="PZ67" i="2"/>
  <c r="PS67" i="2"/>
  <c r="RI66" i="2"/>
  <c r="RH66" i="2"/>
  <c r="RB66" i="2"/>
  <c r="QU66" i="2"/>
  <c r="QN66" i="2"/>
  <c r="QG66" i="2"/>
  <c r="PZ66" i="2"/>
  <c r="PS66" i="2"/>
  <c r="RI65" i="2"/>
  <c r="RH65" i="2"/>
  <c r="RB65" i="2"/>
  <c r="QU65" i="2"/>
  <c r="QN65" i="2"/>
  <c r="QG65" i="2"/>
  <c r="PZ65" i="2"/>
  <c r="PS65" i="2"/>
  <c r="RI64" i="2"/>
  <c r="RH64" i="2"/>
  <c r="RB64" i="2"/>
  <c r="QU64" i="2"/>
  <c r="QN64" i="2"/>
  <c r="QG64" i="2"/>
  <c r="PZ64" i="2"/>
  <c r="PS64" i="2"/>
  <c r="RI63" i="2"/>
  <c r="RH63" i="2"/>
  <c r="RB63" i="2"/>
  <c r="QU63" i="2"/>
  <c r="QN63" i="2"/>
  <c r="QG63" i="2"/>
  <c r="PZ63" i="2"/>
  <c r="PS63" i="2"/>
  <c r="RI62" i="2"/>
  <c r="RH62" i="2"/>
  <c r="RB62" i="2"/>
  <c r="QU62" i="2"/>
  <c r="QN62" i="2"/>
  <c r="QM62" i="2"/>
  <c r="QG62" i="2"/>
  <c r="PZ62" i="2"/>
  <c r="PS62" i="2"/>
  <c r="RI61" i="2"/>
  <c r="RH61" i="2"/>
  <c r="RB61" i="2"/>
  <c r="QU61" i="2"/>
  <c r="QN61" i="2"/>
  <c r="QG61" i="2"/>
  <c r="PZ61" i="2"/>
  <c r="PS61" i="2"/>
  <c r="RI60" i="2"/>
  <c r="RH60" i="2"/>
  <c r="RB60" i="2"/>
  <c r="QU60" i="2"/>
  <c r="QN60" i="2"/>
  <c r="QG60" i="2"/>
  <c r="PZ60" i="2"/>
  <c r="PS60" i="2"/>
  <c r="RI59" i="2"/>
  <c r="RH59" i="2"/>
  <c r="RB59" i="2"/>
  <c r="QU59" i="2"/>
  <c r="QN59" i="2"/>
  <c r="QG59" i="2"/>
  <c r="PZ59" i="2"/>
  <c r="PS59" i="2"/>
  <c r="RI58" i="2"/>
  <c r="RH58" i="2"/>
  <c r="RB58" i="2"/>
  <c r="QU58" i="2"/>
  <c r="QT58" i="2"/>
  <c r="QN58" i="2"/>
  <c r="QG58" i="2"/>
  <c r="PZ58" i="2"/>
  <c r="PS58" i="2"/>
  <c r="RI57" i="2"/>
  <c r="RH57" i="2"/>
  <c r="RB57" i="2"/>
  <c r="QU57" i="2"/>
  <c r="QN57" i="2"/>
  <c r="QG57" i="2"/>
  <c r="PZ57" i="2"/>
  <c r="PS57" i="2"/>
  <c r="RI56" i="2"/>
  <c r="RH56" i="2"/>
  <c r="RB56" i="2"/>
  <c r="QU56" i="2"/>
  <c r="QN56" i="2"/>
  <c r="QG56" i="2"/>
  <c r="PZ56" i="2"/>
  <c r="PS56" i="2"/>
  <c r="RI54" i="2"/>
  <c r="RH54" i="2"/>
  <c r="RB54" i="2"/>
  <c r="QU54" i="2"/>
  <c r="QN54" i="2"/>
  <c r="QG54" i="2"/>
  <c r="PZ54" i="2"/>
  <c r="PS54" i="2"/>
  <c r="RI53" i="2"/>
  <c r="RH53" i="2"/>
  <c r="RB53" i="2"/>
  <c r="QU53" i="2"/>
  <c r="QN53" i="2"/>
  <c r="QG53" i="2"/>
  <c r="PZ53" i="2"/>
  <c r="PS53" i="2"/>
  <c r="RI52" i="2"/>
  <c r="RH52" i="2"/>
  <c r="RB52" i="2"/>
  <c r="QU52" i="2"/>
  <c r="QN52" i="2"/>
  <c r="QG52" i="2"/>
  <c r="PZ52" i="2"/>
  <c r="PS52" i="2"/>
  <c r="RI51" i="2"/>
  <c r="RH51" i="2"/>
  <c r="RB51" i="2"/>
  <c r="QU51" i="2"/>
  <c r="QN51" i="2"/>
  <c r="QG51" i="2"/>
  <c r="PZ51" i="2"/>
  <c r="PS51" i="2"/>
  <c r="RI50" i="2"/>
  <c r="RH50" i="2"/>
  <c r="RB50" i="2"/>
  <c r="QU50" i="2"/>
  <c r="QN50" i="2"/>
  <c r="QG50" i="2"/>
  <c r="PZ50" i="2"/>
  <c r="PS50" i="2"/>
  <c r="RI49" i="2"/>
  <c r="RH49" i="2"/>
  <c r="RB49" i="2"/>
  <c r="QU49" i="2"/>
  <c r="QN49" i="2"/>
  <c r="QG49" i="2"/>
  <c r="PZ49" i="2"/>
  <c r="PS49" i="2"/>
  <c r="RI48" i="2"/>
  <c r="RH48" i="2"/>
  <c r="RB48" i="2"/>
  <c r="QU48" i="2"/>
  <c r="QN48" i="2"/>
  <c r="QG48" i="2"/>
  <c r="PZ48" i="2"/>
  <c r="PS48" i="2"/>
  <c r="RI47" i="2"/>
  <c r="RH47" i="2"/>
  <c r="RB47" i="2"/>
  <c r="QU47" i="2"/>
  <c r="QN47" i="2"/>
  <c r="QG47" i="2"/>
  <c r="PZ47" i="2"/>
  <c r="PS47" i="2"/>
  <c r="RI46" i="2"/>
  <c r="RH46" i="2"/>
  <c r="RB46" i="2"/>
  <c r="QU46" i="2"/>
  <c r="QN46" i="2"/>
  <c r="QG46" i="2"/>
  <c r="PZ46" i="2"/>
  <c r="PS46" i="2"/>
  <c r="RI45" i="2"/>
  <c r="RH45" i="2"/>
  <c r="RB45" i="2"/>
  <c r="QU45" i="2"/>
  <c r="QN45" i="2"/>
  <c r="QG45" i="2"/>
  <c r="PZ45" i="2"/>
  <c r="PS45" i="2"/>
  <c r="RI44" i="2"/>
  <c r="RH44" i="2"/>
  <c r="RB44" i="2"/>
  <c r="QU44" i="2"/>
  <c r="QN44" i="2"/>
  <c r="QG44" i="2"/>
  <c r="PZ44" i="2"/>
  <c r="PS44" i="2"/>
  <c r="RI43" i="2"/>
  <c r="RH43" i="2"/>
  <c r="RB43" i="2"/>
  <c r="QU43" i="2"/>
  <c r="QN43" i="2"/>
  <c r="QG43" i="2"/>
  <c r="PZ43" i="2"/>
  <c r="PS43" i="2"/>
  <c r="RI42" i="2"/>
  <c r="RH42" i="2"/>
  <c r="RB42" i="2"/>
  <c r="QU42" i="2"/>
  <c r="QN42" i="2"/>
  <c r="QG42" i="2"/>
  <c r="PZ42" i="2"/>
  <c r="PS42" i="2"/>
  <c r="RI41" i="2"/>
  <c r="RH41" i="2"/>
  <c r="RB41" i="2"/>
  <c r="QU41" i="2"/>
  <c r="QN41" i="2"/>
  <c r="QG41" i="2"/>
  <c r="PZ41" i="2"/>
  <c r="PS41" i="2"/>
  <c r="RI40" i="2"/>
  <c r="RH40" i="2"/>
  <c r="RB40" i="2"/>
  <c r="QU40" i="2"/>
  <c r="QN40" i="2"/>
  <c r="QG40" i="2"/>
  <c r="PZ40" i="2"/>
  <c r="PY40" i="2"/>
  <c r="PS40" i="2"/>
  <c r="RI39" i="2"/>
  <c r="RH39" i="2"/>
  <c r="RB39" i="2"/>
  <c r="QU39" i="2"/>
  <c r="QN39" i="2"/>
  <c r="QG39" i="2"/>
  <c r="PZ39" i="2"/>
  <c r="PS39" i="2"/>
  <c r="RI38" i="2"/>
  <c r="RH38" i="2"/>
  <c r="RB38" i="2"/>
  <c r="QU38" i="2"/>
  <c r="QN38" i="2"/>
  <c r="QG38" i="2"/>
  <c r="PZ38" i="2"/>
  <c r="PS38" i="2"/>
  <c r="RI37" i="2"/>
  <c r="RH37" i="2"/>
  <c r="RB37" i="2"/>
  <c r="QU37" i="2"/>
  <c r="QN37" i="2"/>
  <c r="QG37" i="2"/>
  <c r="PZ37" i="2"/>
  <c r="PS37" i="2"/>
  <c r="RI36" i="2"/>
  <c r="RH36" i="2"/>
  <c r="RB36" i="2"/>
  <c r="QU36" i="2"/>
  <c r="QN36" i="2"/>
  <c r="QG36" i="2"/>
  <c r="PZ36" i="2"/>
  <c r="PS36" i="2"/>
  <c r="RI35" i="2"/>
  <c r="RH35" i="2"/>
  <c r="RB35" i="2"/>
  <c r="QU35" i="2"/>
  <c r="QN35" i="2"/>
  <c r="QG35" i="2"/>
  <c r="QF35" i="2"/>
  <c r="PZ35" i="2"/>
  <c r="PS35" i="2"/>
  <c r="RI34" i="2"/>
  <c r="RH34" i="2"/>
  <c r="RB34" i="2"/>
  <c r="QU34" i="2"/>
  <c r="QN34" i="2"/>
  <c r="QM34" i="2"/>
  <c r="QG34" i="2"/>
  <c r="PZ34" i="2"/>
  <c r="PS34" i="2"/>
  <c r="RI33" i="2"/>
  <c r="RH33" i="2"/>
  <c r="RB33" i="2"/>
  <c r="QU33" i="2"/>
  <c r="QN33" i="2"/>
  <c r="QG33" i="2"/>
  <c r="PZ33" i="2"/>
  <c r="PS33" i="2"/>
  <c r="RI32" i="2"/>
  <c r="RH32" i="2"/>
  <c r="RB32" i="2"/>
  <c r="QU32" i="2"/>
  <c r="QN32" i="2"/>
  <c r="QG32" i="2"/>
  <c r="PZ32" i="2"/>
  <c r="PS32" i="2"/>
  <c r="RI31" i="2"/>
  <c r="RH31" i="2"/>
  <c r="RB31" i="2"/>
  <c r="QU31" i="2"/>
  <c r="QN31" i="2"/>
  <c r="QG31" i="2"/>
  <c r="PZ31" i="2"/>
  <c r="PS31" i="2"/>
  <c r="RI29" i="2"/>
  <c r="RB29" i="2"/>
  <c r="QU29" i="2"/>
  <c r="QN29" i="2"/>
  <c r="QG29" i="2"/>
  <c r="PZ29" i="2"/>
  <c r="PS29" i="2"/>
  <c r="RI28" i="2"/>
  <c r="RB28" i="2"/>
  <c r="QU28" i="2"/>
  <c r="QN28" i="2"/>
  <c r="QG28" i="2"/>
  <c r="QF28" i="2"/>
  <c r="PZ28" i="2"/>
  <c r="PS28" i="2"/>
  <c r="RI27" i="2"/>
  <c r="RB27" i="2"/>
  <c r="QU27" i="2"/>
  <c r="QN27" i="2"/>
  <c r="QG27" i="2"/>
  <c r="PZ27" i="2"/>
  <c r="PS27" i="2"/>
  <c r="RI26" i="2"/>
  <c r="RB26" i="2"/>
  <c r="QU26" i="2"/>
  <c r="QN26" i="2"/>
  <c r="QG26" i="2"/>
  <c r="PZ26" i="2"/>
  <c r="PS26" i="2"/>
  <c r="RI25" i="2"/>
  <c r="RB25" i="2"/>
  <c r="QU25" i="2"/>
  <c r="QN25" i="2"/>
  <c r="QG25" i="2"/>
  <c r="PZ25" i="2"/>
  <c r="PS25" i="2"/>
  <c r="RI24" i="2"/>
  <c r="RB24" i="2"/>
  <c r="QU24" i="2"/>
  <c r="QN24" i="2"/>
  <c r="QG24" i="2"/>
  <c r="PZ24" i="2"/>
  <c r="PS24" i="2"/>
  <c r="RI23" i="2"/>
  <c r="RB23" i="2"/>
  <c r="QU23" i="2"/>
  <c r="QN23" i="2"/>
  <c r="QG23" i="2"/>
  <c r="PZ23" i="2"/>
  <c r="PS23" i="2"/>
  <c r="RI22" i="2"/>
  <c r="RB22" i="2"/>
  <c r="QU22" i="2"/>
  <c r="QN22" i="2"/>
  <c r="QG22" i="2"/>
  <c r="QF22" i="2"/>
  <c r="PZ22" i="2"/>
  <c r="PS22" i="2"/>
  <c r="RI21" i="2"/>
  <c r="RB21" i="2"/>
  <c r="QU21" i="2"/>
  <c r="QN21" i="2"/>
  <c r="QG21" i="2"/>
  <c r="PZ21" i="2"/>
  <c r="PY21" i="2"/>
  <c r="PS21" i="2"/>
  <c r="RI20" i="2"/>
  <c r="RB20" i="2"/>
  <c r="QU20" i="2"/>
  <c r="QN20" i="2"/>
  <c r="QG20" i="2"/>
  <c r="PZ20" i="2"/>
  <c r="PS20" i="2"/>
  <c r="RI19" i="2"/>
  <c r="RB19" i="2"/>
  <c r="QU19" i="2"/>
  <c r="QN19" i="2"/>
  <c r="QG19" i="2"/>
  <c r="PZ19" i="2"/>
  <c r="PS19" i="2"/>
  <c r="RI18" i="2"/>
  <c r="RB18" i="2"/>
  <c r="QU18" i="2"/>
  <c r="QN18" i="2"/>
  <c r="QG18" i="2"/>
  <c r="PZ18" i="2"/>
  <c r="PS18" i="2"/>
  <c r="RI17" i="2"/>
  <c r="RB17" i="2"/>
  <c r="QU17" i="2"/>
  <c r="QN17" i="2"/>
  <c r="QG17" i="2"/>
  <c r="PZ17" i="2"/>
  <c r="PS17" i="2"/>
  <c r="RI16" i="2"/>
  <c r="RB16" i="2"/>
  <c r="QU16" i="2"/>
  <c r="QN16" i="2"/>
  <c r="QG16" i="2"/>
  <c r="PZ16" i="2"/>
  <c r="PS16" i="2"/>
  <c r="RI15" i="2"/>
  <c r="RB15" i="2"/>
  <c r="QU15" i="2"/>
  <c r="QN15" i="2"/>
  <c r="QG15" i="2"/>
  <c r="PZ15" i="2"/>
  <c r="PS15" i="2"/>
  <c r="RI14" i="2"/>
  <c r="RB14" i="2"/>
  <c r="QU14" i="2"/>
  <c r="QN14" i="2"/>
  <c r="QG14" i="2"/>
  <c r="PZ14" i="2"/>
  <c r="PS14" i="2"/>
  <c r="RI13" i="2"/>
  <c r="RB13" i="2"/>
  <c r="QU13" i="2"/>
  <c r="QN13" i="2"/>
  <c r="QG13" i="2"/>
  <c r="PZ13" i="2"/>
  <c r="PS13" i="2"/>
  <c r="RI12" i="2"/>
  <c r="RB12" i="2"/>
  <c r="QU12" i="2"/>
  <c r="QN12" i="2"/>
  <c r="QG12" i="2"/>
  <c r="PZ12" i="2"/>
  <c r="PS12" i="2"/>
  <c r="RI11" i="2"/>
  <c r="RB11" i="2"/>
  <c r="QU11" i="2"/>
  <c r="QN11" i="2"/>
  <c r="QG11" i="2"/>
  <c r="PZ11" i="2"/>
  <c r="PS11" i="2"/>
  <c r="RI10" i="2"/>
  <c r="RB10" i="2"/>
  <c r="QU10" i="2"/>
  <c r="QN10" i="2"/>
  <c r="QG10" i="2"/>
  <c r="PZ10" i="2"/>
  <c r="PS10" i="2"/>
  <c r="RI9" i="2"/>
  <c r="RB9" i="2"/>
  <c r="QU9" i="2"/>
  <c r="QN9" i="2"/>
  <c r="QG9" i="2"/>
  <c r="PZ9" i="2"/>
  <c r="PS9" i="2"/>
  <c r="RI8" i="2"/>
  <c r="RB8" i="2"/>
  <c r="QU8" i="2"/>
  <c r="QN8" i="2"/>
  <c r="QG8" i="2"/>
  <c r="PZ8" i="2"/>
  <c r="PS8" i="2"/>
  <c r="RI7" i="2"/>
  <c r="RB7" i="2"/>
  <c r="QU7" i="2"/>
  <c r="QN7" i="2"/>
  <c r="QG7" i="2"/>
  <c r="PZ7" i="2"/>
  <c r="PS7" i="2"/>
  <c r="RI6" i="2"/>
  <c r="RB6" i="2"/>
  <c r="QU6" i="2"/>
  <c r="QN6" i="2"/>
  <c r="QG6" i="2"/>
  <c r="PZ6" i="2"/>
  <c r="PS6" i="2"/>
  <c r="PK132" i="2"/>
  <c r="PD132" i="2"/>
  <c r="OW132" i="2"/>
  <c r="OP132" i="2"/>
  <c r="OI132" i="2"/>
  <c r="OB132" i="2"/>
  <c r="NN132" i="2"/>
  <c r="PK128" i="2"/>
  <c r="PD128" i="2"/>
  <c r="OW128" i="2"/>
  <c r="OP128" i="2"/>
  <c r="OI128" i="2"/>
  <c r="OB128" i="2"/>
  <c r="NU128" i="2"/>
  <c r="NN128" i="2"/>
  <c r="PL123" i="2"/>
  <c r="PK123" i="2"/>
  <c r="PE123" i="2"/>
  <c r="PD123" i="2"/>
  <c r="OX123" i="2"/>
  <c r="OW123" i="2"/>
  <c r="OQ123" i="2"/>
  <c r="OP123" i="2"/>
  <c r="OJ123" i="2"/>
  <c r="OI123" i="2"/>
  <c r="OC123" i="2"/>
  <c r="OB123" i="2"/>
  <c r="NV123" i="2"/>
  <c r="NU123" i="2"/>
  <c r="NO123" i="2"/>
  <c r="NN123" i="2"/>
  <c r="PL120" i="2"/>
  <c r="PK120" i="2"/>
  <c r="PE120" i="2"/>
  <c r="PD120" i="2"/>
  <c r="OX120" i="2"/>
  <c r="OW120" i="2"/>
  <c r="OQ120" i="2"/>
  <c r="OP120" i="2"/>
  <c r="OJ120" i="2"/>
  <c r="OI120" i="2"/>
  <c r="OC120" i="2"/>
  <c r="OB120" i="2"/>
  <c r="NV120" i="2"/>
  <c r="NU120" i="2"/>
  <c r="NO120" i="2"/>
  <c r="NN120" i="2"/>
  <c r="PL117" i="2"/>
  <c r="PK117" i="2"/>
  <c r="PE117" i="2"/>
  <c r="PD117" i="2"/>
  <c r="OX117" i="2"/>
  <c r="OW117" i="2"/>
  <c r="OQ117" i="2"/>
  <c r="OP117" i="2"/>
  <c r="OJ117" i="2"/>
  <c r="OI117" i="2"/>
  <c r="OC117" i="2"/>
  <c r="OB117" i="2"/>
  <c r="NV117" i="2"/>
  <c r="NU117" i="2"/>
  <c r="NO117" i="2"/>
  <c r="NN117" i="2"/>
  <c r="PL116" i="2"/>
  <c r="PK116" i="2"/>
  <c r="PE116" i="2"/>
  <c r="PD116" i="2"/>
  <c r="OX116" i="2"/>
  <c r="OW116" i="2"/>
  <c r="OQ116" i="2"/>
  <c r="OP116" i="2"/>
  <c r="OJ116" i="2"/>
  <c r="OI116" i="2"/>
  <c r="OC116" i="2"/>
  <c r="OB116" i="2"/>
  <c r="NV116" i="2"/>
  <c r="NU116" i="2"/>
  <c r="NO116" i="2"/>
  <c r="NN116" i="2"/>
  <c r="PL113" i="2"/>
  <c r="PK113" i="2"/>
  <c r="PE113" i="2"/>
  <c r="PD113" i="2"/>
  <c r="OX113" i="2"/>
  <c r="OW113" i="2"/>
  <c r="OQ113" i="2"/>
  <c r="OP113" i="2"/>
  <c r="OJ113" i="2"/>
  <c r="OI113" i="2"/>
  <c r="OC113" i="2"/>
  <c r="OB113" i="2"/>
  <c r="NV113" i="2"/>
  <c r="NU113" i="2"/>
  <c r="NO113" i="2"/>
  <c r="NN113" i="2"/>
  <c r="PL112" i="2"/>
  <c r="PK112" i="2"/>
  <c r="PE112" i="2"/>
  <c r="PD112" i="2"/>
  <c r="OX112" i="2"/>
  <c r="OW112" i="2"/>
  <c r="OQ112" i="2"/>
  <c r="OP112" i="2"/>
  <c r="OJ112" i="2"/>
  <c r="OI112" i="2"/>
  <c r="OC112" i="2"/>
  <c r="OB112" i="2"/>
  <c r="NV112" i="2"/>
  <c r="NU112" i="2"/>
  <c r="NO112" i="2"/>
  <c r="NN112" i="2"/>
  <c r="PL111" i="2"/>
  <c r="PK111" i="2"/>
  <c r="PE111" i="2"/>
  <c r="PD111" i="2"/>
  <c r="OX111" i="2"/>
  <c r="OW111" i="2"/>
  <c r="OQ111" i="2"/>
  <c r="OP111" i="2"/>
  <c r="OJ111" i="2"/>
  <c r="OI111" i="2"/>
  <c r="OC111" i="2"/>
  <c r="OB111" i="2"/>
  <c r="NV111" i="2"/>
  <c r="NU111" i="2"/>
  <c r="NO111" i="2"/>
  <c r="NN111" i="2"/>
  <c r="PL110" i="2"/>
  <c r="PK110" i="2"/>
  <c r="PE110" i="2"/>
  <c r="PD110" i="2"/>
  <c r="OX110" i="2"/>
  <c r="OW110" i="2"/>
  <c r="OQ110" i="2"/>
  <c r="OP110" i="2"/>
  <c r="OJ110" i="2"/>
  <c r="OI110" i="2"/>
  <c r="OC110" i="2"/>
  <c r="OB110" i="2"/>
  <c r="NV110" i="2"/>
  <c r="NU110" i="2"/>
  <c r="NO110" i="2"/>
  <c r="NN110" i="2"/>
  <c r="PL107" i="2"/>
  <c r="PK107" i="2"/>
  <c r="PE107" i="2"/>
  <c r="PD107" i="2"/>
  <c r="OX107" i="2"/>
  <c r="OW107" i="2"/>
  <c r="OQ107" i="2"/>
  <c r="OP107" i="2"/>
  <c r="OJ107" i="2"/>
  <c r="OI107" i="2"/>
  <c r="OC107" i="2"/>
  <c r="OB107" i="2"/>
  <c r="NV107" i="2"/>
  <c r="NU107" i="2"/>
  <c r="NO107" i="2"/>
  <c r="NN107" i="2"/>
  <c r="PL106" i="2"/>
  <c r="PK106" i="2"/>
  <c r="PE106" i="2"/>
  <c r="PD106" i="2"/>
  <c r="OX106" i="2"/>
  <c r="OW106" i="2"/>
  <c r="OQ106" i="2"/>
  <c r="OP106" i="2"/>
  <c r="OJ106" i="2"/>
  <c r="OI106" i="2"/>
  <c r="OC106" i="2"/>
  <c r="OB106" i="2"/>
  <c r="NV106" i="2"/>
  <c r="NU106" i="2"/>
  <c r="NO106" i="2"/>
  <c r="NN106" i="2"/>
  <c r="PL105" i="2"/>
  <c r="PK105" i="2"/>
  <c r="PE105" i="2"/>
  <c r="PD105" i="2"/>
  <c r="OX105" i="2"/>
  <c r="OW105" i="2"/>
  <c r="OQ105" i="2"/>
  <c r="OP105" i="2"/>
  <c r="OJ105" i="2"/>
  <c r="OI105" i="2"/>
  <c r="OC105" i="2"/>
  <c r="OB105" i="2"/>
  <c r="NV105" i="2"/>
  <c r="NU105" i="2"/>
  <c r="NO105" i="2"/>
  <c r="NN105" i="2"/>
  <c r="PL104" i="2"/>
  <c r="PK104" i="2"/>
  <c r="PE104" i="2"/>
  <c r="PD104" i="2"/>
  <c r="OX104" i="2"/>
  <c r="OW104" i="2"/>
  <c r="OQ104" i="2"/>
  <c r="OP104" i="2"/>
  <c r="OJ104" i="2"/>
  <c r="OI104" i="2"/>
  <c r="OC104" i="2"/>
  <c r="OB104" i="2"/>
  <c r="NV104" i="2"/>
  <c r="NU104" i="2"/>
  <c r="NO104" i="2"/>
  <c r="NN104" i="2"/>
  <c r="PL103" i="2"/>
  <c r="PK103" i="2"/>
  <c r="PE103" i="2"/>
  <c r="PD103" i="2"/>
  <c r="OX103" i="2"/>
  <c r="OW103" i="2"/>
  <c r="OQ103" i="2"/>
  <c r="OP103" i="2"/>
  <c r="OJ103" i="2"/>
  <c r="OI103" i="2"/>
  <c r="OC103" i="2"/>
  <c r="OB103" i="2"/>
  <c r="NV103" i="2"/>
  <c r="NU103" i="2"/>
  <c r="NO103" i="2"/>
  <c r="NN103" i="2"/>
  <c r="PL102" i="2"/>
  <c r="PK102" i="2"/>
  <c r="PE102" i="2"/>
  <c r="PD102" i="2"/>
  <c r="OX102" i="2"/>
  <c r="OW102" i="2"/>
  <c r="OQ102" i="2"/>
  <c r="OP102" i="2"/>
  <c r="OJ102" i="2"/>
  <c r="OI102" i="2"/>
  <c r="OC102" i="2"/>
  <c r="OB102" i="2"/>
  <c r="NV102" i="2"/>
  <c r="NU102" i="2"/>
  <c r="NO102" i="2"/>
  <c r="NN102" i="2"/>
  <c r="PL101" i="2"/>
  <c r="PK101" i="2"/>
  <c r="PE101" i="2"/>
  <c r="PD101" i="2"/>
  <c r="OX101" i="2"/>
  <c r="OW101" i="2"/>
  <c r="OQ101" i="2"/>
  <c r="OP101" i="2"/>
  <c r="OJ101" i="2"/>
  <c r="OI101" i="2"/>
  <c r="OC101" i="2"/>
  <c r="OB101" i="2"/>
  <c r="NV101" i="2"/>
  <c r="NU101" i="2"/>
  <c r="NO101" i="2"/>
  <c r="NN101" i="2"/>
  <c r="PL100" i="2"/>
  <c r="PE100" i="2"/>
  <c r="OX100" i="2"/>
  <c r="OQ100" i="2"/>
  <c r="OJ100" i="2"/>
  <c r="OC100" i="2"/>
  <c r="NV100" i="2"/>
  <c r="NO100" i="2"/>
  <c r="PL97" i="2"/>
  <c r="PE97" i="2"/>
  <c r="OX97" i="2"/>
  <c r="OQ97" i="2"/>
  <c r="OP97" i="2"/>
  <c r="OJ97" i="2"/>
  <c r="OC97" i="2"/>
  <c r="NV97" i="2"/>
  <c r="NO97" i="2"/>
  <c r="PL96" i="2"/>
  <c r="PE96" i="2"/>
  <c r="OX96" i="2"/>
  <c r="OQ96" i="2"/>
  <c r="OJ96" i="2"/>
  <c r="OC96" i="2"/>
  <c r="NV96" i="2"/>
  <c r="NO96" i="2"/>
  <c r="PL95" i="2"/>
  <c r="PE95" i="2"/>
  <c r="OX95" i="2"/>
  <c r="OQ95" i="2"/>
  <c r="OJ95" i="2"/>
  <c r="OC95" i="2"/>
  <c r="NV95" i="2"/>
  <c r="NO95" i="2"/>
  <c r="PL94" i="2"/>
  <c r="PE94" i="2"/>
  <c r="OX94" i="2"/>
  <c r="OQ94" i="2"/>
  <c r="OJ94" i="2"/>
  <c r="OC94" i="2"/>
  <c r="NV94" i="2"/>
  <c r="NO94" i="2"/>
  <c r="PL93" i="2"/>
  <c r="PE93" i="2"/>
  <c r="OX93" i="2"/>
  <c r="OQ93" i="2"/>
  <c r="OJ93" i="2"/>
  <c r="OC93" i="2"/>
  <c r="NV93" i="2"/>
  <c r="NO93" i="2"/>
  <c r="PL92" i="2"/>
  <c r="PE92" i="2"/>
  <c r="OX92" i="2"/>
  <c r="OW92" i="2"/>
  <c r="OQ92" i="2"/>
  <c r="OJ92" i="2"/>
  <c r="OI92" i="2"/>
  <c r="OC92" i="2"/>
  <c r="NV92" i="2"/>
  <c r="NO92" i="2"/>
  <c r="PL91" i="2"/>
  <c r="PE91" i="2"/>
  <c r="OX91" i="2"/>
  <c r="OQ91" i="2"/>
  <c r="OJ91" i="2"/>
  <c r="OC91" i="2"/>
  <c r="NV91" i="2"/>
  <c r="NO91" i="2"/>
  <c r="PL90" i="2"/>
  <c r="PE90" i="2"/>
  <c r="OX90" i="2"/>
  <c r="OQ90" i="2"/>
  <c r="OJ90" i="2"/>
  <c r="OC90" i="2"/>
  <c r="NV90" i="2"/>
  <c r="NO90" i="2"/>
  <c r="PL89" i="2"/>
  <c r="PE89" i="2"/>
  <c r="OX89" i="2"/>
  <c r="OQ89" i="2"/>
  <c r="OJ89" i="2"/>
  <c r="OC89" i="2"/>
  <c r="NV89" i="2"/>
  <c r="NO89" i="2"/>
  <c r="PL88" i="2"/>
  <c r="PK88" i="2"/>
  <c r="PE88" i="2"/>
  <c r="OX88" i="2"/>
  <c r="OQ88" i="2"/>
  <c r="OJ88" i="2"/>
  <c r="OC88" i="2"/>
  <c r="NV88" i="2"/>
  <c r="NU88" i="2"/>
  <c r="NO88" i="2"/>
  <c r="PL87" i="2"/>
  <c r="PE87" i="2"/>
  <c r="OX87" i="2"/>
  <c r="OQ87" i="2"/>
  <c r="OJ87" i="2"/>
  <c r="OC87" i="2"/>
  <c r="NV87" i="2"/>
  <c r="NO87" i="2"/>
  <c r="PL86" i="2"/>
  <c r="PE86" i="2"/>
  <c r="PD86" i="2"/>
  <c r="OX86" i="2"/>
  <c r="OW86" i="2"/>
  <c r="OQ86" i="2"/>
  <c r="OJ86" i="2"/>
  <c r="OC86" i="2"/>
  <c r="OB86" i="2"/>
  <c r="NV86" i="2"/>
  <c r="NO86" i="2"/>
  <c r="PL85" i="2"/>
  <c r="PE85" i="2"/>
  <c r="OX85" i="2"/>
  <c r="OQ85" i="2"/>
  <c r="OJ85" i="2"/>
  <c r="OC85" i="2"/>
  <c r="NV85" i="2"/>
  <c r="NO85" i="2"/>
  <c r="PL84" i="2"/>
  <c r="PE84" i="2"/>
  <c r="OX84" i="2"/>
  <c r="OQ84" i="2"/>
  <c r="OJ84" i="2"/>
  <c r="OC84" i="2"/>
  <c r="NV84" i="2"/>
  <c r="NO84" i="2"/>
  <c r="PL83" i="2"/>
  <c r="PE83" i="2"/>
  <c r="OX83" i="2"/>
  <c r="OQ83" i="2"/>
  <c r="OJ83" i="2"/>
  <c r="OC83" i="2"/>
  <c r="NV83" i="2"/>
  <c r="NO83" i="2"/>
  <c r="PL82" i="2"/>
  <c r="PE82" i="2"/>
  <c r="OX82" i="2"/>
  <c r="OQ82" i="2"/>
  <c r="OJ82" i="2"/>
  <c r="OC82" i="2"/>
  <c r="NV82" i="2"/>
  <c r="NO82" i="2"/>
  <c r="PL79" i="2"/>
  <c r="PE79" i="2"/>
  <c r="OX79" i="2"/>
  <c r="OQ79" i="2"/>
  <c r="OJ79" i="2"/>
  <c r="OC79" i="2"/>
  <c r="NV79" i="2"/>
  <c r="NO79" i="2"/>
  <c r="PL78" i="2"/>
  <c r="PE78" i="2"/>
  <c r="OX78" i="2"/>
  <c r="OQ78" i="2"/>
  <c r="OJ78" i="2"/>
  <c r="OC78" i="2"/>
  <c r="NV78" i="2"/>
  <c r="NO78" i="2"/>
  <c r="NN78" i="2"/>
  <c r="PL77" i="2"/>
  <c r="PE77" i="2"/>
  <c r="OX77" i="2"/>
  <c r="OQ77" i="2"/>
  <c r="OJ77" i="2"/>
  <c r="OC77" i="2"/>
  <c r="NV77" i="2"/>
  <c r="NO77" i="2"/>
  <c r="PL76" i="2"/>
  <c r="PE76" i="2"/>
  <c r="OX76" i="2"/>
  <c r="OQ76" i="2"/>
  <c r="OJ76" i="2"/>
  <c r="OC76" i="2"/>
  <c r="NV76" i="2"/>
  <c r="NO76" i="2"/>
  <c r="PL75" i="2"/>
  <c r="PE75" i="2"/>
  <c r="OX75" i="2"/>
  <c r="OQ75" i="2"/>
  <c r="OJ75" i="2"/>
  <c r="OC75" i="2"/>
  <c r="NV75" i="2"/>
  <c r="NO75" i="2"/>
  <c r="PL74" i="2"/>
  <c r="PE74" i="2"/>
  <c r="OX74" i="2"/>
  <c r="OQ74" i="2"/>
  <c r="OJ74" i="2"/>
  <c r="OC74" i="2"/>
  <c r="OB74" i="2"/>
  <c r="NV74" i="2"/>
  <c r="NO74" i="2"/>
  <c r="PL73" i="2"/>
  <c r="PE73" i="2"/>
  <c r="OX73" i="2"/>
  <c r="OQ73" i="2"/>
  <c r="OJ73" i="2"/>
  <c r="OC73" i="2"/>
  <c r="NV73" i="2"/>
  <c r="NO73" i="2"/>
  <c r="PL72" i="2"/>
  <c r="PE72" i="2"/>
  <c r="OX72" i="2"/>
  <c r="OQ72" i="2"/>
  <c r="OJ72" i="2"/>
  <c r="OC72" i="2"/>
  <c r="NV72" i="2"/>
  <c r="NO72" i="2"/>
  <c r="PL71" i="2"/>
  <c r="PE71" i="2"/>
  <c r="OX71" i="2"/>
  <c r="OQ71" i="2"/>
  <c r="OJ71" i="2"/>
  <c r="OC71" i="2"/>
  <c r="NV71" i="2"/>
  <c r="NO71" i="2"/>
  <c r="PL70" i="2"/>
  <c r="PE70" i="2"/>
  <c r="OX70" i="2"/>
  <c r="OQ70" i="2"/>
  <c r="OJ70" i="2"/>
  <c r="OC70" i="2"/>
  <c r="NV70" i="2"/>
  <c r="NO70" i="2"/>
  <c r="PL69" i="2"/>
  <c r="PE69" i="2"/>
  <c r="OX69" i="2"/>
  <c r="OQ69" i="2"/>
  <c r="OJ69" i="2"/>
  <c r="OC69" i="2"/>
  <c r="NV69" i="2"/>
  <c r="NO69" i="2"/>
  <c r="PL68" i="2"/>
  <c r="PE68" i="2"/>
  <c r="OX68" i="2"/>
  <c r="OQ68" i="2"/>
  <c r="OJ68" i="2"/>
  <c r="OC68" i="2"/>
  <c r="NV68" i="2"/>
  <c r="NO68" i="2"/>
  <c r="PL67" i="2"/>
  <c r="PE67" i="2"/>
  <c r="OX67" i="2"/>
  <c r="OQ67" i="2"/>
  <c r="OJ67" i="2"/>
  <c r="OC67" i="2"/>
  <c r="NV67" i="2"/>
  <c r="NO67" i="2"/>
  <c r="PL66" i="2"/>
  <c r="PE66" i="2"/>
  <c r="OX66" i="2"/>
  <c r="OQ66" i="2"/>
  <c r="OJ66" i="2"/>
  <c r="OC66" i="2"/>
  <c r="NV66" i="2"/>
  <c r="NO66" i="2"/>
  <c r="PL65" i="2"/>
  <c r="PE65" i="2"/>
  <c r="OX65" i="2"/>
  <c r="OQ65" i="2"/>
  <c r="OJ65" i="2"/>
  <c r="OC65" i="2"/>
  <c r="NV65" i="2"/>
  <c r="NO65" i="2"/>
  <c r="PL64" i="2"/>
  <c r="PK64" i="2"/>
  <c r="PE64" i="2"/>
  <c r="OX64" i="2"/>
  <c r="OQ64" i="2"/>
  <c r="OJ64" i="2"/>
  <c r="OC64" i="2"/>
  <c r="OB64" i="2"/>
  <c r="NV64" i="2"/>
  <c r="NO64" i="2"/>
  <c r="PL63" i="2"/>
  <c r="PE63" i="2"/>
  <c r="OX63" i="2"/>
  <c r="OQ63" i="2"/>
  <c r="OJ63" i="2"/>
  <c r="OC63" i="2"/>
  <c r="NV63" i="2"/>
  <c r="NO63" i="2"/>
  <c r="PL62" i="2"/>
  <c r="PE62" i="2"/>
  <c r="OX62" i="2"/>
  <c r="OQ62" i="2"/>
  <c r="OJ62" i="2"/>
  <c r="OC62" i="2"/>
  <c r="NV62" i="2"/>
  <c r="NO62" i="2"/>
  <c r="PL61" i="2"/>
  <c r="PE61" i="2"/>
  <c r="OX61" i="2"/>
  <c r="OQ61" i="2"/>
  <c r="OJ61" i="2"/>
  <c r="OC61" i="2"/>
  <c r="NV61" i="2"/>
  <c r="NO61" i="2"/>
  <c r="PL60" i="2"/>
  <c r="PE60" i="2"/>
  <c r="OX60" i="2"/>
  <c r="OQ60" i="2"/>
  <c r="OP60" i="2"/>
  <c r="OJ60" i="2"/>
  <c r="OC60" i="2"/>
  <c r="NV60" i="2"/>
  <c r="NO60" i="2"/>
  <c r="PL59" i="2"/>
  <c r="PE59" i="2"/>
  <c r="OX59" i="2"/>
  <c r="OQ59" i="2"/>
  <c r="OJ59" i="2"/>
  <c r="OC59" i="2"/>
  <c r="NV59" i="2"/>
  <c r="NO59" i="2"/>
  <c r="PL58" i="2"/>
  <c r="PK58" i="2"/>
  <c r="PE58" i="2"/>
  <c r="OX58" i="2"/>
  <c r="OQ58" i="2"/>
  <c r="OP58" i="2"/>
  <c r="OJ58" i="2"/>
  <c r="OC58" i="2"/>
  <c r="OB58" i="2"/>
  <c r="NV58" i="2"/>
  <c r="NO58" i="2"/>
  <c r="PL57" i="2"/>
  <c r="PE57" i="2"/>
  <c r="OX57" i="2"/>
  <c r="OQ57" i="2"/>
  <c r="OJ57" i="2"/>
  <c r="OC57" i="2"/>
  <c r="NV57" i="2"/>
  <c r="NO57" i="2"/>
  <c r="PL56" i="2"/>
  <c r="PE56" i="2"/>
  <c r="OX56" i="2"/>
  <c r="OQ56" i="2"/>
  <c r="OJ56" i="2"/>
  <c r="OC56" i="2"/>
  <c r="OB56" i="2"/>
  <c r="NV56" i="2"/>
  <c r="NO56" i="2"/>
  <c r="PL54" i="2"/>
  <c r="PE54" i="2"/>
  <c r="OX54" i="2"/>
  <c r="OW54" i="2"/>
  <c r="OQ54" i="2"/>
  <c r="OJ54" i="2"/>
  <c r="OC54" i="2"/>
  <c r="NV54" i="2"/>
  <c r="NU54" i="2"/>
  <c r="NO54" i="2"/>
  <c r="PL53" i="2"/>
  <c r="PE53" i="2"/>
  <c r="OX53" i="2"/>
  <c r="OW53" i="2"/>
  <c r="OQ53" i="2"/>
  <c r="OP53" i="2"/>
  <c r="OJ53" i="2"/>
  <c r="OC53" i="2"/>
  <c r="NV53" i="2"/>
  <c r="NO53" i="2"/>
  <c r="PL52" i="2"/>
  <c r="PE52" i="2"/>
  <c r="OX52" i="2"/>
  <c r="OQ52" i="2"/>
  <c r="OJ52" i="2"/>
  <c r="OC52" i="2"/>
  <c r="NV52" i="2"/>
  <c r="NO52" i="2"/>
  <c r="PL51" i="2"/>
  <c r="PE51" i="2"/>
  <c r="OX51" i="2"/>
  <c r="OQ51" i="2"/>
  <c r="OJ51" i="2"/>
  <c r="OC51" i="2"/>
  <c r="NV51" i="2"/>
  <c r="NO51" i="2"/>
  <c r="PL50" i="2"/>
  <c r="PK50" i="2"/>
  <c r="PE50" i="2"/>
  <c r="OX50" i="2"/>
  <c r="OQ50" i="2"/>
  <c r="OJ50" i="2"/>
  <c r="OC50" i="2"/>
  <c r="OB50" i="2"/>
  <c r="NV50" i="2"/>
  <c r="NO50" i="2"/>
  <c r="PL49" i="2"/>
  <c r="PE49" i="2"/>
  <c r="OX49" i="2"/>
  <c r="OQ49" i="2"/>
  <c r="OJ49" i="2"/>
  <c r="OC49" i="2"/>
  <c r="NV49" i="2"/>
  <c r="NO49" i="2"/>
  <c r="PL48" i="2"/>
  <c r="PE48" i="2"/>
  <c r="OX48" i="2"/>
  <c r="OQ48" i="2"/>
  <c r="OJ48" i="2"/>
  <c r="OI48" i="2"/>
  <c r="OC48" i="2"/>
  <c r="NV48" i="2"/>
  <c r="NO48" i="2"/>
  <c r="PL47" i="2"/>
  <c r="PE47" i="2"/>
  <c r="OX47" i="2"/>
  <c r="OQ47" i="2"/>
  <c r="OJ47" i="2"/>
  <c r="OC47" i="2"/>
  <c r="NV47" i="2"/>
  <c r="NO47" i="2"/>
  <c r="PL46" i="2"/>
  <c r="PE46" i="2"/>
  <c r="OX46" i="2"/>
  <c r="OQ46" i="2"/>
  <c r="OJ46" i="2"/>
  <c r="OC46" i="2"/>
  <c r="NV46" i="2"/>
  <c r="NO46" i="2"/>
  <c r="PL45" i="2"/>
  <c r="PE45" i="2"/>
  <c r="OX45" i="2"/>
  <c r="OQ45" i="2"/>
  <c r="OJ45" i="2"/>
  <c r="OC45" i="2"/>
  <c r="NV45" i="2"/>
  <c r="NO45" i="2"/>
  <c r="PL44" i="2"/>
  <c r="PE44" i="2"/>
  <c r="OX44" i="2"/>
  <c r="OQ44" i="2"/>
  <c r="OJ44" i="2"/>
  <c r="OC44" i="2"/>
  <c r="NV44" i="2"/>
  <c r="NO44" i="2"/>
  <c r="PL43" i="2"/>
  <c r="PE43" i="2"/>
  <c r="OX43" i="2"/>
  <c r="OQ43" i="2"/>
  <c r="OJ43" i="2"/>
  <c r="OC43" i="2"/>
  <c r="NV43" i="2"/>
  <c r="NO43" i="2"/>
  <c r="PL42" i="2"/>
  <c r="PE42" i="2"/>
  <c r="OX42" i="2"/>
  <c r="OQ42" i="2"/>
  <c r="OP42" i="2"/>
  <c r="OJ42" i="2"/>
  <c r="OC42" i="2"/>
  <c r="NV42" i="2"/>
  <c r="NO42" i="2"/>
  <c r="PL41" i="2"/>
  <c r="PE41" i="2"/>
  <c r="OX41" i="2"/>
  <c r="OQ41" i="2"/>
  <c r="OJ41" i="2"/>
  <c r="OC41" i="2"/>
  <c r="NV41" i="2"/>
  <c r="NO41" i="2"/>
  <c r="PL40" i="2"/>
  <c r="PK40" i="2"/>
  <c r="PE40" i="2"/>
  <c r="OX40" i="2"/>
  <c r="OQ40" i="2"/>
  <c r="OJ40" i="2"/>
  <c r="OI40" i="2"/>
  <c r="OC40" i="2"/>
  <c r="OB40" i="2"/>
  <c r="NV40" i="2"/>
  <c r="NU40" i="2"/>
  <c r="NO40" i="2"/>
  <c r="PL39" i="2"/>
  <c r="PE39" i="2"/>
  <c r="OX39" i="2"/>
  <c r="OQ39" i="2"/>
  <c r="OJ39" i="2"/>
  <c r="OC39" i="2"/>
  <c r="NV39" i="2"/>
  <c r="NO39" i="2"/>
  <c r="PL38" i="2"/>
  <c r="PE38" i="2"/>
  <c r="OX38" i="2"/>
  <c r="OQ38" i="2"/>
  <c r="OJ38" i="2"/>
  <c r="OC38" i="2"/>
  <c r="NV38" i="2"/>
  <c r="NO38" i="2"/>
  <c r="PL37" i="2"/>
  <c r="PE37" i="2"/>
  <c r="OX37" i="2"/>
  <c r="OQ37" i="2"/>
  <c r="OJ37" i="2"/>
  <c r="OC37" i="2"/>
  <c r="NV37" i="2"/>
  <c r="NO37" i="2"/>
  <c r="PL36" i="2"/>
  <c r="PK36" i="2"/>
  <c r="PE36" i="2"/>
  <c r="OX36" i="2"/>
  <c r="OQ36" i="2"/>
  <c r="OJ36" i="2"/>
  <c r="OC36" i="2"/>
  <c r="NV36" i="2"/>
  <c r="NO36" i="2"/>
  <c r="PL35" i="2"/>
  <c r="PK35" i="2"/>
  <c r="PE35" i="2"/>
  <c r="OX35" i="2"/>
  <c r="OQ35" i="2"/>
  <c r="OP35" i="2"/>
  <c r="OJ35" i="2"/>
  <c r="OC35" i="2"/>
  <c r="NV35" i="2"/>
  <c r="NO35" i="2"/>
  <c r="PL34" i="2"/>
  <c r="PE34" i="2"/>
  <c r="OX34" i="2"/>
  <c r="OQ34" i="2"/>
  <c r="OJ34" i="2"/>
  <c r="OC34" i="2"/>
  <c r="NV34" i="2"/>
  <c r="NO34" i="2"/>
  <c r="PL33" i="2"/>
  <c r="PE33" i="2"/>
  <c r="OX33" i="2"/>
  <c r="OQ33" i="2"/>
  <c r="OJ33" i="2"/>
  <c r="OC33" i="2"/>
  <c r="NV33" i="2"/>
  <c r="NO33" i="2"/>
  <c r="PL32" i="2"/>
  <c r="PE32" i="2"/>
  <c r="OX32" i="2"/>
  <c r="OQ32" i="2"/>
  <c r="OJ32" i="2"/>
  <c r="OC32" i="2"/>
  <c r="NV32" i="2"/>
  <c r="NO32" i="2"/>
  <c r="PL31" i="2"/>
  <c r="PE31" i="2"/>
  <c r="OX31" i="2"/>
  <c r="OQ31" i="2"/>
  <c r="OJ31" i="2"/>
  <c r="OC31" i="2"/>
  <c r="OB31" i="2"/>
  <c r="NV31" i="2"/>
  <c r="NO31" i="2"/>
  <c r="PL29" i="2"/>
  <c r="PE29" i="2"/>
  <c r="OX29" i="2"/>
  <c r="OQ29" i="2"/>
  <c r="OJ29" i="2"/>
  <c r="OC29" i="2"/>
  <c r="NV29" i="2"/>
  <c r="NO29" i="2"/>
  <c r="PL28" i="2"/>
  <c r="PE28" i="2"/>
  <c r="OX28" i="2"/>
  <c r="OW28" i="2"/>
  <c r="OQ28" i="2"/>
  <c r="OJ28" i="2"/>
  <c r="OC28" i="2"/>
  <c r="NV28" i="2"/>
  <c r="NO28" i="2"/>
  <c r="PL27" i="2"/>
  <c r="PE27" i="2"/>
  <c r="OX27" i="2"/>
  <c r="OQ27" i="2"/>
  <c r="OJ27" i="2"/>
  <c r="OC27" i="2"/>
  <c r="NV27" i="2"/>
  <c r="NO27" i="2"/>
  <c r="PL26" i="2"/>
  <c r="PE26" i="2"/>
  <c r="OX26" i="2"/>
  <c r="OQ26" i="2"/>
  <c r="OJ26" i="2"/>
  <c r="OC26" i="2"/>
  <c r="NV26" i="2"/>
  <c r="NO26" i="2"/>
  <c r="PL25" i="2"/>
  <c r="PK25" i="2"/>
  <c r="PE25" i="2"/>
  <c r="OX25" i="2"/>
  <c r="OQ25" i="2"/>
  <c r="OJ25" i="2"/>
  <c r="OC25" i="2"/>
  <c r="NV25" i="2"/>
  <c r="NO25" i="2"/>
  <c r="PL24" i="2"/>
  <c r="PE24" i="2"/>
  <c r="OX24" i="2"/>
  <c r="OQ24" i="2"/>
  <c r="OP24" i="2"/>
  <c r="OJ24" i="2"/>
  <c r="OC24" i="2"/>
  <c r="NV24" i="2"/>
  <c r="NO24" i="2"/>
  <c r="PL23" i="2"/>
  <c r="PE23" i="2"/>
  <c r="OX23" i="2"/>
  <c r="OQ23" i="2"/>
  <c r="OJ23" i="2"/>
  <c r="OC23" i="2"/>
  <c r="OB23" i="2"/>
  <c r="NV23" i="2"/>
  <c r="NO23" i="2"/>
  <c r="PL22" i="2"/>
  <c r="PE22" i="2"/>
  <c r="OX22" i="2"/>
  <c r="OQ22" i="2"/>
  <c r="OJ22" i="2"/>
  <c r="OC22" i="2"/>
  <c r="OB22" i="2"/>
  <c r="NV22" i="2"/>
  <c r="NU22" i="2"/>
  <c r="NO22" i="2"/>
  <c r="PL21" i="2"/>
  <c r="PE21" i="2"/>
  <c r="OX21" i="2"/>
  <c r="OQ21" i="2"/>
  <c r="OJ21" i="2"/>
  <c r="OI21" i="2"/>
  <c r="OC21" i="2"/>
  <c r="NV21" i="2"/>
  <c r="NO21" i="2"/>
  <c r="PL20" i="2"/>
  <c r="PE20" i="2"/>
  <c r="OX20" i="2"/>
  <c r="OQ20" i="2"/>
  <c r="OJ20" i="2"/>
  <c r="OC20" i="2"/>
  <c r="NV20" i="2"/>
  <c r="NO20" i="2"/>
  <c r="PL19" i="2"/>
  <c r="PE19" i="2"/>
  <c r="OX19" i="2"/>
  <c r="OW19" i="2"/>
  <c r="OQ19" i="2"/>
  <c r="OJ19" i="2"/>
  <c r="OC19" i="2"/>
  <c r="NV19" i="2"/>
  <c r="NO19" i="2"/>
  <c r="PL18" i="2"/>
  <c r="PE18" i="2"/>
  <c r="OX18" i="2"/>
  <c r="OQ18" i="2"/>
  <c r="OJ18" i="2"/>
  <c r="OC18" i="2"/>
  <c r="NV18" i="2"/>
  <c r="NO18" i="2"/>
  <c r="PL17" i="2"/>
  <c r="PE17" i="2"/>
  <c r="OX17" i="2"/>
  <c r="OQ17" i="2"/>
  <c r="OJ17" i="2"/>
  <c r="OC17" i="2"/>
  <c r="NV17" i="2"/>
  <c r="NO17" i="2"/>
  <c r="PL16" i="2"/>
  <c r="PE16" i="2"/>
  <c r="OX16" i="2"/>
  <c r="OQ16" i="2"/>
  <c r="OJ16" i="2"/>
  <c r="OC16" i="2"/>
  <c r="NV16" i="2"/>
  <c r="NO16" i="2"/>
  <c r="PL15" i="2"/>
  <c r="PE15" i="2"/>
  <c r="OX15" i="2"/>
  <c r="OQ15" i="2"/>
  <c r="OP15" i="2"/>
  <c r="OJ15" i="2"/>
  <c r="OC15" i="2"/>
  <c r="NV15" i="2"/>
  <c r="NO15" i="2"/>
  <c r="PL14" i="2"/>
  <c r="PE14" i="2"/>
  <c r="OX14" i="2"/>
  <c r="OQ14" i="2"/>
  <c r="OJ14" i="2"/>
  <c r="OC14" i="2"/>
  <c r="NV14" i="2"/>
  <c r="NO14" i="2"/>
  <c r="PL13" i="2"/>
  <c r="PE13" i="2"/>
  <c r="OX13" i="2"/>
  <c r="OQ13" i="2"/>
  <c r="OJ13" i="2"/>
  <c r="OC13" i="2"/>
  <c r="NV13" i="2"/>
  <c r="NO13" i="2"/>
  <c r="PL12" i="2"/>
  <c r="PE12" i="2"/>
  <c r="OX12" i="2"/>
  <c r="OW12" i="2"/>
  <c r="OQ12" i="2"/>
  <c r="OJ12" i="2"/>
  <c r="OC12" i="2"/>
  <c r="NV12" i="2"/>
  <c r="NO12" i="2"/>
  <c r="PL11" i="2"/>
  <c r="PE11" i="2"/>
  <c r="OX11" i="2"/>
  <c r="OQ11" i="2"/>
  <c r="OJ11" i="2"/>
  <c r="OC11" i="2"/>
  <c r="NV11" i="2"/>
  <c r="NO11" i="2"/>
  <c r="PL10" i="2"/>
  <c r="PE10" i="2"/>
  <c r="OX10" i="2"/>
  <c r="OQ10" i="2"/>
  <c r="OJ10" i="2"/>
  <c r="OC10" i="2"/>
  <c r="NV10" i="2"/>
  <c r="NO10" i="2"/>
  <c r="PL9" i="2"/>
  <c r="PE9" i="2"/>
  <c r="OX9" i="2"/>
  <c r="OQ9" i="2"/>
  <c r="OJ9" i="2"/>
  <c r="OC9" i="2"/>
  <c r="NV9" i="2"/>
  <c r="NO9" i="2"/>
  <c r="PL8" i="2"/>
  <c r="PE8" i="2"/>
  <c r="OX8" i="2"/>
  <c r="OQ8" i="2"/>
  <c r="OJ8" i="2"/>
  <c r="OC8" i="2"/>
  <c r="NV8" i="2"/>
  <c r="NO8" i="2"/>
  <c r="PL7" i="2"/>
  <c r="PE7" i="2"/>
  <c r="OX7" i="2"/>
  <c r="OQ7" i="2"/>
  <c r="OJ7" i="2"/>
  <c r="OC7" i="2"/>
  <c r="NV7" i="2"/>
  <c r="NO7" i="2"/>
  <c r="PL6" i="2"/>
  <c r="PE6" i="2"/>
  <c r="OX6" i="2"/>
  <c r="OQ6" i="2"/>
  <c r="OJ6" i="2"/>
  <c r="OC6" i="2"/>
  <c r="NV6" i="2"/>
  <c r="NO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HF136" i="2"/>
  <c r="HG136" i="2"/>
  <c r="HH136" i="2"/>
  <c r="HI136" i="2"/>
  <c r="HJ136" i="2"/>
  <c r="HK136" i="2"/>
  <c r="HL136" i="2"/>
  <c r="HM136" i="2"/>
  <c r="HN136" i="2"/>
  <c r="HO136" i="2"/>
  <c r="HP136" i="2"/>
  <c r="HQ136" i="2"/>
  <c r="HR136" i="2"/>
  <c r="HS136" i="2"/>
  <c r="HT136" i="2"/>
  <c r="HU136" i="2"/>
  <c r="HV136" i="2"/>
  <c r="HW136" i="2"/>
  <c r="HX136" i="2"/>
  <c r="HY136" i="2"/>
  <c r="HZ136" i="2"/>
  <c r="IA136" i="2"/>
  <c r="IB136" i="2"/>
  <c r="IC136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HF134" i="2"/>
  <c r="HG134" i="2"/>
  <c r="HH134" i="2"/>
  <c r="HI134" i="2"/>
  <c r="HJ134" i="2"/>
  <c r="HK134" i="2"/>
  <c r="HL134" i="2"/>
  <c r="HM134" i="2"/>
  <c r="HN134" i="2"/>
  <c r="HO134" i="2"/>
  <c r="HP134" i="2"/>
  <c r="HQ134" i="2"/>
  <c r="HR134" i="2"/>
  <c r="HS134" i="2"/>
  <c r="HT134" i="2"/>
  <c r="HU134" i="2"/>
  <c r="HV134" i="2"/>
  <c r="HW134" i="2"/>
  <c r="HX134" i="2"/>
  <c r="HY134" i="2"/>
  <c r="HZ134" i="2"/>
  <c r="IA134" i="2"/>
  <c r="IB134" i="2"/>
  <c r="FZ130" i="2"/>
  <c r="FS130" i="2"/>
  <c r="FL130" i="2"/>
  <c r="FE130" i="2"/>
  <c r="EX130" i="2"/>
  <c r="EQ130" i="2"/>
  <c r="EJ130" i="2"/>
  <c r="CM130" i="2"/>
  <c r="CT130" i="2"/>
  <c r="DA130" i="2"/>
  <c r="DH130" i="2"/>
  <c r="DO130" i="2"/>
  <c r="DV130" i="2"/>
  <c r="EC130" i="2"/>
  <c r="CF130" i="2"/>
  <c r="BY130" i="2"/>
  <c r="Q148" i="2"/>
  <c r="Q208" i="2"/>
  <c r="Q190" i="2"/>
  <c r="Q209" i="2"/>
  <c r="Q207" i="2"/>
  <c r="Q205" i="2"/>
  <c r="Q206" i="2"/>
  <c r="BR130" i="2" l="1"/>
  <c r="AW130" i="2"/>
  <c r="BK130" i="2"/>
  <c r="BD130" i="2"/>
  <c r="AP130" i="2"/>
  <c r="AI130" i="2"/>
  <c r="AB130" i="2"/>
  <c r="N130" i="2"/>
  <c r="U130" i="2"/>
  <c r="NG132" i="2"/>
  <c r="MZ132" i="2"/>
  <c r="MS132" i="2"/>
  <c r="ML132" i="2"/>
  <c r="ME132" i="2"/>
  <c r="LX132" i="2"/>
  <c r="NG128" i="2"/>
  <c r="MZ128" i="2"/>
  <c r="MS128" i="2"/>
  <c r="ML128" i="2"/>
  <c r="ME128" i="2"/>
  <c r="LX128" i="2"/>
  <c r="NH123" i="2"/>
  <c r="NG123" i="2"/>
  <c r="NA123" i="2"/>
  <c r="MZ123" i="2"/>
  <c r="MT123" i="2"/>
  <c r="MS123" i="2"/>
  <c r="MM123" i="2"/>
  <c r="ML123" i="2"/>
  <c r="MF123" i="2"/>
  <c r="ME123" i="2"/>
  <c r="LY123" i="2"/>
  <c r="LX123" i="2"/>
  <c r="NH120" i="2"/>
  <c r="NG120" i="2"/>
  <c r="NA120" i="2"/>
  <c r="MZ120" i="2"/>
  <c r="MT120" i="2"/>
  <c r="MS120" i="2"/>
  <c r="MM120" i="2"/>
  <c r="ML120" i="2"/>
  <c r="MF120" i="2"/>
  <c r="ME120" i="2"/>
  <c r="LY120" i="2"/>
  <c r="LX120" i="2"/>
  <c r="NH117" i="2"/>
  <c r="NG117" i="2"/>
  <c r="NA117" i="2"/>
  <c r="MZ117" i="2"/>
  <c r="MT117" i="2"/>
  <c r="MS117" i="2"/>
  <c r="MM117" i="2"/>
  <c r="ML117" i="2"/>
  <c r="MF117" i="2"/>
  <c r="ME117" i="2"/>
  <c r="LY117" i="2"/>
  <c r="LX117" i="2"/>
  <c r="NH116" i="2"/>
  <c r="NG116" i="2"/>
  <c r="NA116" i="2"/>
  <c r="MZ116" i="2"/>
  <c r="MT116" i="2"/>
  <c r="MS116" i="2"/>
  <c r="MM116" i="2"/>
  <c r="ML116" i="2"/>
  <c r="MF116" i="2"/>
  <c r="ME116" i="2"/>
  <c r="LY116" i="2"/>
  <c r="LX116" i="2"/>
  <c r="NH113" i="2"/>
  <c r="NG113" i="2"/>
  <c r="NA113" i="2"/>
  <c r="MZ113" i="2"/>
  <c r="MT113" i="2"/>
  <c r="MS113" i="2"/>
  <c r="MM113" i="2"/>
  <c r="ML113" i="2"/>
  <c r="MF113" i="2"/>
  <c r="ME113" i="2"/>
  <c r="LY113" i="2"/>
  <c r="LX113" i="2"/>
  <c r="NH112" i="2"/>
  <c r="NG112" i="2"/>
  <c r="NA112" i="2"/>
  <c r="MZ112" i="2"/>
  <c r="MT112" i="2"/>
  <c r="MS112" i="2"/>
  <c r="MM112" i="2"/>
  <c r="ML112" i="2"/>
  <c r="MF112" i="2"/>
  <c r="ME112" i="2"/>
  <c r="LY112" i="2"/>
  <c r="LX112" i="2"/>
  <c r="NH111" i="2"/>
  <c r="NG111" i="2"/>
  <c r="NA111" i="2"/>
  <c r="MZ111" i="2"/>
  <c r="MT111" i="2"/>
  <c r="MS111" i="2"/>
  <c r="MM111" i="2"/>
  <c r="ML111" i="2"/>
  <c r="MF111" i="2"/>
  <c r="ME111" i="2"/>
  <c r="LY111" i="2"/>
  <c r="LX111" i="2"/>
  <c r="NH110" i="2"/>
  <c r="NG110" i="2"/>
  <c r="NA110" i="2"/>
  <c r="MZ110" i="2"/>
  <c r="MT110" i="2"/>
  <c r="MS110" i="2"/>
  <c r="MM110" i="2"/>
  <c r="ML110" i="2"/>
  <c r="MF110" i="2"/>
  <c r="ME110" i="2"/>
  <c r="LY110" i="2"/>
  <c r="LX110" i="2"/>
  <c r="NH107" i="2"/>
  <c r="NG107" i="2"/>
  <c r="NA107" i="2"/>
  <c r="MZ107" i="2"/>
  <c r="MT107" i="2"/>
  <c r="MS107" i="2"/>
  <c r="MM107" i="2"/>
  <c r="ML107" i="2"/>
  <c r="MF107" i="2"/>
  <c r="ME107" i="2"/>
  <c r="LY107" i="2"/>
  <c r="LX107" i="2"/>
  <c r="NH106" i="2"/>
  <c r="NG106" i="2"/>
  <c r="NA106" i="2"/>
  <c r="MZ106" i="2"/>
  <c r="MT106" i="2"/>
  <c r="MS106" i="2"/>
  <c r="MM106" i="2"/>
  <c r="ML106" i="2"/>
  <c r="MF106" i="2"/>
  <c r="ME106" i="2"/>
  <c r="LY106" i="2"/>
  <c r="LX106" i="2"/>
  <c r="NH105" i="2"/>
  <c r="NG105" i="2"/>
  <c r="NA105" i="2"/>
  <c r="MZ105" i="2"/>
  <c r="MT105" i="2"/>
  <c r="MS105" i="2"/>
  <c r="MM105" i="2"/>
  <c r="ML105" i="2"/>
  <c r="MF105" i="2"/>
  <c r="ME105" i="2"/>
  <c r="LY105" i="2"/>
  <c r="LX105" i="2"/>
  <c r="NH104" i="2"/>
  <c r="NG104" i="2"/>
  <c r="NA104" i="2"/>
  <c r="MZ104" i="2"/>
  <c r="MT104" i="2"/>
  <c r="MS104" i="2"/>
  <c r="MM104" i="2"/>
  <c r="ML104" i="2"/>
  <c r="MF104" i="2"/>
  <c r="ME104" i="2"/>
  <c r="LY104" i="2"/>
  <c r="LX104" i="2"/>
  <c r="NH103" i="2"/>
  <c r="NG103" i="2"/>
  <c r="NA103" i="2"/>
  <c r="MZ103" i="2"/>
  <c r="MT103" i="2"/>
  <c r="MS103" i="2"/>
  <c r="MM103" i="2"/>
  <c r="ML103" i="2"/>
  <c r="MF103" i="2"/>
  <c r="ME103" i="2"/>
  <c r="LY103" i="2"/>
  <c r="LX103" i="2"/>
  <c r="NH102" i="2"/>
  <c r="NG102" i="2"/>
  <c r="NA102" i="2"/>
  <c r="MZ102" i="2"/>
  <c r="MT102" i="2"/>
  <c r="MS102" i="2"/>
  <c r="MM102" i="2"/>
  <c r="ML102" i="2"/>
  <c r="MF102" i="2"/>
  <c r="ME102" i="2"/>
  <c r="LY102" i="2"/>
  <c r="LX102" i="2"/>
  <c r="NH101" i="2"/>
  <c r="NG101" i="2"/>
  <c r="NA101" i="2"/>
  <c r="MZ101" i="2"/>
  <c r="MT101" i="2"/>
  <c r="MS101" i="2"/>
  <c r="MM101" i="2"/>
  <c r="ML101" i="2"/>
  <c r="MF101" i="2"/>
  <c r="ME101" i="2"/>
  <c r="LY101" i="2"/>
  <c r="LX101" i="2"/>
  <c r="NH100" i="2"/>
  <c r="NA100" i="2"/>
  <c r="MT100" i="2"/>
  <c r="MM100" i="2"/>
  <c r="MF100" i="2"/>
  <c r="LY100" i="2"/>
  <c r="NH97" i="2"/>
  <c r="NA97" i="2"/>
  <c r="MT97" i="2"/>
  <c r="MM97" i="2"/>
  <c r="MF97" i="2"/>
  <c r="LY97" i="2"/>
  <c r="NH96" i="2"/>
  <c r="NA96" i="2"/>
  <c r="MT96" i="2"/>
  <c r="MM96" i="2"/>
  <c r="MF96" i="2"/>
  <c r="LY96" i="2"/>
  <c r="NH95" i="2"/>
  <c r="NA95" i="2"/>
  <c r="MT95" i="2"/>
  <c r="MM95" i="2"/>
  <c r="MF95" i="2"/>
  <c r="LY95" i="2"/>
  <c r="NH94" i="2"/>
  <c r="NA94" i="2"/>
  <c r="MT94" i="2"/>
  <c r="MM94" i="2"/>
  <c r="MF94" i="2"/>
  <c r="LY94" i="2"/>
  <c r="NH93" i="2"/>
  <c r="NA93" i="2"/>
  <c r="MT93" i="2"/>
  <c r="MM93" i="2"/>
  <c r="MF93" i="2"/>
  <c r="LY93" i="2"/>
  <c r="NH92" i="2"/>
  <c r="NA92" i="2"/>
  <c r="MT92" i="2"/>
  <c r="MS92" i="2"/>
  <c r="MM92" i="2"/>
  <c r="MF92" i="2"/>
  <c r="LY92" i="2"/>
  <c r="NH91" i="2"/>
  <c r="NA91" i="2"/>
  <c r="MT91" i="2"/>
  <c r="MM91" i="2"/>
  <c r="MF91" i="2"/>
  <c r="LY91" i="2"/>
  <c r="NH90" i="2"/>
  <c r="NA90" i="2"/>
  <c r="MT90" i="2"/>
  <c r="MM90" i="2"/>
  <c r="MF90" i="2"/>
  <c r="LY90" i="2"/>
  <c r="NH89" i="2"/>
  <c r="NA89" i="2"/>
  <c r="MT89" i="2"/>
  <c r="MM89" i="2"/>
  <c r="MF89" i="2"/>
  <c r="LY89" i="2"/>
  <c r="NH88" i="2"/>
  <c r="NA88" i="2"/>
  <c r="MT88" i="2"/>
  <c r="MM88" i="2"/>
  <c r="MF88" i="2"/>
  <c r="ME88" i="2"/>
  <c r="LY88" i="2"/>
  <c r="NH87" i="2"/>
  <c r="NA87" i="2"/>
  <c r="MT87" i="2"/>
  <c r="MM87" i="2"/>
  <c r="MF87" i="2"/>
  <c r="LY87" i="2"/>
  <c r="NH86" i="2"/>
  <c r="NA86" i="2"/>
  <c r="MT86" i="2"/>
  <c r="MM86" i="2"/>
  <c r="ML86" i="2"/>
  <c r="MF86" i="2"/>
  <c r="LY86" i="2"/>
  <c r="LX86" i="2"/>
  <c r="NH85" i="2"/>
  <c r="NA85" i="2"/>
  <c r="MT85" i="2"/>
  <c r="MM85" i="2"/>
  <c r="MF85" i="2"/>
  <c r="LY85" i="2"/>
  <c r="NH84" i="2"/>
  <c r="NA84" i="2"/>
  <c r="MT84" i="2"/>
  <c r="MM84" i="2"/>
  <c r="MF84" i="2"/>
  <c r="LY84" i="2"/>
  <c r="NH83" i="2"/>
  <c r="NA83" i="2"/>
  <c r="MT83" i="2"/>
  <c r="MM83" i="2"/>
  <c r="MF83" i="2"/>
  <c r="LY83" i="2"/>
  <c r="LX83" i="2"/>
  <c r="NH82" i="2"/>
  <c r="NA82" i="2"/>
  <c r="MT82" i="2"/>
  <c r="MM82" i="2"/>
  <c r="MF82" i="2"/>
  <c r="LY82" i="2"/>
  <c r="NH79" i="2"/>
  <c r="NA79" i="2"/>
  <c r="MT79" i="2"/>
  <c r="MM79" i="2"/>
  <c r="MF79" i="2"/>
  <c r="LY79" i="2"/>
  <c r="NH78" i="2"/>
  <c r="NA78" i="2"/>
  <c r="MT78" i="2"/>
  <c r="MM78" i="2"/>
  <c r="MF78" i="2"/>
  <c r="LY78" i="2"/>
  <c r="NH77" i="2"/>
  <c r="NA77" i="2"/>
  <c r="MT77" i="2"/>
  <c r="MM77" i="2"/>
  <c r="MF77" i="2"/>
  <c r="LY77" i="2"/>
  <c r="NH76" i="2"/>
  <c r="NA76" i="2"/>
  <c r="MT76" i="2"/>
  <c r="MM76" i="2"/>
  <c r="MF76" i="2"/>
  <c r="LY76" i="2"/>
  <c r="NH75" i="2"/>
  <c r="NA75" i="2"/>
  <c r="MT75" i="2"/>
  <c r="MM75" i="2"/>
  <c r="MF75" i="2"/>
  <c r="LY75" i="2"/>
  <c r="NH74" i="2"/>
  <c r="NA74" i="2"/>
  <c r="MZ74" i="2"/>
  <c r="MT74" i="2"/>
  <c r="MM74" i="2"/>
  <c r="MF74" i="2"/>
  <c r="LY74" i="2"/>
  <c r="LX74" i="2"/>
  <c r="NH73" i="2"/>
  <c r="NA73" i="2"/>
  <c r="MT73" i="2"/>
  <c r="MM73" i="2"/>
  <c r="MF73" i="2"/>
  <c r="LY73" i="2"/>
  <c r="NH72" i="2"/>
  <c r="NA72" i="2"/>
  <c r="MT72" i="2"/>
  <c r="MM72" i="2"/>
  <c r="MF72" i="2"/>
  <c r="LY72" i="2"/>
  <c r="NH71" i="2"/>
  <c r="NA71" i="2"/>
  <c r="MT71" i="2"/>
  <c r="MM71" i="2"/>
  <c r="MF71" i="2"/>
  <c r="LY71" i="2"/>
  <c r="NH70" i="2"/>
  <c r="NA70" i="2"/>
  <c r="MT70" i="2"/>
  <c r="MS70" i="2"/>
  <c r="MM70" i="2"/>
  <c r="MF70" i="2"/>
  <c r="LY70" i="2"/>
  <c r="NH69" i="2"/>
  <c r="NA69" i="2"/>
  <c r="MT69" i="2"/>
  <c r="MM69" i="2"/>
  <c r="MF69" i="2"/>
  <c r="LY69" i="2"/>
  <c r="NH68" i="2"/>
  <c r="NA68" i="2"/>
  <c r="MT68" i="2"/>
  <c r="MM68" i="2"/>
  <c r="MF68" i="2"/>
  <c r="LY68" i="2"/>
  <c r="NH67" i="2"/>
  <c r="NA67" i="2"/>
  <c r="MT67" i="2"/>
  <c r="MM67" i="2"/>
  <c r="MF67" i="2"/>
  <c r="LY67" i="2"/>
  <c r="LX67" i="2"/>
  <c r="NH66" i="2"/>
  <c r="NA66" i="2"/>
  <c r="MT66" i="2"/>
  <c r="MM66" i="2"/>
  <c r="MF66" i="2"/>
  <c r="LY66" i="2"/>
  <c r="NH65" i="2"/>
  <c r="NA65" i="2"/>
  <c r="MT65" i="2"/>
  <c r="MM65" i="2"/>
  <c r="MF65" i="2"/>
  <c r="LY65" i="2"/>
  <c r="NH64" i="2"/>
  <c r="NA64" i="2"/>
  <c r="MT64" i="2"/>
  <c r="MM64" i="2"/>
  <c r="MF64" i="2"/>
  <c r="LY64" i="2"/>
  <c r="LX64" i="2"/>
  <c r="NH63" i="2"/>
  <c r="NA63" i="2"/>
  <c r="MT63" i="2"/>
  <c r="MM63" i="2"/>
  <c r="MF63" i="2"/>
  <c r="LY63" i="2"/>
  <c r="NH62" i="2"/>
  <c r="NA62" i="2"/>
  <c r="MT62" i="2"/>
  <c r="MM62" i="2"/>
  <c r="ML62" i="2"/>
  <c r="MF62" i="2"/>
  <c r="LY62" i="2"/>
  <c r="LX62" i="2"/>
  <c r="NH61" i="2"/>
  <c r="NA61" i="2"/>
  <c r="MT61" i="2"/>
  <c r="MM61" i="2"/>
  <c r="ML61" i="2"/>
  <c r="MF61" i="2"/>
  <c r="LY61" i="2"/>
  <c r="NH60" i="2"/>
  <c r="NA60" i="2"/>
  <c r="MT60" i="2"/>
  <c r="MM60" i="2"/>
  <c r="MF60" i="2"/>
  <c r="LY60" i="2"/>
  <c r="NH59" i="2"/>
  <c r="NA59" i="2"/>
  <c r="MT59" i="2"/>
  <c r="MM59" i="2"/>
  <c r="MF59" i="2"/>
  <c r="LY59" i="2"/>
  <c r="NH58" i="2"/>
  <c r="NA58" i="2"/>
  <c r="MT58" i="2"/>
  <c r="MM58" i="2"/>
  <c r="MF58" i="2"/>
  <c r="LY58" i="2"/>
  <c r="NH57" i="2"/>
  <c r="NA57" i="2"/>
  <c r="MT57" i="2"/>
  <c r="MM57" i="2"/>
  <c r="MF57" i="2"/>
  <c r="LY57" i="2"/>
  <c r="NH56" i="2"/>
  <c r="NA56" i="2"/>
  <c r="MZ56" i="2"/>
  <c r="MT56" i="2"/>
  <c r="MS56" i="2"/>
  <c r="MM56" i="2"/>
  <c r="MF56" i="2"/>
  <c r="LY56" i="2"/>
  <c r="NH54" i="2"/>
  <c r="NA54" i="2"/>
  <c r="MT54" i="2"/>
  <c r="MM54" i="2"/>
  <c r="MF54" i="2"/>
  <c r="LY54" i="2"/>
  <c r="NH53" i="2"/>
  <c r="NA53" i="2"/>
  <c r="MT53" i="2"/>
  <c r="MM53" i="2"/>
  <c r="MF53" i="2"/>
  <c r="LY53" i="2"/>
  <c r="NH52" i="2"/>
  <c r="NA52" i="2"/>
  <c r="MT52" i="2"/>
  <c r="MM52" i="2"/>
  <c r="MF52" i="2"/>
  <c r="LY52" i="2"/>
  <c r="NH51" i="2"/>
  <c r="NA51" i="2"/>
  <c r="MT51" i="2"/>
  <c r="MM51" i="2"/>
  <c r="MF51" i="2"/>
  <c r="LY51" i="2"/>
  <c r="NH50" i="2"/>
  <c r="NG50" i="2"/>
  <c r="NA50" i="2"/>
  <c r="MT50" i="2"/>
  <c r="MM50" i="2"/>
  <c r="ML50" i="2"/>
  <c r="MF50" i="2"/>
  <c r="ME50" i="2"/>
  <c r="LY50" i="2"/>
  <c r="NH49" i="2"/>
  <c r="NA49" i="2"/>
  <c r="MT49" i="2"/>
  <c r="MM49" i="2"/>
  <c r="MF49" i="2"/>
  <c r="LY49" i="2"/>
  <c r="NH48" i="2"/>
  <c r="NA48" i="2"/>
  <c r="MT48" i="2"/>
  <c r="MS48" i="2"/>
  <c r="MM48" i="2"/>
  <c r="MF48" i="2"/>
  <c r="LY48" i="2"/>
  <c r="NH47" i="2"/>
  <c r="NA47" i="2"/>
  <c r="MT47" i="2"/>
  <c r="MM47" i="2"/>
  <c r="MF47" i="2"/>
  <c r="LY47" i="2"/>
  <c r="NH46" i="2"/>
  <c r="NA46" i="2"/>
  <c r="MT46" i="2"/>
  <c r="MM46" i="2"/>
  <c r="MF46" i="2"/>
  <c r="LY46" i="2"/>
  <c r="NH45" i="2"/>
  <c r="NA45" i="2"/>
  <c r="MT45" i="2"/>
  <c r="MM45" i="2"/>
  <c r="MF45" i="2"/>
  <c r="LY45" i="2"/>
  <c r="NH44" i="2"/>
  <c r="NA44" i="2"/>
  <c r="MT44" i="2"/>
  <c r="MM44" i="2"/>
  <c r="MF44" i="2"/>
  <c r="LY44" i="2"/>
  <c r="NH43" i="2"/>
  <c r="NA43" i="2"/>
  <c r="MT43" i="2"/>
  <c r="MM43" i="2"/>
  <c r="MF43" i="2"/>
  <c r="LY43" i="2"/>
  <c r="NH42" i="2"/>
  <c r="NA42" i="2"/>
  <c r="MT42" i="2"/>
  <c r="MM42" i="2"/>
  <c r="MF42" i="2"/>
  <c r="LY42" i="2"/>
  <c r="NH41" i="2"/>
  <c r="NA41" i="2"/>
  <c r="MT41" i="2"/>
  <c r="MM41" i="2"/>
  <c r="MF41" i="2"/>
  <c r="LY41" i="2"/>
  <c r="NH40" i="2"/>
  <c r="NA40" i="2"/>
  <c r="MT40" i="2"/>
  <c r="MM40" i="2"/>
  <c r="MF40" i="2"/>
  <c r="LY40" i="2"/>
  <c r="NH39" i="2"/>
  <c r="NA39" i="2"/>
  <c r="MT39" i="2"/>
  <c r="MM39" i="2"/>
  <c r="MF39" i="2"/>
  <c r="LY39" i="2"/>
  <c r="NH38" i="2"/>
  <c r="NA38" i="2"/>
  <c r="MT38" i="2"/>
  <c r="MM38" i="2"/>
  <c r="MF38" i="2"/>
  <c r="LY38" i="2"/>
  <c r="NH37" i="2"/>
  <c r="NA37" i="2"/>
  <c r="MT37" i="2"/>
  <c r="MM37" i="2"/>
  <c r="MF37" i="2"/>
  <c r="LY37" i="2"/>
  <c r="NH36" i="2"/>
  <c r="NA36" i="2"/>
  <c r="MT36" i="2"/>
  <c r="MM36" i="2"/>
  <c r="MF36" i="2"/>
  <c r="LY36" i="2"/>
  <c r="NH35" i="2"/>
  <c r="NA35" i="2"/>
  <c r="MT35" i="2"/>
  <c r="MM35" i="2"/>
  <c r="MF35" i="2"/>
  <c r="LY35" i="2"/>
  <c r="NH34" i="2"/>
  <c r="NA34" i="2"/>
  <c r="MT34" i="2"/>
  <c r="MM34" i="2"/>
  <c r="MF34" i="2"/>
  <c r="LY34" i="2"/>
  <c r="NH33" i="2"/>
  <c r="NA33" i="2"/>
  <c r="MT33" i="2"/>
  <c r="MM33" i="2"/>
  <c r="MF33" i="2"/>
  <c r="LY33" i="2"/>
  <c r="NH32" i="2"/>
  <c r="NA32" i="2"/>
  <c r="MT32" i="2"/>
  <c r="MM32" i="2"/>
  <c r="MF32" i="2"/>
  <c r="LY32" i="2"/>
  <c r="NH31" i="2"/>
  <c r="NA31" i="2"/>
  <c r="MT31" i="2"/>
  <c r="MM31" i="2"/>
  <c r="MF31" i="2"/>
  <c r="LY31" i="2"/>
  <c r="NH29" i="2"/>
  <c r="NA29" i="2"/>
  <c r="MT29" i="2"/>
  <c r="MM29" i="2"/>
  <c r="MF29" i="2"/>
  <c r="LY29" i="2"/>
  <c r="NH28" i="2"/>
  <c r="NA28" i="2"/>
  <c r="MZ28" i="2"/>
  <c r="MT28" i="2"/>
  <c r="MM28" i="2"/>
  <c r="MF28" i="2"/>
  <c r="LY28" i="2"/>
  <c r="LX28" i="2"/>
  <c r="NH27" i="2"/>
  <c r="NG27" i="2"/>
  <c r="NA27" i="2"/>
  <c r="MT27" i="2"/>
  <c r="MM27" i="2"/>
  <c r="MF27" i="2"/>
  <c r="LY27" i="2"/>
  <c r="NH26" i="2"/>
  <c r="NA26" i="2"/>
  <c r="MT26" i="2"/>
  <c r="MM26" i="2"/>
  <c r="MF26" i="2"/>
  <c r="LY26" i="2"/>
  <c r="NH25" i="2"/>
  <c r="NA25" i="2"/>
  <c r="MT25" i="2"/>
  <c r="MM25" i="2"/>
  <c r="MF25" i="2"/>
  <c r="LY25" i="2"/>
  <c r="NH24" i="2"/>
  <c r="NA24" i="2"/>
  <c r="MT24" i="2"/>
  <c r="MS24" i="2"/>
  <c r="MM24" i="2"/>
  <c r="MF24" i="2"/>
  <c r="LY24" i="2"/>
  <c r="NH23" i="2"/>
  <c r="NA23" i="2"/>
  <c r="MT23" i="2"/>
  <c r="MM23" i="2"/>
  <c r="MF23" i="2"/>
  <c r="LY23" i="2"/>
  <c r="NH22" i="2"/>
  <c r="NG22" i="2"/>
  <c r="NA22" i="2"/>
  <c r="MT22" i="2"/>
  <c r="MM22" i="2"/>
  <c r="ML22" i="2"/>
  <c r="MF22" i="2"/>
  <c r="LY22" i="2"/>
  <c r="NH21" i="2"/>
  <c r="NG21" i="2"/>
  <c r="NA21" i="2"/>
  <c r="MT21" i="2"/>
  <c r="MM21" i="2"/>
  <c r="MF21" i="2"/>
  <c r="ME21" i="2"/>
  <c r="LY21" i="2"/>
  <c r="NH20" i="2"/>
  <c r="NA20" i="2"/>
  <c r="MT20" i="2"/>
  <c r="MM20" i="2"/>
  <c r="MF20" i="2"/>
  <c r="LY20" i="2"/>
  <c r="NH19" i="2"/>
  <c r="NA19" i="2"/>
  <c r="MT19" i="2"/>
  <c r="MM19" i="2"/>
  <c r="MF19" i="2"/>
  <c r="LY19" i="2"/>
  <c r="NH18" i="2"/>
  <c r="NA18" i="2"/>
  <c r="MT18" i="2"/>
  <c r="MM18" i="2"/>
  <c r="MF18" i="2"/>
  <c r="LY18" i="2"/>
  <c r="NH17" i="2"/>
  <c r="NA17" i="2"/>
  <c r="MT17" i="2"/>
  <c r="MM17" i="2"/>
  <c r="MF17" i="2"/>
  <c r="LY17" i="2"/>
  <c r="NH16" i="2"/>
  <c r="NA16" i="2"/>
  <c r="MT16" i="2"/>
  <c r="MM16" i="2"/>
  <c r="MF16" i="2"/>
  <c r="LY16" i="2"/>
  <c r="NH15" i="2"/>
  <c r="NA15" i="2"/>
  <c r="MT15" i="2"/>
  <c r="MM15" i="2"/>
  <c r="MF15" i="2"/>
  <c r="LY15" i="2"/>
  <c r="NH14" i="2"/>
  <c r="NA14" i="2"/>
  <c r="MT14" i="2"/>
  <c r="MM14" i="2"/>
  <c r="MF14" i="2"/>
  <c r="LY14" i="2"/>
  <c r="NH13" i="2"/>
  <c r="NA13" i="2"/>
  <c r="MT13" i="2"/>
  <c r="MM13" i="2"/>
  <c r="MF13" i="2"/>
  <c r="LY13" i="2"/>
  <c r="NH12" i="2"/>
  <c r="NA12" i="2"/>
  <c r="MT12" i="2"/>
  <c r="MM12" i="2"/>
  <c r="MF12" i="2"/>
  <c r="LY12" i="2"/>
  <c r="NH11" i="2"/>
  <c r="NA11" i="2"/>
  <c r="MT11" i="2"/>
  <c r="MM11" i="2"/>
  <c r="MF11" i="2"/>
  <c r="LY11" i="2"/>
  <c r="NH10" i="2"/>
  <c r="NA10" i="2"/>
  <c r="MT10" i="2"/>
  <c r="MM10" i="2"/>
  <c r="MF10" i="2"/>
  <c r="LY10" i="2"/>
  <c r="NH9" i="2"/>
  <c r="NA9" i="2"/>
  <c r="MT9" i="2"/>
  <c r="MM9" i="2"/>
  <c r="MF9" i="2"/>
  <c r="LY9" i="2"/>
  <c r="NH8" i="2"/>
  <c r="NA8" i="2"/>
  <c r="MT8" i="2"/>
  <c r="MM8" i="2"/>
  <c r="MF8" i="2"/>
  <c r="LY8" i="2"/>
  <c r="NH7" i="2"/>
  <c r="NA7" i="2"/>
  <c r="MT7" i="2"/>
  <c r="MM7" i="2"/>
  <c r="MF7" i="2"/>
  <c r="LY7" i="2"/>
  <c r="NH6" i="2"/>
  <c r="NA6" i="2"/>
  <c r="MT6" i="2"/>
  <c r="MM6" i="2"/>
  <c r="MF6" i="2"/>
  <c r="LY6" i="2"/>
  <c r="LQ132" i="2"/>
  <c r="LJ132" i="2"/>
  <c r="LC132" i="2"/>
  <c r="LQ128" i="2"/>
  <c r="LJ128" i="2"/>
  <c r="LC128" i="2"/>
  <c r="LR123" i="2"/>
  <c r="LQ123" i="2"/>
  <c r="LK123" i="2"/>
  <c r="LJ123" i="2"/>
  <c r="LD123" i="2"/>
  <c r="LC123" i="2"/>
  <c r="LR120" i="2"/>
  <c r="LQ120" i="2"/>
  <c r="LK120" i="2"/>
  <c r="LJ120" i="2"/>
  <c r="LD120" i="2"/>
  <c r="LC120" i="2"/>
  <c r="LR117" i="2"/>
  <c r="LQ117" i="2"/>
  <c r="LK117" i="2"/>
  <c r="LJ117" i="2"/>
  <c r="LD117" i="2"/>
  <c r="LC117" i="2"/>
  <c r="LR116" i="2"/>
  <c r="LQ116" i="2"/>
  <c r="LK116" i="2"/>
  <c r="LJ116" i="2"/>
  <c r="LD116" i="2"/>
  <c r="LC116" i="2"/>
  <c r="LR113" i="2"/>
  <c r="LQ113" i="2"/>
  <c r="LK113" i="2"/>
  <c r="LJ113" i="2"/>
  <c r="LD113" i="2"/>
  <c r="LC113" i="2"/>
  <c r="LR112" i="2"/>
  <c r="LQ112" i="2"/>
  <c r="LK112" i="2"/>
  <c r="LJ112" i="2"/>
  <c r="LD112" i="2"/>
  <c r="LC112" i="2"/>
  <c r="LR111" i="2"/>
  <c r="LQ111" i="2"/>
  <c r="LK111" i="2"/>
  <c r="LJ111" i="2"/>
  <c r="LD111" i="2"/>
  <c r="LC111" i="2"/>
  <c r="LR110" i="2"/>
  <c r="LQ110" i="2"/>
  <c r="LK110" i="2"/>
  <c r="LJ110" i="2"/>
  <c r="LD110" i="2"/>
  <c r="LC110" i="2"/>
  <c r="LR107" i="2"/>
  <c r="LQ107" i="2"/>
  <c r="LK107" i="2"/>
  <c r="LJ107" i="2"/>
  <c r="LD107" i="2"/>
  <c r="LC107" i="2"/>
  <c r="LR106" i="2"/>
  <c r="LQ106" i="2"/>
  <c r="LK106" i="2"/>
  <c r="LJ106" i="2"/>
  <c r="LD106" i="2"/>
  <c r="LC106" i="2"/>
  <c r="LR105" i="2"/>
  <c r="LQ105" i="2"/>
  <c r="LK105" i="2"/>
  <c r="LJ105" i="2"/>
  <c r="LD105" i="2"/>
  <c r="LC105" i="2"/>
  <c r="LR104" i="2"/>
  <c r="LQ104" i="2"/>
  <c r="LK104" i="2"/>
  <c r="LJ104" i="2"/>
  <c r="LD104" i="2"/>
  <c r="LC104" i="2"/>
  <c r="LR103" i="2"/>
  <c r="LQ103" i="2"/>
  <c r="LK103" i="2"/>
  <c r="LJ103" i="2"/>
  <c r="LD103" i="2"/>
  <c r="LC103" i="2"/>
  <c r="LR102" i="2"/>
  <c r="LQ102" i="2"/>
  <c r="LK102" i="2"/>
  <c r="LJ102" i="2"/>
  <c r="LD102" i="2"/>
  <c r="LC102" i="2"/>
  <c r="LR101" i="2"/>
  <c r="LQ101" i="2"/>
  <c r="LK101" i="2"/>
  <c r="LJ101" i="2"/>
  <c r="LD101" i="2"/>
  <c r="LC101" i="2"/>
  <c r="LR100" i="2"/>
  <c r="LK100" i="2"/>
  <c r="LD100" i="2"/>
  <c r="LR97" i="2"/>
  <c r="LK97" i="2"/>
  <c r="LD97" i="2"/>
  <c r="LR96" i="2"/>
  <c r="LK96" i="2"/>
  <c r="LD96" i="2"/>
  <c r="LR95" i="2"/>
  <c r="LK95" i="2"/>
  <c r="LD95" i="2"/>
  <c r="LR94" i="2"/>
  <c r="LK94" i="2"/>
  <c r="LD94" i="2"/>
  <c r="LR93" i="2"/>
  <c r="LK93" i="2"/>
  <c r="LD93" i="2"/>
  <c r="LR92" i="2"/>
  <c r="LK92" i="2"/>
  <c r="LD92" i="2"/>
  <c r="LR91" i="2"/>
  <c r="LK91" i="2"/>
  <c r="LD91" i="2"/>
  <c r="LR90" i="2"/>
  <c r="LK90" i="2"/>
  <c r="LD90" i="2"/>
  <c r="LR89" i="2"/>
  <c r="LK89" i="2"/>
  <c r="LD89" i="2"/>
  <c r="LR88" i="2"/>
  <c r="LK88" i="2"/>
  <c r="LD88" i="2"/>
  <c r="LR87" i="2"/>
  <c r="LK87" i="2"/>
  <c r="LD87" i="2"/>
  <c r="LR86" i="2"/>
  <c r="LK86" i="2"/>
  <c r="LJ86" i="2"/>
  <c r="LD86" i="2"/>
  <c r="LC86" i="2"/>
  <c r="LR85" i="2"/>
  <c r="LK85" i="2"/>
  <c r="LD85" i="2"/>
  <c r="LR84" i="2"/>
  <c r="LK84" i="2"/>
  <c r="LD84" i="2"/>
  <c r="LR83" i="2"/>
  <c r="LK83" i="2"/>
  <c r="LD83" i="2"/>
  <c r="LC83" i="2"/>
  <c r="LR82" i="2"/>
  <c r="LK82" i="2"/>
  <c r="LD82" i="2"/>
  <c r="LR79" i="2"/>
  <c r="LK79" i="2"/>
  <c r="LD79" i="2"/>
  <c r="LR78" i="2"/>
  <c r="LK78" i="2"/>
  <c r="LD78" i="2"/>
  <c r="LR77" i="2"/>
  <c r="LK77" i="2"/>
  <c r="LD77" i="2"/>
  <c r="LR76" i="2"/>
  <c r="LK76" i="2"/>
  <c r="LD76" i="2"/>
  <c r="LR75" i="2"/>
  <c r="LK75" i="2"/>
  <c r="LD75" i="2"/>
  <c r="LR74" i="2"/>
  <c r="LK74" i="2"/>
  <c r="LD74" i="2"/>
  <c r="LR73" i="2"/>
  <c r="LK73" i="2"/>
  <c r="LD73" i="2"/>
  <c r="LR72" i="2"/>
  <c r="LK72" i="2"/>
  <c r="LD72" i="2"/>
  <c r="LR71" i="2"/>
  <c r="LK71" i="2"/>
  <c r="LD71" i="2"/>
  <c r="LR70" i="2"/>
  <c r="LK70" i="2"/>
  <c r="LD70" i="2"/>
  <c r="LR69" i="2"/>
  <c r="LK69" i="2"/>
  <c r="LD69" i="2"/>
  <c r="LR68" i="2"/>
  <c r="LK68" i="2"/>
  <c r="LD68" i="2"/>
  <c r="LR67" i="2"/>
  <c r="LK67" i="2"/>
  <c r="LD67" i="2"/>
  <c r="LR66" i="2"/>
  <c r="LK66" i="2"/>
  <c r="LJ66" i="2"/>
  <c r="LD66" i="2"/>
  <c r="LR65" i="2"/>
  <c r="LK65" i="2"/>
  <c r="LD65" i="2"/>
  <c r="LR64" i="2"/>
  <c r="LK64" i="2"/>
  <c r="LD64" i="2"/>
  <c r="LR63" i="2"/>
  <c r="LK63" i="2"/>
  <c r="LD63" i="2"/>
  <c r="LR62" i="2"/>
  <c r="LK62" i="2"/>
  <c r="LD62" i="2"/>
  <c r="LR61" i="2"/>
  <c r="LK61" i="2"/>
  <c r="LD61" i="2"/>
  <c r="LR60" i="2"/>
  <c r="LK60" i="2"/>
  <c r="LD60" i="2"/>
  <c r="LR59" i="2"/>
  <c r="LK59" i="2"/>
  <c r="LD59" i="2"/>
  <c r="LR58" i="2"/>
  <c r="LK58" i="2"/>
  <c r="LD58" i="2"/>
  <c r="LR57" i="2"/>
  <c r="LK57" i="2"/>
  <c r="LD57" i="2"/>
  <c r="LR56" i="2"/>
  <c r="LK56" i="2"/>
  <c r="LD56" i="2"/>
  <c r="LC56" i="2"/>
  <c r="LR54" i="2"/>
  <c r="LK54" i="2"/>
  <c r="LD54" i="2"/>
  <c r="LR53" i="2"/>
  <c r="LK53" i="2"/>
  <c r="LD53" i="2"/>
  <c r="LR52" i="2"/>
  <c r="LK52" i="2"/>
  <c r="LD52" i="2"/>
  <c r="LR51" i="2"/>
  <c r="LK51" i="2"/>
  <c r="LD51" i="2"/>
  <c r="LR50" i="2"/>
  <c r="LK50" i="2"/>
  <c r="LD50" i="2"/>
  <c r="LC50" i="2"/>
  <c r="LR49" i="2"/>
  <c r="LK49" i="2"/>
  <c r="LD49" i="2"/>
  <c r="LR48" i="2"/>
  <c r="LK48" i="2"/>
  <c r="LD48" i="2"/>
  <c r="LR47" i="2"/>
  <c r="LK47" i="2"/>
  <c r="LD47" i="2"/>
  <c r="LR46" i="2"/>
  <c r="LK46" i="2"/>
  <c r="LD46" i="2"/>
  <c r="LR45" i="2"/>
  <c r="LK45" i="2"/>
  <c r="LD45" i="2"/>
  <c r="LR44" i="2"/>
  <c r="LK44" i="2"/>
  <c r="LD44" i="2"/>
  <c r="LR43" i="2"/>
  <c r="LK43" i="2"/>
  <c r="LD43" i="2"/>
  <c r="LR42" i="2"/>
  <c r="LK42" i="2"/>
  <c r="LD42" i="2"/>
  <c r="LR41" i="2"/>
  <c r="LK41" i="2"/>
  <c r="LD41" i="2"/>
  <c r="LR40" i="2"/>
  <c r="LK40" i="2"/>
  <c r="LD40" i="2"/>
  <c r="LC40" i="2"/>
  <c r="LR39" i="2"/>
  <c r="LK39" i="2"/>
  <c r="LD39" i="2"/>
  <c r="LR38" i="2"/>
  <c r="LK38" i="2"/>
  <c r="LD38" i="2"/>
  <c r="LR37" i="2"/>
  <c r="LK37" i="2"/>
  <c r="LD37" i="2"/>
  <c r="LR36" i="2"/>
  <c r="LK36" i="2"/>
  <c r="LD36" i="2"/>
  <c r="LR35" i="2"/>
  <c r="LK35" i="2"/>
  <c r="LD35" i="2"/>
  <c r="LR34" i="2"/>
  <c r="LK34" i="2"/>
  <c r="LD34" i="2"/>
  <c r="LR33" i="2"/>
  <c r="LK33" i="2"/>
  <c r="LD33" i="2"/>
  <c r="LR32" i="2"/>
  <c r="LK32" i="2"/>
  <c r="LD32" i="2"/>
  <c r="LR31" i="2"/>
  <c r="LK31" i="2"/>
  <c r="LD31" i="2"/>
  <c r="LR29" i="2"/>
  <c r="LK29" i="2"/>
  <c r="LD29" i="2"/>
  <c r="LR28" i="2"/>
  <c r="LK28" i="2"/>
  <c r="LJ28" i="2"/>
  <c r="LD28" i="2"/>
  <c r="LR27" i="2"/>
  <c r="LK27" i="2"/>
  <c r="LD27" i="2"/>
  <c r="LR26" i="2"/>
  <c r="LK26" i="2"/>
  <c r="LD26" i="2"/>
  <c r="LR25" i="2"/>
  <c r="LK25" i="2"/>
  <c r="LJ25" i="2"/>
  <c r="LD25" i="2"/>
  <c r="LR24" i="2"/>
  <c r="LK24" i="2"/>
  <c r="LD24" i="2"/>
  <c r="LR23" i="2"/>
  <c r="LK23" i="2"/>
  <c r="LD23" i="2"/>
  <c r="LR22" i="2"/>
  <c r="LK22" i="2"/>
  <c r="LD22" i="2"/>
  <c r="LR21" i="2"/>
  <c r="LK21" i="2"/>
  <c r="LD21" i="2"/>
  <c r="LR20" i="2"/>
  <c r="LK20" i="2"/>
  <c r="LD20" i="2"/>
  <c r="LR19" i="2"/>
  <c r="LK19" i="2"/>
  <c r="LD19" i="2"/>
  <c r="LR18" i="2"/>
  <c r="LK18" i="2"/>
  <c r="LD18" i="2"/>
  <c r="LR17" i="2"/>
  <c r="LK17" i="2"/>
  <c r="LD17" i="2"/>
  <c r="LR16" i="2"/>
  <c r="LK16" i="2"/>
  <c r="LD16" i="2"/>
  <c r="LR15" i="2"/>
  <c r="LK15" i="2"/>
  <c r="LD15" i="2"/>
  <c r="LR14" i="2"/>
  <c r="LK14" i="2"/>
  <c r="LD14" i="2"/>
  <c r="LR13" i="2"/>
  <c r="LK13" i="2"/>
  <c r="LD13" i="2"/>
  <c r="LR12" i="2"/>
  <c r="LK12" i="2"/>
  <c r="LD12" i="2"/>
  <c r="LR11" i="2"/>
  <c r="LK11" i="2"/>
  <c r="LD11" i="2"/>
  <c r="LR10" i="2"/>
  <c r="LK10" i="2"/>
  <c r="LD10" i="2"/>
  <c r="LR9" i="2"/>
  <c r="LK9" i="2"/>
  <c r="LD9" i="2"/>
  <c r="LR8" i="2"/>
  <c r="LK8" i="2"/>
  <c r="LD8" i="2"/>
  <c r="LR7" i="2"/>
  <c r="LK7" i="2"/>
  <c r="LD7" i="2"/>
  <c r="LR6" i="2"/>
  <c r="LK6" i="2"/>
  <c r="LD6" i="2"/>
  <c r="KV132" i="2"/>
  <c r="KO132" i="2"/>
  <c r="KH132" i="2"/>
  <c r="KV128" i="2"/>
  <c r="KO128" i="2"/>
  <c r="KH128" i="2"/>
  <c r="KW123" i="2"/>
  <c r="KV123" i="2"/>
  <c r="KP123" i="2"/>
  <c r="KO123" i="2"/>
  <c r="KI123" i="2"/>
  <c r="KH123" i="2"/>
  <c r="KW120" i="2"/>
  <c r="KV120" i="2" s="1"/>
  <c r="KP120" i="2"/>
  <c r="KO120" i="2"/>
  <c r="KI120" i="2"/>
  <c r="KH120" i="2"/>
  <c r="KW117" i="2"/>
  <c r="KV117" i="2"/>
  <c r="KP117" i="2"/>
  <c r="KO117" i="2"/>
  <c r="KI117" i="2"/>
  <c r="KH117" i="2"/>
  <c r="KW116" i="2"/>
  <c r="KV116" i="2"/>
  <c r="KP116" i="2"/>
  <c r="KO116" i="2"/>
  <c r="KI116" i="2"/>
  <c r="KH116" i="2"/>
  <c r="KW113" i="2"/>
  <c r="KV113" i="2"/>
  <c r="KP113" i="2"/>
  <c r="KO113" i="2"/>
  <c r="KI113" i="2"/>
  <c r="KH113" i="2"/>
  <c r="KW112" i="2"/>
  <c r="KV112" i="2"/>
  <c r="KP112" i="2"/>
  <c r="KO112" i="2"/>
  <c r="KI112" i="2"/>
  <c r="KH112" i="2"/>
  <c r="KW111" i="2"/>
  <c r="KV111" i="2"/>
  <c r="KP111" i="2"/>
  <c r="KO111" i="2"/>
  <c r="KI111" i="2"/>
  <c r="KH111" i="2"/>
  <c r="KW110" i="2"/>
  <c r="KV110" i="2"/>
  <c r="KP110" i="2"/>
  <c r="KO110" i="2"/>
  <c r="KI110" i="2"/>
  <c r="KH110" i="2"/>
  <c r="KW107" i="2"/>
  <c r="KV107" i="2"/>
  <c r="KP107" i="2"/>
  <c r="KO107" i="2"/>
  <c r="KI107" i="2"/>
  <c r="KH107" i="2"/>
  <c r="KW106" i="2"/>
  <c r="KV106" i="2"/>
  <c r="KP106" i="2"/>
  <c r="KO106" i="2"/>
  <c r="KI106" i="2"/>
  <c r="KH106" i="2"/>
  <c r="KW105" i="2"/>
  <c r="KV105" i="2"/>
  <c r="KP105" i="2"/>
  <c r="KO105" i="2"/>
  <c r="KI105" i="2"/>
  <c r="KH105" i="2"/>
  <c r="KW104" i="2"/>
  <c r="KV104" i="2"/>
  <c r="KP104" i="2"/>
  <c r="KO104" i="2"/>
  <c r="KI104" i="2"/>
  <c r="KH104" i="2"/>
  <c r="KW103" i="2"/>
  <c r="KV103" i="2"/>
  <c r="KP103" i="2"/>
  <c r="KO103" i="2"/>
  <c r="KI103" i="2"/>
  <c r="KH103" i="2"/>
  <c r="KW102" i="2"/>
  <c r="KV102" i="2"/>
  <c r="KP102" i="2"/>
  <c r="KO102" i="2"/>
  <c r="KI102" i="2"/>
  <c r="KH102" i="2"/>
  <c r="KW101" i="2"/>
  <c r="KV101" i="2"/>
  <c r="KP101" i="2"/>
  <c r="KO101" i="2"/>
  <c r="KI101" i="2"/>
  <c r="KH101" i="2"/>
  <c r="KW100" i="2"/>
  <c r="KP100" i="2"/>
  <c r="KI100" i="2"/>
  <c r="KH100" i="2"/>
  <c r="KW97" i="2"/>
  <c r="KP97" i="2"/>
  <c r="KI97" i="2"/>
  <c r="KW96" i="2"/>
  <c r="KP96" i="2"/>
  <c r="KI96" i="2"/>
  <c r="KW95" i="2"/>
  <c r="KP95" i="2"/>
  <c r="KI95" i="2"/>
  <c r="KW94" i="2"/>
  <c r="KP94" i="2"/>
  <c r="KI94" i="2"/>
  <c r="KW93" i="2"/>
  <c r="KP93" i="2"/>
  <c r="KI93" i="2"/>
  <c r="KW92" i="2"/>
  <c r="KP92" i="2"/>
  <c r="KI92" i="2"/>
  <c r="KW91" i="2"/>
  <c r="KP91" i="2"/>
  <c r="KI91" i="2"/>
  <c r="KW90" i="2"/>
  <c r="KP90" i="2"/>
  <c r="KI90" i="2"/>
  <c r="KW89" i="2"/>
  <c r="KP89" i="2"/>
  <c r="KI89" i="2"/>
  <c r="KW88" i="2"/>
  <c r="KP88" i="2"/>
  <c r="KI88" i="2"/>
  <c r="KW87" i="2"/>
  <c r="KP87" i="2"/>
  <c r="KI87" i="2"/>
  <c r="KW86" i="2"/>
  <c r="KP86" i="2"/>
  <c r="KI86" i="2"/>
  <c r="KW85" i="2"/>
  <c r="KP85" i="2"/>
  <c r="KI85" i="2"/>
  <c r="KW84" i="2"/>
  <c r="KP84" i="2"/>
  <c r="KI84" i="2"/>
  <c r="KW83" i="2"/>
  <c r="KP83" i="2"/>
  <c r="KI83" i="2"/>
  <c r="KW82" i="2"/>
  <c r="KP82" i="2"/>
  <c r="KI82" i="2"/>
  <c r="KW79" i="2"/>
  <c r="KP79" i="2"/>
  <c r="KI79" i="2"/>
  <c r="KW78" i="2"/>
  <c r="KP78" i="2"/>
  <c r="KI78" i="2"/>
  <c r="KW77" i="2"/>
  <c r="KP77" i="2"/>
  <c r="KI77" i="2"/>
  <c r="KW76" i="2"/>
  <c r="KP76" i="2"/>
  <c r="KI76" i="2"/>
  <c r="KW75" i="2"/>
  <c r="KP75" i="2"/>
  <c r="KI75" i="2"/>
  <c r="KW74" i="2"/>
  <c r="KV74" i="2"/>
  <c r="KP74" i="2"/>
  <c r="KO74" i="2"/>
  <c r="KI74" i="2"/>
  <c r="KW73" i="2"/>
  <c r="KP73" i="2"/>
  <c r="KI73" i="2"/>
  <c r="KW72" i="2"/>
  <c r="KP72" i="2"/>
  <c r="KI72" i="2"/>
  <c r="KW71" i="2"/>
  <c r="KV71" i="2"/>
  <c r="KP71" i="2"/>
  <c r="KI71" i="2"/>
  <c r="KW70" i="2"/>
  <c r="KP70" i="2"/>
  <c r="KI70" i="2"/>
  <c r="KW69" i="2"/>
  <c r="KP69" i="2"/>
  <c r="KI69" i="2"/>
  <c r="KW68" i="2"/>
  <c r="KP68" i="2"/>
  <c r="KI68" i="2"/>
  <c r="KW67" i="2"/>
  <c r="KP67" i="2"/>
  <c r="KI67" i="2"/>
  <c r="KW66" i="2"/>
  <c r="KP66" i="2"/>
  <c r="KI66" i="2"/>
  <c r="KW65" i="2"/>
  <c r="KP65" i="2"/>
  <c r="KI65" i="2"/>
  <c r="KW64" i="2"/>
  <c r="KP64" i="2"/>
  <c r="KI64" i="2"/>
  <c r="KW63" i="2"/>
  <c r="KP63" i="2"/>
  <c r="KI63" i="2"/>
  <c r="KW62" i="2"/>
  <c r="KV62" i="2"/>
  <c r="KP62" i="2"/>
  <c r="KI62" i="2"/>
  <c r="KW61" i="2"/>
  <c r="KP61" i="2"/>
  <c r="KI61" i="2"/>
  <c r="KW60" i="2"/>
  <c r="KP60" i="2"/>
  <c r="KI60" i="2"/>
  <c r="KW59" i="2"/>
  <c r="KP59" i="2"/>
  <c r="KI59" i="2"/>
  <c r="KW58" i="2"/>
  <c r="KP58" i="2"/>
  <c r="KI58" i="2"/>
  <c r="KW57" i="2"/>
  <c r="KP57" i="2"/>
  <c r="KI57" i="2"/>
  <c r="KW56" i="2"/>
  <c r="KP56" i="2"/>
  <c r="KI56" i="2"/>
  <c r="KW54" i="2"/>
  <c r="KV54" i="2"/>
  <c r="KP54" i="2"/>
  <c r="KO54" i="2"/>
  <c r="KI54" i="2"/>
  <c r="KW53" i="2"/>
  <c r="KV53" i="2"/>
  <c r="KP53" i="2"/>
  <c r="KO53" i="2"/>
  <c r="KI53" i="2"/>
  <c r="KW52" i="2"/>
  <c r="KP52" i="2"/>
  <c r="KI52" i="2"/>
  <c r="KW51" i="2"/>
  <c r="KP51" i="2"/>
  <c r="KI51" i="2"/>
  <c r="KW50" i="2"/>
  <c r="KP50" i="2"/>
  <c r="KI50" i="2"/>
  <c r="KW49" i="2"/>
  <c r="KP49" i="2"/>
  <c r="KI49" i="2"/>
  <c r="KW48" i="2"/>
  <c r="KP48" i="2"/>
  <c r="KI48" i="2"/>
  <c r="KW47" i="2"/>
  <c r="KP47" i="2"/>
  <c r="KI47" i="2"/>
  <c r="KW46" i="2"/>
  <c r="KP46" i="2"/>
  <c r="KI46" i="2"/>
  <c r="KW45" i="2"/>
  <c r="KP45" i="2"/>
  <c r="KI45" i="2"/>
  <c r="KW44" i="2"/>
  <c r="KP44" i="2"/>
  <c r="KI44" i="2"/>
  <c r="KW43" i="2"/>
  <c r="KP43" i="2"/>
  <c r="KI43" i="2"/>
  <c r="KW42" i="2"/>
  <c r="KP42" i="2"/>
  <c r="KI42" i="2"/>
  <c r="KW41" i="2"/>
  <c r="KV41" i="2"/>
  <c r="KP41" i="2"/>
  <c r="KI41" i="2"/>
  <c r="KW40" i="2"/>
  <c r="KP40" i="2"/>
  <c r="KI40" i="2"/>
  <c r="KW39" i="2"/>
  <c r="KP39" i="2"/>
  <c r="KI39" i="2"/>
  <c r="KW38" i="2"/>
  <c r="KP38" i="2"/>
  <c r="KI38" i="2"/>
  <c r="KW37" i="2"/>
  <c r="KP37" i="2"/>
  <c r="KI37" i="2"/>
  <c r="KW36" i="2"/>
  <c r="KP36" i="2"/>
  <c r="KO36" i="2"/>
  <c r="KI36" i="2"/>
  <c r="KW35" i="2"/>
  <c r="KP35" i="2"/>
  <c r="KI35" i="2"/>
  <c r="KW34" i="2"/>
  <c r="KP34" i="2"/>
  <c r="KO34" i="2"/>
  <c r="KI34" i="2"/>
  <c r="KW33" i="2"/>
  <c r="KP33" i="2"/>
  <c r="KI33" i="2"/>
  <c r="KW32" i="2"/>
  <c r="KP32" i="2"/>
  <c r="KI32" i="2"/>
  <c r="KW31" i="2"/>
  <c r="KP31" i="2"/>
  <c r="KI31" i="2"/>
  <c r="KW29" i="2"/>
  <c r="KP29" i="2"/>
  <c r="KI29" i="2"/>
  <c r="KW28" i="2"/>
  <c r="KP28" i="2"/>
  <c r="KI28" i="2"/>
  <c r="KW27" i="2"/>
  <c r="KP27" i="2"/>
  <c r="KI27" i="2"/>
  <c r="KW26" i="2"/>
  <c r="KP26" i="2"/>
  <c r="KI26" i="2"/>
  <c r="KW25" i="2"/>
  <c r="KP25" i="2"/>
  <c r="KI25" i="2"/>
  <c r="KW24" i="2"/>
  <c r="KP24" i="2"/>
  <c r="KI24" i="2"/>
  <c r="KW23" i="2"/>
  <c r="KP23" i="2"/>
  <c r="KI23" i="2"/>
  <c r="KW22" i="2"/>
  <c r="KP22" i="2"/>
  <c r="KI22" i="2"/>
  <c r="KH22" i="2"/>
  <c r="KW21" i="2"/>
  <c r="KP21" i="2"/>
  <c r="KI21" i="2"/>
  <c r="KW20" i="2"/>
  <c r="KV20" i="2"/>
  <c r="KP20" i="2"/>
  <c r="KI20" i="2"/>
  <c r="KW19" i="2"/>
  <c r="KP19" i="2"/>
  <c r="KI19" i="2"/>
  <c r="KW18" i="2"/>
  <c r="KP18" i="2"/>
  <c r="KI18" i="2"/>
  <c r="KW17" i="2"/>
  <c r="KP17" i="2"/>
  <c r="KI17" i="2"/>
  <c r="KW16" i="2"/>
  <c r="KP16" i="2"/>
  <c r="KO16" i="2"/>
  <c r="KI16" i="2"/>
  <c r="KW15" i="2"/>
  <c r="KP15" i="2"/>
  <c r="KI15" i="2"/>
  <c r="KW14" i="2"/>
  <c r="KP14" i="2"/>
  <c r="KI14" i="2"/>
  <c r="KW13" i="2"/>
  <c r="KP13" i="2"/>
  <c r="KI13" i="2"/>
  <c r="KW12" i="2"/>
  <c r="KV12" i="2"/>
  <c r="KP12" i="2"/>
  <c r="KI12" i="2"/>
  <c r="KW11" i="2"/>
  <c r="KP11" i="2"/>
  <c r="KI11" i="2"/>
  <c r="KW10" i="2"/>
  <c r="KP10" i="2"/>
  <c r="KI10" i="2"/>
  <c r="KW9" i="2"/>
  <c r="KP9" i="2"/>
  <c r="KI9" i="2"/>
  <c r="KW8" i="2"/>
  <c r="KP8" i="2"/>
  <c r="KI8" i="2"/>
  <c r="KW7" i="2"/>
  <c r="KP7" i="2"/>
  <c r="KI7" i="2"/>
  <c r="KW6" i="2"/>
  <c r="KP6" i="2"/>
  <c r="KI6" i="2"/>
  <c r="KA132" i="2"/>
  <c r="JT132" i="2"/>
  <c r="JM132" i="2"/>
  <c r="KA128" i="2"/>
  <c r="JT128" i="2"/>
  <c r="JM128" i="2"/>
  <c r="KB123" i="2"/>
  <c r="KA123" i="2"/>
  <c r="JU123" i="2"/>
  <c r="JT123" i="2"/>
  <c r="JN123" i="2"/>
  <c r="JM123" i="2"/>
  <c r="KB120" i="2"/>
  <c r="KA120" i="2"/>
  <c r="JU120" i="2"/>
  <c r="JT120" i="2"/>
  <c r="JN120" i="2"/>
  <c r="JM120" i="2"/>
  <c r="KB117" i="2"/>
  <c r="KA117" i="2"/>
  <c r="JU117" i="2"/>
  <c r="JT117" i="2"/>
  <c r="JN117" i="2"/>
  <c r="JM117" i="2"/>
  <c r="KB116" i="2"/>
  <c r="KA116" i="2"/>
  <c r="JU116" i="2"/>
  <c r="JT116" i="2"/>
  <c r="JN116" i="2"/>
  <c r="JM116" i="2"/>
  <c r="KB113" i="2"/>
  <c r="KA113" i="2"/>
  <c r="JU113" i="2"/>
  <c r="JT113" i="2"/>
  <c r="JN113" i="2"/>
  <c r="JM113" i="2"/>
  <c r="KB112" i="2"/>
  <c r="KA112" i="2"/>
  <c r="JU112" i="2"/>
  <c r="JT112" i="2"/>
  <c r="JN112" i="2"/>
  <c r="JM112" i="2"/>
  <c r="KB111" i="2"/>
  <c r="KA111" i="2"/>
  <c r="JU111" i="2"/>
  <c r="JT111" i="2"/>
  <c r="JN111" i="2"/>
  <c r="JM111" i="2"/>
  <c r="KB110" i="2"/>
  <c r="KA110" i="2"/>
  <c r="JU110" i="2"/>
  <c r="JT110" i="2"/>
  <c r="JN110" i="2"/>
  <c r="JM110" i="2"/>
  <c r="KB107" i="2"/>
  <c r="KA107" i="2"/>
  <c r="JU107" i="2"/>
  <c r="JT107" i="2"/>
  <c r="JN107" i="2"/>
  <c r="JM107" i="2"/>
  <c r="KB106" i="2"/>
  <c r="KA106" i="2"/>
  <c r="JU106" i="2"/>
  <c r="JT106" i="2"/>
  <c r="JN106" i="2"/>
  <c r="JM106" i="2"/>
  <c r="KB105" i="2"/>
  <c r="KA105" i="2"/>
  <c r="JU105" i="2"/>
  <c r="JT105" i="2"/>
  <c r="JN105" i="2"/>
  <c r="JM105" i="2"/>
  <c r="KB104" i="2"/>
  <c r="KA104" i="2"/>
  <c r="JU104" i="2"/>
  <c r="JT104" i="2"/>
  <c r="JN104" i="2"/>
  <c r="JM104" i="2"/>
  <c r="KB103" i="2"/>
  <c r="KA103" i="2"/>
  <c r="JU103" i="2"/>
  <c r="JT103" i="2"/>
  <c r="JN103" i="2"/>
  <c r="JM103" i="2"/>
  <c r="KB102" i="2"/>
  <c r="KA102" i="2"/>
  <c r="JU102" i="2"/>
  <c r="JT102" i="2"/>
  <c r="JN102" i="2"/>
  <c r="JM102" i="2"/>
  <c r="KB101" i="2"/>
  <c r="KA101" i="2"/>
  <c r="JU101" i="2"/>
  <c r="JT101" i="2"/>
  <c r="JN101" i="2"/>
  <c r="JM101" i="2"/>
  <c r="KB100" i="2"/>
  <c r="JU100" i="2"/>
  <c r="JN100" i="2"/>
  <c r="JM100" i="2"/>
  <c r="KB97" i="2"/>
  <c r="JU97" i="2"/>
  <c r="JN97" i="2"/>
  <c r="KB96" i="2"/>
  <c r="JU96" i="2"/>
  <c r="JN96" i="2"/>
  <c r="KB95" i="2"/>
  <c r="JU95" i="2"/>
  <c r="JN95" i="2"/>
  <c r="KB94" i="2"/>
  <c r="JU94" i="2"/>
  <c r="JN94" i="2"/>
  <c r="KB93" i="2"/>
  <c r="JU93" i="2"/>
  <c r="JN93" i="2"/>
  <c r="KB92" i="2"/>
  <c r="JU92" i="2"/>
  <c r="JN92" i="2"/>
  <c r="KB91" i="2"/>
  <c r="JU91" i="2"/>
  <c r="JN91" i="2"/>
  <c r="KB90" i="2"/>
  <c r="JU90" i="2"/>
  <c r="JN90" i="2"/>
  <c r="KB89" i="2"/>
  <c r="JU89" i="2"/>
  <c r="JN89" i="2"/>
  <c r="KB88" i="2"/>
  <c r="JU88" i="2"/>
  <c r="JN88" i="2"/>
  <c r="KB87" i="2"/>
  <c r="JU87" i="2"/>
  <c r="JN87" i="2"/>
  <c r="KB86" i="2"/>
  <c r="JU86" i="2"/>
  <c r="JN86" i="2"/>
  <c r="KB85" i="2"/>
  <c r="JU85" i="2"/>
  <c r="JN85" i="2"/>
  <c r="KB84" i="2"/>
  <c r="JU84" i="2"/>
  <c r="JN84" i="2"/>
  <c r="KB83" i="2"/>
  <c r="JU83" i="2"/>
  <c r="JN83" i="2"/>
  <c r="KB82" i="2"/>
  <c r="JU82" i="2"/>
  <c r="JN82" i="2"/>
  <c r="KB79" i="2"/>
  <c r="JU79" i="2"/>
  <c r="JN79" i="2"/>
  <c r="KB78" i="2"/>
  <c r="JU78" i="2"/>
  <c r="JN78" i="2"/>
  <c r="KB77" i="2"/>
  <c r="JU77" i="2"/>
  <c r="JN77" i="2"/>
  <c r="KB76" i="2"/>
  <c r="JU76" i="2"/>
  <c r="JN76" i="2"/>
  <c r="KB75" i="2"/>
  <c r="JU75" i="2"/>
  <c r="JN75" i="2"/>
  <c r="KB74" i="2"/>
  <c r="JU74" i="2"/>
  <c r="JT74" i="2"/>
  <c r="JN74" i="2"/>
  <c r="KB73" i="2"/>
  <c r="JU73" i="2"/>
  <c r="JN73" i="2"/>
  <c r="KB72" i="2"/>
  <c r="KA72" i="2"/>
  <c r="JU72" i="2"/>
  <c r="JN72" i="2"/>
  <c r="JM72" i="2"/>
  <c r="KB71" i="2"/>
  <c r="JU71" i="2"/>
  <c r="JN71" i="2"/>
  <c r="KB70" i="2"/>
  <c r="JU70" i="2"/>
  <c r="JN70" i="2"/>
  <c r="KB69" i="2"/>
  <c r="JU69" i="2"/>
  <c r="JN69" i="2"/>
  <c r="KB68" i="2"/>
  <c r="JU68" i="2"/>
  <c r="JN68" i="2"/>
  <c r="KB67" i="2"/>
  <c r="JU67" i="2"/>
  <c r="JN67" i="2"/>
  <c r="KB66" i="2"/>
  <c r="JU66" i="2"/>
  <c r="JN66" i="2"/>
  <c r="JM66" i="2"/>
  <c r="KB65" i="2"/>
  <c r="JU65" i="2"/>
  <c r="JN65" i="2"/>
  <c r="KB64" i="2"/>
  <c r="KA64" i="2"/>
  <c r="JU64" i="2"/>
  <c r="JN64" i="2"/>
  <c r="KB63" i="2"/>
  <c r="JU63" i="2"/>
  <c r="JN63" i="2"/>
  <c r="KB62" i="2"/>
  <c r="JU62" i="2"/>
  <c r="JN62" i="2"/>
  <c r="KB61" i="2"/>
  <c r="JU61" i="2"/>
  <c r="JN61" i="2"/>
  <c r="KB60" i="2"/>
  <c r="JU60" i="2"/>
  <c r="JN60" i="2"/>
  <c r="KB59" i="2"/>
  <c r="JU59" i="2"/>
  <c r="JN59" i="2"/>
  <c r="KB58" i="2"/>
  <c r="JU58" i="2"/>
  <c r="JN58" i="2"/>
  <c r="KB57" i="2"/>
  <c r="JU57" i="2"/>
  <c r="JN57" i="2"/>
  <c r="KB56" i="2"/>
  <c r="JU56" i="2"/>
  <c r="JN56" i="2"/>
  <c r="KB54" i="2"/>
  <c r="JU54" i="2"/>
  <c r="JN54" i="2"/>
  <c r="KB53" i="2"/>
  <c r="JU53" i="2"/>
  <c r="JN53" i="2"/>
  <c r="KB52" i="2"/>
  <c r="JU52" i="2"/>
  <c r="JN52" i="2"/>
  <c r="KB51" i="2"/>
  <c r="JU51" i="2"/>
  <c r="JN51" i="2"/>
  <c r="KB50" i="2"/>
  <c r="KA50" i="2"/>
  <c r="JU50" i="2"/>
  <c r="JN50" i="2"/>
  <c r="KB49" i="2"/>
  <c r="JU49" i="2"/>
  <c r="JN49" i="2"/>
  <c r="KB48" i="2"/>
  <c r="JU48" i="2"/>
  <c r="JN48" i="2"/>
  <c r="KB47" i="2"/>
  <c r="JU47" i="2"/>
  <c r="JN47" i="2"/>
  <c r="KB46" i="2"/>
  <c r="JU46" i="2"/>
  <c r="JN46" i="2"/>
  <c r="KB45" i="2"/>
  <c r="JU45" i="2"/>
  <c r="JN45" i="2"/>
  <c r="KB44" i="2"/>
  <c r="JU44" i="2"/>
  <c r="JN44" i="2"/>
  <c r="KB43" i="2"/>
  <c r="JU43" i="2"/>
  <c r="JN43" i="2"/>
  <c r="KB42" i="2"/>
  <c r="JU42" i="2"/>
  <c r="JN42" i="2"/>
  <c r="KB41" i="2"/>
  <c r="JU41" i="2"/>
  <c r="JN41" i="2"/>
  <c r="KB40" i="2"/>
  <c r="JU40" i="2"/>
  <c r="JN40" i="2"/>
  <c r="KB39" i="2"/>
  <c r="JU39" i="2"/>
  <c r="JN39" i="2"/>
  <c r="KB38" i="2"/>
  <c r="JU38" i="2"/>
  <c r="JN38" i="2"/>
  <c r="KB37" i="2"/>
  <c r="JU37" i="2"/>
  <c r="JN37" i="2"/>
  <c r="KB36" i="2"/>
  <c r="JU36" i="2"/>
  <c r="JN36" i="2"/>
  <c r="KB35" i="2"/>
  <c r="JU35" i="2"/>
  <c r="JT35" i="2"/>
  <c r="JN35" i="2"/>
  <c r="KB34" i="2"/>
  <c r="JU34" i="2"/>
  <c r="JN34" i="2"/>
  <c r="KB33" i="2"/>
  <c r="JU33" i="2"/>
  <c r="JN33" i="2"/>
  <c r="KB32" i="2"/>
  <c r="JU32" i="2"/>
  <c r="JN32" i="2"/>
  <c r="KB31" i="2"/>
  <c r="JU31" i="2"/>
  <c r="JN31" i="2"/>
  <c r="KB29" i="2"/>
  <c r="JU29" i="2"/>
  <c r="JN29" i="2"/>
  <c r="KB28" i="2"/>
  <c r="JU28" i="2"/>
  <c r="JN28" i="2"/>
  <c r="KB27" i="2"/>
  <c r="JU27" i="2"/>
  <c r="JN27" i="2"/>
  <c r="KB26" i="2"/>
  <c r="JU26" i="2"/>
  <c r="JN26" i="2"/>
  <c r="KB25" i="2"/>
  <c r="JU25" i="2"/>
  <c r="JN25" i="2"/>
  <c r="KB24" i="2"/>
  <c r="JU24" i="2"/>
  <c r="JN24" i="2"/>
  <c r="KB23" i="2"/>
  <c r="JU23" i="2"/>
  <c r="JN23" i="2"/>
  <c r="KB22" i="2"/>
  <c r="JU22" i="2"/>
  <c r="JT22" i="2"/>
  <c r="JN22" i="2"/>
  <c r="KB21" i="2"/>
  <c r="JU21" i="2"/>
  <c r="JN21" i="2"/>
  <c r="KB20" i="2"/>
  <c r="JU20" i="2"/>
  <c r="JN20" i="2"/>
  <c r="KB19" i="2"/>
  <c r="KA19" i="2"/>
  <c r="JU19" i="2"/>
  <c r="JN19" i="2"/>
  <c r="KB18" i="2"/>
  <c r="JU18" i="2"/>
  <c r="JN18" i="2"/>
  <c r="KB17" i="2"/>
  <c r="JU17" i="2"/>
  <c r="JN17" i="2"/>
  <c r="KB16" i="2"/>
  <c r="JU16" i="2"/>
  <c r="JN16" i="2"/>
  <c r="JM16" i="2"/>
  <c r="KB15" i="2"/>
  <c r="JU15" i="2"/>
  <c r="JT15" i="2"/>
  <c r="JN15" i="2"/>
  <c r="KB14" i="2"/>
  <c r="JU14" i="2"/>
  <c r="JN14" i="2"/>
  <c r="KB13" i="2"/>
  <c r="JU13" i="2"/>
  <c r="JN13" i="2"/>
  <c r="KB12" i="2"/>
  <c r="JU12" i="2"/>
  <c r="JN12" i="2"/>
  <c r="KB11" i="2"/>
  <c r="JU11" i="2"/>
  <c r="JN11" i="2"/>
  <c r="KB10" i="2"/>
  <c r="KA10" i="2"/>
  <c r="JU10" i="2"/>
  <c r="JN10" i="2"/>
  <c r="KB9" i="2"/>
  <c r="JU9" i="2"/>
  <c r="JN9" i="2"/>
  <c r="KB8" i="2"/>
  <c r="JU8" i="2"/>
  <c r="JN8" i="2"/>
  <c r="KB7" i="2"/>
  <c r="JU7" i="2"/>
  <c r="JN7" i="2"/>
  <c r="KB6" i="2"/>
  <c r="JU6" i="2"/>
  <c r="JN6" i="2"/>
  <c r="JF132" i="2"/>
  <c r="IY132" i="2"/>
  <c r="IR132" i="2"/>
  <c r="JF128" i="2"/>
  <c r="IY128" i="2"/>
  <c r="IR128" i="2"/>
  <c r="JG123" i="2"/>
  <c r="JF123" i="2"/>
  <c r="IZ123" i="2"/>
  <c r="IY123" i="2"/>
  <c r="IS123" i="2"/>
  <c r="IR123" i="2"/>
  <c r="JG120" i="2"/>
  <c r="JF120" i="2"/>
  <c r="IZ120" i="2"/>
  <c r="IY120" i="2"/>
  <c r="IS120" i="2"/>
  <c r="IR120" i="2"/>
  <c r="JG117" i="2"/>
  <c r="JF117" i="2"/>
  <c r="IZ117" i="2"/>
  <c r="IY117" i="2"/>
  <c r="IS117" i="2"/>
  <c r="IR117" i="2"/>
  <c r="JG116" i="2"/>
  <c r="JF116" i="2"/>
  <c r="IZ116" i="2"/>
  <c r="IY116" i="2"/>
  <c r="IS116" i="2"/>
  <c r="IR116" i="2"/>
  <c r="JG113" i="2"/>
  <c r="JF113" i="2"/>
  <c r="IZ113" i="2"/>
  <c r="IY113" i="2"/>
  <c r="IS113" i="2"/>
  <c r="IR113" i="2"/>
  <c r="JG112" i="2"/>
  <c r="JF112" i="2"/>
  <c r="IZ112" i="2"/>
  <c r="IY112" i="2"/>
  <c r="IS112" i="2"/>
  <c r="IR112" i="2"/>
  <c r="JG111" i="2"/>
  <c r="JF111" i="2"/>
  <c r="IZ111" i="2"/>
  <c r="IY111" i="2"/>
  <c r="IS111" i="2"/>
  <c r="IR111" i="2"/>
  <c r="JG110" i="2"/>
  <c r="JF110" i="2"/>
  <c r="IZ110" i="2"/>
  <c r="IY110" i="2"/>
  <c r="IS110" i="2"/>
  <c r="IR110" i="2"/>
  <c r="JG107" i="2"/>
  <c r="JF107" i="2"/>
  <c r="IZ107" i="2"/>
  <c r="IY107" i="2"/>
  <c r="IS107" i="2"/>
  <c r="IR107" i="2"/>
  <c r="JG106" i="2"/>
  <c r="JF106" i="2"/>
  <c r="IZ106" i="2"/>
  <c r="IY106" i="2"/>
  <c r="IS106" i="2"/>
  <c r="IR106" i="2"/>
  <c r="JG105" i="2"/>
  <c r="JF105" i="2"/>
  <c r="IZ105" i="2"/>
  <c r="IY105" i="2"/>
  <c r="IS105" i="2"/>
  <c r="IR105" i="2"/>
  <c r="JG104" i="2"/>
  <c r="JF104" i="2"/>
  <c r="IZ104" i="2"/>
  <c r="IY104" i="2"/>
  <c r="IS104" i="2"/>
  <c r="IR104" i="2"/>
  <c r="JG103" i="2"/>
  <c r="JF103" i="2"/>
  <c r="IZ103" i="2"/>
  <c r="IY103" i="2"/>
  <c r="IS103" i="2"/>
  <c r="IR103" i="2"/>
  <c r="JG102" i="2"/>
  <c r="JF102" i="2"/>
  <c r="IZ102" i="2"/>
  <c r="IY102" i="2"/>
  <c r="IS102" i="2"/>
  <c r="IR102" i="2"/>
  <c r="JG101" i="2"/>
  <c r="JF101" i="2"/>
  <c r="IZ101" i="2"/>
  <c r="IY101" i="2"/>
  <c r="IS101" i="2"/>
  <c r="IR101" i="2"/>
  <c r="JG100" i="2"/>
  <c r="IZ100" i="2"/>
  <c r="IS100" i="2"/>
  <c r="JG97" i="2"/>
  <c r="IZ97" i="2"/>
  <c r="IS97" i="2"/>
  <c r="JG96" i="2"/>
  <c r="IZ96" i="2"/>
  <c r="IS96" i="2"/>
  <c r="JG95" i="2"/>
  <c r="IZ95" i="2"/>
  <c r="IS95" i="2"/>
  <c r="JG94" i="2"/>
  <c r="IZ94" i="2"/>
  <c r="IS94" i="2"/>
  <c r="JG93" i="2"/>
  <c r="IZ93" i="2"/>
  <c r="IS93" i="2"/>
  <c r="JG92" i="2"/>
  <c r="IZ92" i="2"/>
  <c r="IS92" i="2"/>
  <c r="JG91" i="2"/>
  <c r="IZ91" i="2"/>
  <c r="IS91" i="2"/>
  <c r="JG90" i="2"/>
  <c r="IZ90" i="2"/>
  <c r="IS90" i="2"/>
  <c r="JG89" i="2"/>
  <c r="IZ89" i="2"/>
  <c r="IS89" i="2"/>
  <c r="JG88" i="2"/>
  <c r="IZ88" i="2"/>
  <c r="IS88" i="2"/>
  <c r="JG87" i="2"/>
  <c r="IZ87" i="2"/>
  <c r="IS87" i="2"/>
  <c r="JG86" i="2"/>
  <c r="JF86" i="2"/>
  <c r="IZ86" i="2"/>
  <c r="IS86" i="2"/>
  <c r="JG85" i="2"/>
  <c r="IZ85" i="2"/>
  <c r="IS85" i="2"/>
  <c r="JG84" i="2"/>
  <c r="IZ84" i="2"/>
  <c r="IS84" i="2"/>
  <c r="JG83" i="2"/>
  <c r="JF83" i="2"/>
  <c r="IZ83" i="2"/>
  <c r="IS83" i="2"/>
  <c r="JG82" i="2"/>
  <c r="IZ82" i="2"/>
  <c r="IS82" i="2"/>
  <c r="JG79" i="2"/>
  <c r="IZ79" i="2"/>
  <c r="IS79" i="2"/>
  <c r="JG78" i="2"/>
  <c r="IZ78" i="2"/>
  <c r="IS78" i="2"/>
  <c r="JG77" i="2"/>
  <c r="IZ77" i="2"/>
  <c r="IS77" i="2"/>
  <c r="JG76" i="2"/>
  <c r="IZ76" i="2"/>
  <c r="IS76" i="2"/>
  <c r="JG75" i="2"/>
  <c r="IZ75" i="2"/>
  <c r="IS75" i="2"/>
  <c r="JG74" i="2"/>
  <c r="IZ74" i="2"/>
  <c r="IY74" i="2"/>
  <c r="IS74" i="2"/>
  <c r="JG73" i="2"/>
  <c r="IZ73" i="2"/>
  <c r="IS73" i="2"/>
  <c r="JG72" i="2"/>
  <c r="IZ72" i="2"/>
  <c r="IS72" i="2"/>
  <c r="IR72" i="2"/>
  <c r="JG71" i="2"/>
  <c r="IZ71" i="2"/>
  <c r="IS71" i="2"/>
  <c r="JG70" i="2"/>
  <c r="IZ70" i="2"/>
  <c r="IS70" i="2"/>
  <c r="JG69" i="2"/>
  <c r="IZ69" i="2"/>
  <c r="IS69" i="2"/>
  <c r="JG68" i="2"/>
  <c r="IZ68" i="2"/>
  <c r="IS68" i="2"/>
  <c r="JG67" i="2"/>
  <c r="IZ67" i="2"/>
  <c r="IS67" i="2"/>
  <c r="JG66" i="2"/>
  <c r="IZ66" i="2"/>
  <c r="IS66" i="2"/>
  <c r="JG65" i="2"/>
  <c r="IZ65" i="2"/>
  <c r="IS65" i="2"/>
  <c r="JG64" i="2"/>
  <c r="IZ64" i="2"/>
  <c r="IS64" i="2"/>
  <c r="JG63" i="2"/>
  <c r="IZ63" i="2"/>
  <c r="IS63" i="2"/>
  <c r="JG62" i="2"/>
  <c r="JF62" i="2"/>
  <c r="IZ62" i="2"/>
  <c r="IY62" i="2"/>
  <c r="IS62" i="2"/>
  <c r="JG61" i="2"/>
  <c r="IZ61" i="2"/>
  <c r="IS61" i="2"/>
  <c r="JG60" i="2"/>
  <c r="IZ60" i="2"/>
  <c r="IS60" i="2"/>
  <c r="JG59" i="2"/>
  <c r="IZ59" i="2"/>
  <c r="IS59" i="2"/>
  <c r="JG58" i="2"/>
  <c r="IZ58" i="2"/>
  <c r="IS58" i="2"/>
  <c r="JG57" i="2"/>
  <c r="IZ57" i="2"/>
  <c r="IS57" i="2"/>
  <c r="JG56" i="2"/>
  <c r="IZ56" i="2"/>
  <c r="IS56" i="2"/>
  <c r="JG54" i="2"/>
  <c r="IZ54" i="2"/>
  <c r="IS54" i="2"/>
  <c r="JG53" i="2"/>
  <c r="IZ53" i="2"/>
  <c r="IS53" i="2"/>
  <c r="JG52" i="2"/>
  <c r="IZ52" i="2"/>
  <c r="IS52" i="2"/>
  <c r="JG51" i="2"/>
  <c r="IZ51" i="2"/>
  <c r="IS51" i="2"/>
  <c r="JG50" i="2"/>
  <c r="IZ50" i="2"/>
  <c r="IS50" i="2"/>
  <c r="JG49" i="2"/>
  <c r="IZ49" i="2"/>
  <c r="IS49" i="2"/>
  <c r="JG48" i="2"/>
  <c r="IZ48" i="2"/>
  <c r="IS48" i="2"/>
  <c r="JG47" i="2"/>
  <c r="IZ47" i="2"/>
  <c r="IS47" i="2"/>
  <c r="JG46" i="2"/>
  <c r="IZ46" i="2"/>
  <c r="IS46" i="2"/>
  <c r="JG45" i="2"/>
  <c r="IZ45" i="2"/>
  <c r="IS45" i="2"/>
  <c r="JG44" i="2"/>
  <c r="IZ44" i="2"/>
  <c r="IS44" i="2"/>
  <c r="JG43" i="2"/>
  <c r="IZ43" i="2"/>
  <c r="IS43" i="2"/>
  <c r="JG42" i="2"/>
  <c r="IZ42" i="2"/>
  <c r="IS42" i="2"/>
  <c r="JG41" i="2"/>
  <c r="IZ41" i="2"/>
  <c r="IS41" i="2"/>
  <c r="JG40" i="2"/>
  <c r="IZ40" i="2"/>
  <c r="IS40" i="2"/>
  <c r="IR40" i="2"/>
  <c r="JG39" i="2"/>
  <c r="IZ39" i="2"/>
  <c r="IS39" i="2"/>
  <c r="JG38" i="2"/>
  <c r="IZ38" i="2"/>
  <c r="IS38" i="2"/>
  <c r="JG37" i="2"/>
  <c r="IZ37" i="2"/>
  <c r="IS37" i="2"/>
  <c r="JG36" i="2"/>
  <c r="IZ36" i="2"/>
  <c r="IS36" i="2"/>
  <c r="JG35" i="2"/>
  <c r="IZ35" i="2"/>
  <c r="IS35" i="2"/>
  <c r="JG34" i="2"/>
  <c r="IZ34" i="2"/>
  <c r="IS34" i="2"/>
  <c r="JG33" i="2"/>
  <c r="IZ33" i="2"/>
  <c r="IS33" i="2"/>
  <c r="JG32" i="2"/>
  <c r="IZ32" i="2"/>
  <c r="IS32" i="2"/>
  <c r="JG31" i="2"/>
  <c r="IZ31" i="2"/>
  <c r="IS31" i="2"/>
  <c r="JG29" i="2"/>
  <c r="IZ29" i="2"/>
  <c r="IS29" i="2"/>
  <c r="JG28" i="2"/>
  <c r="IZ28" i="2"/>
  <c r="IS28" i="2"/>
  <c r="IR28" i="2"/>
  <c r="JG27" i="2"/>
  <c r="IZ27" i="2"/>
  <c r="IS27" i="2"/>
  <c r="JG26" i="2"/>
  <c r="IZ26" i="2"/>
  <c r="IS26" i="2"/>
  <c r="JG25" i="2"/>
  <c r="IZ25" i="2"/>
  <c r="IS25" i="2"/>
  <c r="JG24" i="2"/>
  <c r="IZ24" i="2"/>
  <c r="IS24" i="2"/>
  <c r="IR24" i="2"/>
  <c r="JG23" i="2"/>
  <c r="IZ23" i="2"/>
  <c r="IS23" i="2"/>
  <c r="JG22" i="2"/>
  <c r="JF22" i="2"/>
  <c r="IZ22" i="2"/>
  <c r="IS22" i="2"/>
  <c r="JG21" i="2"/>
  <c r="IZ21" i="2"/>
  <c r="IS21" i="2"/>
  <c r="JG20" i="2"/>
  <c r="JF20" i="2"/>
  <c r="IZ20" i="2"/>
  <c r="IS20" i="2"/>
  <c r="JG19" i="2"/>
  <c r="IZ19" i="2"/>
  <c r="IS19" i="2"/>
  <c r="IR19" i="2"/>
  <c r="JG18" i="2"/>
  <c r="IZ18" i="2"/>
  <c r="IS18" i="2"/>
  <c r="JG17" i="2"/>
  <c r="IZ17" i="2"/>
  <c r="IS17" i="2"/>
  <c r="JG16" i="2"/>
  <c r="IZ16" i="2"/>
  <c r="IS16" i="2"/>
  <c r="JG15" i="2"/>
  <c r="IZ15" i="2"/>
  <c r="IS15" i="2"/>
  <c r="JG14" i="2"/>
  <c r="IZ14" i="2"/>
  <c r="IS14" i="2"/>
  <c r="JG13" i="2"/>
  <c r="IZ13" i="2"/>
  <c r="IS13" i="2"/>
  <c r="JG12" i="2"/>
  <c r="IZ12" i="2"/>
  <c r="IS12" i="2"/>
  <c r="JG11" i="2"/>
  <c r="IZ11" i="2"/>
  <c r="IS11" i="2"/>
  <c r="JG10" i="2"/>
  <c r="IZ10" i="2"/>
  <c r="IS10" i="2"/>
  <c r="JG9" i="2"/>
  <c r="IZ9" i="2"/>
  <c r="IS9" i="2"/>
  <c r="JG8" i="2"/>
  <c r="IZ8" i="2"/>
  <c r="IS8" i="2"/>
  <c r="JG7" i="2"/>
  <c r="IZ7" i="2"/>
  <c r="IS7" i="2"/>
  <c r="JG6" i="2"/>
  <c r="IZ6" i="2"/>
  <c r="IS6" i="2"/>
  <c r="IK132" i="2"/>
  <c r="ID132" i="2"/>
  <c r="HW132" i="2"/>
  <c r="IK128" i="2"/>
  <c r="ID128" i="2"/>
  <c r="HW128" i="2"/>
  <c r="IL123" i="2"/>
  <c r="IK123" i="2"/>
  <c r="IE123" i="2"/>
  <c r="ID123" i="2"/>
  <c r="HX123" i="2"/>
  <c r="HW123" i="2"/>
  <c r="IL120" i="2"/>
  <c r="IK120" i="2"/>
  <c r="IE120" i="2"/>
  <c r="ID120" i="2"/>
  <c r="HX120" i="2"/>
  <c r="HW120" i="2"/>
  <c r="IL117" i="2"/>
  <c r="IK117" i="2"/>
  <c r="IE117" i="2"/>
  <c r="ID117" i="2"/>
  <c r="HX117" i="2"/>
  <c r="HW117" i="2"/>
  <c r="IL116" i="2"/>
  <c r="IK116" i="2"/>
  <c r="IE116" i="2"/>
  <c r="ID116" i="2"/>
  <c r="HX116" i="2"/>
  <c r="HW116" i="2"/>
  <c r="IL113" i="2"/>
  <c r="IK113" i="2"/>
  <c r="IE113" i="2"/>
  <c r="ID113" i="2"/>
  <c r="HX113" i="2"/>
  <c r="HW113" i="2"/>
  <c r="IL112" i="2"/>
  <c r="IK112" i="2"/>
  <c r="IE112" i="2"/>
  <c r="ID112" i="2"/>
  <c r="HX112" i="2"/>
  <c r="HW112" i="2"/>
  <c r="IL111" i="2"/>
  <c r="IK111" i="2"/>
  <c r="IE111" i="2"/>
  <c r="ID111" i="2"/>
  <c r="HX111" i="2"/>
  <c r="HW111" i="2"/>
  <c r="IL110" i="2"/>
  <c r="IK110" i="2"/>
  <c r="IE110" i="2"/>
  <c r="ID110" i="2"/>
  <c r="HX110" i="2"/>
  <c r="HW110" i="2"/>
  <c r="IL107" i="2"/>
  <c r="IK107" i="2"/>
  <c r="IE107" i="2"/>
  <c r="ID107" i="2"/>
  <c r="HX107" i="2"/>
  <c r="HW107" i="2"/>
  <c r="IL106" i="2"/>
  <c r="IK106" i="2"/>
  <c r="IE106" i="2"/>
  <c r="ID106" i="2"/>
  <c r="HX106" i="2"/>
  <c r="HW106" i="2"/>
  <c r="IL105" i="2"/>
  <c r="IK105" i="2"/>
  <c r="IE105" i="2"/>
  <c r="ID105" i="2"/>
  <c r="HX105" i="2"/>
  <c r="HW105" i="2"/>
  <c r="IL104" i="2"/>
  <c r="IK104" i="2"/>
  <c r="IE104" i="2"/>
  <c r="ID104" i="2"/>
  <c r="HX104" i="2"/>
  <c r="HW104" i="2"/>
  <c r="IL103" i="2"/>
  <c r="IK103" i="2"/>
  <c r="IE103" i="2"/>
  <c r="ID103" i="2"/>
  <c r="HX103" i="2"/>
  <c r="HW103" i="2"/>
  <c r="IL102" i="2"/>
  <c r="IK102" i="2"/>
  <c r="IE102" i="2"/>
  <c r="ID102" i="2"/>
  <c r="HX102" i="2"/>
  <c r="HW102" i="2"/>
  <c r="IL101" i="2"/>
  <c r="IK101" i="2"/>
  <c r="IE101" i="2"/>
  <c r="ID101" i="2"/>
  <c r="HX101" i="2"/>
  <c r="HW101" i="2"/>
  <c r="IL100" i="2"/>
  <c r="IE100" i="2"/>
  <c r="HX100" i="2"/>
  <c r="IL97" i="2"/>
  <c r="IE97" i="2"/>
  <c r="HX97" i="2"/>
  <c r="IL96" i="2"/>
  <c r="IE96" i="2"/>
  <c r="HX96" i="2"/>
  <c r="IL95" i="2"/>
  <c r="IE95" i="2"/>
  <c r="HX95" i="2"/>
  <c r="IL94" i="2"/>
  <c r="IE94" i="2"/>
  <c r="HX94" i="2"/>
  <c r="IL93" i="2"/>
  <c r="IE93" i="2"/>
  <c r="HX93" i="2"/>
  <c r="IL92" i="2"/>
  <c r="IE92" i="2"/>
  <c r="HX92" i="2"/>
  <c r="IL91" i="2"/>
  <c r="IE91" i="2"/>
  <c r="HX91" i="2"/>
  <c r="IL90" i="2"/>
  <c r="IE90" i="2"/>
  <c r="HX90" i="2"/>
  <c r="IL89" i="2"/>
  <c r="IE89" i="2"/>
  <c r="HX89" i="2"/>
  <c r="IL88" i="2"/>
  <c r="IK88" i="2"/>
  <c r="IE88" i="2"/>
  <c r="HX88" i="2"/>
  <c r="IL87" i="2"/>
  <c r="IE87" i="2"/>
  <c r="HX87" i="2"/>
  <c r="IL86" i="2"/>
  <c r="IE86" i="2"/>
  <c r="HX86" i="2"/>
  <c r="HW86" i="2"/>
  <c r="IL85" i="2"/>
  <c r="IE85" i="2"/>
  <c r="HX85" i="2"/>
  <c r="IL84" i="2"/>
  <c r="IE84" i="2"/>
  <c r="HX84" i="2"/>
  <c r="IL83" i="2"/>
  <c r="IE83" i="2"/>
  <c r="HX83" i="2"/>
  <c r="HW83" i="2"/>
  <c r="IL82" i="2"/>
  <c r="IE82" i="2"/>
  <c r="HX82" i="2"/>
  <c r="IL79" i="2"/>
  <c r="IE79" i="2"/>
  <c r="HX79" i="2"/>
  <c r="IL78" i="2"/>
  <c r="IE78" i="2"/>
  <c r="HX78" i="2"/>
  <c r="IL77" i="2"/>
  <c r="IE77" i="2"/>
  <c r="HX77" i="2"/>
  <c r="IL76" i="2"/>
  <c r="IE76" i="2"/>
  <c r="HX76" i="2"/>
  <c r="IL75" i="2"/>
  <c r="IE75" i="2"/>
  <c r="HX75" i="2"/>
  <c r="IL74" i="2"/>
  <c r="IE74" i="2"/>
  <c r="HX74" i="2"/>
  <c r="IL73" i="2"/>
  <c r="IE73" i="2"/>
  <c r="HX73" i="2"/>
  <c r="IL72" i="2"/>
  <c r="IE72" i="2"/>
  <c r="HX72" i="2"/>
  <c r="IL71" i="2"/>
  <c r="IE71" i="2"/>
  <c r="HX71" i="2"/>
  <c r="IL70" i="2"/>
  <c r="IE70" i="2"/>
  <c r="ID70" i="2"/>
  <c r="HX70" i="2"/>
  <c r="IL69" i="2"/>
  <c r="IE69" i="2"/>
  <c r="HX69" i="2"/>
  <c r="IL68" i="2"/>
  <c r="IE68" i="2"/>
  <c r="HX68" i="2"/>
  <c r="IL67" i="2"/>
  <c r="IE67" i="2"/>
  <c r="HX67" i="2"/>
  <c r="IL66" i="2"/>
  <c r="IE66" i="2"/>
  <c r="HX66" i="2"/>
  <c r="IL65" i="2"/>
  <c r="IE65" i="2"/>
  <c r="HX65" i="2"/>
  <c r="IL64" i="2"/>
  <c r="IE64" i="2"/>
  <c r="HX64" i="2"/>
  <c r="IL63" i="2"/>
  <c r="IE63" i="2"/>
  <c r="HX63" i="2"/>
  <c r="IL62" i="2"/>
  <c r="IE62" i="2"/>
  <c r="HX62" i="2"/>
  <c r="IL61" i="2"/>
  <c r="IE61" i="2"/>
  <c r="HX61" i="2"/>
  <c r="IL60" i="2"/>
  <c r="IE60" i="2"/>
  <c r="HX60" i="2"/>
  <c r="IL59" i="2"/>
  <c r="IE59" i="2"/>
  <c r="HX59" i="2"/>
  <c r="IL58" i="2"/>
  <c r="IE58" i="2"/>
  <c r="HX58" i="2"/>
  <c r="IL57" i="2"/>
  <c r="IE57" i="2"/>
  <c r="HX57" i="2"/>
  <c r="IL56" i="2"/>
  <c r="IE56" i="2"/>
  <c r="HX56" i="2"/>
  <c r="HW56" i="2"/>
  <c r="IL54" i="2"/>
  <c r="IE54" i="2"/>
  <c r="HX54" i="2"/>
  <c r="HW54" i="2"/>
  <c r="IL53" i="2"/>
  <c r="IE53" i="2"/>
  <c r="HX53" i="2"/>
  <c r="IL52" i="2"/>
  <c r="IE52" i="2"/>
  <c r="HX52" i="2"/>
  <c r="IL51" i="2"/>
  <c r="IE51" i="2"/>
  <c r="HX51" i="2"/>
  <c r="IL50" i="2"/>
  <c r="IE50" i="2"/>
  <c r="ID50" i="2"/>
  <c r="HX50" i="2"/>
  <c r="IL49" i="2"/>
  <c r="IE49" i="2"/>
  <c r="HX49" i="2"/>
  <c r="IL48" i="2"/>
  <c r="IE48" i="2"/>
  <c r="HX48" i="2"/>
  <c r="HW48" i="2"/>
  <c r="IL47" i="2"/>
  <c r="IE47" i="2"/>
  <c r="HX47" i="2"/>
  <c r="IL46" i="2"/>
  <c r="IE46" i="2"/>
  <c r="ID46" i="2"/>
  <c r="HX46" i="2"/>
  <c r="IL45" i="2"/>
  <c r="IE45" i="2"/>
  <c r="HX45" i="2"/>
  <c r="IL44" i="2"/>
  <c r="IE44" i="2"/>
  <c r="HX44" i="2"/>
  <c r="IL43" i="2"/>
  <c r="IE43" i="2"/>
  <c r="HX43" i="2"/>
  <c r="IL42" i="2"/>
  <c r="IE42" i="2"/>
  <c r="HX42" i="2"/>
  <c r="IL41" i="2"/>
  <c r="IE41" i="2"/>
  <c r="HX41" i="2"/>
  <c r="IL40" i="2"/>
  <c r="IE40" i="2"/>
  <c r="ID40" i="2"/>
  <c r="HX40" i="2"/>
  <c r="IL39" i="2"/>
  <c r="IE39" i="2"/>
  <c r="HX39" i="2"/>
  <c r="IL38" i="2"/>
  <c r="IE38" i="2"/>
  <c r="HX38" i="2"/>
  <c r="IL37" i="2"/>
  <c r="IE37" i="2"/>
  <c r="HX37" i="2"/>
  <c r="IL36" i="2"/>
  <c r="IE36" i="2"/>
  <c r="HX36" i="2"/>
  <c r="IL35" i="2"/>
  <c r="IE35" i="2"/>
  <c r="HX35" i="2"/>
  <c r="HW35" i="2"/>
  <c r="IL34" i="2"/>
  <c r="IE34" i="2"/>
  <c r="HX34" i="2"/>
  <c r="HW34" i="2"/>
  <c r="IL33" i="2"/>
  <c r="IE33" i="2"/>
  <c r="HX33" i="2"/>
  <c r="IL32" i="2"/>
  <c r="IE32" i="2"/>
  <c r="HX32" i="2"/>
  <c r="IL31" i="2"/>
  <c r="IE31" i="2"/>
  <c r="HX31" i="2"/>
  <c r="IL29" i="2"/>
  <c r="IE29" i="2"/>
  <c r="HX29" i="2"/>
  <c r="IL28" i="2"/>
  <c r="IE28" i="2"/>
  <c r="HX28" i="2"/>
  <c r="IL27" i="2"/>
  <c r="IE27" i="2"/>
  <c r="HX27" i="2"/>
  <c r="IL26" i="2"/>
  <c r="IE26" i="2"/>
  <c r="HX26" i="2"/>
  <c r="IL25" i="2"/>
  <c r="IK25" i="2"/>
  <c r="IE25" i="2"/>
  <c r="HX25" i="2"/>
  <c r="IL24" i="2"/>
  <c r="IE24" i="2"/>
  <c r="HX24" i="2"/>
  <c r="HW24" i="2"/>
  <c r="IL23" i="2"/>
  <c r="IE23" i="2"/>
  <c r="HX23" i="2"/>
  <c r="IL22" i="2"/>
  <c r="IE22" i="2"/>
  <c r="HX22" i="2"/>
  <c r="HW22" i="2"/>
  <c r="IL21" i="2"/>
  <c r="IE21" i="2"/>
  <c r="HX21" i="2"/>
  <c r="IL20" i="2"/>
  <c r="IE20" i="2"/>
  <c r="HX20" i="2"/>
  <c r="IL19" i="2"/>
  <c r="IK19" i="2"/>
  <c r="IE19" i="2"/>
  <c r="HX19" i="2"/>
  <c r="IL18" i="2"/>
  <c r="IE18" i="2"/>
  <c r="HX18" i="2"/>
  <c r="IL17" i="2"/>
  <c r="IE17" i="2"/>
  <c r="HX17" i="2"/>
  <c r="IL16" i="2"/>
  <c r="IE16" i="2"/>
  <c r="HX16" i="2"/>
  <c r="IL15" i="2"/>
  <c r="IE15" i="2"/>
  <c r="HX15" i="2"/>
  <c r="IL14" i="2"/>
  <c r="IE14" i="2"/>
  <c r="HX14" i="2"/>
  <c r="IL13" i="2"/>
  <c r="IE13" i="2"/>
  <c r="HX13" i="2"/>
  <c r="IL12" i="2"/>
  <c r="IE12" i="2"/>
  <c r="HX12" i="2"/>
  <c r="IL11" i="2"/>
  <c r="IE11" i="2"/>
  <c r="HX11" i="2"/>
  <c r="IL10" i="2"/>
  <c r="IE10" i="2"/>
  <c r="HX10" i="2"/>
  <c r="IL9" i="2"/>
  <c r="IE9" i="2"/>
  <c r="HX9" i="2"/>
  <c r="IL8" i="2"/>
  <c r="IE8" i="2"/>
  <c r="HX8" i="2"/>
  <c r="IL7" i="2"/>
  <c r="IE7" i="2"/>
  <c r="HX7" i="2"/>
  <c r="IL6" i="2"/>
  <c r="IE6" i="2"/>
  <c r="HX6" i="2"/>
  <c r="HP132" i="2"/>
  <c r="HI132" i="2"/>
  <c r="HB132" i="2"/>
  <c r="HP128" i="2"/>
  <c r="HI128" i="2"/>
  <c r="HB128" i="2"/>
  <c r="HQ123" i="2"/>
  <c r="HP123" i="2"/>
  <c r="HJ123" i="2"/>
  <c r="HI123" i="2"/>
  <c r="HC123" i="2"/>
  <c r="HB123" i="2"/>
  <c r="HQ120" i="2"/>
  <c r="HP120" i="2"/>
  <c r="HJ120" i="2"/>
  <c r="HI120" i="2"/>
  <c r="HC120" i="2"/>
  <c r="HB120" i="2"/>
  <c r="HQ117" i="2"/>
  <c r="HP117" i="2"/>
  <c r="HJ117" i="2"/>
  <c r="HI117" i="2"/>
  <c r="HC117" i="2"/>
  <c r="HB117" i="2"/>
  <c r="HQ116" i="2"/>
  <c r="HP116" i="2"/>
  <c r="HJ116" i="2"/>
  <c r="HI116" i="2"/>
  <c r="HC116" i="2"/>
  <c r="HB116" i="2"/>
  <c r="HQ113" i="2"/>
  <c r="HP113" i="2"/>
  <c r="HJ113" i="2"/>
  <c r="HI113" i="2"/>
  <c r="HC113" i="2"/>
  <c r="HB113" i="2"/>
  <c r="HQ112" i="2"/>
  <c r="HP112" i="2"/>
  <c r="HJ112" i="2"/>
  <c r="HI112" i="2"/>
  <c r="HC112" i="2"/>
  <c r="HB112" i="2"/>
  <c r="HQ111" i="2"/>
  <c r="HP111" i="2"/>
  <c r="HJ111" i="2"/>
  <c r="HI111" i="2"/>
  <c r="HC111" i="2"/>
  <c r="HB111" i="2"/>
  <c r="HQ110" i="2"/>
  <c r="HP110" i="2"/>
  <c r="HJ110" i="2"/>
  <c r="HI110" i="2"/>
  <c r="HC110" i="2"/>
  <c r="HB110" i="2"/>
  <c r="HQ107" i="2"/>
  <c r="HP107" i="2"/>
  <c r="HJ107" i="2"/>
  <c r="HI107" i="2"/>
  <c r="HC107" i="2"/>
  <c r="HB107" i="2"/>
  <c r="HQ106" i="2"/>
  <c r="HP106" i="2"/>
  <c r="HJ106" i="2"/>
  <c r="HI106" i="2"/>
  <c r="HC106" i="2"/>
  <c r="HB106" i="2"/>
  <c r="HQ105" i="2"/>
  <c r="HP105" i="2"/>
  <c r="HJ105" i="2"/>
  <c r="HI105" i="2"/>
  <c r="HC105" i="2"/>
  <c r="HB105" i="2"/>
  <c r="HQ104" i="2"/>
  <c r="HP104" i="2"/>
  <c r="HJ104" i="2"/>
  <c r="HI104" i="2"/>
  <c r="HC104" i="2"/>
  <c r="HB104" i="2"/>
  <c r="HQ103" i="2"/>
  <c r="HP103" i="2"/>
  <c r="HJ103" i="2"/>
  <c r="HI103" i="2"/>
  <c r="HC103" i="2"/>
  <c r="HB103" i="2"/>
  <c r="HQ102" i="2"/>
  <c r="HP102" i="2"/>
  <c r="HJ102" i="2"/>
  <c r="HI102" i="2"/>
  <c r="HC102" i="2"/>
  <c r="HB102" i="2"/>
  <c r="HQ101" i="2"/>
  <c r="HP101" i="2"/>
  <c r="HJ101" i="2"/>
  <c r="HI101" i="2"/>
  <c r="HC101" i="2"/>
  <c r="HB101" i="2"/>
  <c r="HQ100" i="2"/>
  <c r="HJ100" i="2"/>
  <c r="HC100" i="2"/>
  <c r="HQ97" i="2"/>
  <c r="HJ97" i="2"/>
  <c r="HC97" i="2"/>
  <c r="HQ96" i="2"/>
  <c r="HJ96" i="2"/>
  <c r="HC96" i="2"/>
  <c r="HQ95" i="2"/>
  <c r="HJ95" i="2"/>
  <c r="HC95" i="2"/>
  <c r="HQ94" i="2"/>
  <c r="HJ94" i="2"/>
  <c r="HC94" i="2"/>
  <c r="HQ93" i="2"/>
  <c r="HJ93" i="2"/>
  <c r="HC93" i="2"/>
  <c r="HQ92" i="2"/>
  <c r="HJ92" i="2"/>
  <c r="HC92" i="2"/>
  <c r="HQ91" i="2"/>
  <c r="HJ91" i="2"/>
  <c r="HC91" i="2"/>
  <c r="HQ90" i="2"/>
  <c r="HJ90" i="2"/>
  <c r="HC90" i="2"/>
  <c r="HQ89" i="2"/>
  <c r="HJ89" i="2"/>
  <c r="HC89" i="2"/>
  <c r="HQ88" i="2"/>
  <c r="HJ88" i="2"/>
  <c r="HI88" i="2"/>
  <c r="HC88" i="2"/>
  <c r="HQ87" i="2"/>
  <c r="HJ87" i="2"/>
  <c r="HC87" i="2"/>
  <c r="HQ86" i="2"/>
  <c r="HP86" i="2"/>
  <c r="HJ86" i="2"/>
  <c r="HC86" i="2"/>
  <c r="HQ85" i="2"/>
  <c r="HJ85" i="2"/>
  <c r="HC85" i="2"/>
  <c r="HQ84" i="2"/>
  <c r="HJ84" i="2"/>
  <c r="HC84" i="2"/>
  <c r="HQ83" i="2"/>
  <c r="HP83" i="2"/>
  <c r="HJ83" i="2"/>
  <c r="HC83" i="2"/>
  <c r="HB83" i="2"/>
  <c r="HQ82" i="2"/>
  <c r="HJ82" i="2"/>
  <c r="HC82" i="2"/>
  <c r="HQ79" i="2"/>
  <c r="HJ79" i="2"/>
  <c r="HC79" i="2"/>
  <c r="HQ78" i="2"/>
  <c r="HJ78" i="2"/>
  <c r="HC78" i="2"/>
  <c r="HQ77" i="2"/>
  <c r="HJ77" i="2"/>
  <c r="HC77" i="2"/>
  <c r="HQ76" i="2"/>
  <c r="HJ76" i="2"/>
  <c r="HC76" i="2"/>
  <c r="HQ75" i="2"/>
  <c r="HJ75" i="2"/>
  <c r="HC75" i="2"/>
  <c r="HQ74" i="2"/>
  <c r="HJ74" i="2"/>
  <c r="HC74" i="2"/>
  <c r="HB74" i="2"/>
  <c r="HQ73" i="2"/>
  <c r="HJ73" i="2"/>
  <c r="HC73" i="2"/>
  <c r="HQ72" i="2"/>
  <c r="HJ72" i="2"/>
  <c r="HC72" i="2"/>
  <c r="HQ71" i="2"/>
  <c r="HJ71" i="2"/>
  <c r="HC71" i="2"/>
  <c r="HQ70" i="2"/>
  <c r="HJ70" i="2"/>
  <c r="HC70" i="2"/>
  <c r="HQ69" i="2"/>
  <c r="HJ69" i="2"/>
  <c r="HC69" i="2"/>
  <c r="HQ68" i="2"/>
  <c r="HJ68" i="2"/>
  <c r="HC68" i="2"/>
  <c r="HQ67" i="2"/>
  <c r="HJ67" i="2"/>
  <c r="HC67" i="2"/>
  <c r="HQ66" i="2"/>
  <c r="HJ66" i="2"/>
  <c r="HC66" i="2"/>
  <c r="HQ65" i="2"/>
  <c r="HJ65" i="2"/>
  <c r="HC65" i="2"/>
  <c r="HQ64" i="2"/>
  <c r="HJ64" i="2"/>
  <c r="HC64" i="2"/>
  <c r="HQ63" i="2"/>
  <c r="HJ63" i="2"/>
  <c r="HC63" i="2"/>
  <c r="HQ62" i="2"/>
  <c r="HP62" i="2"/>
  <c r="HJ62" i="2"/>
  <c r="HC62" i="2"/>
  <c r="HB62" i="2"/>
  <c r="HQ61" i="2"/>
  <c r="HJ61" i="2"/>
  <c r="HC61" i="2"/>
  <c r="HQ60" i="2"/>
  <c r="HJ60" i="2"/>
  <c r="HC60" i="2"/>
  <c r="HQ59" i="2"/>
  <c r="HJ59" i="2"/>
  <c r="HC59" i="2"/>
  <c r="HQ58" i="2"/>
  <c r="HP58" i="2"/>
  <c r="HJ58" i="2"/>
  <c r="HC58" i="2"/>
  <c r="HQ57" i="2"/>
  <c r="HJ57" i="2"/>
  <c r="HC57" i="2"/>
  <c r="HQ56" i="2"/>
  <c r="HP56" i="2"/>
  <c r="HJ56" i="2"/>
  <c r="HI56" i="2"/>
  <c r="HC56" i="2"/>
  <c r="HB56" i="2"/>
  <c r="HQ54" i="2"/>
  <c r="HJ54" i="2"/>
  <c r="HC54" i="2"/>
  <c r="HQ53" i="2"/>
  <c r="HJ53" i="2"/>
  <c r="HC53" i="2"/>
  <c r="HQ52" i="2"/>
  <c r="HJ52" i="2"/>
  <c r="HC52" i="2"/>
  <c r="HQ51" i="2"/>
  <c r="HJ51" i="2"/>
  <c r="HC51" i="2"/>
  <c r="HQ50" i="2"/>
  <c r="HJ50" i="2"/>
  <c r="HC50" i="2"/>
  <c r="HQ49" i="2"/>
  <c r="HJ49" i="2"/>
  <c r="HC49" i="2"/>
  <c r="HQ48" i="2"/>
  <c r="HJ48" i="2"/>
  <c r="HC48" i="2"/>
  <c r="HB48" i="2"/>
  <c r="HQ47" i="2"/>
  <c r="HJ47" i="2"/>
  <c r="HC47" i="2"/>
  <c r="HQ46" i="2"/>
  <c r="HJ46" i="2"/>
  <c r="HC46" i="2"/>
  <c r="HB46" i="2"/>
  <c r="HQ45" i="2"/>
  <c r="HJ45" i="2"/>
  <c r="HC45" i="2"/>
  <c r="HQ44" i="2"/>
  <c r="HJ44" i="2"/>
  <c r="HC44" i="2"/>
  <c r="HQ43" i="2"/>
  <c r="HJ43" i="2"/>
  <c r="HC43" i="2"/>
  <c r="HQ42" i="2"/>
  <c r="HJ42" i="2"/>
  <c r="HC42" i="2"/>
  <c r="HQ41" i="2"/>
  <c r="HJ41" i="2"/>
  <c r="HC41" i="2"/>
  <c r="HQ40" i="2"/>
  <c r="HJ40" i="2"/>
  <c r="HC40" i="2"/>
  <c r="HQ39" i="2"/>
  <c r="HJ39" i="2"/>
  <c r="HC39" i="2"/>
  <c r="HQ38" i="2"/>
  <c r="HJ38" i="2"/>
  <c r="HC38" i="2"/>
  <c r="HQ37" i="2"/>
  <c r="HJ37" i="2"/>
  <c r="HC37" i="2"/>
  <c r="HQ36" i="2"/>
  <c r="HJ36" i="2"/>
  <c r="HC36" i="2"/>
  <c r="HQ35" i="2"/>
  <c r="HJ35" i="2"/>
  <c r="HC35" i="2"/>
  <c r="HB35" i="2"/>
  <c r="HQ34" i="2"/>
  <c r="HJ34" i="2"/>
  <c r="HI34" i="2"/>
  <c r="HC34" i="2"/>
  <c r="HQ33" i="2"/>
  <c r="HJ33" i="2"/>
  <c r="HC33" i="2"/>
  <c r="HQ32" i="2"/>
  <c r="HJ32" i="2"/>
  <c r="HC32" i="2"/>
  <c r="HQ31" i="2"/>
  <c r="HJ31" i="2"/>
  <c r="HC31" i="2"/>
  <c r="HB31" i="2"/>
  <c r="HQ29" i="2"/>
  <c r="HJ29" i="2"/>
  <c r="HC29" i="2"/>
  <c r="HQ28" i="2"/>
  <c r="HJ28" i="2"/>
  <c r="HC28" i="2"/>
  <c r="HQ27" i="2"/>
  <c r="HJ27" i="2"/>
  <c r="HC27" i="2"/>
  <c r="HQ26" i="2"/>
  <c r="HJ26" i="2"/>
  <c r="HC26" i="2"/>
  <c r="HQ25" i="2"/>
  <c r="HJ25" i="2"/>
  <c r="HC25" i="2"/>
  <c r="HB25" i="2"/>
  <c r="HQ24" i="2"/>
  <c r="HJ24" i="2"/>
  <c r="HI24" i="2"/>
  <c r="HC24" i="2"/>
  <c r="HQ23" i="2"/>
  <c r="HJ23" i="2"/>
  <c r="HI23" i="2"/>
  <c r="HC23" i="2"/>
  <c r="HQ22" i="2"/>
  <c r="HJ22" i="2"/>
  <c r="HC22" i="2"/>
  <c r="HQ21" i="2"/>
  <c r="HJ21" i="2"/>
  <c r="HC21" i="2"/>
  <c r="HQ20" i="2"/>
  <c r="HJ20" i="2"/>
  <c r="HC20" i="2"/>
  <c r="HQ19" i="2"/>
  <c r="HJ19" i="2"/>
  <c r="HC19" i="2"/>
  <c r="HQ18" i="2"/>
  <c r="HJ18" i="2"/>
  <c r="HC18" i="2"/>
  <c r="HQ17" i="2"/>
  <c r="HJ17" i="2"/>
  <c r="HC17" i="2"/>
  <c r="HQ16" i="2"/>
  <c r="HJ16" i="2"/>
  <c r="HC16" i="2"/>
  <c r="HQ15" i="2"/>
  <c r="HJ15" i="2"/>
  <c r="HC15" i="2"/>
  <c r="HQ14" i="2"/>
  <c r="HJ14" i="2"/>
  <c r="HC14" i="2"/>
  <c r="HQ13" i="2"/>
  <c r="HJ13" i="2"/>
  <c r="HC13" i="2"/>
  <c r="HQ12" i="2"/>
  <c r="HJ12" i="2"/>
  <c r="HC12" i="2"/>
  <c r="HQ11" i="2"/>
  <c r="HJ11" i="2"/>
  <c r="HC11" i="2"/>
  <c r="HQ10" i="2"/>
  <c r="HJ10" i="2"/>
  <c r="HC10" i="2"/>
  <c r="HQ9" i="2"/>
  <c r="HJ9" i="2"/>
  <c r="HC9" i="2"/>
  <c r="HQ8" i="2"/>
  <c r="HJ8" i="2"/>
  <c r="HC8" i="2"/>
  <c r="HQ7" i="2"/>
  <c r="HJ7" i="2"/>
  <c r="HC7" i="2"/>
  <c r="HQ6" i="2"/>
  <c r="HJ6" i="2"/>
  <c r="HC6" i="2"/>
  <c r="GU132" i="2"/>
  <c r="GN132" i="2"/>
  <c r="GG132" i="2"/>
  <c r="GU128" i="2"/>
  <c r="GN128" i="2"/>
  <c r="GG128" i="2"/>
  <c r="GV123" i="2"/>
  <c r="GU123" i="2"/>
  <c r="GO123" i="2"/>
  <c r="GN123" i="2"/>
  <c r="GH123" i="2"/>
  <c r="GG123" i="2"/>
  <c r="GV120" i="2"/>
  <c r="GU120" i="2"/>
  <c r="GO120" i="2"/>
  <c r="GN120" i="2"/>
  <c r="GH120" i="2"/>
  <c r="GG120" i="2"/>
  <c r="GV117" i="2"/>
  <c r="GU117" i="2"/>
  <c r="GO117" i="2"/>
  <c r="GN117" i="2"/>
  <c r="GH117" i="2"/>
  <c r="GG117" i="2"/>
  <c r="GV116" i="2"/>
  <c r="GU116" i="2"/>
  <c r="GO116" i="2"/>
  <c r="GN116" i="2"/>
  <c r="GH116" i="2"/>
  <c r="GG116" i="2"/>
  <c r="GV113" i="2"/>
  <c r="GU113" i="2"/>
  <c r="GO113" i="2"/>
  <c r="GN113" i="2"/>
  <c r="GH113" i="2"/>
  <c r="GG113" i="2"/>
  <c r="GV112" i="2"/>
  <c r="GU112" i="2"/>
  <c r="GO112" i="2"/>
  <c r="GN112" i="2"/>
  <c r="GH112" i="2"/>
  <c r="GG112" i="2"/>
  <c r="GV111" i="2"/>
  <c r="GU111" i="2"/>
  <c r="GO111" i="2"/>
  <c r="GN111" i="2"/>
  <c r="GH111" i="2"/>
  <c r="GG111" i="2"/>
  <c r="GV110" i="2"/>
  <c r="GU110" i="2"/>
  <c r="GO110" i="2"/>
  <c r="GN110" i="2"/>
  <c r="GH110" i="2"/>
  <c r="GG110" i="2"/>
  <c r="GV107" i="2"/>
  <c r="GU107" i="2"/>
  <c r="GO107" i="2"/>
  <c r="GN107" i="2"/>
  <c r="GH107" i="2"/>
  <c r="GG107" i="2"/>
  <c r="GV106" i="2"/>
  <c r="GU106" i="2"/>
  <c r="GO106" i="2"/>
  <c r="GN106" i="2"/>
  <c r="GH106" i="2"/>
  <c r="GG106" i="2"/>
  <c r="GV105" i="2"/>
  <c r="GU105" i="2"/>
  <c r="GO105" i="2"/>
  <c r="GN105" i="2"/>
  <c r="GH105" i="2"/>
  <c r="GG105" i="2"/>
  <c r="GV104" i="2"/>
  <c r="GU104" i="2"/>
  <c r="GO104" i="2"/>
  <c r="GN104" i="2"/>
  <c r="GH104" i="2"/>
  <c r="GG104" i="2"/>
  <c r="GV103" i="2"/>
  <c r="GU103" i="2"/>
  <c r="GO103" i="2"/>
  <c r="GN103" i="2"/>
  <c r="GH103" i="2"/>
  <c r="GG103" i="2"/>
  <c r="GV102" i="2"/>
  <c r="GU102" i="2"/>
  <c r="GO102" i="2"/>
  <c r="GN102" i="2"/>
  <c r="GH102" i="2"/>
  <c r="GG102" i="2"/>
  <c r="GV101" i="2"/>
  <c r="GU101" i="2"/>
  <c r="GO101" i="2"/>
  <c r="GN101" i="2"/>
  <c r="GH101" i="2"/>
  <c r="GG101" i="2"/>
  <c r="GV100" i="2"/>
  <c r="GO100" i="2"/>
  <c r="GH100" i="2"/>
  <c r="GV97" i="2"/>
  <c r="GO97" i="2"/>
  <c r="GH97" i="2"/>
  <c r="GG97" i="2"/>
  <c r="GV96" i="2"/>
  <c r="GO96" i="2"/>
  <c r="GH96" i="2"/>
  <c r="GV95" i="2"/>
  <c r="GO95" i="2"/>
  <c r="GH95" i="2"/>
  <c r="GV94" i="2"/>
  <c r="GO94" i="2"/>
  <c r="GH94" i="2"/>
  <c r="GV93" i="2"/>
  <c r="GO93" i="2"/>
  <c r="GH93" i="2"/>
  <c r="GV92" i="2"/>
  <c r="GO92" i="2"/>
  <c r="GH92" i="2"/>
  <c r="GV91" i="2"/>
  <c r="GO91" i="2"/>
  <c r="GH91" i="2"/>
  <c r="GV90" i="2"/>
  <c r="GO90" i="2"/>
  <c r="GH90" i="2"/>
  <c r="GV89" i="2"/>
  <c r="GO89" i="2"/>
  <c r="GH89" i="2"/>
  <c r="GV88" i="2"/>
  <c r="GO88" i="2"/>
  <c r="GH88" i="2"/>
  <c r="GV87" i="2"/>
  <c r="GO87" i="2"/>
  <c r="GH87" i="2"/>
  <c r="GV86" i="2"/>
  <c r="GU86" i="2"/>
  <c r="GO86" i="2"/>
  <c r="GH86" i="2"/>
  <c r="GG86" i="2"/>
  <c r="GV85" i="2"/>
  <c r="GO85" i="2"/>
  <c r="GH85" i="2"/>
  <c r="GV84" i="2"/>
  <c r="GO84" i="2"/>
  <c r="GH84" i="2"/>
  <c r="GV83" i="2"/>
  <c r="GO83" i="2"/>
  <c r="GH83" i="2"/>
  <c r="GG83" i="2"/>
  <c r="GV82" i="2"/>
  <c r="GO82" i="2"/>
  <c r="GH82" i="2"/>
  <c r="GV79" i="2"/>
  <c r="GO79" i="2"/>
  <c r="GH79" i="2"/>
  <c r="GV78" i="2"/>
  <c r="GO78" i="2"/>
  <c r="GH78" i="2"/>
  <c r="GV77" i="2"/>
  <c r="GO77" i="2"/>
  <c r="GH77" i="2"/>
  <c r="GV76" i="2"/>
  <c r="GO76" i="2"/>
  <c r="GH76" i="2"/>
  <c r="GV75" i="2"/>
  <c r="GO75" i="2"/>
  <c r="GH75" i="2"/>
  <c r="GV74" i="2"/>
  <c r="GO74" i="2"/>
  <c r="GH74" i="2"/>
  <c r="GV73" i="2"/>
  <c r="GO73" i="2"/>
  <c r="GH73" i="2"/>
  <c r="GV72" i="2"/>
  <c r="GU72" i="2"/>
  <c r="GO72" i="2"/>
  <c r="GN72" i="2"/>
  <c r="GH72" i="2"/>
  <c r="GV71" i="2"/>
  <c r="GO71" i="2"/>
  <c r="GH71" i="2"/>
  <c r="GV70" i="2"/>
  <c r="GO70" i="2"/>
  <c r="GH70" i="2"/>
  <c r="GV69" i="2"/>
  <c r="GO69" i="2"/>
  <c r="GH69" i="2"/>
  <c r="GV68" i="2"/>
  <c r="GO68" i="2"/>
  <c r="GH68" i="2"/>
  <c r="GV67" i="2"/>
  <c r="GO67" i="2"/>
  <c r="GH67" i="2"/>
  <c r="GV66" i="2"/>
  <c r="GO66" i="2"/>
  <c r="GH66" i="2"/>
  <c r="GV65" i="2"/>
  <c r="GO65" i="2"/>
  <c r="GH65" i="2"/>
  <c r="GV64" i="2"/>
  <c r="GU64" i="2"/>
  <c r="GO64" i="2"/>
  <c r="GN64" i="2"/>
  <c r="GH64" i="2"/>
  <c r="GG64" i="2"/>
  <c r="GV63" i="2"/>
  <c r="GO63" i="2"/>
  <c r="GH63" i="2"/>
  <c r="GV62" i="2"/>
  <c r="GO62" i="2"/>
  <c r="GN62" i="2"/>
  <c r="GH62" i="2"/>
  <c r="GV61" i="2"/>
  <c r="GO61" i="2"/>
  <c r="GH61" i="2"/>
  <c r="GV60" i="2"/>
  <c r="GO60" i="2"/>
  <c r="GH60" i="2"/>
  <c r="GV59" i="2"/>
  <c r="GO59" i="2"/>
  <c r="GH59" i="2"/>
  <c r="GV58" i="2"/>
  <c r="GU58" i="2"/>
  <c r="GO58" i="2"/>
  <c r="GN58" i="2"/>
  <c r="GH58" i="2"/>
  <c r="GV57" i="2"/>
  <c r="GO57" i="2"/>
  <c r="GH57" i="2"/>
  <c r="GV56" i="2"/>
  <c r="GO56" i="2"/>
  <c r="GN56" i="2"/>
  <c r="GH56" i="2"/>
  <c r="GV54" i="2"/>
  <c r="GO54" i="2"/>
  <c r="GH54" i="2"/>
  <c r="GV53" i="2"/>
  <c r="GO53" i="2"/>
  <c r="GH53" i="2"/>
  <c r="GG53" i="2"/>
  <c r="GV52" i="2"/>
  <c r="GO52" i="2"/>
  <c r="GH52" i="2"/>
  <c r="GV51" i="2"/>
  <c r="GO51" i="2"/>
  <c r="GH51" i="2"/>
  <c r="GV50" i="2"/>
  <c r="GU50" i="2"/>
  <c r="GO50" i="2"/>
  <c r="GH50" i="2"/>
  <c r="GV49" i="2"/>
  <c r="GO49" i="2"/>
  <c r="GH49" i="2"/>
  <c r="GV48" i="2"/>
  <c r="GO48" i="2"/>
  <c r="GN48" i="2"/>
  <c r="GH48" i="2"/>
  <c r="GV47" i="2"/>
  <c r="GO47" i="2"/>
  <c r="GH47" i="2"/>
  <c r="GV46" i="2"/>
  <c r="GO46" i="2"/>
  <c r="GH46" i="2"/>
  <c r="GV45" i="2"/>
  <c r="GO45" i="2"/>
  <c r="GH45" i="2"/>
  <c r="GV44" i="2"/>
  <c r="GO44" i="2"/>
  <c r="GH44" i="2"/>
  <c r="GV43" i="2"/>
  <c r="GO43" i="2"/>
  <c r="GH43" i="2"/>
  <c r="GV42" i="2"/>
  <c r="GO42" i="2"/>
  <c r="GH42" i="2"/>
  <c r="GV41" i="2"/>
  <c r="GO41" i="2"/>
  <c r="GH41" i="2"/>
  <c r="GV40" i="2"/>
  <c r="GU40" i="2"/>
  <c r="GO40" i="2"/>
  <c r="GN40" i="2"/>
  <c r="GH40" i="2"/>
  <c r="GV39" i="2"/>
  <c r="GO39" i="2"/>
  <c r="GH39" i="2"/>
  <c r="GV38" i="2"/>
  <c r="GO38" i="2"/>
  <c r="GH38" i="2"/>
  <c r="GV37" i="2"/>
  <c r="GO37" i="2"/>
  <c r="GH37" i="2"/>
  <c r="GV36" i="2"/>
  <c r="GO36" i="2"/>
  <c r="GH36" i="2"/>
  <c r="GV35" i="2"/>
  <c r="GU35" i="2"/>
  <c r="GO35" i="2"/>
  <c r="GN35" i="2"/>
  <c r="GH35" i="2"/>
  <c r="GV34" i="2"/>
  <c r="GO34" i="2"/>
  <c r="GH34" i="2"/>
  <c r="GV33" i="2"/>
  <c r="GO33" i="2"/>
  <c r="GH33" i="2"/>
  <c r="GV32" i="2"/>
  <c r="GO32" i="2"/>
  <c r="GH32" i="2"/>
  <c r="GV31" i="2"/>
  <c r="GO31" i="2"/>
  <c r="GH31" i="2"/>
  <c r="GV29" i="2"/>
  <c r="GO29" i="2"/>
  <c r="GH29" i="2"/>
  <c r="GV28" i="2"/>
  <c r="GO28" i="2"/>
  <c r="GH28" i="2"/>
  <c r="GV27" i="2"/>
  <c r="GO27" i="2"/>
  <c r="GH27" i="2"/>
  <c r="GV26" i="2"/>
  <c r="GO26" i="2"/>
  <c r="GH26" i="2"/>
  <c r="GV25" i="2"/>
  <c r="GO25" i="2"/>
  <c r="GH25" i="2"/>
  <c r="GV24" i="2"/>
  <c r="GU24" i="2"/>
  <c r="GO24" i="2"/>
  <c r="GH24" i="2"/>
  <c r="GV23" i="2"/>
  <c r="GO23" i="2"/>
  <c r="GH23" i="2"/>
  <c r="GV22" i="2"/>
  <c r="GO22" i="2"/>
  <c r="GH22" i="2"/>
  <c r="GV21" i="2"/>
  <c r="GO21" i="2"/>
  <c r="GH21" i="2"/>
  <c r="GV20" i="2"/>
  <c r="GO20" i="2"/>
  <c r="GH20" i="2"/>
  <c r="GV19" i="2"/>
  <c r="GO19" i="2"/>
  <c r="GH19" i="2"/>
  <c r="GV18" i="2"/>
  <c r="GO18" i="2"/>
  <c r="GH18" i="2"/>
  <c r="GV17" i="2"/>
  <c r="GO17" i="2"/>
  <c r="GH17" i="2"/>
  <c r="GV16" i="2"/>
  <c r="GO16" i="2"/>
  <c r="GH16" i="2"/>
  <c r="GV15" i="2"/>
  <c r="GU15" i="2"/>
  <c r="GO15" i="2"/>
  <c r="GH15" i="2"/>
  <c r="GV14" i="2"/>
  <c r="GO14" i="2"/>
  <c r="GH14" i="2"/>
  <c r="GV13" i="2"/>
  <c r="GO13" i="2"/>
  <c r="GH13" i="2"/>
  <c r="GV12" i="2"/>
  <c r="GO12" i="2"/>
  <c r="GH12" i="2"/>
  <c r="GV11" i="2"/>
  <c r="GO11" i="2"/>
  <c r="GH11" i="2"/>
  <c r="GV10" i="2"/>
  <c r="GO10" i="2"/>
  <c r="GH10" i="2"/>
  <c r="GV9" i="2"/>
  <c r="GO9" i="2"/>
  <c r="GH9" i="2"/>
  <c r="GV8" i="2"/>
  <c r="GO8" i="2"/>
  <c r="GH8" i="2"/>
  <c r="GV7" i="2"/>
  <c r="GO7" i="2"/>
  <c r="GH7" i="2"/>
  <c r="GV6" i="2"/>
  <c r="GO6" i="2"/>
  <c r="GH6" i="2"/>
  <c r="FZ132" i="2"/>
  <c r="FZ128" i="2"/>
  <c r="GA123" i="2"/>
  <c r="FZ123" i="2"/>
  <c r="GA120" i="2"/>
  <c r="FZ120" i="2"/>
  <c r="GA117" i="2"/>
  <c r="FZ117" i="2"/>
  <c r="GA116" i="2"/>
  <c r="FZ116" i="2"/>
  <c r="GA113" i="2"/>
  <c r="FZ113" i="2"/>
  <c r="GA112" i="2"/>
  <c r="FZ112" i="2"/>
  <c r="GA111" i="2"/>
  <c r="FZ111" i="2"/>
  <c r="GA110" i="2"/>
  <c r="FZ110" i="2"/>
  <c r="GA107" i="2"/>
  <c r="FZ107" i="2"/>
  <c r="GA106" i="2"/>
  <c r="FZ106" i="2"/>
  <c r="GA105" i="2"/>
  <c r="FZ105" i="2"/>
  <c r="GA104" i="2"/>
  <c r="FZ104" i="2"/>
  <c r="GA103" i="2"/>
  <c r="FZ103" i="2"/>
  <c r="GA102" i="2"/>
  <c r="FZ102" i="2"/>
  <c r="GA101" i="2"/>
  <c r="FZ101" i="2"/>
  <c r="GA100" i="2"/>
  <c r="GA97" i="2"/>
  <c r="GA96" i="2"/>
  <c r="GA95" i="2"/>
  <c r="GA94" i="2"/>
  <c r="GA93" i="2"/>
  <c r="GA92" i="2"/>
  <c r="GA91" i="2"/>
  <c r="GA90" i="2"/>
  <c r="GA89" i="2"/>
  <c r="GA88" i="2"/>
  <c r="FZ88" i="2"/>
  <c r="GA87" i="2"/>
  <c r="GA86" i="2"/>
  <c r="GA85" i="2"/>
  <c r="GA84" i="2"/>
  <c r="GA83" i="2"/>
  <c r="GA82" i="2"/>
  <c r="GA79" i="2"/>
  <c r="GA78" i="2"/>
  <c r="GA77" i="2"/>
  <c r="GA76" i="2"/>
  <c r="GA75" i="2"/>
  <c r="GA74" i="2"/>
  <c r="GA73" i="2"/>
  <c r="GA72" i="2"/>
  <c r="GA71" i="2"/>
  <c r="GA70" i="2"/>
  <c r="GA69" i="2"/>
  <c r="GA68" i="2"/>
  <c r="GA67" i="2"/>
  <c r="GA66" i="2"/>
  <c r="GA65" i="2"/>
  <c r="GA64" i="2"/>
  <c r="GA63" i="2"/>
  <c r="GA62" i="2"/>
  <c r="GA61" i="2"/>
  <c r="GA60" i="2"/>
  <c r="GA59" i="2"/>
  <c r="GA58" i="2"/>
  <c r="GA57" i="2"/>
  <c r="GA56" i="2"/>
  <c r="GA54" i="2"/>
  <c r="GA53" i="2"/>
  <c r="GA52" i="2"/>
  <c r="GA51" i="2"/>
  <c r="GA50" i="2"/>
  <c r="GA49" i="2"/>
  <c r="GA48" i="2"/>
  <c r="GA47" i="2"/>
  <c r="GA46" i="2"/>
  <c r="GA45" i="2"/>
  <c r="GA44" i="2"/>
  <c r="GA43" i="2"/>
  <c r="GA42" i="2"/>
  <c r="GA41" i="2"/>
  <c r="GA40" i="2"/>
  <c r="GA39" i="2"/>
  <c r="GA38" i="2"/>
  <c r="GA37" i="2"/>
  <c r="GA36" i="2"/>
  <c r="GA35" i="2"/>
  <c r="GA34" i="2"/>
  <c r="GA33" i="2"/>
  <c r="GA32" i="2"/>
  <c r="GA31" i="2"/>
  <c r="GA29" i="2"/>
  <c r="GA28" i="2"/>
  <c r="GA27" i="2"/>
  <c r="GA26" i="2"/>
  <c r="GA25" i="2"/>
  <c r="GA24" i="2"/>
  <c r="GA23" i="2"/>
  <c r="GA22" i="2"/>
  <c r="GA21" i="2"/>
  <c r="GA20" i="2"/>
  <c r="GA19" i="2"/>
  <c r="GA18" i="2"/>
  <c r="GA17" i="2"/>
  <c r="GA16" i="2"/>
  <c r="GA15" i="2"/>
  <c r="GA14" i="2"/>
  <c r="GA13" i="2"/>
  <c r="GA12" i="2"/>
  <c r="GA11" i="2"/>
  <c r="GA10" i="2"/>
  <c r="GA9" i="2"/>
  <c r="GA8" i="2"/>
  <c r="GA7" i="2"/>
  <c r="GA6" i="2"/>
  <c r="FS132" i="2"/>
  <c r="FS128" i="2"/>
  <c r="FT123" i="2"/>
  <c r="FS123" i="2"/>
  <c r="FT120" i="2"/>
  <c r="FS120" i="2"/>
  <c r="FT117" i="2"/>
  <c r="FS117" i="2"/>
  <c r="FT116" i="2"/>
  <c r="FS116" i="2"/>
  <c r="FT113" i="2"/>
  <c r="FS113" i="2"/>
  <c r="FT112" i="2"/>
  <c r="FS112" i="2"/>
  <c r="FT111" i="2"/>
  <c r="FS111" i="2"/>
  <c r="FT110" i="2"/>
  <c r="FS110" i="2"/>
  <c r="FT107" i="2"/>
  <c r="FS107" i="2"/>
  <c r="FT106" i="2"/>
  <c r="FS106" i="2"/>
  <c r="FT105" i="2"/>
  <c r="FS105" i="2"/>
  <c r="FT104" i="2"/>
  <c r="FS104" i="2"/>
  <c r="FT103" i="2"/>
  <c r="FS103" i="2"/>
  <c r="FT102" i="2"/>
  <c r="FS102" i="2"/>
  <c r="FT101" i="2"/>
  <c r="FS101" i="2"/>
  <c r="FT100" i="2"/>
  <c r="FT97" i="2"/>
  <c r="FT96" i="2"/>
  <c r="FT95" i="2"/>
  <c r="FT94" i="2"/>
  <c r="FT93" i="2"/>
  <c r="FT92" i="2"/>
  <c r="FT91" i="2"/>
  <c r="FT90" i="2"/>
  <c r="FT89" i="2"/>
  <c r="FT88" i="2"/>
  <c r="FT87" i="2"/>
  <c r="FT86" i="2"/>
  <c r="FT85" i="2"/>
  <c r="FT84" i="2"/>
  <c r="FT83" i="2"/>
  <c r="FS83" i="2"/>
  <c r="FT82" i="2"/>
  <c r="FS82" i="2"/>
  <c r="FT79" i="2"/>
  <c r="FT78" i="2"/>
  <c r="FT77" i="2"/>
  <c r="FT76" i="2"/>
  <c r="FT75" i="2"/>
  <c r="FT74" i="2"/>
  <c r="FT73" i="2"/>
  <c r="FT72" i="2"/>
  <c r="FT71" i="2"/>
  <c r="FT70" i="2"/>
  <c r="FT69" i="2"/>
  <c r="FT68" i="2"/>
  <c r="FT67" i="2"/>
  <c r="FT66" i="2"/>
  <c r="FT65" i="2"/>
  <c r="FT64" i="2"/>
  <c r="FT63" i="2"/>
  <c r="FT62" i="2"/>
  <c r="FT61" i="2"/>
  <c r="FT60" i="2"/>
  <c r="FT59" i="2"/>
  <c r="FT58" i="2"/>
  <c r="FT57" i="2"/>
  <c r="FT56" i="2"/>
  <c r="FS56" i="2"/>
  <c r="FT54" i="2"/>
  <c r="FS54" i="2"/>
  <c r="FT53" i="2"/>
  <c r="FT52" i="2"/>
  <c r="FT51" i="2"/>
  <c r="FT50" i="2"/>
  <c r="FT49" i="2"/>
  <c r="FT48" i="2"/>
  <c r="FS48" i="2"/>
  <c r="FT47" i="2"/>
  <c r="FT46" i="2"/>
  <c r="FT45" i="2"/>
  <c r="FT44" i="2"/>
  <c r="FT43" i="2"/>
  <c r="FT42" i="2"/>
  <c r="FT41" i="2"/>
  <c r="FT40" i="2"/>
  <c r="FT39" i="2"/>
  <c r="FT38" i="2"/>
  <c r="FT37" i="2"/>
  <c r="FT36" i="2"/>
  <c r="FT35" i="2"/>
  <c r="FT34" i="2"/>
  <c r="FS34" i="2"/>
  <c r="FT33" i="2"/>
  <c r="FT32" i="2"/>
  <c r="FT31" i="2"/>
  <c r="FT29" i="2"/>
  <c r="FT28" i="2"/>
  <c r="FT27" i="2"/>
  <c r="FT26" i="2"/>
  <c r="FT25" i="2"/>
  <c r="FS25" i="2"/>
  <c r="FT24" i="2"/>
  <c r="FT23" i="2"/>
  <c r="FT22" i="2"/>
  <c r="FT21" i="2"/>
  <c r="FT20" i="2"/>
  <c r="FT19" i="2"/>
  <c r="FT18" i="2"/>
  <c r="FT17" i="2"/>
  <c r="FT16" i="2"/>
  <c r="FT15" i="2"/>
  <c r="FT14" i="2"/>
  <c r="FT13" i="2"/>
  <c r="FT12" i="2"/>
  <c r="FS12" i="2"/>
  <c r="FT11" i="2"/>
  <c r="FT10" i="2"/>
  <c r="FT9" i="2"/>
  <c r="FT8" i="2"/>
  <c r="FT7" i="2"/>
  <c r="FT6" i="2"/>
  <c r="FL132" i="2"/>
  <c r="U128" i="2"/>
  <c r="AI128" i="2"/>
  <c r="FE132" i="2"/>
  <c r="EX132" i="2"/>
  <c r="EQ132" i="2"/>
  <c r="EJ132" i="2"/>
  <c r="EC132" i="2"/>
  <c r="DV132" i="2"/>
  <c r="DO132" i="2"/>
  <c r="DH132" i="2"/>
  <c r="DA132" i="2"/>
  <c r="CT132" i="2"/>
  <c r="CM132" i="2"/>
  <c r="CF132" i="2"/>
  <c r="BY132" i="2"/>
  <c r="BR132" i="2"/>
  <c r="BK132" i="2"/>
  <c r="BD132" i="2"/>
  <c r="AW132" i="2"/>
  <c r="AP132" i="2"/>
  <c r="AI132" i="2"/>
  <c r="AB132" i="2"/>
  <c r="U132" i="2"/>
  <c r="N132" i="2"/>
  <c r="V6" i="2"/>
  <c r="AC6" i="2"/>
  <c r="V7" i="2"/>
  <c r="AC7" i="2"/>
  <c r="V8" i="2"/>
  <c r="AC8" i="2"/>
  <c r="V9" i="2"/>
  <c r="AC9" i="2"/>
  <c r="V10" i="2"/>
  <c r="AC10" i="2"/>
  <c r="V11" i="2"/>
  <c r="AC11" i="2"/>
  <c r="U12" i="2"/>
  <c r="V12" i="2"/>
  <c r="AC12" i="2"/>
  <c r="V13" i="2"/>
  <c r="AC13" i="2"/>
  <c r="V14" i="2"/>
  <c r="AC14" i="2"/>
  <c r="V15" i="2"/>
  <c r="AC15" i="2"/>
  <c r="V16" i="2"/>
  <c r="AC16" i="2"/>
  <c r="V17" i="2"/>
  <c r="AC17" i="2"/>
  <c r="V18" i="2"/>
  <c r="AC18" i="2"/>
  <c r="V19" i="2"/>
  <c r="AC19" i="2"/>
  <c r="V20" i="2"/>
  <c r="AC20" i="2"/>
  <c r="V21" i="2"/>
  <c r="AC21" i="2"/>
  <c r="V22" i="2"/>
  <c r="AC22" i="2"/>
  <c r="V23" i="2"/>
  <c r="AC23" i="2"/>
  <c r="V24" i="2"/>
  <c r="AC24" i="2"/>
  <c r="V25" i="2"/>
  <c r="AC25" i="2"/>
  <c r="V26" i="2"/>
  <c r="AC26" i="2"/>
  <c r="V27" i="2"/>
  <c r="AC27" i="2"/>
  <c r="V28" i="2"/>
  <c r="AC28" i="2"/>
  <c r="V29" i="2"/>
  <c r="AC29" i="2"/>
  <c r="V31" i="2"/>
  <c r="AC31" i="2"/>
  <c r="V32" i="2"/>
  <c r="AC32" i="2"/>
  <c r="V33" i="2"/>
  <c r="AC33" i="2"/>
  <c r="V34" i="2"/>
  <c r="AC34" i="2"/>
  <c r="V35" i="2"/>
  <c r="AC35" i="2"/>
  <c r="U36" i="2"/>
  <c r="V36" i="2"/>
  <c r="AB36" i="2"/>
  <c r="AC36" i="2"/>
  <c r="V37" i="2"/>
  <c r="AC37" i="2"/>
  <c r="V38" i="2"/>
  <c r="AC38" i="2"/>
  <c r="V39" i="2"/>
  <c r="AC39" i="2"/>
  <c r="V40" i="2"/>
  <c r="AB40" i="2"/>
  <c r="AC40" i="2"/>
  <c r="V41" i="2"/>
  <c r="AC41" i="2"/>
  <c r="V42" i="2"/>
  <c r="AC42" i="2"/>
  <c r="V43" i="2"/>
  <c r="AC43" i="2"/>
  <c r="V44" i="2"/>
  <c r="AC44" i="2"/>
  <c r="V45" i="2"/>
  <c r="AC45" i="2"/>
  <c r="V46" i="2"/>
  <c r="AC46" i="2"/>
  <c r="V47" i="2"/>
  <c r="AC47" i="2"/>
  <c r="U48" i="2"/>
  <c r="V48" i="2"/>
  <c r="AC48" i="2"/>
  <c r="V49" i="2"/>
  <c r="AC49" i="2"/>
  <c r="V50" i="2"/>
  <c r="AC50" i="2"/>
  <c r="V51" i="2"/>
  <c r="AC51" i="2"/>
  <c r="V52" i="2"/>
  <c r="AC52" i="2"/>
  <c r="V53" i="2"/>
  <c r="AB53" i="2"/>
  <c r="AC53" i="2"/>
  <c r="V54" i="2"/>
  <c r="AC54" i="2"/>
  <c r="V56" i="2"/>
  <c r="AC56" i="2"/>
  <c r="V57" i="2"/>
  <c r="AC57" i="2"/>
  <c r="V58" i="2"/>
  <c r="AC58" i="2"/>
  <c r="V59" i="2"/>
  <c r="AC59" i="2"/>
  <c r="V60" i="2"/>
  <c r="AC60" i="2"/>
  <c r="V61" i="2"/>
  <c r="AC61" i="2"/>
  <c r="V62" i="2"/>
  <c r="AC62" i="2"/>
  <c r="V63" i="2"/>
  <c r="AC63" i="2"/>
  <c r="V64" i="2"/>
  <c r="AC64" i="2"/>
  <c r="V65" i="2"/>
  <c r="AC65" i="2"/>
  <c r="V66" i="2"/>
  <c r="AC66" i="2"/>
  <c r="V67" i="2"/>
  <c r="AB67" i="2"/>
  <c r="AC67" i="2"/>
  <c r="V68" i="2"/>
  <c r="AC68" i="2"/>
  <c r="V69" i="2"/>
  <c r="AC69" i="2"/>
  <c r="V70" i="2"/>
  <c r="AC70" i="2"/>
  <c r="V71" i="2"/>
  <c r="AC71" i="2"/>
  <c r="V72" i="2"/>
  <c r="AC72" i="2"/>
  <c r="V73" i="2"/>
  <c r="AC73" i="2"/>
  <c r="V74" i="2"/>
  <c r="AB74" i="2"/>
  <c r="AC74" i="2"/>
  <c r="V75" i="2"/>
  <c r="AC75" i="2"/>
  <c r="V76" i="2"/>
  <c r="AC76" i="2"/>
  <c r="V77" i="2"/>
  <c r="AC77" i="2"/>
  <c r="V78" i="2"/>
  <c r="AC78" i="2"/>
  <c r="V79" i="2"/>
  <c r="AC79" i="2"/>
  <c r="V82" i="2"/>
  <c r="AB82" i="2"/>
  <c r="AC82" i="2"/>
  <c r="V83" i="2"/>
  <c r="AB83" i="2"/>
  <c r="AC83" i="2"/>
  <c r="V84" i="2"/>
  <c r="AB84" i="2"/>
  <c r="AC84" i="2"/>
  <c r="V85" i="2"/>
  <c r="AB85" i="2"/>
  <c r="AC85" i="2"/>
  <c r="V86" i="2"/>
  <c r="AB86" i="2"/>
  <c r="AC86" i="2"/>
  <c r="V87" i="2"/>
  <c r="AB87" i="2"/>
  <c r="AC87" i="2"/>
  <c r="U88" i="2"/>
  <c r="V88" i="2"/>
  <c r="AB88" i="2"/>
  <c r="AC88" i="2"/>
  <c r="V89" i="2"/>
  <c r="AB89" i="2"/>
  <c r="AC89" i="2"/>
  <c r="V90" i="2"/>
  <c r="AB90" i="2"/>
  <c r="AC90" i="2"/>
  <c r="V91" i="2"/>
  <c r="AB91" i="2"/>
  <c r="AC91" i="2"/>
  <c r="V92" i="2"/>
  <c r="AB92" i="2"/>
  <c r="AC92" i="2"/>
  <c r="V93" i="2"/>
  <c r="AB93" i="2"/>
  <c r="AC93" i="2"/>
  <c r="V94" i="2"/>
  <c r="AB94" i="2"/>
  <c r="AC94" i="2"/>
  <c r="V95" i="2"/>
  <c r="AB95" i="2"/>
  <c r="AC95" i="2"/>
  <c r="V96" i="2"/>
  <c r="AB96" i="2"/>
  <c r="AC96" i="2"/>
  <c r="V97" i="2"/>
  <c r="AB97" i="2"/>
  <c r="AC97" i="2"/>
  <c r="U100" i="2"/>
  <c r="V100" i="2"/>
  <c r="AB100" i="2"/>
  <c r="AC100" i="2"/>
  <c r="U101" i="2"/>
  <c r="V101" i="2"/>
  <c r="AB101" i="2"/>
  <c r="AC101" i="2"/>
  <c r="U102" i="2"/>
  <c r="V102" i="2"/>
  <c r="AB102" i="2"/>
  <c r="AC102" i="2"/>
  <c r="U103" i="2"/>
  <c r="V103" i="2"/>
  <c r="AB103" i="2"/>
  <c r="AC103" i="2"/>
  <c r="U104" i="2"/>
  <c r="V104" i="2"/>
  <c r="AB104" i="2"/>
  <c r="AC104" i="2"/>
  <c r="U105" i="2"/>
  <c r="V105" i="2"/>
  <c r="AB105" i="2"/>
  <c r="AC105" i="2"/>
  <c r="U106" i="2"/>
  <c r="V106" i="2"/>
  <c r="AB106" i="2"/>
  <c r="AC106" i="2"/>
  <c r="U107" i="2"/>
  <c r="V107" i="2"/>
  <c r="AB107" i="2"/>
  <c r="AC107" i="2"/>
  <c r="U110" i="2"/>
  <c r="V110" i="2"/>
  <c r="AB110" i="2"/>
  <c r="AC110" i="2"/>
  <c r="U111" i="2"/>
  <c r="V111" i="2"/>
  <c r="AB111" i="2"/>
  <c r="AC111" i="2"/>
  <c r="U112" i="2"/>
  <c r="V112" i="2"/>
  <c r="AB112" i="2"/>
  <c r="AC112" i="2"/>
  <c r="U113" i="2"/>
  <c r="V113" i="2"/>
  <c r="AB113" i="2"/>
  <c r="AC113" i="2"/>
  <c r="U116" i="2"/>
  <c r="V116" i="2"/>
  <c r="AB116" i="2"/>
  <c r="AC116" i="2"/>
  <c r="U117" i="2"/>
  <c r="V117" i="2"/>
  <c r="AB117" i="2"/>
  <c r="AC117" i="2"/>
  <c r="U120" i="2"/>
  <c r="V120" i="2"/>
  <c r="AB120" i="2"/>
  <c r="AC120" i="2"/>
  <c r="U123" i="2"/>
  <c r="V123" i="2"/>
  <c r="AB123" i="2"/>
  <c r="AC123" i="2"/>
  <c r="AB128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BW134" i="2"/>
  <c r="BX134" i="2"/>
  <c r="BY134" i="2"/>
  <c r="BZ134" i="2"/>
  <c r="CA134" i="2"/>
  <c r="CB134" i="2"/>
  <c r="CC134" i="2"/>
  <c r="CD134" i="2"/>
  <c r="CE134" i="2"/>
  <c r="CF134" i="2"/>
  <c r="CG134" i="2"/>
  <c r="CH134" i="2"/>
  <c r="CI134" i="2"/>
  <c r="CJ134" i="2"/>
  <c r="CK134" i="2"/>
  <c r="CL134" i="2"/>
  <c r="CM134" i="2"/>
  <c r="CN134" i="2"/>
  <c r="CO134" i="2"/>
  <c r="CP134" i="2"/>
  <c r="CQ134" i="2"/>
  <c r="CR134" i="2"/>
  <c r="CS134" i="2"/>
  <c r="CT134" i="2"/>
  <c r="CU134" i="2"/>
  <c r="CV134" i="2"/>
  <c r="CW134" i="2"/>
  <c r="CX134" i="2"/>
  <c r="CY134" i="2"/>
  <c r="CZ134" i="2"/>
  <c r="DA134" i="2"/>
  <c r="DB134" i="2"/>
  <c r="DC134" i="2"/>
  <c r="DD134" i="2"/>
  <c r="DE134" i="2"/>
  <c r="DF134" i="2"/>
  <c r="DG134" i="2"/>
  <c r="DH134" i="2"/>
  <c r="DI134" i="2"/>
  <c r="DJ134" i="2"/>
  <c r="DK134" i="2"/>
  <c r="DL134" i="2"/>
  <c r="DM134" i="2"/>
  <c r="DN134" i="2"/>
  <c r="DO134" i="2"/>
  <c r="DP134" i="2"/>
  <c r="DQ134" i="2"/>
  <c r="DR134" i="2"/>
  <c r="DS134" i="2"/>
  <c r="DT134" i="2"/>
  <c r="DU134" i="2"/>
  <c r="DV134" i="2"/>
  <c r="DW134" i="2"/>
  <c r="DX134" i="2"/>
  <c r="DY134" i="2"/>
  <c r="DZ134" i="2"/>
  <c r="EA134" i="2"/>
  <c r="EB134" i="2"/>
  <c r="EC134" i="2"/>
  <c r="ED134" i="2"/>
  <c r="EE134" i="2"/>
  <c r="EF134" i="2"/>
  <c r="P134" i="2"/>
  <c r="BS136" i="2"/>
  <c r="BT136" i="2"/>
  <c r="BU136" i="2"/>
  <c r="BV136" i="2"/>
  <c r="BW136" i="2"/>
  <c r="BX136" i="2"/>
  <c r="BY136" i="2"/>
  <c r="BZ136" i="2"/>
  <c r="CA136" i="2"/>
  <c r="CB136" i="2"/>
  <c r="CC136" i="2"/>
  <c r="CD136" i="2"/>
  <c r="CE136" i="2"/>
  <c r="CF136" i="2"/>
  <c r="CG136" i="2"/>
  <c r="CH136" i="2"/>
  <c r="CI136" i="2"/>
  <c r="CJ136" i="2"/>
  <c r="CK136" i="2"/>
  <c r="CL136" i="2"/>
  <c r="CM136" i="2"/>
  <c r="CN136" i="2"/>
  <c r="CO136" i="2"/>
  <c r="CP136" i="2"/>
  <c r="CQ136" i="2"/>
  <c r="CR136" i="2"/>
  <c r="CS136" i="2"/>
  <c r="CT136" i="2"/>
  <c r="CU136" i="2"/>
  <c r="CV136" i="2"/>
  <c r="CW136" i="2"/>
  <c r="CX136" i="2"/>
  <c r="CY136" i="2"/>
  <c r="CZ136" i="2"/>
  <c r="DA136" i="2"/>
  <c r="DB136" i="2"/>
  <c r="DC136" i="2"/>
  <c r="DD136" i="2"/>
  <c r="DE136" i="2"/>
  <c r="DF136" i="2"/>
  <c r="DG136" i="2"/>
  <c r="DH136" i="2"/>
  <c r="DI136" i="2"/>
  <c r="DJ136" i="2"/>
  <c r="DK136" i="2"/>
  <c r="DL136" i="2"/>
  <c r="DM136" i="2"/>
  <c r="DN136" i="2"/>
  <c r="DO136" i="2"/>
  <c r="DP136" i="2"/>
  <c r="DQ136" i="2"/>
  <c r="DR136" i="2"/>
  <c r="DS136" i="2"/>
  <c r="DT136" i="2"/>
  <c r="DU136" i="2"/>
  <c r="DV136" i="2"/>
  <c r="DW136" i="2"/>
  <c r="DX136" i="2"/>
  <c r="DY136" i="2"/>
  <c r="DZ136" i="2"/>
  <c r="EA136" i="2"/>
  <c r="EB136" i="2"/>
  <c r="EC136" i="2"/>
  <c r="ED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P136" i="2"/>
  <c r="FL128" i="2"/>
  <c r="FE128" i="2"/>
  <c r="EX128" i="2"/>
  <c r="EQ128" i="2"/>
  <c r="FM123" i="2"/>
  <c r="FL123" i="2"/>
  <c r="FF123" i="2"/>
  <c r="FE123" i="2"/>
  <c r="EY123" i="2"/>
  <c r="EX123" i="2"/>
  <c r="ER123" i="2"/>
  <c r="EQ123" i="2"/>
  <c r="FM120" i="2"/>
  <c r="FL120" i="2"/>
  <c r="FF120" i="2"/>
  <c r="FE120" i="2"/>
  <c r="EY120" i="2"/>
  <c r="EX120" i="2"/>
  <c r="ER120" i="2"/>
  <c r="EQ120" i="2"/>
  <c r="FM117" i="2"/>
  <c r="FL117" i="2"/>
  <c r="FF117" i="2"/>
  <c r="FE117" i="2"/>
  <c r="EY117" i="2"/>
  <c r="EX117" i="2"/>
  <c r="ER117" i="2"/>
  <c r="EQ117" i="2"/>
  <c r="FM116" i="2"/>
  <c r="FL116" i="2"/>
  <c r="FF116" i="2"/>
  <c r="FE116" i="2"/>
  <c r="EY116" i="2"/>
  <c r="EX116" i="2"/>
  <c r="ER116" i="2"/>
  <c r="EQ116" i="2"/>
  <c r="FM113" i="2"/>
  <c r="FL113" i="2"/>
  <c r="FF113" i="2"/>
  <c r="FE113" i="2"/>
  <c r="EY113" i="2"/>
  <c r="EX113" i="2"/>
  <c r="ER113" i="2"/>
  <c r="EQ113" i="2"/>
  <c r="FM112" i="2"/>
  <c r="FL112" i="2"/>
  <c r="FF112" i="2"/>
  <c r="FE112" i="2"/>
  <c r="EY112" i="2"/>
  <c r="EX112" i="2"/>
  <c r="ER112" i="2"/>
  <c r="EQ112" i="2"/>
  <c r="FM111" i="2"/>
  <c r="FL111" i="2"/>
  <c r="FF111" i="2"/>
  <c r="FE111" i="2"/>
  <c r="EY111" i="2"/>
  <c r="EX111" i="2"/>
  <c r="ER111" i="2"/>
  <c r="EQ111" i="2"/>
  <c r="FM110" i="2"/>
  <c r="FL110" i="2"/>
  <c r="FF110" i="2"/>
  <c r="FE110" i="2"/>
  <c r="EY110" i="2"/>
  <c r="EX110" i="2"/>
  <c r="ER110" i="2"/>
  <c r="EQ110" i="2"/>
  <c r="FM107" i="2"/>
  <c r="FL107" i="2"/>
  <c r="FF107" i="2"/>
  <c r="FE107" i="2"/>
  <c r="EY107" i="2"/>
  <c r="EX107" i="2"/>
  <c r="ER107" i="2"/>
  <c r="EQ107" i="2"/>
  <c r="FM106" i="2"/>
  <c r="FL106" i="2"/>
  <c r="FF106" i="2"/>
  <c r="FE106" i="2"/>
  <c r="EY106" i="2"/>
  <c r="EX106" i="2"/>
  <c r="ER106" i="2"/>
  <c r="EQ106" i="2"/>
  <c r="FM105" i="2"/>
  <c r="FL105" i="2"/>
  <c r="FF105" i="2"/>
  <c r="FE105" i="2"/>
  <c r="EY105" i="2"/>
  <c r="EX105" i="2"/>
  <c r="ER105" i="2"/>
  <c r="EQ105" i="2"/>
  <c r="FM104" i="2"/>
  <c r="FL104" i="2"/>
  <c r="FF104" i="2"/>
  <c r="FE104" i="2"/>
  <c r="EY104" i="2"/>
  <c r="EX104" i="2"/>
  <c r="ER104" i="2"/>
  <c r="EQ104" i="2"/>
  <c r="FM103" i="2"/>
  <c r="FL103" i="2"/>
  <c r="FF103" i="2"/>
  <c r="FE103" i="2"/>
  <c r="EY103" i="2"/>
  <c r="EX103" i="2"/>
  <c r="ER103" i="2"/>
  <c r="EQ103" i="2"/>
  <c r="FM102" i="2"/>
  <c r="FL102" i="2"/>
  <c r="FF102" i="2"/>
  <c r="FE102" i="2"/>
  <c r="EY102" i="2"/>
  <c r="EX102" i="2"/>
  <c r="ER102" i="2"/>
  <c r="EQ102" i="2"/>
  <c r="FM101" i="2"/>
  <c r="FL101" i="2"/>
  <c r="FF101" i="2"/>
  <c r="FE101" i="2"/>
  <c r="EY101" i="2"/>
  <c r="EX101" i="2"/>
  <c r="ER101" i="2"/>
  <c r="EQ101" i="2"/>
  <c r="FM100" i="2"/>
  <c r="FF100" i="2"/>
  <c r="EY100" i="2"/>
  <c r="ER100" i="2"/>
  <c r="FM97" i="2"/>
  <c r="FF97" i="2"/>
  <c r="EY97" i="2"/>
  <c r="ER97" i="2"/>
  <c r="FM96" i="2"/>
  <c r="FF96" i="2"/>
  <c r="EY96" i="2"/>
  <c r="ER96" i="2"/>
  <c r="FM95" i="2"/>
  <c r="FF95" i="2"/>
  <c r="EY95" i="2"/>
  <c r="ER95" i="2"/>
  <c r="FM94" i="2"/>
  <c r="FF94" i="2"/>
  <c r="EY94" i="2"/>
  <c r="ER94" i="2"/>
  <c r="FM93" i="2"/>
  <c r="FF93" i="2"/>
  <c r="EY93" i="2"/>
  <c r="ER93" i="2"/>
  <c r="FM92" i="2"/>
  <c r="FF92" i="2"/>
  <c r="EY92" i="2"/>
  <c r="ER92" i="2"/>
  <c r="FM91" i="2"/>
  <c r="FF91" i="2"/>
  <c r="EY91" i="2"/>
  <c r="ER91" i="2"/>
  <c r="FM90" i="2"/>
  <c r="FF90" i="2"/>
  <c r="EY90" i="2"/>
  <c r="ER90" i="2"/>
  <c r="FM89" i="2"/>
  <c r="FF89" i="2"/>
  <c r="EY89" i="2"/>
  <c r="ER89" i="2"/>
  <c r="FM88" i="2"/>
  <c r="FL88" i="2"/>
  <c r="FF88" i="2"/>
  <c r="EY88" i="2"/>
  <c r="ER88" i="2"/>
  <c r="FM87" i="2"/>
  <c r="FF87" i="2"/>
  <c r="EY87" i="2"/>
  <c r="ER87" i="2"/>
  <c r="FM86" i="2"/>
  <c r="FF86" i="2"/>
  <c r="EY86" i="2"/>
  <c r="EX86" i="2"/>
  <c r="ER86" i="2"/>
  <c r="FM85" i="2"/>
  <c r="FF85" i="2"/>
  <c r="EY85" i="2"/>
  <c r="ER85" i="2"/>
  <c r="FM84" i="2"/>
  <c r="FF84" i="2"/>
  <c r="EY84" i="2"/>
  <c r="ER84" i="2"/>
  <c r="FM83" i="2"/>
  <c r="FL83" i="2"/>
  <c r="FF83" i="2"/>
  <c r="EY83" i="2"/>
  <c r="ER83" i="2"/>
  <c r="FM82" i="2"/>
  <c r="FF82" i="2"/>
  <c r="EY82" i="2"/>
  <c r="ER82" i="2"/>
  <c r="FM79" i="2"/>
  <c r="FF79" i="2"/>
  <c r="EY79" i="2"/>
  <c r="ER79" i="2"/>
  <c r="FM78" i="2"/>
  <c r="FF78" i="2"/>
  <c r="EY78" i="2"/>
  <c r="ER78" i="2"/>
  <c r="FM77" i="2"/>
  <c r="FF77" i="2"/>
  <c r="EY77" i="2"/>
  <c r="ER77" i="2"/>
  <c r="FM76" i="2"/>
  <c r="FF76" i="2"/>
  <c r="EY76" i="2"/>
  <c r="ER76" i="2"/>
  <c r="FM75" i="2"/>
  <c r="FF75" i="2"/>
  <c r="EY75" i="2"/>
  <c r="ER75" i="2"/>
  <c r="FM74" i="2"/>
  <c r="FL74" i="2"/>
  <c r="FF74" i="2"/>
  <c r="EY74" i="2"/>
  <c r="ER74" i="2"/>
  <c r="FM73" i="2"/>
  <c r="FF73" i="2"/>
  <c r="EY73" i="2"/>
  <c r="ER73" i="2"/>
  <c r="FM72" i="2"/>
  <c r="FF72" i="2"/>
  <c r="FE72" i="2"/>
  <c r="EY72" i="2"/>
  <c r="ER72" i="2"/>
  <c r="FM71" i="2"/>
  <c r="FF71" i="2"/>
  <c r="EY71" i="2"/>
  <c r="ER71" i="2"/>
  <c r="FM70" i="2"/>
  <c r="FL70" i="2"/>
  <c r="FF70" i="2"/>
  <c r="EY70" i="2"/>
  <c r="ER70" i="2"/>
  <c r="FM69" i="2"/>
  <c r="FF69" i="2"/>
  <c r="EY69" i="2"/>
  <c r="ER69" i="2"/>
  <c r="FM68" i="2"/>
  <c r="FF68" i="2"/>
  <c r="EY68" i="2"/>
  <c r="EX68" i="2"/>
  <c r="ER68" i="2"/>
  <c r="FM67" i="2"/>
  <c r="FL67" i="2"/>
  <c r="FF67" i="2"/>
  <c r="EY67" i="2"/>
  <c r="ER67" i="2"/>
  <c r="FM66" i="2"/>
  <c r="FF66" i="2"/>
  <c r="EY66" i="2"/>
  <c r="ER66" i="2"/>
  <c r="FM65" i="2"/>
  <c r="FF65" i="2"/>
  <c r="EY65" i="2"/>
  <c r="ER65" i="2"/>
  <c r="FM64" i="2"/>
  <c r="FL64" i="2"/>
  <c r="FF64" i="2"/>
  <c r="EY64" i="2"/>
  <c r="ER64" i="2"/>
  <c r="EQ64" i="2"/>
  <c r="FM63" i="2"/>
  <c r="FF63" i="2"/>
  <c r="EY63" i="2"/>
  <c r="ER63" i="2"/>
  <c r="FM62" i="2"/>
  <c r="FF62" i="2"/>
  <c r="FE62" i="2"/>
  <c r="EY62" i="2"/>
  <c r="ER62" i="2"/>
  <c r="FM61" i="2"/>
  <c r="FF61" i="2"/>
  <c r="EY61" i="2"/>
  <c r="ER61" i="2"/>
  <c r="FM60" i="2"/>
  <c r="FF60" i="2"/>
  <c r="EY60" i="2"/>
  <c r="ER60" i="2"/>
  <c r="FM59" i="2"/>
  <c r="FF59" i="2"/>
  <c r="EY59" i="2"/>
  <c r="ER59" i="2"/>
  <c r="FM58" i="2"/>
  <c r="FF58" i="2"/>
  <c r="FE58" i="2"/>
  <c r="EY58" i="2"/>
  <c r="ER58" i="2"/>
  <c r="FM57" i="2"/>
  <c r="FF57" i="2"/>
  <c r="EY57" i="2"/>
  <c r="ER57" i="2"/>
  <c r="FM56" i="2"/>
  <c r="FF56" i="2"/>
  <c r="EY56" i="2"/>
  <c r="ER56" i="2"/>
  <c r="FM54" i="2"/>
  <c r="FF54" i="2"/>
  <c r="EY54" i="2"/>
  <c r="ER54" i="2"/>
  <c r="FM53" i="2"/>
  <c r="FF53" i="2"/>
  <c r="EY53" i="2"/>
  <c r="ER53" i="2"/>
  <c r="FM52" i="2"/>
  <c r="FF52" i="2"/>
  <c r="EY52" i="2"/>
  <c r="ER52" i="2"/>
  <c r="FM51" i="2"/>
  <c r="FF51" i="2"/>
  <c r="EY51" i="2"/>
  <c r="ER51" i="2"/>
  <c r="FM50" i="2"/>
  <c r="FF50" i="2"/>
  <c r="EY50" i="2"/>
  <c r="ER50" i="2"/>
  <c r="FM49" i="2"/>
  <c r="FF49" i="2"/>
  <c r="EY49" i="2"/>
  <c r="ER49" i="2"/>
  <c r="FM48" i="2"/>
  <c r="FF48" i="2"/>
  <c r="FE48" i="2"/>
  <c r="EY48" i="2"/>
  <c r="EX48" i="2"/>
  <c r="ER48" i="2"/>
  <c r="FM47" i="2"/>
  <c r="FF47" i="2"/>
  <c r="EY47" i="2"/>
  <c r="ER47" i="2"/>
  <c r="FM46" i="2"/>
  <c r="FF46" i="2"/>
  <c r="EY46" i="2"/>
  <c r="ER46" i="2"/>
  <c r="FM45" i="2"/>
  <c r="FF45" i="2"/>
  <c r="EY45" i="2"/>
  <c r="ER45" i="2"/>
  <c r="FM44" i="2"/>
  <c r="FF44" i="2"/>
  <c r="EY44" i="2"/>
  <c r="ER44" i="2"/>
  <c r="FM43" i="2"/>
  <c r="FF43" i="2"/>
  <c r="EY43" i="2"/>
  <c r="ER43" i="2"/>
  <c r="FM42" i="2"/>
  <c r="FF42" i="2"/>
  <c r="EY42" i="2"/>
  <c r="ER42" i="2"/>
  <c r="FM41" i="2"/>
  <c r="FF41" i="2"/>
  <c r="EY41" i="2"/>
  <c r="ER41" i="2"/>
  <c r="FM40" i="2"/>
  <c r="FL40" i="2"/>
  <c r="FF40" i="2"/>
  <c r="FE40" i="2"/>
  <c r="EY40" i="2"/>
  <c r="ER40" i="2"/>
  <c r="EQ40" i="2"/>
  <c r="FM39" i="2"/>
  <c r="FF39" i="2"/>
  <c r="EY39" i="2"/>
  <c r="ER39" i="2"/>
  <c r="FM38" i="2"/>
  <c r="FF38" i="2"/>
  <c r="EY38" i="2"/>
  <c r="ER38" i="2"/>
  <c r="FM37" i="2"/>
  <c r="FF37" i="2"/>
  <c r="EY37" i="2"/>
  <c r="ER37" i="2"/>
  <c r="FM36" i="2"/>
  <c r="FF36" i="2"/>
  <c r="EY36" i="2"/>
  <c r="ER36" i="2"/>
  <c r="FM35" i="2"/>
  <c r="FF35" i="2"/>
  <c r="EY35" i="2"/>
  <c r="ER35" i="2"/>
  <c r="EQ35" i="2"/>
  <c r="FM34" i="2"/>
  <c r="FF34" i="2"/>
  <c r="EY34" i="2"/>
  <c r="EX34" i="2"/>
  <c r="ER34" i="2"/>
  <c r="FM33" i="2"/>
  <c r="FF33" i="2"/>
  <c r="EY33" i="2"/>
  <c r="ER33" i="2"/>
  <c r="FM32" i="2"/>
  <c r="FF32" i="2"/>
  <c r="EY32" i="2"/>
  <c r="ER32" i="2"/>
  <c r="FM31" i="2"/>
  <c r="FF31" i="2"/>
  <c r="EY31" i="2"/>
  <c r="ER31" i="2"/>
  <c r="FM29" i="2"/>
  <c r="FF29" i="2"/>
  <c r="EY29" i="2"/>
  <c r="ER29" i="2"/>
  <c r="FM28" i="2"/>
  <c r="FF28" i="2"/>
  <c r="EY28" i="2"/>
  <c r="ER28" i="2"/>
  <c r="FM27" i="2"/>
  <c r="FF27" i="2"/>
  <c r="EY27" i="2"/>
  <c r="ER27" i="2"/>
  <c r="FM26" i="2"/>
  <c r="FF26" i="2"/>
  <c r="EY26" i="2"/>
  <c r="ER26" i="2"/>
  <c r="FM25" i="2"/>
  <c r="FF25" i="2"/>
  <c r="EY25" i="2"/>
  <c r="ER25" i="2"/>
  <c r="FM24" i="2"/>
  <c r="FF24" i="2"/>
  <c r="FE24" i="2"/>
  <c r="EY24" i="2"/>
  <c r="ER24" i="2"/>
  <c r="FM23" i="2"/>
  <c r="FF23" i="2"/>
  <c r="EY23" i="2"/>
  <c r="ER23" i="2"/>
  <c r="FM22" i="2"/>
  <c r="FF22" i="2"/>
  <c r="EY22" i="2"/>
  <c r="ER22" i="2"/>
  <c r="EQ22" i="2"/>
  <c r="FM21" i="2"/>
  <c r="FF21" i="2"/>
  <c r="EY21" i="2"/>
  <c r="ER21" i="2"/>
  <c r="FM20" i="2"/>
  <c r="FF20" i="2"/>
  <c r="EY20" i="2"/>
  <c r="ER20" i="2"/>
  <c r="FM19" i="2"/>
  <c r="FL19" i="2"/>
  <c r="FF19" i="2"/>
  <c r="EY19" i="2"/>
  <c r="ER19" i="2"/>
  <c r="FM18" i="2"/>
  <c r="FF18" i="2"/>
  <c r="EY18" i="2"/>
  <c r="ER18" i="2"/>
  <c r="FM17" i="2"/>
  <c r="FF17" i="2"/>
  <c r="EY17" i="2"/>
  <c r="ER17" i="2"/>
  <c r="FM16" i="2"/>
  <c r="FF16" i="2"/>
  <c r="EY16" i="2"/>
  <c r="ER16" i="2"/>
  <c r="FM15" i="2"/>
  <c r="FF15" i="2"/>
  <c r="EY15" i="2"/>
  <c r="ER15" i="2"/>
  <c r="FM14" i="2"/>
  <c r="FF14" i="2"/>
  <c r="EY14" i="2"/>
  <c r="ER14" i="2"/>
  <c r="FM13" i="2"/>
  <c r="FF13" i="2"/>
  <c r="EY13" i="2"/>
  <c r="ER13" i="2"/>
  <c r="FM12" i="2"/>
  <c r="FF12" i="2"/>
  <c r="EY12" i="2"/>
  <c r="ER12" i="2"/>
  <c r="FM11" i="2"/>
  <c r="FF11" i="2"/>
  <c r="EY11" i="2"/>
  <c r="ER11" i="2"/>
  <c r="FM10" i="2"/>
  <c r="FF10" i="2"/>
  <c r="EY10" i="2"/>
  <c r="ER10" i="2"/>
  <c r="FM9" i="2"/>
  <c r="FF9" i="2"/>
  <c r="EY9" i="2"/>
  <c r="ER9" i="2"/>
  <c r="FM8" i="2"/>
  <c r="FF8" i="2"/>
  <c r="EY8" i="2"/>
  <c r="ER8" i="2"/>
  <c r="FM7" i="2"/>
  <c r="FF7" i="2"/>
  <c r="EY7" i="2"/>
  <c r="ER7" i="2"/>
  <c r="FM6" i="2"/>
  <c r="FF6" i="2"/>
  <c r="EY6" i="2"/>
  <c r="ER6" i="2"/>
  <c r="EJ128" i="2"/>
  <c r="EC128" i="2"/>
  <c r="DV128" i="2"/>
  <c r="DO128" i="2"/>
  <c r="DH128" i="2"/>
  <c r="DA128" i="2"/>
  <c r="CT128" i="2"/>
  <c r="CM128" i="2"/>
  <c r="EK123" i="2"/>
  <c r="EJ123" i="2"/>
  <c r="ED123" i="2"/>
  <c r="EC123" i="2"/>
  <c r="DW123" i="2"/>
  <c r="DV123" i="2"/>
  <c r="DP123" i="2"/>
  <c r="DO123" i="2"/>
  <c r="DI123" i="2"/>
  <c r="DH123" i="2"/>
  <c r="DB123" i="2"/>
  <c r="DA123" i="2"/>
  <c r="CU123" i="2"/>
  <c r="CT123" i="2"/>
  <c r="CN123" i="2"/>
  <c r="CM123" i="2"/>
  <c r="EK120" i="2"/>
  <c r="EJ120" i="2"/>
  <c r="ED120" i="2"/>
  <c r="EC120" i="2"/>
  <c r="DW120" i="2"/>
  <c r="DV120" i="2"/>
  <c r="DP120" i="2"/>
  <c r="DO120" i="2"/>
  <c r="DI120" i="2"/>
  <c r="DH120" i="2"/>
  <c r="DB120" i="2"/>
  <c r="DA120" i="2"/>
  <c r="CU120" i="2"/>
  <c r="CT120" i="2"/>
  <c r="CN120" i="2"/>
  <c r="CM120" i="2"/>
  <c r="EK117" i="2"/>
  <c r="EJ117" i="2"/>
  <c r="ED117" i="2"/>
  <c r="EC117" i="2"/>
  <c r="DW117" i="2"/>
  <c r="DV117" i="2"/>
  <c r="DP117" i="2"/>
  <c r="DO117" i="2"/>
  <c r="DI117" i="2"/>
  <c r="DH117" i="2"/>
  <c r="DB117" i="2"/>
  <c r="DA117" i="2"/>
  <c r="CU117" i="2"/>
  <c r="CT117" i="2"/>
  <c r="CN117" i="2"/>
  <c r="CM117" i="2"/>
  <c r="EK116" i="2"/>
  <c r="EJ116" i="2"/>
  <c r="ED116" i="2"/>
  <c r="EC116" i="2"/>
  <c r="DW116" i="2"/>
  <c r="DV116" i="2"/>
  <c r="DP116" i="2"/>
  <c r="DO116" i="2"/>
  <c r="DI116" i="2"/>
  <c r="DH116" i="2"/>
  <c r="DB116" i="2"/>
  <c r="DA116" i="2"/>
  <c r="CU116" i="2"/>
  <c r="CT116" i="2"/>
  <c r="CN116" i="2"/>
  <c r="CM116" i="2"/>
  <c r="EK113" i="2"/>
  <c r="EJ113" i="2"/>
  <c r="ED113" i="2"/>
  <c r="EC113" i="2"/>
  <c r="DW113" i="2"/>
  <c r="DV113" i="2"/>
  <c r="DP113" i="2"/>
  <c r="DO113" i="2"/>
  <c r="DI113" i="2"/>
  <c r="DH113" i="2"/>
  <c r="DB113" i="2"/>
  <c r="DA113" i="2"/>
  <c r="CU113" i="2"/>
  <c r="CT113" i="2"/>
  <c r="CN113" i="2"/>
  <c r="CM113" i="2"/>
  <c r="EK112" i="2"/>
  <c r="EJ112" i="2"/>
  <c r="ED112" i="2"/>
  <c r="EC112" i="2"/>
  <c r="DW112" i="2"/>
  <c r="DV112" i="2"/>
  <c r="DP112" i="2"/>
  <c r="DO112" i="2"/>
  <c r="DI112" i="2"/>
  <c r="DH112" i="2"/>
  <c r="DB112" i="2"/>
  <c r="DA112" i="2"/>
  <c r="CU112" i="2"/>
  <c r="CT112" i="2"/>
  <c r="CN112" i="2"/>
  <c r="CM112" i="2"/>
  <c r="EK111" i="2"/>
  <c r="EJ111" i="2"/>
  <c r="ED111" i="2"/>
  <c r="EC111" i="2"/>
  <c r="DW111" i="2"/>
  <c r="DV111" i="2"/>
  <c r="DP111" i="2"/>
  <c r="DO111" i="2"/>
  <c r="DI111" i="2"/>
  <c r="DH111" i="2"/>
  <c r="DB111" i="2"/>
  <c r="DA111" i="2"/>
  <c r="CU111" i="2"/>
  <c r="CT111" i="2"/>
  <c r="CN111" i="2"/>
  <c r="CM111" i="2"/>
  <c r="EK110" i="2"/>
  <c r="EJ110" i="2"/>
  <c r="ED110" i="2"/>
  <c r="EC110" i="2"/>
  <c r="DW110" i="2"/>
  <c r="DV110" i="2"/>
  <c r="DP110" i="2"/>
  <c r="DO110" i="2"/>
  <c r="DI110" i="2"/>
  <c r="DH110" i="2"/>
  <c r="DB110" i="2"/>
  <c r="DA110" i="2"/>
  <c r="CU110" i="2"/>
  <c r="CT110" i="2"/>
  <c r="CN110" i="2"/>
  <c r="CM110" i="2"/>
  <c r="EK107" i="2"/>
  <c r="EJ107" i="2"/>
  <c r="ED107" i="2"/>
  <c r="EC107" i="2"/>
  <c r="DW107" i="2"/>
  <c r="DV107" i="2"/>
  <c r="DP107" i="2"/>
  <c r="DO107" i="2"/>
  <c r="DI107" i="2"/>
  <c r="DH107" i="2"/>
  <c r="DB107" i="2"/>
  <c r="DA107" i="2"/>
  <c r="CU107" i="2"/>
  <c r="CT107" i="2"/>
  <c r="CN107" i="2"/>
  <c r="CM107" i="2"/>
  <c r="EK106" i="2"/>
  <c r="EJ106" i="2"/>
  <c r="ED106" i="2"/>
  <c r="EC106" i="2"/>
  <c r="DW106" i="2"/>
  <c r="DV106" i="2"/>
  <c r="DP106" i="2"/>
  <c r="DO106" i="2"/>
  <c r="DI106" i="2"/>
  <c r="DH106" i="2"/>
  <c r="DB106" i="2"/>
  <c r="DA106" i="2"/>
  <c r="CU106" i="2"/>
  <c r="CT106" i="2"/>
  <c r="CN106" i="2"/>
  <c r="CM106" i="2"/>
  <c r="EK105" i="2"/>
  <c r="EJ105" i="2"/>
  <c r="ED105" i="2"/>
  <c r="EC105" i="2"/>
  <c r="DW105" i="2"/>
  <c r="DV105" i="2"/>
  <c r="DP105" i="2"/>
  <c r="DO105" i="2"/>
  <c r="DI105" i="2"/>
  <c r="DH105" i="2"/>
  <c r="DB105" i="2"/>
  <c r="DA105" i="2"/>
  <c r="CU105" i="2"/>
  <c r="CT105" i="2"/>
  <c r="CN105" i="2"/>
  <c r="CM105" i="2"/>
  <c r="EK104" i="2"/>
  <c r="EJ104" i="2"/>
  <c r="ED104" i="2"/>
  <c r="EC104" i="2"/>
  <c r="DW104" i="2"/>
  <c r="DV104" i="2"/>
  <c r="DP104" i="2"/>
  <c r="DO104" i="2"/>
  <c r="DI104" i="2"/>
  <c r="DH104" i="2"/>
  <c r="DB104" i="2"/>
  <c r="DA104" i="2"/>
  <c r="CU104" i="2"/>
  <c r="CT104" i="2"/>
  <c r="CN104" i="2"/>
  <c r="CM104" i="2"/>
  <c r="EK103" i="2"/>
  <c r="EJ103" i="2"/>
  <c r="ED103" i="2"/>
  <c r="EC103" i="2"/>
  <c r="DW103" i="2"/>
  <c r="DV103" i="2"/>
  <c r="DP103" i="2"/>
  <c r="DO103" i="2"/>
  <c r="DI103" i="2"/>
  <c r="DH103" i="2"/>
  <c r="DB103" i="2"/>
  <c r="DA103" i="2"/>
  <c r="CU103" i="2"/>
  <c r="CT103" i="2"/>
  <c r="CN103" i="2"/>
  <c r="CM103" i="2"/>
  <c r="EK102" i="2"/>
  <c r="EJ102" i="2"/>
  <c r="ED102" i="2"/>
  <c r="EC102" i="2"/>
  <c r="DW102" i="2"/>
  <c r="DV102" i="2"/>
  <c r="DP102" i="2"/>
  <c r="DO102" i="2"/>
  <c r="DI102" i="2"/>
  <c r="DH102" i="2"/>
  <c r="DB102" i="2"/>
  <c r="DA102" i="2"/>
  <c r="CU102" i="2"/>
  <c r="CT102" i="2"/>
  <c r="CN102" i="2"/>
  <c r="CM102" i="2"/>
  <c r="EK101" i="2"/>
  <c r="EJ101" i="2"/>
  <c r="ED101" i="2"/>
  <c r="EC101" i="2"/>
  <c r="DW101" i="2"/>
  <c r="DV101" i="2"/>
  <c r="DP101" i="2"/>
  <c r="DO101" i="2"/>
  <c r="DI101" i="2"/>
  <c r="DH101" i="2"/>
  <c r="DB101" i="2"/>
  <c r="DA101" i="2"/>
  <c r="CU101" i="2"/>
  <c r="CT101" i="2"/>
  <c r="CN101" i="2"/>
  <c r="CM101" i="2"/>
  <c r="EK100" i="2"/>
  <c r="ED100" i="2"/>
  <c r="DW100" i="2"/>
  <c r="DP100" i="2"/>
  <c r="DI100" i="2"/>
  <c r="DB100" i="2"/>
  <c r="CU100" i="2"/>
  <c r="CN100" i="2"/>
  <c r="EK97" i="2"/>
  <c r="ED97" i="2"/>
  <c r="DW97" i="2"/>
  <c r="DP97" i="2"/>
  <c r="DI97" i="2"/>
  <c r="DB97" i="2"/>
  <c r="CU97" i="2"/>
  <c r="CN97" i="2"/>
  <c r="EK96" i="2"/>
  <c r="ED96" i="2"/>
  <c r="DW96" i="2"/>
  <c r="DP96" i="2"/>
  <c r="DI96" i="2"/>
  <c r="DB96" i="2"/>
  <c r="CU96" i="2"/>
  <c r="CN96" i="2"/>
  <c r="EK95" i="2"/>
  <c r="ED95" i="2"/>
  <c r="DW95" i="2"/>
  <c r="DP95" i="2"/>
  <c r="DI95" i="2"/>
  <c r="DB95" i="2"/>
  <c r="CU95" i="2"/>
  <c r="CN95" i="2"/>
  <c r="EK94" i="2"/>
  <c r="ED94" i="2"/>
  <c r="DW94" i="2"/>
  <c r="DP94" i="2"/>
  <c r="DI94" i="2"/>
  <c r="DB94" i="2"/>
  <c r="CU94" i="2"/>
  <c r="CN94" i="2"/>
  <c r="EK93" i="2"/>
  <c r="ED93" i="2"/>
  <c r="DW93" i="2"/>
  <c r="DP93" i="2"/>
  <c r="DI93" i="2"/>
  <c r="DB93" i="2"/>
  <c r="CU93" i="2"/>
  <c r="CN93" i="2"/>
  <c r="EK92" i="2"/>
  <c r="ED92" i="2"/>
  <c r="DW92" i="2"/>
  <c r="DP92" i="2"/>
  <c r="DI92" i="2"/>
  <c r="DB92" i="2"/>
  <c r="CU92" i="2"/>
  <c r="CN92" i="2"/>
  <c r="EK91" i="2"/>
  <c r="ED91" i="2"/>
  <c r="DW91" i="2"/>
  <c r="DP91" i="2"/>
  <c r="DI91" i="2"/>
  <c r="DB91" i="2"/>
  <c r="CU91" i="2"/>
  <c r="CN91" i="2"/>
  <c r="EK90" i="2"/>
  <c r="ED90" i="2"/>
  <c r="DW90" i="2"/>
  <c r="DP90" i="2"/>
  <c r="DI90" i="2"/>
  <c r="DB90" i="2"/>
  <c r="CU90" i="2"/>
  <c r="CN90" i="2"/>
  <c r="EK89" i="2"/>
  <c r="ED89" i="2"/>
  <c r="DW89" i="2"/>
  <c r="DP89" i="2"/>
  <c r="DI89" i="2"/>
  <c r="DB89" i="2"/>
  <c r="CU89" i="2"/>
  <c r="CN89" i="2"/>
  <c r="EK88" i="2"/>
  <c r="EJ88" i="2"/>
  <c r="ED88" i="2"/>
  <c r="DW88" i="2"/>
  <c r="DV88" i="2"/>
  <c r="DP88" i="2"/>
  <c r="DI88" i="2"/>
  <c r="DB88" i="2"/>
  <c r="CU88" i="2"/>
  <c r="CN88" i="2"/>
  <c r="CM88" i="2"/>
  <c r="EK87" i="2"/>
  <c r="ED87" i="2"/>
  <c r="DW87" i="2"/>
  <c r="DP87" i="2"/>
  <c r="DI87" i="2"/>
  <c r="DB87" i="2"/>
  <c r="CU87" i="2"/>
  <c r="CN87" i="2"/>
  <c r="EK86" i="2"/>
  <c r="EJ86" i="2"/>
  <c r="ED86" i="2"/>
  <c r="EC86" i="2"/>
  <c r="DW86" i="2"/>
  <c r="DP86" i="2"/>
  <c r="DI86" i="2"/>
  <c r="DB86" i="2"/>
  <c r="CU86" i="2"/>
  <c r="CT86" i="2"/>
  <c r="CN86" i="2"/>
  <c r="CM86" i="2"/>
  <c r="EK85" i="2"/>
  <c r="ED85" i="2"/>
  <c r="DW85" i="2"/>
  <c r="DP85" i="2"/>
  <c r="DI85" i="2"/>
  <c r="DB85" i="2"/>
  <c r="CU85" i="2"/>
  <c r="CN85" i="2"/>
  <c r="EK84" i="2"/>
  <c r="ED84" i="2"/>
  <c r="DW84" i="2"/>
  <c r="DP84" i="2"/>
  <c r="DI84" i="2"/>
  <c r="DB84" i="2"/>
  <c r="CU84" i="2"/>
  <c r="CN84" i="2"/>
  <c r="EK83" i="2"/>
  <c r="ED83" i="2"/>
  <c r="EC83" i="2"/>
  <c r="DW83" i="2"/>
  <c r="DP83" i="2"/>
  <c r="DI83" i="2"/>
  <c r="DB83" i="2"/>
  <c r="CU83" i="2"/>
  <c r="CN83" i="2"/>
  <c r="EK82" i="2"/>
  <c r="ED82" i="2"/>
  <c r="DW82" i="2"/>
  <c r="DP82" i="2"/>
  <c r="DI82" i="2"/>
  <c r="DB82" i="2"/>
  <c r="CU82" i="2"/>
  <c r="CN82" i="2"/>
  <c r="EK79" i="2"/>
  <c r="ED79" i="2"/>
  <c r="DW79" i="2"/>
  <c r="DP79" i="2"/>
  <c r="DI79" i="2"/>
  <c r="DB79" i="2"/>
  <c r="CU79" i="2"/>
  <c r="CN79" i="2"/>
  <c r="EK78" i="2"/>
  <c r="ED78" i="2"/>
  <c r="DW78" i="2"/>
  <c r="DP78" i="2"/>
  <c r="DI78" i="2"/>
  <c r="DB78" i="2"/>
  <c r="CU78" i="2"/>
  <c r="CN78" i="2"/>
  <c r="EK77" i="2"/>
  <c r="ED77" i="2"/>
  <c r="DW77" i="2"/>
  <c r="DP77" i="2"/>
  <c r="DI77" i="2"/>
  <c r="DB77" i="2"/>
  <c r="CU77" i="2"/>
  <c r="CN77" i="2"/>
  <c r="EK76" i="2"/>
  <c r="ED76" i="2"/>
  <c r="DW76" i="2"/>
  <c r="DP76" i="2"/>
  <c r="DI76" i="2"/>
  <c r="DB76" i="2"/>
  <c r="CU76" i="2"/>
  <c r="CN76" i="2"/>
  <c r="EK75" i="2"/>
  <c r="ED75" i="2"/>
  <c r="DW75" i="2"/>
  <c r="DP75" i="2"/>
  <c r="DI75" i="2"/>
  <c r="DB75" i="2"/>
  <c r="CU75" i="2"/>
  <c r="CN75" i="2"/>
  <c r="EK74" i="2"/>
  <c r="ED74" i="2"/>
  <c r="DW74" i="2"/>
  <c r="DV74" i="2"/>
  <c r="DP74" i="2"/>
  <c r="DO74" i="2"/>
  <c r="DI74" i="2"/>
  <c r="DH74" i="2"/>
  <c r="DB74" i="2"/>
  <c r="CU74" i="2"/>
  <c r="CT74" i="2"/>
  <c r="CN74" i="2"/>
  <c r="EK73" i="2"/>
  <c r="ED73" i="2"/>
  <c r="DW73" i="2"/>
  <c r="DP73" i="2"/>
  <c r="DI73" i="2"/>
  <c r="DB73" i="2"/>
  <c r="CU73" i="2"/>
  <c r="CN73" i="2"/>
  <c r="EK72" i="2"/>
  <c r="ED72" i="2"/>
  <c r="DW72" i="2"/>
  <c r="DP72" i="2"/>
  <c r="DI72" i="2"/>
  <c r="DH72" i="2"/>
  <c r="DB72" i="2"/>
  <c r="CU72" i="2"/>
  <c r="CN72" i="2"/>
  <c r="CM72" i="2"/>
  <c r="EK71" i="2"/>
  <c r="ED71" i="2"/>
  <c r="DW71" i="2"/>
  <c r="DP71" i="2"/>
  <c r="DI71" i="2"/>
  <c r="DB71" i="2"/>
  <c r="CU71" i="2"/>
  <c r="CT71" i="2"/>
  <c r="CN71" i="2"/>
  <c r="EK70" i="2"/>
  <c r="ED70" i="2"/>
  <c r="DW70" i="2"/>
  <c r="DP70" i="2"/>
  <c r="DO70" i="2"/>
  <c r="DI70" i="2"/>
  <c r="DB70" i="2"/>
  <c r="CU70" i="2"/>
  <c r="CT70" i="2"/>
  <c r="CN70" i="2"/>
  <c r="EK69" i="2"/>
  <c r="ED69" i="2"/>
  <c r="DW69" i="2"/>
  <c r="DP69" i="2"/>
  <c r="DI69" i="2"/>
  <c r="DB69" i="2"/>
  <c r="CU69" i="2"/>
  <c r="CN69" i="2"/>
  <c r="EK68" i="2"/>
  <c r="ED68" i="2"/>
  <c r="DW68" i="2"/>
  <c r="DP68" i="2"/>
  <c r="DI68" i="2"/>
  <c r="DB68" i="2"/>
  <c r="CU68" i="2"/>
  <c r="CN68" i="2"/>
  <c r="EK67" i="2"/>
  <c r="ED67" i="2"/>
  <c r="DW67" i="2"/>
  <c r="DP67" i="2"/>
  <c r="DI67" i="2"/>
  <c r="DH67" i="2"/>
  <c r="DB67" i="2"/>
  <c r="CU67" i="2"/>
  <c r="CN67" i="2"/>
  <c r="EK66" i="2"/>
  <c r="ED66" i="2"/>
  <c r="DW66" i="2"/>
  <c r="DP66" i="2"/>
  <c r="DI66" i="2"/>
  <c r="DB66" i="2"/>
  <c r="CU66" i="2"/>
  <c r="CN66" i="2"/>
  <c r="EK65" i="2"/>
  <c r="ED65" i="2"/>
  <c r="DW65" i="2"/>
  <c r="DP65" i="2"/>
  <c r="DI65" i="2"/>
  <c r="DB65" i="2"/>
  <c r="CU65" i="2"/>
  <c r="CN65" i="2"/>
  <c r="EK64" i="2"/>
  <c r="EJ64" i="2"/>
  <c r="ED64" i="2"/>
  <c r="EC64" i="2"/>
  <c r="DW64" i="2"/>
  <c r="DP64" i="2"/>
  <c r="DO64" i="2"/>
  <c r="DI64" i="2"/>
  <c r="DB64" i="2"/>
  <c r="DA64" i="2"/>
  <c r="CU64" i="2"/>
  <c r="CN64" i="2"/>
  <c r="EK63" i="2"/>
  <c r="ED63" i="2"/>
  <c r="DW63" i="2"/>
  <c r="DP63" i="2"/>
  <c r="DI63" i="2"/>
  <c r="DB63" i="2"/>
  <c r="CU63" i="2"/>
  <c r="CN63" i="2"/>
  <c r="EK62" i="2"/>
  <c r="ED62" i="2"/>
  <c r="DW62" i="2"/>
  <c r="DV62" i="2"/>
  <c r="DP62" i="2"/>
  <c r="DO62" i="2"/>
  <c r="DI62" i="2"/>
  <c r="DH62" i="2"/>
  <c r="DB62" i="2"/>
  <c r="CU62" i="2"/>
  <c r="CN62" i="2"/>
  <c r="CM62" i="2"/>
  <c r="EK61" i="2"/>
  <c r="ED61" i="2"/>
  <c r="DW61" i="2"/>
  <c r="DP61" i="2"/>
  <c r="DI61" i="2"/>
  <c r="DB61" i="2"/>
  <c r="CU61" i="2"/>
  <c r="CN61" i="2"/>
  <c r="EK60" i="2"/>
  <c r="ED60" i="2"/>
  <c r="DW60" i="2"/>
  <c r="DP60" i="2"/>
  <c r="DI60" i="2"/>
  <c r="DB60" i="2"/>
  <c r="CU60" i="2"/>
  <c r="CN60" i="2"/>
  <c r="EK59" i="2"/>
  <c r="ED59" i="2"/>
  <c r="DW59" i="2"/>
  <c r="DP59" i="2"/>
  <c r="DI59" i="2"/>
  <c r="DB59" i="2"/>
  <c r="CU59" i="2"/>
  <c r="CN59" i="2"/>
  <c r="EK58" i="2"/>
  <c r="ED58" i="2"/>
  <c r="DW58" i="2"/>
  <c r="DP58" i="2"/>
  <c r="DI58" i="2"/>
  <c r="DB58" i="2"/>
  <c r="CU58" i="2"/>
  <c r="CN58" i="2"/>
  <c r="EK57" i="2"/>
  <c r="ED57" i="2"/>
  <c r="DW57" i="2"/>
  <c r="DP57" i="2"/>
  <c r="DI57" i="2"/>
  <c r="DB57" i="2"/>
  <c r="CU57" i="2"/>
  <c r="CN57" i="2"/>
  <c r="EK56" i="2"/>
  <c r="ED56" i="2"/>
  <c r="EC56" i="2"/>
  <c r="DW56" i="2"/>
  <c r="DP56" i="2"/>
  <c r="DI56" i="2"/>
  <c r="DB56" i="2"/>
  <c r="CU56" i="2"/>
  <c r="CN56" i="2"/>
  <c r="EK54" i="2"/>
  <c r="EJ54" i="2"/>
  <c r="ED54" i="2"/>
  <c r="DW54" i="2"/>
  <c r="DP54" i="2"/>
  <c r="DO54" i="2"/>
  <c r="DI54" i="2"/>
  <c r="DB54" i="2"/>
  <c r="CU54" i="2"/>
  <c r="CN54" i="2"/>
  <c r="EK53" i="2"/>
  <c r="EJ53" i="2"/>
  <c r="ED53" i="2"/>
  <c r="EC53" i="2"/>
  <c r="DW53" i="2"/>
  <c r="DP53" i="2"/>
  <c r="DI53" i="2"/>
  <c r="DH53" i="2"/>
  <c r="DB53" i="2"/>
  <c r="CU53" i="2"/>
  <c r="CN53" i="2"/>
  <c r="EK52" i="2"/>
  <c r="ED52" i="2"/>
  <c r="DW52" i="2"/>
  <c r="DP52" i="2"/>
  <c r="DI52" i="2"/>
  <c r="DB52" i="2"/>
  <c r="CU52" i="2"/>
  <c r="CN52" i="2"/>
  <c r="EK51" i="2"/>
  <c r="ED51" i="2"/>
  <c r="DW51" i="2"/>
  <c r="DP51" i="2"/>
  <c r="DI51" i="2"/>
  <c r="DB51" i="2"/>
  <c r="CU51" i="2"/>
  <c r="CN51" i="2"/>
  <c r="EK50" i="2"/>
  <c r="ED50" i="2"/>
  <c r="DW50" i="2"/>
  <c r="DP50" i="2"/>
  <c r="DI50" i="2"/>
  <c r="DB50" i="2"/>
  <c r="CU50" i="2"/>
  <c r="CN50" i="2"/>
  <c r="EK49" i="2"/>
  <c r="ED49" i="2"/>
  <c r="DW49" i="2"/>
  <c r="DP49" i="2"/>
  <c r="DI49" i="2"/>
  <c r="DB49" i="2"/>
  <c r="CU49" i="2"/>
  <c r="CN49" i="2"/>
  <c r="EK48" i="2"/>
  <c r="ED48" i="2"/>
  <c r="DW48" i="2"/>
  <c r="DP48" i="2"/>
  <c r="DI48" i="2"/>
  <c r="DB48" i="2"/>
  <c r="CU48" i="2"/>
  <c r="CN48" i="2"/>
  <c r="CM48" i="2"/>
  <c r="EK47" i="2"/>
  <c r="ED47" i="2"/>
  <c r="DW47" i="2"/>
  <c r="DP47" i="2"/>
  <c r="DI47" i="2"/>
  <c r="DB47" i="2"/>
  <c r="CU47" i="2"/>
  <c r="CN47" i="2"/>
  <c r="EK46" i="2"/>
  <c r="ED46" i="2"/>
  <c r="DW46" i="2"/>
  <c r="DV46" i="2"/>
  <c r="DP46" i="2"/>
  <c r="DI46" i="2"/>
  <c r="DB46" i="2"/>
  <c r="CU46" i="2"/>
  <c r="CN46" i="2"/>
  <c r="EK45" i="2"/>
  <c r="ED45" i="2"/>
  <c r="DW45" i="2"/>
  <c r="DP45" i="2"/>
  <c r="DI45" i="2"/>
  <c r="DB45" i="2"/>
  <c r="CU45" i="2"/>
  <c r="CN45" i="2"/>
  <c r="EK44" i="2"/>
  <c r="ED44" i="2"/>
  <c r="DW44" i="2"/>
  <c r="DP44" i="2"/>
  <c r="DI44" i="2"/>
  <c r="DB44" i="2"/>
  <c r="CU44" i="2"/>
  <c r="CN44" i="2"/>
  <c r="EK43" i="2"/>
  <c r="ED43" i="2"/>
  <c r="DW43" i="2"/>
  <c r="DP43" i="2"/>
  <c r="DI43" i="2"/>
  <c r="DB43" i="2"/>
  <c r="CU43" i="2"/>
  <c r="CN43" i="2"/>
  <c r="EK42" i="2"/>
  <c r="ED42" i="2"/>
  <c r="DW42" i="2"/>
  <c r="DP42" i="2"/>
  <c r="DI42" i="2"/>
  <c r="DB42" i="2"/>
  <c r="CU42" i="2"/>
  <c r="CN42" i="2"/>
  <c r="EK41" i="2"/>
  <c r="ED41" i="2"/>
  <c r="DW41" i="2"/>
  <c r="DP41" i="2"/>
  <c r="DI41" i="2"/>
  <c r="DB41" i="2"/>
  <c r="CU41" i="2"/>
  <c r="CN41" i="2"/>
  <c r="EK40" i="2"/>
  <c r="ED40" i="2"/>
  <c r="DW40" i="2"/>
  <c r="DV40" i="2"/>
  <c r="DP40" i="2"/>
  <c r="DI40" i="2"/>
  <c r="DB40" i="2"/>
  <c r="CU40" i="2"/>
  <c r="CN40" i="2"/>
  <c r="EK39" i="2"/>
  <c r="ED39" i="2"/>
  <c r="DW39" i="2"/>
  <c r="DP39" i="2"/>
  <c r="DI39" i="2"/>
  <c r="DB39" i="2"/>
  <c r="CU39" i="2"/>
  <c r="CN39" i="2"/>
  <c r="EK38" i="2"/>
  <c r="EJ38" i="2"/>
  <c r="ED38" i="2"/>
  <c r="DW38" i="2"/>
  <c r="DP38" i="2"/>
  <c r="DI38" i="2"/>
  <c r="DB38" i="2"/>
  <c r="CU38" i="2"/>
  <c r="CN38" i="2"/>
  <c r="EK37" i="2"/>
  <c r="ED37" i="2"/>
  <c r="DW37" i="2"/>
  <c r="DP37" i="2"/>
  <c r="DI37" i="2"/>
  <c r="DB37" i="2"/>
  <c r="CU37" i="2"/>
  <c r="CN37" i="2"/>
  <c r="EK36" i="2"/>
  <c r="ED36" i="2"/>
  <c r="DW36" i="2"/>
  <c r="DP36" i="2"/>
  <c r="DO36" i="2"/>
  <c r="DI36" i="2"/>
  <c r="DB36" i="2"/>
  <c r="DA36" i="2"/>
  <c r="CU36" i="2"/>
  <c r="CN36" i="2"/>
  <c r="EK35" i="2"/>
  <c r="ED35" i="2"/>
  <c r="DW35" i="2"/>
  <c r="DP35" i="2"/>
  <c r="DI35" i="2"/>
  <c r="DB35" i="2"/>
  <c r="CU35" i="2"/>
  <c r="CN35" i="2"/>
  <c r="CM35" i="2"/>
  <c r="EK34" i="2"/>
  <c r="EJ34" i="2"/>
  <c r="ED34" i="2"/>
  <c r="DW34" i="2"/>
  <c r="DP34" i="2"/>
  <c r="DI34" i="2"/>
  <c r="DH34" i="2"/>
  <c r="DB34" i="2"/>
  <c r="DA34" i="2"/>
  <c r="CU34" i="2"/>
  <c r="CN34" i="2"/>
  <c r="EK33" i="2"/>
  <c r="ED33" i="2"/>
  <c r="DW33" i="2"/>
  <c r="DP33" i="2"/>
  <c r="DI33" i="2"/>
  <c r="DB33" i="2"/>
  <c r="CU33" i="2"/>
  <c r="CN33" i="2"/>
  <c r="EK32" i="2"/>
  <c r="ED32" i="2"/>
  <c r="DW32" i="2"/>
  <c r="DP32" i="2"/>
  <c r="DI32" i="2"/>
  <c r="DB32" i="2"/>
  <c r="CU32" i="2"/>
  <c r="CN32" i="2"/>
  <c r="EK31" i="2"/>
  <c r="ED31" i="2"/>
  <c r="EC31" i="2"/>
  <c r="DW31" i="2"/>
  <c r="DP31" i="2"/>
  <c r="DI31" i="2"/>
  <c r="DB31" i="2"/>
  <c r="CU31" i="2"/>
  <c r="CN31" i="2"/>
  <c r="EK29" i="2"/>
  <c r="ED29" i="2"/>
  <c r="DW29" i="2"/>
  <c r="DP29" i="2"/>
  <c r="DI29" i="2"/>
  <c r="DB29" i="2"/>
  <c r="CU29" i="2"/>
  <c r="CN29" i="2"/>
  <c r="EK28" i="2"/>
  <c r="ED28" i="2"/>
  <c r="DW28" i="2"/>
  <c r="DP28" i="2"/>
  <c r="DO28" i="2"/>
  <c r="DI28" i="2"/>
  <c r="DB28" i="2"/>
  <c r="DA28" i="2"/>
  <c r="CU28" i="2"/>
  <c r="CN28" i="2"/>
  <c r="EK27" i="2"/>
  <c r="ED27" i="2"/>
  <c r="DW27" i="2"/>
  <c r="DP27" i="2"/>
  <c r="DI27" i="2"/>
  <c r="DB27" i="2"/>
  <c r="CU27" i="2"/>
  <c r="CN27" i="2"/>
  <c r="EK26" i="2"/>
  <c r="EJ26" i="2"/>
  <c r="ED26" i="2"/>
  <c r="DW26" i="2"/>
  <c r="DP26" i="2"/>
  <c r="DI26" i="2"/>
  <c r="DB26" i="2"/>
  <c r="CU26" i="2"/>
  <c r="CN26" i="2"/>
  <c r="EK25" i="2"/>
  <c r="ED25" i="2"/>
  <c r="DW25" i="2"/>
  <c r="DP25" i="2"/>
  <c r="DI25" i="2"/>
  <c r="DB25" i="2"/>
  <c r="CU25" i="2"/>
  <c r="CN25" i="2"/>
  <c r="EK24" i="2"/>
  <c r="ED24" i="2"/>
  <c r="DW24" i="2"/>
  <c r="DP24" i="2"/>
  <c r="DI24" i="2"/>
  <c r="DB24" i="2"/>
  <c r="CU24" i="2"/>
  <c r="CN24" i="2"/>
  <c r="EK23" i="2"/>
  <c r="ED23" i="2"/>
  <c r="DW23" i="2"/>
  <c r="DP23" i="2"/>
  <c r="DI23" i="2"/>
  <c r="DB23" i="2"/>
  <c r="CU23" i="2"/>
  <c r="CN23" i="2"/>
  <c r="EK22" i="2"/>
  <c r="EJ22" i="2"/>
  <c r="ED22" i="2"/>
  <c r="EC22" i="2"/>
  <c r="DW22" i="2"/>
  <c r="DP22" i="2"/>
  <c r="DI22" i="2"/>
  <c r="DH22" i="2"/>
  <c r="DB22" i="2"/>
  <c r="CU22" i="2"/>
  <c r="CT22" i="2"/>
  <c r="CN22" i="2"/>
  <c r="EK21" i="2"/>
  <c r="ED21" i="2"/>
  <c r="DW21" i="2"/>
  <c r="DP21" i="2"/>
  <c r="DI21" i="2"/>
  <c r="DB21" i="2"/>
  <c r="CU21" i="2"/>
  <c r="CN21" i="2"/>
  <c r="EK20" i="2"/>
  <c r="ED20" i="2"/>
  <c r="DW20" i="2"/>
  <c r="DP20" i="2"/>
  <c r="DI20" i="2"/>
  <c r="DB20" i="2"/>
  <c r="CU20" i="2"/>
  <c r="CN20" i="2"/>
  <c r="EK19" i="2"/>
  <c r="ED19" i="2"/>
  <c r="DW19" i="2"/>
  <c r="DP19" i="2"/>
  <c r="DI19" i="2"/>
  <c r="DB19" i="2"/>
  <c r="CU19" i="2"/>
  <c r="CN19" i="2"/>
  <c r="EK18" i="2"/>
  <c r="ED18" i="2"/>
  <c r="DW18" i="2"/>
  <c r="DP18" i="2"/>
  <c r="DI18" i="2"/>
  <c r="DB18" i="2"/>
  <c r="CU18" i="2"/>
  <c r="CN18" i="2"/>
  <c r="EK17" i="2"/>
  <c r="ED17" i="2"/>
  <c r="DW17" i="2"/>
  <c r="DP17" i="2"/>
  <c r="DI17" i="2"/>
  <c r="DB17" i="2"/>
  <c r="CU17" i="2"/>
  <c r="CN17" i="2"/>
  <c r="EK16" i="2"/>
  <c r="ED16" i="2"/>
  <c r="DW16" i="2"/>
  <c r="DP16" i="2"/>
  <c r="DI16" i="2"/>
  <c r="DB16" i="2"/>
  <c r="CU16" i="2"/>
  <c r="CN16" i="2"/>
  <c r="EK15" i="2"/>
  <c r="ED15" i="2"/>
  <c r="DW15" i="2"/>
  <c r="DP15" i="2"/>
  <c r="DI15" i="2"/>
  <c r="DB15" i="2"/>
  <c r="CU15" i="2"/>
  <c r="CN15" i="2"/>
  <c r="EK14" i="2"/>
  <c r="ED14" i="2"/>
  <c r="DW14" i="2"/>
  <c r="DP14" i="2"/>
  <c r="DI14" i="2"/>
  <c r="DB14" i="2"/>
  <c r="CU14" i="2"/>
  <c r="CN14" i="2"/>
  <c r="EK13" i="2"/>
  <c r="ED13" i="2"/>
  <c r="DW13" i="2"/>
  <c r="DP13" i="2"/>
  <c r="DI13" i="2"/>
  <c r="DB13" i="2"/>
  <c r="CU13" i="2"/>
  <c r="CN13" i="2"/>
  <c r="EK12" i="2"/>
  <c r="ED12" i="2"/>
  <c r="DW12" i="2"/>
  <c r="DP12" i="2"/>
  <c r="DI12" i="2"/>
  <c r="DB12" i="2"/>
  <c r="DA12" i="2"/>
  <c r="CU12" i="2"/>
  <c r="CN12" i="2"/>
  <c r="CM12" i="2"/>
  <c r="EK11" i="2"/>
  <c r="ED11" i="2"/>
  <c r="DW11" i="2"/>
  <c r="DP11" i="2"/>
  <c r="DI11" i="2"/>
  <c r="DB11" i="2"/>
  <c r="CU11" i="2"/>
  <c r="CN11" i="2"/>
  <c r="EK10" i="2"/>
  <c r="ED10" i="2"/>
  <c r="DW10" i="2"/>
  <c r="DP10" i="2"/>
  <c r="DI10" i="2"/>
  <c r="DB10" i="2"/>
  <c r="CU10" i="2"/>
  <c r="CN10" i="2"/>
  <c r="EK9" i="2"/>
  <c r="ED9" i="2"/>
  <c r="DW9" i="2"/>
  <c r="DP9" i="2"/>
  <c r="DI9" i="2"/>
  <c r="DB9" i="2"/>
  <c r="CU9" i="2"/>
  <c r="CN9" i="2"/>
  <c r="EK8" i="2"/>
  <c r="ED8" i="2"/>
  <c r="DW8" i="2"/>
  <c r="DP8" i="2"/>
  <c r="DI8" i="2"/>
  <c r="DB8" i="2"/>
  <c r="CU8" i="2"/>
  <c r="CN8" i="2"/>
  <c r="EK7" i="2"/>
  <c r="ED7" i="2"/>
  <c r="DW7" i="2"/>
  <c r="DP7" i="2"/>
  <c r="DI7" i="2"/>
  <c r="DB7" i="2"/>
  <c r="CU7" i="2"/>
  <c r="CN7" i="2"/>
  <c r="EK6" i="2"/>
  <c r="ED6" i="2"/>
  <c r="DW6" i="2"/>
  <c r="DP6" i="2"/>
  <c r="DI6" i="2"/>
  <c r="DB6" i="2"/>
  <c r="CU6" i="2"/>
  <c r="CN6" i="2"/>
  <c r="CF128" i="2"/>
  <c r="BY128" i="2"/>
  <c r="BR128" i="2"/>
  <c r="BK128" i="2"/>
  <c r="CG123" i="2"/>
  <c r="CF123" i="2"/>
  <c r="BZ123" i="2"/>
  <c r="BY123" i="2"/>
  <c r="BS123" i="2"/>
  <c r="BR123" i="2"/>
  <c r="BL123" i="2"/>
  <c r="BK123" i="2"/>
  <c r="CG120" i="2"/>
  <c r="CF120" i="2"/>
  <c r="BZ120" i="2"/>
  <c r="BY120" i="2"/>
  <c r="BS120" i="2"/>
  <c r="BR120" i="2"/>
  <c r="BL120" i="2"/>
  <c r="BK120" i="2"/>
  <c r="CG117" i="2"/>
  <c r="CF117" i="2"/>
  <c r="BZ117" i="2"/>
  <c r="BY117" i="2"/>
  <c r="BS117" i="2"/>
  <c r="BR117" i="2"/>
  <c r="BL117" i="2"/>
  <c r="BK117" i="2"/>
  <c r="CG116" i="2"/>
  <c r="CF116" i="2"/>
  <c r="BZ116" i="2"/>
  <c r="BY116" i="2"/>
  <c r="BS116" i="2"/>
  <c r="BR116" i="2"/>
  <c r="BL116" i="2"/>
  <c r="BK116" i="2"/>
  <c r="CG113" i="2"/>
  <c r="CF113" i="2"/>
  <c r="BZ113" i="2"/>
  <c r="BY113" i="2"/>
  <c r="BS113" i="2"/>
  <c r="BR113" i="2"/>
  <c r="BL113" i="2"/>
  <c r="BK113" i="2"/>
  <c r="CG112" i="2"/>
  <c r="CF112" i="2"/>
  <c r="BZ112" i="2"/>
  <c r="BY112" i="2"/>
  <c r="BS112" i="2"/>
  <c r="BR112" i="2"/>
  <c r="BL112" i="2"/>
  <c r="BK112" i="2"/>
  <c r="CG111" i="2"/>
  <c r="CF111" i="2"/>
  <c r="BZ111" i="2"/>
  <c r="BY111" i="2"/>
  <c r="BS111" i="2"/>
  <c r="BR111" i="2"/>
  <c r="BL111" i="2"/>
  <c r="BK111" i="2"/>
  <c r="CG110" i="2"/>
  <c r="CF110" i="2"/>
  <c r="BZ110" i="2"/>
  <c r="BY110" i="2"/>
  <c r="BS110" i="2"/>
  <c r="BR110" i="2"/>
  <c r="BL110" i="2"/>
  <c r="BK110" i="2"/>
  <c r="CG107" i="2"/>
  <c r="CF107" i="2"/>
  <c r="BZ107" i="2"/>
  <c r="BY107" i="2"/>
  <c r="BS107" i="2"/>
  <c r="BR107" i="2"/>
  <c r="BL107" i="2"/>
  <c r="BK107" i="2"/>
  <c r="CG106" i="2"/>
  <c r="CF106" i="2"/>
  <c r="BZ106" i="2"/>
  <c r="BY106" i="2"/>
  <c r="BS106" i="2"/>
  <c r="BR106" i="2"/>
  <c r="BL106" i="2"/>
  <c r="BK106" i="2"/>
  <c r="CG105" i="2"/>
  <c r="CF105" i="2"/>
  <c r="BZ105" i="2"/>
  <c r="BY105" i="2"/>
  <c r="BS105" i="2"/>
  <c r="BR105" i="2"/>
  <c r="BL105" i="2"/>
  <c r="BK105" i="2"/>
  <c r="CG104" i="2"/>
  <c r="CF104" i="2"/>
  <c r="BZ104" i="2"/>
  <c r="BY104" i="2"/>
  <c r="BS104" i="2"/>
  <c r="BR104" i="2"/>
  <c r="BL104" i="2"/>
  <c r="BK104" i="2"/>
  <c r="CG103" i="2"/>
  <c r="CF103" i="2"/>
  <c r="BZ103" i="2"/>
  <c r="BY103" i="2"/>
  <c r="BS103" i="2"/>
  <c r="BR103" i="2"/>
  <c r="BL103" i="2"/>
  <c r="BK103" i="2"/>
  <c r="CG102" i="2"/>
  <c r="CF102" i="2"/>
  <c r="BZ102" i="2"/>
  <c r="BY102" i="2"/>
  <c r="BS102" i="2"/>
  <c r="BR102" i="2"/>
  <c r="BL102" i="2"/>
  <c r="BK102" i="2"/>
  <c r="CG101" i="2"/>
  <c r="CF101" i="2"/>
  <c r="BZ101" i="2"/>
  <c r="BY101" i="2"/>
  <c r="BS101" i="2"/>
  <c r="BR101" i="2"/>
  <c r="BL101" i="2"/>
  <c r="BK101" i="2"/>
  <c r="CG100" i="2"/>
  <c r="BZ100" i="2"/>
  <c r="BS100" i="2"/>
  <c r="BL100" i="2"/>
  <c r="CG97" i="2"/>
  <c r="CF97" i="2"/>
  <c r="BZ97" i="2"/>
  <c r="BS97" i="2"/>
  <c r="BL97" i="2"/>
  <c r="CG96" i="2"/>
  <c r="CF96" i="2"/>
  <c r="BZ96" i="2"/>
  <c r="BS96" i="2"/>
  <c r="BL96" i="2"/>
  <c r="CG95" i="2"/>
  <c r="CF95" i="2"/>
  <c r="BZ95" i="2"/>
  <c r="BS95" i="2"/>
  <c r="BL95" i="2"/>
  <c r="CG94" i="2"/>
  <c r="CF94" i="2"/>
  <c r="BZ94" i="2"/>
  <c r="BS94" i="2"/>
  <c r="BL94" i="2"/>
  <c r="CG93" i="2"/>
  <c r="CF93" i="2"/>
  <c r="BZ93" i="2"/>
  <c r="BS93" i="2"/>
  <c r="BL93" i="2"/>
  <c r="CG92" i="2"/>
  <c r="CF92" i="2"/>
  <c r="BZ92" i="2"/>
  <c r="BS92" i="2"/>
  <c r="BL92" i="2"/>
  <c r="CG91" i="2"/>
  <c r="CF91" i="2"/>
  <c r="BZ91" i="2"/>
  <c r="BS91" i="2"/>
  <c r="BL91" i="2"/>
  <c r="CG90" i="2"/>
  <c r="CF90" i="2"/>
  <c r="BZ90" i="2"/>
  <c r="BS90" i="2"/>
  <c r="BL90" i="2"/>
  <c r="CG89" i="2"/>
  <c r="CF89" i="2"/>
  <c r="BZ89" i="2"/>
  <c r="BS89" i="2"/>
  <c r="BL89" i="2"/>
  <c r="CG88" i="2"/>
  <c r="CF88" i="2"/>
  <c r="BZ88" i="2"/>
  <c r="BS88" i="2"/>
  <c r="BL88" i="2"/>
  <c r="CG87" i="2"/>
  <c r="CF87" i="2"/>
  <c r="BZ87" i="2"/>
  <c r="BS87" i="2"/>
  <c r="BL87" i="2"/>
  <c r="CG86" i="2"/>
  <c r="CF86" i="2"/>
  <c r="BZ86" i="2"/>
  <c r="BS86" i="2"/>
  <c r="BL86" i="2"/>
  <c r="CG85" i="2"/>
  <c r="CF85" i="2"/>
  <c r="BZ85" i="2"/>
  <c r="BS85" i="2"/>
  <c r="BL85" i="2"/>
  <c r="CG84" i="2"/>
  <c r="CF84" i="2"/>
  <c r="BZ84" i="2"/>
  <c r="BS84" i="2"/>
  <c r="BL84" i="2"/>
  <c r="CG83" i="2"/>
  <c r="CF83" i="2"/>
  <c r="BZ83" i="2"/>
  <c r="BS83" i="2"/>
  <c r="BL83" i="2"/>
  <c r="CG82" i="2"/>
  <c r="CF82" i="2"/>
  <c r="BZ82" i="2"/>
  <c r="BY82" i="2"/>
  <c r="BS82" i="2"/>
  <c r="BL82" i="2"/>
  <c r="CG79" i="2"/>
  <c r="BZ79" i="2"/>
  <c r="BS79" i="2"/>
  <c r="BL79" i="2"/>
  <c r="CG78" i="2"/>
  <c r="BZ78" i="2"/>
  <c r="BS78" i="2"/>
  <c r="BL78" i="2"/>
  <c r="CG77" i="2"/>
  <c r="BZ77" i="2"/>
  <c r="BS77" i="2"/>
  <c r="BL77" i="2"/>
  <c r="CG76" i="2"/>
  <c r="BZ76" i="2"/>
  <c r="BS76" i="2"/>
  <c r="BL76" i="2"/>
  <c r="CG75" i="2"/>
  <c r="BZ75" i="2"/>
  <c r="BS75" i="2"/>
  <c r="BL75" i="2"/>
  <c r="CG74" i="2"/>
  <c r="CF74" i="2"/>
  <c r="BZ74" i="2"/>
  <c r="BS74" i="2"/>
  <c r="BL74" i="2"/>
  <c r="CG73" i="2"/>
  <c r="BZ73" i="2"/>
  <c r="BS73" i="2"/>
  <c r="BL73" i="2"/>
  <c r="CG72" i="2"/>
  <c r="BZ72" i="2"/>
  <c r="BY72" i="2"/>
  <c r="BS72" i="2"/>
  <c r="BL72" i="2"/>
  <c r="BK72" i="2"/>
  <c r="CG71" i="2"/>
  <c r="BZ71" i="2"/>
  <c r="BS71" i="2"/>
  <c r="BL71" i="2"/>
  <c r="CG70" i="2"/>
  <c r="BZ70" i="2"/>
  <c r="BS70" i="2"/>
  <c r="BL70" i="2"/>
  <c r="CG69" i="2"/>
  <c r="BZ69" i="2"/>
  <c r="BS69" i="2"/>
  <c r="BL69" i="2"/>
  <c r="CG68" i="2"/>
  <c r="BZ68" i="2"/>
  <c r="BS68" i="2"/>
  <c r="BL68" i="2"/>
  <c r="CG67" i="2"/>
  <c r="BZ67" i="2"/>
  <c r="BS67" i="2"/>
  <c r="BL67" i="2"/>
  <c r="CG66" i="2"/>
  <c r="BZ66" i="2"/>
  <c r="BS66" i="2"/>
  <c r="BL66" i="2"/>
  <c r="CG65" i="2"/>
  <c r="BZ65" i="2"/>
  <c r="BS65" i="2"/>
  <c r="BL65" i="2"/>
  <c r="CG64" i="2"/>
  <c r="BZ64" i="2"/>
  <c r="BS64" i="2"/>
  <c r="BL64" i="2"/>
  <c r="CG63" i="2"/>
  <c r="BZ63" i="2"/>
  <c r="BS63" i="2"/>
  <c r="BL63" i="2"/>
  <c r="CG62" i="2"/>
  <c r="BZ62" i="2"/>
  <c r="BS62" i="2"/>
  <c r="BL62" i="2"/>
  <c r="CG61" i="2"/>
  <c r="BZ61" i="2"/>
  <c r="BS61" i="2"/>
  <c r="BL61" i="2"/>
  <c r="CG60" i="2"/>
  <c r="BZ60" i="2"/>
  <c r="BS60" i="2"/>
  <c r="BL60" i="2"/>
  <c r="CG59" i="2"/>
  <c r="BZ59" i="2"/>
  <c r="BS59" i="2"/>
  <c r="BL59" i="2"/>
  <c r="CG58" i="2"/>
  <c r="BZ58" i="2"/>
  <c r="BS58" i="2"/>
  <c r="BL58" i="2"/>
  <c r="CG57" i="2"/>
  <c r="BZ57" i="2"/>
  <c r="BS57" i="2"/>
  <c r="BL57" i="2"/>
  <c r="CG56" i="2"/>
  <c r="CF56" i="2"/>
  <c r="BZ56" i="2"/>
  <c r="BS56" i="2"/>
  <c r="BL56" i="2"/>
  <c r="CG54" i="2"/>
  <c r="BZ54" i="2"/>
  <c r="BS54" i="2"/>
  <c r="BL54" i="2"/>
  <c r="CG53" i="2"/>
  <c r="BZ53" i="2"/>
  <c r="BY53" i="2"/>
  <c r="BS53" i="2"/>
  <c r="BL53" i="2"/>
  <c r="CG52" i="2"/>
  <c r="BZ52" i="2"/>
  <c r="BS52" i="2"/>
  <c r="BL52" i="2"/>
  <c r="CG51" i="2"/>
  <c r="BZ51" i="2"/>
  <c r="BS51" i="2"/>
  <c r="BL51" i="2"/>
  <c r="CG50" i="2"/>
  <c r="BZ50" i="2"/>
  <c r="BS50" i="2"/>
  <c r="BL50" i="2"/>
  <c r="CG49" i="2"/>
  <c r="BZ49" i="2"/>
  <c r="BS49" i="2"/>
  <c r="BL49" i="2"/>
  <c r="CG48" i="2"/>
  <c r="BZ48" i="2"/>
  <c r="BS48" i="2"/>
  <c r="BL48" i="2"/>
  <c r="CG47" i="2"/>
  <c r="BZ47" i="2"/>
  <c r="BS47" i="2"/>
  <c r="BL47" i="2"/>
  <c r="CG46" i="2"/>
  <c r="BZ46" i="2"/>
  <c r="BS46" i="2"/>
  <c r="BR46" i="2"/>
  <c r="BL46" i="2"/>
  <c r="CG45" i="2"/>
  <c r="BZ45" i="2"/>
  <c r="BS45" i="2"/>
  <c r="BL45" i="2"/>
  <c r="CG44" i="2"/>
  <c r="BZ44" i="2"/>
  <c r="BS44" i="2"/>
  <c r="BL44" i="2"/>
  <c r="CG43" i="2"/>
  <c r="BZ43" i="2"/>
  <c r="BS43" i="2"/>
  <c r="BL43" i="2"/>
  <c r="CG42" i="2"/>
  <c r="BZ42" i="2"/>
  <c r="BS42" i="2"/>
  <c r="BL42" i="2"/>
  <c r="CG41" i="2"/>
  <c r="BZ41" i="2"/>
  <c r="BY41" i="2"/>
  <c r="BS41" i="2"/>
  <c r="BL41" i="2"/>
  <c r="CG40" i="2"/>
  <c r="BZ40" i="2"/>
  <c r="BS40" i="2"/>
  <c r="BL40" i="2"/>
  <c r="BK40" i="2"/>
  <c r="CG39" i="2"/>
  <c r="BZ39" i="2"/>
  <c r="BS39" i="2"/>
  <c r="BL39" i="2"/>
  <c r="CG38" i="2"/>
  <c r="BZ38" i="2"/>
  <c r="BS38" i="2"/>
  <c r="BL38" i="2"/>
  <c r="CG37" i="2"/>
  <c r="BZ37" i="2"/>
  <c r="BS37" i="2"/>
  <c r="BL37" i="2"/>
  <c r="CG36" i="2"/>
  <c r="BZ36" i="2"/>
  <c r="BS36" i="2"/>
  <c r="BL36" i="2"/>
  <c r="CG35" i="2"/>
  <c r="CF35" i="2"/>
  <c r="BZ35" i="2"/>
  <c r="BY35" i="2"/>
  <c r="BS35" i="2"/>
  <c r="BL35" i="2"/>
  <c r="CG34" i="2"/>
  <c r="BZ34" i="2"/>
  <c r="BS34" i="2"/>
  <c r="BL34" i="2"/>
  <c r="CG33" i="2"/>
  <c r="BZ33" i="2"/>
  <c r="BS33" i="2"/>
  <c r="BL33" i="2"/>
  <c r="CG32" i="2"/>
  <c r="BZ32" i="2"/>
  <c r="BS32" i="2"/>
  <c r="BL32" i="2"/>
  <c r="CG31" i="2"/>
  <c r="BZ31" i="2"/>
  <c r="BS31" i="2"/>
  <c r="BR31" i="2"/>
  <c r="BL31" i="2"/>
  <c r="CG29" i="2"/>
  <c r="BZ29" i="2"/>
  <c r="BS29" i="2"/>
  <c r="BL29" i="2"/>
  <c r="CG28" i="2"/>
  <c r="BZ28" i="2"/>
  <c r="BS28" i="2"/>
  <c r="BL28" i="2"/>
  <c r="CG27" i="2"/>
  <c r="BZ27" i="2"/>
  <c r="BS27" i="2"/>
  <c r="BL27" i="2"/>
  <c r="CG26" i="2"/>
  <c r="BZ26" i="2"/>
  <c r="BS26" i="2"/>
  <c r="BL26" i="2"/>
  <c r="CG25" i="2"/>
  <c r="BZ25" i="2"/>
  <c r="BS25" i="2"/>
  <c r="BL25" i="2"/>
  <c r="CG24" i="2"/>
  <c r="BZ24" i="2"/>
  <c r="BS24" i="2"/>
  <c r="BL24" i="2"/>
  <c r="CG23" i="2"/>
  <c r="BZ23" i="2"/>
  <c r="BS23" i="2"/>
  <c r="BL23" i="2"/>
  <c r="CG22" i="2"/>
  <c r="BZ22" i="2"/>
  <c r="BY22" i="2"/>
  <c r="BS22" i="2"/>
  <c r="BL22" i="2"/>
  <c r="CG21" i="2"/>
  <c r="BZ21" i="2"/>
  <c r="BS21" i="2"/>
  <c r="BL21" i="2"/>
  <c r="CG20" i="2"/>
  <c r="BZ20" i="2"/>
  <c r="BS20" i="2"/>
  <c r="BL20" i="2"/>
  <c r="CG19" i="2"/>
  <c r="BZ19" i="2"/>
  <c r="BS19" i="2"/>
  <c r="BL19" i="2"/>
  <c r="CG18" i="2"/>
  <c r="BZ18" i="2"/>
  <c r="BS18" i="2"/>
  <c r="BL18" i="2"/>
  <c r="CG17" i="2"/>
  <c r="BZ17" i="2"/>
  <c r="BS17" i="2"/>
  <c r="BL17" i="2"/>
  <c r="CG16" i="2"/>
  <c r="BZ16" i="2"/>
  <c r="BS16" i="2"/>
  <c r="BL16" i="2"/>
  <c r="CG15" i="2"/>
  <c r="BZ15" i="2"/>
  <c r="BS15" i="2"/>
  <c r="BL15" i="2"/>
  <c r="CG14" i="2"/>
  <c r="BZ14" i="2"/>
  <c r="BS14" i="2"/>
  <c r="BL14" i="2"/>
  <c r="CG13" i="2"/>
  <c r="BZ13" i="2"/>
  <c r="BS13" i="2"/>
  <c r="BL13" i="2"/>
  <c r="CG12" i="2"/>
  <c r="BZ12" i="2"/>
  <c r="BS12" i="2"/>
  <c r="BL12" i="2"/>
  <c r="CG11" i="2"/>
  <c r="BZ11" i="2"/>
  <c r="BS11" i="2"/>
  <c r="BL11" i="2"/>
  <c r="CG10" i="2"/>
  <c r="BZ10" i="2"/>
  <c r="BS10" i="2"/>
  <c r="BL10" i="2"/>
  <c r="CG9" i="2"/>
  <c r="BZ9" i="2"/>
  <c r="BS9" i="2"/>
  <c r="BL9" i="2"/>
  <c r="CG8" i="2"/>
  <c r="BZ8" i="2"/>
  <c r="BS8" i="2"/>
  <c r="BL8" i="2"/>
  <c r="CG7" i="2"/>
  <c r="BZ7" i="2"/>
  <c r="BS7" i="2"/>
  <c r="BL7" i="2"/>
  <c r="CG6" i="2"/>
  <c r="BZ6" i="2"/>
  <c r="BS6" i="2"/>
  <c r="BL6" i="2"/>
  <c r="BD128" i="2"/>
  <c r="BE123" i="2"/>
  <c r="BD123" i="2"/>
  <c r="BE120" i="2"/>
  <c r="BD120" i="2"/>
  <c r="BE117" i="2"/>
  <c r="BD117" i="2"/>
  <c r="BE116" i="2"/>
  <c r="BD116" i="2"/>
  <c r="BE113" i="2"/>
  <c r="BD113" i="2"/>
  <c r="BE112" i="2"/>
  <c r="BD112" i="2"/>
  <c r="BE111" i="2"/>
  <c r="BD111" i="2"/>
  <c r="BE110" i="2"/>
  <c r="BD110" i="2"/>
  <c r="BE107" i="2"/>
  <c r="BD107" i="2"/>
  <c r="BE106" i="2"/>
  <c r="BD106" i="2"/>
  <c r="BE105" i="2"/>
  <c r="BD105" i="2"/>
  <c r="BE104" i="2"/>
  <c r="BD104" i="2"/>
  <c r="BE103" i="2"/>
  <c r="BD103" i="2"/>
  <c r="BE102" i="2"/>
  <c r="BD102" i="2"/>
  <c r="BE101" i="2"/>
  <c r="BD101" i="2"/>
  <c r="BE100" i="2"/>
  <c r="BE97" i="2"/>
  <c r="BE96" i="2"/>
  <c r="BE95" i="2"/>
  <c r="BE94" i="2"/>
  <c r="BE93" i="2"/>
  <c r="BE92" i="2"/>
  <c r="BE91" i="2"/>
  <c r="BE90" i="2"/>
  <c r="BE89" i="2"/>
  <c r="BE88" i="2"/>
  <c r="BE87" i="2"/>
  <c r="BE86" i="2"/>
  <c r="BD86" i="2"/>
  <c r="BE85" i="2"/>
  <c r="BE84" i="2"/>
  <c r="BE83" i="2"/>
  <c r="BE82" i="2"/>
  <c r="BE79" i="2"/>
  <c r="BE78" i="2"/>
  <c r="BE77" i="2"/>
  <c r="BE76" i="2"/>
  <c r="BE75" i="2"/>
  <c r="BE74" i="2"/>
  <c r="BE73" i="2"/>
  <c r="BE72" i="2"/>
  <c r="BE71" i="2"/>
  <c r="BE70" i="2"/>
  <c r="BE69" i="2"/>
  <c r="BE68" i="2"/>
  <c r="BE67" i="2"/>
  <c r="BE66" i="2"/>
  <c r="BE65" i="2"/>
  <c r="BE64" i="2"/>
  <c r="BE63" i="2"/>
  <c r="BE62" i="2"/>
  <c r="BD62" i="2"/>
  <c r="BE61" i="2"/>
  <c r="BE60" i="2"/>
  <c r="BE59" i="2"/>
  <c r="BE58" i="2"/>
  <c r="BE57" i="2"/>
  <c r="BE56" i="2"/>
  <c r="BE54" i="2"/>
  <c r="BE53" i="2"/>
  <c r="BE52" i="2"/>
  <c r="BE51" i="2"/>
  <c r="BE50" i="2"/>
  <c r="BE49" i="2"/>
  <c r="BE48" i="2"/>
  <c r="BD48" i="2"/>
  <c r="BE47" i="2"/>
  <c r="BE46" i="2"/>
  <c r="BE45" i="2"/>
  <c r="BE44" i="2"/>
  <c r="BE43" i="2"/>
  <c r="BE42" i="2"/>
  <c r="BE41" i="2"/>
  <c r="BE40" i="2"/>
  <c r="BD40" i="2"/>
  <c r="BE39" i="2"/>
  <c r="BE38" i="2"/>
  <c r="BE37" i="2"/>
  <c r="BE36" i="2"/>
  <c r="BE35" i="2"/>
  <c r="BE34" i="2"/>
  <c r="BE33" i="2"/>
  <c r="BE32" i="2"/>
  <c r="BE31" i="2"/>
  <c r="BE29" i="2"/>
  <c r="BE28" i="2"/>
  <c r="BE27" i="2"/>
  <c r="BE26" i="2"/>
  <c r="BE25" i="2"/>
  <c r="BE24" i="2"/>
  <c r="BE23" i="2"/>
  <c r="BD23" i="2"/>
  <c r="BE22" i="2"/>
  <c r="BE21" i="2"/>
  <c r="BE20" i="2"/>
  <c r="BE19" i="2"/>
  <c r="BE18" i="2"/>
  <c r="BE17" i="2"/>
  <c r="BE16" i="2"/>
  <c r="BE15" i="2"/>
  <c r="BE14" i="2"/>
  <c r="BE13" i="2"/>
  <c r="BE12" i="2"/>
  <c r="BD12" i="2"/>
  <c r="BE11" i="2"/>
  <c r="BE10" i="2"/>
  <c r="BE9" i="2"/>
  <c r="BE8" i="2"/>
  <c r="BE7" i="2"/>
  <c r="BE6" i="2"/>
  <c r="AW128" i="2"/>
  <c r="AX123" i="2"/>
  <c r="AW123" i="2"/>
  <c r="AX120" i="2"/>
  <c r="AW120" i="2"/>
  <c r="AX117" i="2"/>
  <c r="AW117" i="2"/>
  <c r="AX116" i="2"/>
  <c r="AW116" i="2"/>
  <c r="AX113" i="2"/>
  <c r="AW113" i="2"/>
  <c r="AX112" i="2"/>
  <c r="AW112" i="2"/>
  <c r="AX111" i="2"/>
  <c r="AW111" i="2"/>
  <c r="AX110" i="2"/>
  <c r="AW110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X100" i="2"/>
  <c r="AX97" i="2"/>
  <c r="AX96" i="2"/>
  <c r="AX95" i="2"/>
  <c r="AX94" i="2"/>
  <c r="AX93" i="2"/>
  <c r="AX92" i="2"/>
  <c r="AX91" i="2"/>
  <c r="AX90" i="2"/>
  <c r="AX89" i="2"/>
  <c r="AX88" i="2"/>
  <c r="AX87" i="2"/>
  <c r="AX86" i="2"/>
  <c r="AX85" i="2"/>
  <c r="AX84" i="2"/>
  <c r="AX83" i="2"/>
  <c r="AX82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4" i="2"/>
  <c r="AX53" i="2"/>
  <c r="AW53" i="2"/>
  <c r="AX52" i="2"/>
  <c r="AX51" i="2"/>
  <c r="AX50" i="2"/>
  <c r="AX49" i="2"/>
  <c r="AX48" i="2"/>
  <c r="AW48" i="2"/>
  <c r="AX47" i="2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29" i="2"/>
  <c r="AX28" i="2"/>
  <c r="AX27" i="2"/>
  <c r="AX26" i="2"/>
  <c r="AX25" i="2"/>
  <c r="AW25" i="2"/>
  <c r="AX24" i="2"/>
  <c r="AX23" i="2"/>
  <c r="AX22" i="2"/>
  <c r="AW22" i="2"/>
  <c r="AX21" i="2"/>
  <c r="AX20" i="2"/>
  <c r="AX19" i="2"/>
  <c r="AW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P128" i="2"/>
  <c r="AQ123" i="2"/>
  <c r="AP123" i="2"/>
  <c r="AQ120" i="2"/>
  <c r="AP120" i="2"/>
  <c r="AQ117" i="2"/>
  <c r="AP117" i="2"/>
  <c r="AQ116" i="2"/>
  <c r="AP116" i="2"/>
  <c r="AQ113" i="2"/>
  <c r="AP113" i="2"/>
  <c r="AQ112" i="2"/>
  <c r="AP112" i="2"/>
  <c r="AQ111" i="2"/>
  <c r="AP111" i="2"/>
  <c r="AQ110" i="2"/>
  <c r="AP110" i="2"/>
  <c r="AQ107" i="2"/>
  <c r="AP107" i="2"/>
  <c r="AQ106" i="2"/>
  <c r="AP106" i="2"/>
  <c r="AQ105" i="2"/>
  <c r="AP105" i="2"/>
  <c r="AQ104" i="2"/>
  <c r="AP104" i="2"/>
  <c r="AQ103" i="2"/>
  <c r="AP103" i="2"/>
  <c r="AQ102" i="2"/>
  <c r="AP102" i="2"/>
  <c r="AQ101" i="2"/>
  <c r="AP101" i="2"/>
  <c r="AQ100" i="2"/>
  <c r="AQ97" i="2"/>
  <c r="AQ96" i="2"/>
  <c r="AQ95" i="2"/>
  <c r="AQ94" i="2"/>
  <c r="AQ93" i="2"/>
  <c r="AQ92" i="2"/>
  <c r="AQ91" i="2"/>
  <c r="AQ90" i="2"/>
  <c r="AQ89" i="2"/>
  <c r="AQ88" i="2"/>
  <c r="AQ87" i="2"/>
  <c r="AQ86" i="2"/>
  <c r="AP86" i="2"/>
  <c r="AQ85" i="2"/>
  <c r="AQ84" i="2"/>
  <c r="AQ83" i="2"/>
  <c r="AQ82" i="2"/>
  <c r="AQ79" i="2"/>
  <c r="AQ78" i="2"/>
  <c r="AQ77" i="2"/>
  <c r="AQ76" i="2"/>
  <c r="AQ75" i="2"/>
  <c r="AQ74" i="2"/>
  <c r="AQ73" i="2"/>
  <c r="AQ72" i="2"/>
  <c r="AQ71" i="2"/>
  <c r="AQ70" i="2"/>
  <c r="AQ69" i="2"/>
  <c r="AQ68" i="2"/>
  <c r="AQ67" i="2"/>
  <c r="AQ66" i="2"/>
  <c r="AQ65" i="2"/>
  <c r="AQ64" i="2"/>
  <c r="AP64" i="2"/>
  <c r="AQ63" i="2"/>
  <c r="AQ62" i="2"/>
  <c r="AP62" i="2"/>
  <c r="AQ61" i="2"/>
  <c r="AQ60" i="2"/>
  <c r="AQ59" i="2"/>
  <c r="AQ58" i="2"/>
  <c r="AP58" i="2"/>
  <c r="AQ57" i="2"/>
  <c r="AQ56" i="2"/>
  <c r="AQ54" i="2"/>
  <c r="AQ53" i="2"/>
  <c r="AQ52" i="2"/>
  <c r="AQ51" i="2"/>
  <c r="AQ50" i="2"/>
  <c r="AQ49" i="2"/>
  <c r="AQ48" i="2"/>
  <c r="AP48" i="2"/>
  <c r="AQ47" i="2"/>
  <c r="AQ46" i="2"/>
  <c r="AQ45" i="2"/>
  <c r="AQ44" i="2"/>
  <c r="AQ43" i="2"/>
  <c r="AQ42" i="2"/>
  <c r="AQ41" i="2"/>
  <c r="AQ40" i="2"/>
  <c r="AP40" i="2"/>
  <c r="AQ39" i="2"/>
  <c r="AQ38" i="2"/>
  <c r="AQ37" i="2"/>
  <c r="AQ36" i="2"/>
  <c r="AQ35" i="2"/>
  <c r="AQ34" i="2"/>
  <c r="AQ33" i="2"/>
  <c r="AQ32" i="2"/>
  <c r="AQ31" i="2"/>
  <c r="AQ29" i="2"/>
  <c r="AQ28" i="2"/>
  <c r="AQ27" i="2"/>
  <c r="AQ26" i="2"/>
  <c r="AQ25" i="2"/>
  <c r="AQ24" i="2"/>
  <c r="AP24" i="2"/>
  <c r="AQ23" i="2"/>
  <c r="AQ22" i="2"/>
  <c r="AQ21" i="2"/>
  <c r="AQ20" i="2"/>
  <c r="AQ19" i="2"/>
  <c r="AQ18" i="2"/>
  <c r="AQ17" i="2"/>
  <c r="AQ16" i="2"/>
  <c r="AQ15" i="2"/>
  <c r="AQ14" i="2"/>
  <c r="AQ13" i="2"/>
  <c r="AQ12" i="2"/>
  <c r="AQ11" i="2"/>
  <c r="AQ10" i="2"/>
  <c r="AQ9" i="2"/>
  <c r="AQ8" i="2"/>
  <c r="AQ7" i="2"/>
  <c r="AQ6" i="2"/>
  <c r="AJ123" i="2"/>
  <c r="AI123" i="2"/>
  <c r="AJ120" i="2"/>
  <c r="AI120" i="2"/>
  <c r="AJ117" i="2"/>
  <c r="AI117" i="2"/>
  <c r="AJ116" i="2"/>
  <c r="AI116" i="2"/>
  <c r="AJ113" i="2"/>
  <c r="AI113" i="2"/>
  <c r="AJ112" i="2"/>
  <c r="AI112" i="2"/>
  <c r="AJ111" i="2"/>
  <c r="AI111" i="2"/>
  <c r="AJ110" i="2"/>
  <c r="AI110" i="2"/>
  <c r="AJ107" i="2"/>
  <c r="AI107" i="2"/>
  <c r="AJ106" i="2"/>
  <c r="AI106" i="2"/>
  <c r="AJ105" i="2"/>
  <c r="AI105" i="2"/>
  <c r="AJ104" i="2"/>
  <c r="AI104" i="2"/>
  <c r="AJ103" i="2"/>
  <c r="AI103" i="2"/>
  <c r="AJ102" i="2"/>
  <c r="AI102" i="2"/>
  <c r="AJ101" i="2"/>
  <c r="AI101" i="2"/>
  <c r="AJ100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4" i="2"/>
  <c r="AJ83" i="2"/>
  <c r="AJ82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4" i="2"/>
  <c r="AJ53" i="2"/>
  <c r="AJ52" i="2"/>
  <c r="AJ51" i="2"/>
  <c r="AJ50" i="2"/>
  <c r="AJ49" i="2"/>
  <c r="AJ48" i="2"/>
  <c r="AI48" i="2"/>
  <c r="AJ47" i="2"/>
  <c r="AJ46" i="2"/>
  <c r="AJ45" i="2"/>
  <c r="AJ44" i="2"/>
  <c r="AJ43" i="2"/>
  <c r="AJ42" i="2"/>
  <c r="AJ41" i="2"/>
  <c r="AJ40" i="2"/>
  <c r="AI40" i="2"/>
  <c r="AJ39" i="2"/>
  <c r="AJ38" i="2"/>
  <c r="AJ37" i="2"/>
  <c r="AJ36" i="2"/>
  <c r="AJ35" i="2"/>
  <c r="AJ34" i="2"/>
  <c r="AJ33" i="2"/>
  <c r="AJ32" i="2"/>
  <c r="AJ31" i="2"/>
  <c r="AJ29" i="2"/>
  <c r="AJ28" i="2"/>
  <c r="AJ27" i="2"/>
  <c r="AJ26" i="2"/>
  <c r="AJ25" i="2"/>
  <c r="AJ24" i="2"/>
  <c r="AJ23" i="2"/>
  <c r="AJ22" i="2"/>
  <c r="AI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N24" i="2"/>
  <c r="N41" i="2"/>
  <c r="N46" i="2"/>
  <c r="N62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100" i="2"/>
  <c r="N101" i="2"/>
  <c r="N102" i="2"/>
  <c r="N103" i="2"/>
  <c r="N104" i="2"/>
  <c r="N105" i="2"/>
  <c r="N106" i="2"/>
  <c r="N107" i="2"/>
  <c r="N110" i="2"/>
  <c r="N111" i="2"/>
  <c r="N113" i="2"/>
  <c r="N116" i="2"/>
  <c r="N128" i="2"/>
  <c r="Q199" i="2"/>
  <c r="Q154" i="2"/>
  <c r="Q182" i="2"/>
  <c r="Q175" i="2"/>
  <c r="Q155" i="2"/>
  <c r="Q174" i="2"/>
  <c r="Q156" i="2"/>
  <c r="Q167" i="2"/>
  <c r="Q150" i="2"/>
  <c r="Q142" i="2"/>
  <c r="Q165" i="2"/>
  <c r="Q170" i="2"/>
  <c r="Q194" i="2"/>
  <c r="Q143" i="2"/>
  <c r="Q202" i="2"/>
  <c r="Q166" i="2"/>
  <c r="Q164" i="2"/>
  <c r="Q184" i="2"/>
  <c r="Q149" i="2"/>
  <c r="Q183" i="2"/>
  <c r="Q189" i="2"/>
  <c r="Q145" i="2"/>
  <c r="Q179" i="2"/>
  <c r="Q162" i="2"/>
  <c r="Q186" i="2"/>
  <c r="Q172" i="2"/>
  <c r="Q161" i="2"/>
  <c r="Q192" i="2"/>
  <c r="Q188" i="2"/>
  <c r="Q203" i="2"/>
  <c r="Q176" i="2"/>
  <c r="Q193" i="2"/>
  <c r="Q140" i="2"/>
  <c r="Q178" i="2"/>
  <c r="Q163" i="2"/>
  <c r="Q147" i="2"/>
  <c r="Q152" i="2"/>
  <c r="Q159" i="2"/>
  <c r="Q201" i="2"/>
  <c r="Q141" i="2"/>
  <c r="Q191" i="2"/>
  <c r="Q200" i="2"/>
  <c r="Q171" i="2"/>
  <c r="Q173" i="2"/>
  <c r="Q160" i="2"/>
  <c r="Q139" i="2"/>
  <c r="Q187" i="2"/>
  <c r="Q153" i="2"/>
  <c r="Q180" i="2"/>
  <c r="Q177" i="2"/>
  <c r="Q168" i="2"/>
  <c r="Q157" i="2"/>
  <c r="Q169" i="2"/>
  <c r="Q185" i="2"/>
  <c r="Q138" i="2"/>
  <c r="Q197" i="2"/>
  <c r="Q146" i="2"/>
  <c r="Q198" i="2"/>
  <c r="Q196" i="2"/>
  <c r="Q158" i="2"/>
  <c r="Q144" i="2"/>
  <c r="Q181" i="2"/>
  <c r="Q151" i="2"/>
  <c r="Q195" i="2"/>
  <c r="Q204" i="2"/>
  <c r="I119" i="2" l="1"/>
  <c r="I118" i="2"/>
  <c r="I114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100" i="2"/>
  <c r="O101" i="2"/>
  <c r="O102" i="2"/>
  <c r="O103" i="2"/>
  <c r="O104" i="2"/>
  <c r="O105" i="2"/>
  <c r="O106" i="2"/>
  <c r="O107" i="2"/>
  <c r="O110" i="2"/>
  <c r="O111" i="2"/>
  <c r="O112" i="2"/>
  <c r="O113" i="2"/>
  <c r="O116" i="2"/>
  <c r="O117" i="2"/>
  <c r="N117" i="2" s="1"/>
  <c r="O120" i="2"/>
  <c r="N120" i="2" s="1"/>
  <c r="O123" i="2"/>
  <c r="I123" i="2" l="1"/>
  <c r="N123" i="2" s="1"/>
  <c r="I82" i="2"/>
  <c r="CM82" i="2" s="1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100" i="2"/>
  <c r="I101" i="2"/>
  <c r="I102" i="2"/>
  <c r="I103" i="2"/>
  <c r="I104" i="2"/>
  <c r="I105" i="2"/>
  <c r="I106" i="2"/>
  <c r="I107" i="2"/>
  <c r="I110" i="2"/>
  <c r="I111" i="2"/>
  <c r="I112" i="2"/>
  <c r="N112" i="2" s="1"/>
  <c r="I113" i="2"/>
  <c r="I116" i="2"/>
  <c r="I117" i="2"/>
  <c r="I12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K45" i="2" s="1"/>
  <c r="I46" i="2"/>
  <c r="I47" i="2"/>
  <c r="AW47" i="2" s="1"/>
  <c r="I48" i="2"/>
  <c r="I49" i="2"/>
  <c r="I50" i="2"/>
  <c r="I51" i="2"/>
  <c r="IK51" i="2" s="1"/>
  <c r="I52" i="2"/>
  <c r="I53" i="2"/>
  <c r="I54" i="2"/>
  <c r="I56" i="2"/>
  <c r="I57" i="2"/>
  <c r="HW57" i="2" s="1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KV75" i="2" s="1"/>
  <c r="I76" i="2"/>
  <c r="I77" i="2"/>
  <c r="I78" i="2"/>
  <c r="I79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O7" i="2"/>
  <c r="O8" i="2"/>
  <c r="O9" i="2"/>
  <c r="O10" i="2"/>
  <c r="O11" i="2"/>
  <c r="O12" i="2"/>
  <c r="O13" i="2"/>
  <c r="O14" i="2"/>
  <c r="O15" i="2"/>
  <c r="O16" i="2"/>
  <c r="O17" i="2"/>
  <c r="N17" i="2" s="1"/>
  <c r="O18" i="2"/>
  <c r="O19" i="2"/>
  <c r="O20" i="2"/>
  <c r="O21" i="2"/>
  <c r="O22" i="2"/>
  <c r="O23" i="2"/>
  <c r="O24" i="2"/>
  <c r="O25" i="2"/>
  <c r="O26" i="2"/>
  <c r="O27" i="2"/>
  <c r="O28" i="2"/>
  <c r="O29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I6" i="2"/>
  <c r="QT100" i="2" l="1"/>
  <c r="QF100" i="2"/>
  <c r="PR100" i="2"/>
  <c r="PK100" i="2"/>
  <c r="OW100" i="2"/>
  <c r="OI100" i="2"/>
  <c r="NU100" i="2"/>
  <c r="RA100" i="2"/>
  <c r="QM100" i="2"/>
  <c r="PY100" i="2"/>
  <c r="PD100" i="2"/>
  <c r="OP100" i="2"/>
  <c r="OB100" i="2"/>
  <c r="NN100" i="2"/>
  <c r="MZ100" i="2"/>
  <c r="ML100" i="2"/>
  <c r="LX100" i="2"/>
  <c r="KA100" i="2"/>
  <c r="IY100" i="2"/>
  <c r="IK100" i="2"/>
  <c r="HW100" i="2"/>
  <c r="HI100" i="2"/>
  <c r="AW100" i="2"/>
  <c r="LQ100" i="2"/>
  <c r="LC100" i="2"/>
  <c r="KO100" i="2"/>
  <c r="GN100" i="2"/>
  <c r="FE100" i="2"/>
  <c r="EQ100" i="2"/>
  <c r="EJ100" i="2"/>
  <c r="DV100" i="2"/>
  <c r="DH100" i="2"/>
  <c r="CT100" i="2"/>
  <c r="CF100" i="2"/>
  <c r="BR100" i="2"/>
  <c r="BD100" i="2"/>
  <c r="AI100" i="2"/>
  <c r="NG100" i="2"/>
  <c r="MS100" i="2"/>
  <c r="ME100" i="2"/>
  <c r="JT100" i="2"/>
  <c r="JF100" i="2"/>
  <c r="IR100" i="2"/>
  <c r="ID100" i="2"/>
  <c r="HP100" i="2"/>
  <c r="HB100" i="2"/>
  <c r="FS100" i="2"/>
  <c r="AP100" i="2"/>
  <c r="LJ100" i="2"/>
  <c r="KV100" i="2"/>
  <c r="GU100" i="2"/>
  <c r="GG100" i="2"/>
  <c r="FZ100" i="2"/>
  <c r="FL100" i="2"/>
  <c r="EX100" i="2"/>
  <c r="EC100" i="2"/>
  <c r="DO100" i="2"/>
  <c r="DA100" i="2"/>
  <c r="CM100" i="2"/>
  <c r="BY100" i="2"/>
  <c r="BK100" i="2"/>
  <c r="DH97" i="2"/>
  <c r="IY97" i="2"/>
  <c r="SQ97" i="2"/>
  <c r="SC97" i="2"/>
  <c r="QM97" i="2"/>
  <c r="NN97" i="2"/>
  <c r="RO97" i="2"/>
  <c r="RV97" i="2"/>
  <c r="QF97" i="2"/>
  <c r="PK97" i="2"/>
  <c r="OI97" i="2"/>
  <c r="RA97" i="2"/>
  <c r="PD97" i="2"/>
  <c r="PY97" i="2"/>
  <c r="SJ97" i="2"/>
  <c r="QT97" i="2"/>
  <c r="PR97" i="2"/>
  <c r="OW97" i="2"/>
  <c r="NU97" i="2"/>
  <c r="OB97" i="2"/>
  <c r="MZ97" i="2"/>
  <c r="LX97" i="2"/>
  <c r="KO97" i="2"/>
  <c r="JT97" i="2"/>
  <c r="IK97" i="2"/>
  <c r="EX97" i="2"/>
  <c r="EC97" i="2"/>
  <c r="DA97" i="2"/>
  <c r="BY97" i="2"/>
  <c r="KV97" i="2"/>
  <c r="FE97" i="2"/>
  <c r="LJ97" i="2"/>
  <c r="IR97" i="2"/>
  <c r="BD97" i="2"/>
  <c r="LC97" i="2"/>
  <c r="HP97" i="2"/>
  <c r="NG97" i="2"/>
  <c r="AP97" i="2"/>
  <c r="AW97" i="2"/>
  <c r="MS97" i="2"/>
  <c r="KH97" i="2"/>
  <c r="JM97" i="2"/>
  <c r="ID97" i="2"/>
  <c r="U97" i="2"/>
  <c r="EQ97" i="2"/>
  <c r="DV97" i="2"/>
  <c r="CT97" i="2"/>
  <c r="BR97" i="2"/>
  <c r="JF97" i="2"/>
  <c r="HI97" i="2"/>
  <c r="FS97" i="2"/>
  <c r="KA97" i="2"/>
  <c r="EJ97" i="2"/>
  <c r="GN97" i="2"/>
  <c r="FZ97" i="2"/>
  <c r="ML97" i="2"/>
  <c r="HW97" i="2"/>
  <c r="FL97" i="2"/>
  <c r="DO97" i="2"/>
  <c r="CM97" i="2"/>
  <c r="BK97" i="2"/>
  <c r="LQ97" i="2"/>
  <c r="HB97" i="2"/>
  <c r="GU97" i="2"/>
  <c r="ME97" i="2"/>
  <c r="AI97" i="2"/>
  <c r="SJ96" i="2"/>
  <c r="RA96" i="2"/>
  <c r="PY96" i="2"/>
  <c r="PD96" i="2"/>
  <c r="OB96" i="2"/>
  <c r="SC96" i="2"/>
  <c r="QT96" i="2"/>
  <c r="PR96" i="2"/>
  <c r="OW96" i="2"/>
  <c r="NU96" i="2"/>
  <c r="NN96" i="2"/>
  <c r="RV96" i="2"/>
  <c r="SQ96" i="2"/>
  <c r="RO96" i="2"/>
  <c r="QF96" i="2"/>
  <c r="PK96" i="2"/>
  <c r="OI96" i="2"/>
  <c r="OP96" i="2"/>
  <c r="QM96" i="2"/>
  <c r="ML96" i="2"/>
  <c r="KA96" i="2"/>
  <c r="JF96" i="2"/>
  <c r="IK96" i="2"/>
  <c r="HB96" i="2"/>
  <c r="EQ96" i="2"/>
  <c r="EJ96" i="2"/>
  <c r="DH96" i="2"/>
  <c r="AI96" i="2"/>
  <c r="AP96" i="2"/>
  <c r="LQ96" i="2"/>
  <c r="KH96" i="2"/>
  <c r="FS96" i="2"/>
  <c r="AW96" i="2"/>
  <c r="NG96" i="2"/>
  <c r="ME96" i="2"/>
  <c r="JT96" i="2"/>
  <c r="IY96" i="2"/>
  <c r="ID96" i="2"/>
  <c r="FL96" i="2"/>
  <c r="EC96" i="2"/>
  <c r="DA96" i="2"/>
  <c r="BY96" i="2"/>
  <c r="LJ96" i="2"/>
  <c r="GU96" i="2"/>
  <c r="MZ96" i="2"/>
  <c r="LX96" i="2"/>
  <c r="JM96" i="2"/>
  <c r="IR96" i="2"/>
  <c r="HW96" i="2"/>
  <c r="HP96" i="2"/>
  <c r="FZ96" i="2"/>
  <c r="U96" i="2"/>
  <c r="FE96" i="2"/>
  <c r="DV96" i="2"/>
  <c r="CT96" i="2"/>
  <c r="BR96" i="2"/>
  <c r="LC96" i="2"/>
  <c r="KV96" i="2"/>
  <c r="GN96" i="2"/>
  <c r="MS96" i="2"/>
  <c r="HI96" i="2"/>
  <c r="EX96" i="2"/>
  <c r="DO96" i="2"/>
  <c r="CM96" i="2"/>
  <c r="BK96" i="2"/>
  <c r="BD96" i="2"/>
  <c r="KO96" i="2"/>
  <c r="GG96" i="2"/>
  <c r="SQ95" i="2"/>
  <c r="SJ95" i="2"/>
  <c r="QF95" i="2"/>
  <c r="PK95" i="2"/>
  <c r="OI95" i="2"/>
  <c r="QM95" i="2"/>
  <c r="NN95" i="2"/>
  <c r="SC95" i="2"/>
  <c r="RA95" i="2"/>
  <c r="PY95" i="2"/>
  <c r="PD95" i="2"/>
  <c r="OB95" i="2"/>
  <c r="RV95" i="2"/>
  <c r="QT95" i="2"/>
  <c r="PR95" i="2"/>
  <c r="OW95" i="2"/>
  <c r="NU95" i="2"/>
  <c r="OP95" i="2"/>
  <c r="RO95" i="2"/>
  <c r="MZ95" i="2"/>
  <c r="LX95" i="2"/>
  <c r="KH95" i="2"/>
  <c r="IK95" i="2"/>
  <c r="FL95" i="2"/>
  <c r="DO95" i="2"/>
  <c r="CM95" i="2"/>
  <c r="BK95" i="2"/>
  <c r="AP95" i="2"/>
  <c r="U95" i="2"/>
  <c r="HP95" i="2"/>
  <c r="LC95" i="2"/>
  <c r="IR95" i="2"/>
  <c r="HI95" i="2"/>
  <c r="GU95" i="2"/>
  <c r="FZ95" i="2"/>
  <c r="DV95" i="2"/>
  <c r="BR95" i="2"/>
  <c r="LJ95" i="2"/>
  <c r="AW95" i="2"/>
  <c r="MS95" i="2"/>
  <c r="KA95" i="2"/>
  <c r="ID95" i="2"/>
  <c r="FE95" i="2"/>
  <c r="EJ95" i="2"/>
  <c r="DH95" i="2"/>
  <c r="AI95" i="2"/>
  <c r="HB95" i="2"/>
  <c r="GN95" i="2"/>
  <c r="CT95" i="2"/>
  <c r="FS95" i="2"/>
  <c r="ML95" i="2"/>
  <c r="KV95" i="2"/>
  <c r="JT95" i="2"/>
  <c r="HW95" i="2"/>
  <c r="EX95" i="2"/>
  <c r="EC95" i="2"/>
  <c r="DA95" i="2"/>
  <c r="BY95" i="2"/>
  <c r="LQ95" i="2"/>
  <c r="JF95" i="2"/>
  <c r="GG95" i="2"/>
  <c r="BD95" i="2"/>
  <c r="EQ95" i="2"/>
  <c r="IY95" i="2"/>
  <c r="NG95" i="2"/>
  <c r="ME95" i="2"/>
  <c r="KO95" i="2"/>
  <c r="JM95" i="2"/>
  <c r="SJ84" i="2"/>
  <c r="SC84" i="2"/>
  <c r="SQ84" i="2"/>
  <c r="BY84" i="2"/>
  <c r="RO84" i="2"/>
  <c r="RV84" i="2"/>
  <c r="SJ85" i="2"/>
  <c r="SQ85" i="2"/>
  <c r="SC85" i="2"/>
  <c r="RO85" i="2"/>
  <c r="BY85" i="2"/>
  <c r="RV85" i="2"/>
  <c r="SC83" i="2"/>
  <c r="SJ83" i="2"/>
  <c r="SQ83" i="2"/>
  <c r="BY83" i="2"/>
  <c r="RO83" i="2"/>
  <c r="RV83" i="2"/>
  <c r="RV94" i="2"/>
  <c r="NU94" i="2"/>
  <c r="RA94" i="2"/>
  <c r="RO94" i="2"/>
  <c r="MS94" i="2"/>
  <c r="HI94" i="2"/>
  <c r="BR94" i="2"/>
  <c r="HW94" i="2"/>
  <c r="DO94" i="2"/>
  <c r="CM94" i="2"/>
  <c r="BY94" i="2"/>
  <c r="FL94" i="2"/>
  <c r="SJ94" i="2"/>
  <c r="OI94" i="2"/>
  <c r="QM94" i="2"/>
  <c r="PY94" i="2"/>
  <c r="PD94" i="2"/>
  <c r="OP94" i="2"/>
  <c r="OB94" i="2"/>
  <c r="NN94" i="2"/>
  <c r="QT94" i="2"/>
  <c r="PR94" i="2"/>
  <c r="OW94" i="2"/>
  <c r="SQ94" i="2"/>
  <c r="SC94" i="2"/>
  <c r="QF94" i="2"/>
  <c r="PK94" i="2"/>
  <c r="MZ94" i="2"/>
  <c r="ML94" i="2"/>
  <c r="LX94" i="2"/>
  <c r="KA94" i="2"/>
  <c r="JM94" i="2"/>
  <c r="IY94" i="2"/>
  <c r="IK94" i="2"/>
  <c r="U94" i="2"/>
  <c r="FE94" i="2"/>
  <c r="EQ94" i="2"/>
  <c r="EJ94" i="2"/>
  <c r="DV94" i="2"/>
  <c r="DH94" i="2"/>
  <c r="CT94" i="2"/>
  <c r="AP94" i="2"/>
  <c r="BD94" i="2"/>
  <c r="LQ94" i="2"/>
  <c r="LC94" i="2"/>
  <c r="KO94" i="2"/>
  <c r="GN94" i="2"/>
  <c r="FS94" i="2"/>
  <c r="NG94" i="2"/>
  <c r="ME94" i="2"/>
  <c r="JT94" i="2"/>
  <c r="JF94" i="2"/>
  <c r="IR94" i="2"/>
  <c r="ID94" i="2"/>
  <c r="HP94" i="2"/>
  <c r="HB94" i="2"/>
  <c r="FZ94" i="2"/>
  <c r="EX94" i="2"/>
  <c r="EC94" i="2"/>
  <c r="DA94" i="2"/>
  <c r="BK94" i="2"/>
  <c r="AW94" i="2"/>
  <c r="LJ94" i="2"/>
  <c r="KV94" i="2"/>
  <c r="KH94" i="2"/>
  <c r="GU94" i="2"/>
  <c r="GG94" i="2"/>
  <c r="AI94" i="2"/>
  <c r="SQ93" i="2"/>
  <c r="RA93" i="2"/>
  <c r="QM93" i="2"/>
  <c r="PY93" i="2"/>
  <c r="PD93" i="2"/>
  <c r="OP93" i="2"/>
  <c r="OB93" i="2"/>
  <c r="NN93" i="2"/>
  <c r="RO93" i="2"/>
  <c r="SJ93" i="2"/>
  <c r="RV93" i="2"/>
  <c r="SC93" i="2"/>
  <c r="QT93" i="2"/>
  <c r="QF93" i="2"/>
  <c r="PR93" i="2"/>
  <c r="PK93" i="2"/>
  <c r="OW93" i="2"/>
  <c r="OI93" i="2"/>
  <c r="NU93" i="2"/>
  <c r="MZ93" i="2"/>
  <c r="ML93" i="2"/>
  <c r="LX93" i="2"/>
  <c r="KO93" i="2"/>
  <c r="JT93" i="2"/>
  <c r="IK93" i="2"/>
  <c r="HW93" i="2"/>
  <c r="FL93" i="2"/>
  <c r="EX93" i="2"/>
  <c r="EC93" i="2"/>
  <c r="DO93" i="2"/>
  <c r="DA93" i="2"/>
  <c r="CM93" i="2"/>
  <c r="BY93" i="2"/>
  <c r="BK93" i="2"/>
  <c r="LQ93" i="2"/>
  <c r="LC93" i="2"/>
  <c r="IY93" i="2"/>
  <c r="HP93" i="2"/>
  <c r="HB93" i="2"/>
  <c r="GU93" i="2"/>
  <c r="GG93" i="2"/>
  <c r="AP93" i="2"/>
  <c r="AI93" i="2"/>
  <c r="NG93" i="2"/>
  <c r="MS93" i="2"/>
  <c r="ME93" i="2"/>
  <c r="KV93" i="2"/>
  <c r="KH93" i="2"/>
  <c r="KA93" i="2"/>
  <c r="JM93" i="2"/>
  <c r="ID93" i="2"/>
  <c r="U93" i="2"/>
  <c r="FE93" i="2"/>
  <c r="EQ93" i="2"/>
  <c r="EJ93" i="2"/>
  <c r="DV93" i="2"/>
  <c r="DH93" i="2"/>
  <c r="CT93" i="2"/>
  <c r="BR93" i="2"/>
  <c r="BD93" i="2"/>
  <c r="AW93" i="2"/>
  <c r="LJ93" i="2"/>
  <c r="JF93" i="2"/>
  <c r="IR93" i="2"/>
  <c r="HI93" i="2"/>
  <c r="GN93" i="2"/>
  <c r="FZ93" i="2"/>
  <c r="FS93" i="2"/>
  <c r="SC92" i="2"/>
  <c r="RO92" i="2"/>
  <c r="NN92" i="2"/>
  <c r="QT92" i="2"/>
  <c r="QF92" i="2"/>
  <c r="PR92" i="2"/>
  <c r="PK92" i="2"/>
  <c r="NU92" i="2"/>
  <c r="PD92" i="2"/>
  <c r="SQ92" i="2"/>
  <c r="SJ92" i="2"/>
  <c r="RV92" i="2"/>
  <c r="OP92" i="2"/>
  <c r="RA92" i="2"/>
  <c r="QM92" i="2"/>
  <c r="PY92" i="2"/>
  <c r="OB92" i="2"/>
  <c r="MZ92" i="2"/>
  <c r="ML92" i="2"/>
  <c r="LX92" i="2"/>
  <c r="LQ92" i="2"/>
  <c r="LC92" i="2"/>
  <c r="KV92" i="2"/>
  <c r="KH92" i="2"/>
  <c r="GN92" i="2"/>
  <c r="FS92" i="2"/>
  <c r="BD92" i="2"/>
  <c r="JT92" i="2"/>
  <c r="IY92" i="2"/>
  <c r="ID92" i="2"/>
  <c r="HI92" i="2"/>
  <c r="FL92" i="2"/>
  <c r="EX92" i="2"/>
  <c r="EC92" i="2"/>
  <c r="DO92" i="2"/>
  <c r="DA92" i="2"/>
  <c r="CM92" i="2"/>
  <c r="BY92" i="2"/>
  <c r="BK92" i="2"/>
  <c r="AW92" i="2"/>
  <c r="AP92" i="2"/>
  <c r="NG92" i="2"/>
  <c r="ME92" i="2"/>
  <c r="LJ92" i="2"/>
  <c r="KO92" i="2"/>
  <c r="GU92" i="2"/>
  <c r="GG92" i="2"/>
  <c r="AI92" i="2"/>
  <c r="KA92" i="2"/>
  <c r="JM92" i="2"/>
  <c r="JF92" i="2"/>
  <c r="IR92" i="2"/>
  <c r="IK92" i="2"/>
  <c r="HW92" i="2"/>
  <c r="HP92" i="2"/>
  <c r="HB92" i="2"/>
  <c r="FZ92" i="2"/>
  <c r="U92" i="2"/>
  <c r="FE92" i="2"/>
  <c r="EQ92" i="2"/>
  <c r="EJ92" i="2"/>
  <c r="DV92" i="2"/>
  <c r="DH92" i="2"/>
  <c r="CT92" i="2"/>
  <c r="BR92" i="2"/>
  <c r="SQ91" i="2"/>
  <c r="QT91" i="2"/>
  <c r="QF91" i="2"/>
  <c r="PR91" i="2"/>
  <c r="PK91" i="2"/>
  <c r="OW91" i="2"/>
  <c r="OI91" i="2"/>
  <c r="NU91" i="2"/>
  <c r="SC91" i="2"/>
  <c r="RO91" i="2"/>
  <c r="RA91" i="2"/>
  <c r="QM91" i="2"/>
  <c r="PY91" i="2"/>
  <c r="PD91" i="2"/>
  <c r="OP91" i="2"/>
  <c r="OB91" i="2"/>
  <c r="NN91" i="2"/>
  <c r="SJ91" i="2"/>
  <c r="RV91" i="2"/>
  <c r="MZ91" i="2"/>
  <c r="ML91" i="2"/>
  <c r="LX91" i="2"/>
  <c r="LQ91" i="2"/>
  <c r="LC91" i="2"/>
  <c r="JF91" i="2"/>
  <c r="IR91" i="2"/>
  <c r="HI91" i="2"/>
  <c r="GU91" i="2"/>
  <c r="GG91" i="2"/>
  <c r="FZ91" i="2"/>
  <c r="AI91" i="2"/>
  <c r="KO91" i="2"/>
  <c r="KA91" i="2"/>
  <c r="JM91" i="2"/>
  <c r="ID91" i="2"/>
  <c r="U91" i="2"/>
  <c r="FE91" i="2"/>
  <c r="EQ91" i="2"/>
  <c r="EJ91" i="2"/>
  <c r="DV91" i="2"/>
  <c r="DH91" i="2"/>
  <c r="CT91" i="2"/>
  <c r="BR91" i="2"/>
  <c r="AW91" i="2"/>
  <c r="NG91" i="2"/>
  <c r="MS91" i="2"/>
  <c r="ME91" i="2"/>
  <c r="LJ91" i="2"/>
  <c r="IY91" i="2"/>
  <c r="HP91" i="2"/>
  <c r="HB91" i="2"/>
  <c r="GN91" i="2"/>
  <c r="FS91" i="2"/>
  <c r="AP91" i="2"/>
  <c r="KV91" i="2"/>
  <c r="KH91" i="2"/>
  <c r="JT91" i="2"/>
  <c r="IK91" i="2"/>
  <c r="HW91" i="2"/>
  <c r="FL91" i="2"/>
  <c r="EX91" i="2"/>
  <c r="EC91" i="2"/>
  <c r="DO91" i="2"/>
  <c r="DA91" i="2"/>
  <c r="CM91" i="2"/>
  <c r="BY91" i="2"/>
  <c r="BK91" i="2"/>
  <c r="BD91" i="2"/>
  <c r="BY90" i="2"/>
  <c r="AW90" i="2"/>
  <c r="LJ90" i="2"/>
  <c r="SJ90" i="2"/>
  <c r="RV90" i="2"/>
  <c r="RA90" i="2"/>
  <c r="QM90" i="2"/>
  <c r="PY90" i="2"/>
  <c r="PD90" i="2"/>
  <c r="OP90" i="2"/>
  <c r="OB90" i="2"/>
  <c r="NN90" i="2"/>
  <c r="SQ90" i="2"/>
  <c r="SC90" i="2"/>
  <c r="RO90" i="2"/>
  <c r="QT90" i="2"/>
  <c r="QF90" i="2"/>
  <c r="PR90" i="2"/>
  <c r="PK90" i="2"/>
  <c r="OW90" i="2"/>
  <c r="OI90" i="2"/>
  <c r="NU90" i="2"/>
  <c r="MZ90" i="2"/>
  <c r="ML90" i="2"/>
  <c r="LX90" i="2"/>
  <c r="LQ90" i="2"/>
  <c r="LC90" i="2"/>
  <c r="KO90" i="2"/>
  <c r="GN90" i="2"/>
  <c r="FS90" i="2"/>
  <c r="JT90" i="2"/>
  <c r="JF90" i="2"/>
  <c r="IR90" i="2"/>
  <c r="ID90" i="2"/>
  <c r="HP90" i="2"/>
  <c r="HB90" i="2"/>
  <c r="FZ90" i="2"/>
  <c r="FL90" i="2"/>
  <c r="EX90" i="2"/>
  <c r="EC90" i="2"/>
  <c r="DO90" i="2"/>
  <c r="DA90" i="2"/>
  <c r="CM90" i="2"/>
  <c r="BK90" i="2"/>
  <c r="NG90" i="2"/>
  <c r="MS90" i="2"/>
  <c r="ME90" i="2"/>
  <c r="KV90" i="2"/>
  <c r="KH90" i="2"/>
  <c r="GU90" i="2"/>
  <c r="GG90" i="2"/>
  <c r="BD90" i="2"/>
  <c r="AI90" i="2"/>
  <c r="KA90" i="2"/>
  <c r="JM90" i="2"/>
  <c r="IY90" i="2"/>
  <c r="IK90" i="2"/>
  <c r="HW90" i="2"/>
  <c r="HI90" i="2"/>
  <c r="U90" i="2"/>
  <c r="FE90" i="2"/>
  <c r="EQ90" i="2"/>
  <c r="EJ90" i="2"/>
  <c r="DV90" i="2"/>
  <c r="DH90" i="2"/>
  <c r="CT90" i="2"/>
  <c r="BR90" i="2"/>
  <c r="AP90" i="2"/>
  <c r="SQ89" i="2"/>
  <c r="RA89" i="2"/>
  <c r="QM89" i="2"/>
  <c r="PY89" i="2"/>
  <c r="PD89" i="2"/>
  <c r="OP89" i="2"/>
  <c r="OB89" i="2"/>
  <c r="NN89" i="2"/>
  <c r="SJ89" i="2"/>
  <c r="RV89" i="2"/>
  <c r="QT89" i="2"/>
  <c r="QF89" i="2"/>
  <c r="PR89" i="2"/>
  <c r="PK89" i="2"/>
  <c r="OW89" i="2"/>
  <c r="OI89" i="2"/>
  <c r="NU89" i="2"/>
  <c r="SC89" i="2"/>
  <c r="RO89" i="2"/>
  <c r="MZ89" i="2"/>
  <c r="ML89" i="2"/>
  <c r="LX89" i="2"/>
  <c r="LQ89" i="2"/>
  <c r="LC89" i="2"/>
  <c r="IY89" i="2"/>
  <c r="HP89" i="2"/>
  <c r="HB89" i="2"/>
  <c r="GU89" i="2"/>
  <c r="GG89" i="2"/>
  <c r="AP89" i="2"/>
  <c r="AI89" i="2"/>
  <c r="KV89" i="2"/>
  <c r="KH89" i="2"/>
  <c r="KA89" i="2"/>
  <c r="JM89" i="2"/>
  <c r="ID89" i="2"/>
  <c r="U89" i="2"/>
  <c r="FE89" i="2"/>
  <c r="EQ89" i="2"/>
  <c r="EJ89" i="2"/>
  <c r="DV89" i="2"/>
  <c r="DH89" i="2"/>
  <c r="CT89" i="2"/>
  <c r="BR89" i="2"/>
  <c r="BD89" i="2"/>
  <c r="AW89" i="2"/>
  <c r="NG89" i="2"/>
  <c r="MS89" i="2"/>
  <c r="ME89" i="2"/>
  <c r="LJ89" i="2"/>
  <c r="JF89" i="2"/>
  <c r="IR89" i="2"/>
  <c r="HI89" i="2"/>
  <c r="GN89" i="2"/>
  <c r="FZ89" i="2"/>
  <c r="FS89" i="2"/>
  <c r="KO89" i="2"/>
  <c r="JT89" i="2"/>
  <c r="IK89" i="2"/>
  <c r="HW89" i="2"/>
  <c r="FL89" i="2"/>
  <c r="EX89" i="2"/>
  <c r="EC89" i="2"/>
  <c r="DO89" i="2"/>
  <c r="DA89" i="2"/>
  <c r="CM89" i="2"/>
  <c r="BY89" i="2"/>
  <c r="BK89" i="2"/>
  <c r="SC88" i="2"/>
  <c r="RO88" i="2"/>
  <c r="PD88" i="2"/>
  <c r="OP88" i="2"/>
  <c r="OB88" i="2"/>
  <c r="NN88" i="2"/>
  <c r="QF88" i="2"/>
  <c r="SQ88" i="2"/>
  <c r="SJ88" i="2"/>
  <c r="RV88" i="2"/>
  <c r="OW88" i="2"/>
  <c r="OI88" i="2"/>
  <c r="RA88" i="2"/>
  <c r="QM88" i="2"/>
  <c r="MZ88" i="2"/>
  <c r="ML88" i="2"/>
  <c r="LX88" i="2"/>
  <c r="JT88" i="2"/>
  <c r="IY88" i="2"/>
  <c r="ID88" i="2"/>
  <c r="FS88" i="2"/>
  <c r="EX88" i="2"/>
  <c r="BY88" i="2"/>
  <c r="BK88" i="2"/>
  <c r="AW88" i="2"/>
  <c r="AP88" i="2"/>
  <c r="LJ88" i="2"/>
  <c r="KO88" i="2"/>
  <c r="HP88" i="2"/>
  <c r="HB88" i="2"/>
  <c r="GN88" i="2"/>
  <c r="DH88" i="2"/>
  <c r="CT88" i="2"/>
  <c r="AI88" i="2"/>
  <c r="NG88" i="2"/>
  <c r="MS88" i="2"/>
  <c r="KA88" i="2"/>
  <c r="JM88" i="2"/>
  <c r="JF88" i="2"/>
  <c r="IR88" i="2"/>
  <c r="HW88" i="2"/>
  <c r="FE88" i="2"/>
  <c r="EQ88" i="2"/>
  <c r="BR88" i="2"/>
  <c r="LQ88" i="2"/>
  <c r="LC88" i="2"/>
  <c r="KV88" i="2"/>
  <c r="KH88" i="2"/>
  <c r="GU88" i="2"/>
  <c r="GG88" i="2"/>
  <c r="EC88" i="2"/>
  <c r="DO88" i="2"/>
  <c r="DA88" i="2"/>
  <c r="BD88" i="2"/>
  <c r="SQ87" i="2"/>
  <c r="QT87" i="2"/>
  <c r="QF87" i="2"/>
  <c r="PR87" i="2"/>
  <c r="SC87" i="2"/>
  <c r="RO87" i="2"/>
  <c r="PK87" i="2"/>
  <c r="OW87" i="2"/>
  <c r="OI87" i="2"/>
  <c r="NU87" i="2"/>
  <c r="RA87" i="2"/>
  <c r="QM87" i="2"/>
  <c r="PY87" i="2"/>
  <c r="SJ87" i="2"/>
  <c r="RV87" i="2"/>
  <c r="PD87" i="2"/>
  <c r="OP87" i="2"/>
  <c r="OB87" i="2"/>
  <c r="NN87" i="2"/>
  <c r="MZ87" i="2"/>
  <c r="ML87" i="2"/>
  <c r="LX87" i="2"/>
  <c r="KO87" i="2"/>
  <c r="KA87" i="2"/>
  <c r="JM87" i="2"/>
  <c r="ID87" i="2"/>
  <c r="HP87" i="2"/>
  <c r="HB87" i="2"/>
  <c r="U87" i="2"/>
  <c r="FE87" i="2"/>
  <c r="EQ87" i="2"/>
  <c r="BR87" i="2"/>
  <c r="AW87" i="2"/>
  <c r="LJ87" i="2"/>
  <c r="IY87" i="2"/>
  <c r="GU87" i="2"/>
  <c r="GG87" i="2"/>
  <c r="FZ87" i="2"/>
  <c r="EC87" i="2"/>
  <c r="DO87" i="2"/>
  <c r="DA87" i="2"/>
  <c r="CM87" i="2"/>
  <c r="AP87" i="2"/>
  <c r="NG87" i="2"/>
  <c r="MS87" i="2"/>
  <c r="ME87" i="2"/>
  <c r="KV87" i="2"/>
  <c r="KH87" i="2"/>
  <c r="JT87" i="2"/>
  <c r="IK87" i="2"/>
  <c r="HW87" i="2"/>
  <c r="HI87" i="2"/>
  <c r="FS87" i="2"/>
  <c r="FL87" i="2"/>
  <c r="EX87" i="2"/>
  <c r="BY87" i="2"/>
  <c r="BK87" i="2"/>
  <c r="BD87" i="2"/>
  <c r="LQ87" i="2"/>
  <c r="LC87" i="2"/>
  <c r="JF87" i="2"/>
  <c r="IR87" i="2"/>
  <c r="GN87" i="2"/>
  <c r="EJ87" i="2"/>
  <c r="DV87" i="2"/>
  <c r="DH87" i="2"/>
  <c r="CT87" i="2"/>
  <c r="AI87" i="2"/>
  <c r="QT86" i="2"/>
  <c r="QF86" i="2"/>
  <c r="PK86" i="2"/>
  <c r="OI86" i="2"/>
  <c r="NU86" i="2"/>
  <c r="SQ86" i="2"/>
  <c r="RO86" i="2"/>
  <c r="RA86" i="2"/>
  <c r="QM86" i="2"/>
  <c r="PY86" i="2"/>
  <c r="OP86" i="2"/>
  <c r="NN86" i="2"/>
  <c r="MZ86" i="2"/>
  <c r="JT86" i="2"/>
  <c r="IR86" i="2"/>
  <c r="BR86" i="2"/>
  <c r="LQ86" i="2"/>
  <c r="KV86" i="2"/>
  <c r="KH86" i="2"/>
  <c r="IK86" i="2"/>
  <c r="HB86" i="2"/>
  <c r="FZ86" i="2"/>
  <c r="U86" i="2"/>
  <c r="FE86" i="2"/>
  <c r="EQ86" i="2"/>
  <c r="DO86" i="2"/>
  <c r="DA86" i="2"/>
  <c r="AW86" i="2"/>
  <c r="AI86" i="2"/>
  <c r="NG86" i="2"/>
  <c r="MS86" i="2"/>
  <c r="ME86" i="2"/>
  <c r="KA86" i="2"/>
  <c r="JM86" i="2"/>
  <c r="IY86" i="2"/>
  <c r="GN86" i="2"/>
  <c r="BY86" i="2"/>
  <c r="BK86" i="2"/>
  <c r="KO86" i="2"/>
  <c r="ID86" i="2"/>
  <c r="HI86" i="2"/>
  <c r="FS86" i="2"/>
  <c r="FL86" i="2"/>
  <c r="DV86" i="2"/>
  <c r="DH86" i="2"/>
  <c r="RA85" i="2"/>
  <c r="PY85" i="2"/>
  <c r="OP85" i="2"/>
  <c r="NN85" i="2"/>
  <c r="OW85" i="2"/>
  <c r="QT85" i="2"/>
  <c r="PR85" i="2"/>
  <c r="PK85" i="2"/>
  <c r="OI85" i="2"/>
  <c r="NU85" i="2"/>
  <c r="QM85" i="2"/>
  <c r="PD85" i="2"/>
  <c r="OB85" i="2"/>
  <c r="QF85" i="2"/>
  <c r="MZ85" i="2"/>
  <c r="LX85" i="2"/>
  <c r="KH85" i="2"/>
  <c r="KA85" i="2"/>
  <c r="HB85" i="2"/>
  <c r="AW85" i="2"/>
  <c r="NG85" i="2"/>
  <c r="KO85" i="2"/>
  <c r="FZ85" i="2"/>
  <c r="EC85" i="2"/>
  <c r="LQ85" i="2"/>
  <c r="JF85" i="2"/>
  <c r="IK85" i="2"/>
  <c r="EX85" i="2"/>
  <c r="DV85" i="2"/>
  <c r="CT85" i="2"/>
  <c r="MS85" i="2"/>
  <c r="JT85" i="2"/>
  <c r="GU85" i="2"/>
  <c r="BR85" i="2"/>
  <c r="ME85" i="2"/>
  <c r="HI85" i="2"/>
  <c r="GG85" i="2"/>
  <c r="AI85" i="2"/>
  <c r="FE85" i="2"/>
  <c r="DA85" i="2"/>
  <c r="LJ85" i="2"/>
  <c r="IY85" i="2"/>
  <c r="ID85" i="2"/>
  <c r="U85" i="2"/>
  <c r="EQ85" i="2"/>
  <c r="DO85" i="2"/>
  <c r="CM85" i="2"/>
  <c r="AP85" i="2"/>
  <c r="ML85" i="2"/>
  <c r="KV85" i="2"/>
  <c r="JM85" i="2"/>
  <c r="HP85" i="2"/>
  <c r="GN85" i="2"/>
  <c r="BK85" i="2"/>
  <c r="LC85" i="2"/>
  <c r="IR85" i="2"/>
  <c r="HW85" i="2"/>
  <c r="FS85" i="2"/>
  <c r="FL85" i="2"/>
  <c r="EJ85" i="2"/>
  <c r="DH85" i="2"/>
  <c r="BD85" i="2"/>
  <c r="QT84" i="2"/>
  <c r="PR84" i="2"/>
  <c r="PK84" i="2"/>
  <c r="OI84" i="2"/>
  <c r="QM84" i="2"/>
  <c r="PD84" i="2"/>
  <c r="OB84" i="2"/>
  <c r="QF84" i="2"/>
  <c r="OW84" i="2"/>
  <c r="NU84" i="2"/>
  <c r="RA84" i="2"/>
  <c r="PY84" i="2"/>
  <c r="OP84" i="2"/>
  <c r="NN84" i="2"/>
  <c r="ML84" i="2"/>
  <c r="IY84" i="2"/>
  <c r="GU84" i="2"/>
  <c r="AW84" i="2"/>
  <c r="LC84" i="2"/>
  <c r="IK84" i="2"/>
  <c r="HI84" i="2"/>
  <c r="EQ84" i="2"/>
  <c r="EC84" i="2"/>
  <c r="DA84" i="2"/>
  <c r="DH84" i="2"/>
  <c r="NG84" i="2"/>
  <c r="ME84" i="2"/>
  <c r="KA84" i="2"/>
  <c r="IR84" i="2"/>
  <c r="GN84" i="2"/>
  <c r="LJ84" i="2"/>
  <c r="KV84" i="2"/>
  <c r="ID84" i="2"/>
  <c r="HB84" i="2"/>
  <c r="FZ84" i="2"/>
  <c r="FS84" i="2"/>
  <c r="FL84" i="2"/>
  <c r="DV84" i="2"/>
  <c r="CT84" i="2"/>
  <c r="BD84" i="2"/>
  <c r="AP84" i="2"/>
  <c r="KH84" i="2"/>
  <c r="MZ84" i="2"/>
  <c r="LX84" i="2"/>
  <c r="JT84" i="2"/>
  <c r="GG84" i="2"/>
  <c r="BR84" i="2"/>
  <c r="LQ84" i="2"/>
  <c r="KO84" i="2"/>
  <c r="HW84" i="2"/>
  <c r="U84" i="2"/>
  <c r="FE84" i="2"/>
  <c r="DO84" i="2"/>
  <c r="CM84" i="2"/>
  <c r="HP84" i="2"/>
  <c r="EX84" i="2"/>
  <c r="AI84" i="2"/>
  <c r="MS84" i="2"/>
  <c r="JM84" i="2"/>
  <c r="JF84" i="2"/>
  <c r="BK84" i="2"/>
  <c r="EJ84" i="2"/>
  <c r="QM83" i="2"/>
  <c r="OW83" i="2"/>
  <c r="OP83" i="2"/>
  <c r="NN83" i="2"/>
  <c r="NU83" i="2"/>
  <c r="PK83" i="2"/>
  <c r="OI83" i="2"/>
  <c r="PD83" i="2"/>
  <c r="OB83" i="2"/>
  <c r="QT83" i="2"/>
  <c r="PR83" i="2"/>
  <c r="MZ83" i="2"/>
  <c r="LQ83" i="2"/>
  <c r="KV83" i="2"/>
  <c r="ID83" i="2"/>
  <c r="HI83" i="2"/>
  <c r="GU83" i="2"/>
  <c r="EJ83" i="2"/>
  <c r="DH83" i="2"/>
  <c r="FZ83" i="2"/>
  <c r="AP83" i="2"/>
  <c r="EQ83" i="2"/>
  <c r="BD83" i="2"/>
  <c r="MS83" i="2"/>
  <c r="LJ83" i="2"/>
  <c r="KO83" i="2"/>
  <c r="KA83" i="2"/>
  <c r="GN83" i="2"/>
  <c r="DA83" i="2"/>
  <c r="IY83" i="2"/>
  <c r="FE83" i="2"/>
  <c r="U83" i="2"/>
  <c r="ML83" i="2"/>
  <c r="KH83" i="2"/>
  <c r="JT83" i="2"/>
  <c r="DV83" i="2"/>
  <c r="CT83" i="2"/>
  <c r="BR83" i="2"/>
  <c r="AW83" i="2"/>
  <c r="IR83" i="2"/>
  <c r="EX83" i="2"/>
  <c r="NG83" i="2"/>
  <c r="ME83" i="2"/>
  <c r="JM83" i="2"/>
  <c r="IK83" i="2"/>
  <c r="DO83" i="2"/>
  <c r="CM83" i="2"/>
  <c r="BK83" i="2"/>
  <c r="AI83" i="2"/>
  <c r="SC82" i="2"/>
  <c r="RO82" i="2"/>
  <c r="QT82" i="2"/>
  <c r="QF82" i="2"/>
  <c r="PR82" i="2"/>
  <c r="PK82" i="2"/>
  <c r="OW82" i="2"/>
  <c r="OI82" i="2"/>
  <c r="NU82" i="2"/>
  <c r="SQ82" i="2"/>
  <c r="SJ82" i="2"/>
  <c r="RA82" i="2"/>
  <c r="PY82" i="2"/>
  <c r="PD82" i="2"/>
  <c r="OP82" i="2"/>
  <c r="OB82" i="2"/>
  <c r="NN82" i="2"/>
  <c r="KO82" i="2"/>
  <c r="HP82" i="2"/>
  <c r="HB82" i="2"/>
  <c r="FL82" i="2"/>
  <c r="EX82" i="2"/>
  <c r="AW82" i="2"/>
  <c r="AI82" i="2"/>
  <c r="MS82" i="2"/>
  <c r="ME82" i="2"/>
  <c r="LJ82" i="2"/>
  <c r="JT82" i="2"/>
  <c r="JF82" i="2"/>
  <c r="IR82" i="2"/>
  <c r="IK82" i="2"/>
  <c r="HW82" i="2"/>
  <c r="GU82" i="2"/>
  <c r="GG82" i="2"/>
  <c r="FZ82" i="2"/>
  <c r="EC82" i="2"/>
  <c r="DO82" i="2"/>
  <c r="DA82" i="2"/>
  <c r="BK82" i="2"/>
  <c r="NG82" i="2"/>
  <c r="KV82" i="2"/>
  <c r="KH82" i="2"/>
  <c r="HI82" i="2"/>
  <c r="FE82" i="2"/>
  <c r="EQ82" i="2"/>
  <c r="BD82" i="2"/>
  <c r="AP82" i="2"/>
  <c r="ML82" i="2"/>
  <c r="LX82" i="2"/>
  <c r="LQ82" i="2"/>
  <c r="LC82" i="2"/>
  <c r="KA82" i="2"/>
  <c r="JM82" i="2"/>
  <c r="IY82" i="2"/>
  <c r="ID82" i="2"/>
  <c r="GN82" i="2"/>
  <c r="EJ82" i="2"/>
  <c r="DV82" i="2"/>
  <c r="DH82" i="2"/>
  <c r="CT82" i="2"/>
  <c r="BR82" i="2"/>
  <c r="U82" i="2"/>
  <c r="MZ82" i="2"/>
  <c r="RO79" i="2"/>
  <c r="RA79" i="2"/>
  <c r="QF79" i="2"/>
  <c r="EQ79" i="2"/>
  <c r="DV79" i="2"/>
  <c r="DA79" i="2"/>
  <c r="HP79" i="2"/>
  <c r="GN79" i="2"/>
  <c r="FE79" i="2"/>
  <c r="AI79" i="2"/>
  <c r="ME79" i="2"/>
  <c r="EC79" i="2"/>
  <c r="CT79" i="2"/>
  <c r="AP79" i="2"/>
  <c r="IR79" i="2"/>
  <c r="HI79" i="2"/>
  <c r="GG79" i="2"/>
  <c r="SQ79" i="2"/>
  <c r="SC79" i="2"/>
  <c r="QM79" i="2"/>
  <c r="PY79" i="2"/>
  <c r="PD79" i="2"/>
  <c r="OP79" i="2"/>
  <c r="OB79" i="2"/>
  <c r="NN79" i="2"/>
  <c r="SJ79" i="2"/>
  <c r="RV79" i="2"/>
  <c r="QT79" i="2"/>
  <c r="PR79" i="2"/>
  <c r="PK79" i="2"/>
  <c r="OW79" i="2"/>
  <c r="OI79" i="2"/>
  <c r="NU79" i="2"/>
  <c r="MZ79" i="2"/>
  <c r="ML79" i="2"/>
  <c r="LX79" i="2"/>
  <c r="LQ79" i="2"/>
  <c r="LC79" i="2"/>
  <c r="KO79" i="2"/>
  <c r="JT79" i="2"/>
  <c r="ID79" i="2"/>
  <c r="HB79" i="2"/>
  <c r="GU79" i="2"/>
  <c r="EJ79" i="2"/>
  <c r="DH79" i="2"/>
  <c r="CF79" i="2"/>
  <c r="BR79" i="2"/>
  <c r="AW79" i="2"/>
  <c r="IY79" i="2"/>
  <c r="AB79" i="2"/>
  <c r="FL79" i="2"/>
  <c r="EX79" i="2"/>
  <c r="BD79" i="2"/>
  <c r="N79" i="2"/>
  <c r="NG79" i="2"/>
  <c r="MS79" i="2"/>
  <c r="LJ79" i="2"/>
  <c r="KV79" i="2"/>
  <c r="KH79" i="2"/>
  <c r="KA79" i="2"/>
  <c r="JM79" i="2"/>
  <c r="IK79" i="2"/>
  <c r="HW79" i="2"/>
  <c r="FS79" i="2"/>
  <c r="DO79" i="2"/>
  <c r="CM79" i="2"/>
  <c r="BY79" i="2"/>
  <c r="BK79" i="2"/>
  <c r="JF79" i="2"/>
  <c r="FZ79" i="2"/>
  <c r="U79" i="2"/>
  <c r="SJ78" i="2"/>
  <c r="RV78" i="2"/>
  <c r="RA78" i="2"/>
  <c r="QM78" i="2"/>
  <c r="PY78" i="2"/>
  <c r="PD78" i="2"/>
  <c r="OP78" i="2"/>
  <c r="OB78" i="2"/>
  <c r="SQ78" i="2"/>
  <c r="SC78" i="2"/>
  <c r="RO78" i="2"/>
  <c r="QT78" i="2"/>
  <c r="QF78" i="2"/>
  <c r="PR78" i="2"/>
  <c r="PK78" i="2"/>
  <c r="OW78" i="2"/>
  <c r="OI78" i="2"/>
  <c r="NU78" i="2"/>
  <c r="MZ78" i="2"/>
  <c r="ML78" i="2"/>
  <c r="LX78" i="2"/>
  <c r="LQ78" i="2"/>
  <c r="LC78" i="2"/>
  <c r="KA78" i="2"/>
  <c r="JM78" i="2"/>
  <c r="JF78" i="2"/>
  <c r="IR78" i="2"/>
  <c r="ID78" i="2"/>
  <c r="GN78" i="2"/>
  <c r="FZ78" i="2"/>
  <c r="FS78" i="2"/>
  <c r="AB78" i="2"/>
  <c r="FL78" i="2"/>
  <c r="EX78" i="2"/>
  <c r="N78" i="2"/>
  <c r="KV78" i="2"/>
  <c r="KH78" i="2"/>
  <c r="HI78" i="2"/>
  <c r="EC78" i="2"/>
  <c r="DO78" i="2"/>
  <c r="DA78" i="2"/>
  <c r="CM78" i="2"/>
  <c r="BY78" i="2"/>
  <c r="BK78" i="2"/>
  <c r="NG78" i="2"/>
  <c r="MS78" i="2"/>
  <c r="ME78" i="2"/>
  <c r="LJ78" i="2"/>
  <c r="JT78" i="2"/>
  <c r="IY78" i="2"/>
  <c r="IK78" i="2"/>
  <c r="HW78" i="2"/>
  <c r="GU78" i="2"/>
  <c r="GG78" i="2"/>
  <c r="U78" i="2"/>
  <c r="FE78" i="2"/>
  <c r="EQ78" i="2"/>
  <c r="BD78" i="2"/>
  <c r="AW78" i="2"/>
  <c r="AP78" i="2"/>
  <c r="AI78" i="2"/>
  <c r="KO78" i="2"/>
  <c r="HP78" i="2"/>
  <c r="HB78" i="2"/>
  <c r="EJ78" i="2"/>
  <c r="DV78" i="2"/>
  <c r="DH78" i="2"/>
  <c r="CT78" i="2"/>
  <c r="CF78" i="2"/>
  <c r="BR78" i="2"/>
  <c r="NN77" i="2"/>
  <c r="AB77" i="2"/>
  <c r="DO77" i="2"/>
  <c r="BR77" i="2"/>
  <c r="SQ77" i="2"/>
  <c r="SJ77" i="2"/>
  <c r="RV77" i="2"/>
  <c r="QT77" i="2"/>
  <c r="QF77" i="2"/>
  <c r="PR77" i="2"/>
  <c r="PK77" i="2"/>
  <c r="OW77" i="2"/>
  <c r="OI77" i="2"/>
  <c r="NU77" i="2"/>
  <c r="SC77" i="2"/>
  <c r="RO77" i="2"/>
  <c r="RA77" i="2"/>
  <c r="QM77" i="2"/>
  <c r="PY77" i="2"/>
  <c r="PD77" i="2"/>
  <c r="OP77" i="2"/>
  <c r="OB77" i="2"/>
  <c r="MZ77" i="2"/>
  <c r="ML77" i="2"/>
  <c r="LX77" i="2"/>
  <c r="LQ77" i="2"/>
  <c r="LC77" i="2"/>
  <c r="KV77" i="2"/>
  <c r="KH77" i="2"/>
  <c r="JT77" i="2"/>
  <c r="ID77" i="2"/>
  <c r="HI77" i="2"/>
  <c r="GU77" i="2"/>
  <c r="GG77" i="2"/>
  <c r="EC77" i="2"/>
  <c r="DA77" i="2"/>
  <c r="CM77" i="2"/>
  <c r="BY77" i="2"/>
  <c r="BK77" i="2"/>
  <c r="AW77" i="2"/>
  <c r="JF77" i="2"/>
  <c r="IR77" i="2"/>
  <c r="FZ77" i="2"/>
  <c r="U77" i="2"/>
  <c r="FE77" i="2"/>
  <c r="EQ77" i="2"/>
  <c r="AP77" i="2"/>
  <c r="NG77" i="2"/>
  <c r="MS77" i="2"/>
  <c r="ME77" i="2"/>
  <c r="LJ77" i="2"/>
  <c r="KO77" i="2"/>
  <c r="KA77" i="2"/>
  <c r="JM77" i="2"/>
  <c r="IK77" i="2"/>
  <c r="HW77" i="2"/>
  <c r="HP77" i="2"/>
  <c r="HB77" i="2"/>
  <c r="GN77" i="2"/>
  <c r="FS77" i="2"/>
  <c r="EJ77" i="2"/>
  <c r="DV77" i="2"/>
  <c r="DH77" i="2"/>
  <c r="CT77" i="2"/>
  <c r="CF77" i="2"/>
  <c r="AI77" i="2"/>
  <c r="IY77" i="2"/>
  <c r="FL77" i="2"/>
  <c r="EX77" i="2"/>
  <c r="BD77" i="2"/>
  <c r="N77" i="2"/>
  <c r="SC76" i="2"/>
  <c r="RO76" i="2"/>
  <c r="QT76" i="2"/>
  <c r="QF76" i="2"/>
  <c r="PR76" i="2"/>
  <c r="PK76" i="2"/>
  <c r="OW76" i="2"/>
  <c r="OI76" i="2"/>
  <c r="NU76" i="2"/>
  <c r="SQ76" i="2"/>
  <c r="SJ76" i="2"/>
  <c r="RV76" i="2"/>
  <c r="RA76" i="2"/>
  <c r="QM76" i="2"/>
  <c r="PY76" i="2"/>
  <c r="PD76" i="2"/>
  <c r="OP76" i="2"/>
  <c r="OB76" i="2"/>
  <c r="NN76" i="2"/>
  <c r="MZ76" i="2"/>
  <c r="ML76" i="2"/>
  <c r="LX76" i="2"/>
  <c r="LQ76" i="2"/>
  <c r="LC76" i="2"/>
  <c r="KA76" i="2"/>
  <c r="JM76" i="2"/>
  <c r="IY76" i="2"/>
  <c r="ID76" i="2"/>
  <c r="GN76" i="2"/>
  <c r="FS76" i="2"/>
  <c r="U76" i="2"/>
  <c r="FE76" i="2"/>
  <c r="EQ76" i="2"/>
  <c r="BD76" i="2"/>
  <c r="AP76" i="2"/>
  <c r="KO76" i="2"/>
  <c r="HP76" i="2"/>
  <c r="HB76" i="2"/>
  <c r="EJ76" i="2"/>
  <c r="DV76" i="2"/>
  <c r="DH76" i="2"/>
  <c r="CT76" i="2"/>
  <c r="CF76" i="2"/>
  <c r="BR76" i="2"/>
  <c r="NG76" i="2"/>
  <c r="MS76" i="2"/>
  <c r="ME76" i="2"/>
  <c r="LJ76" i="2"/>
  <c r="JT76" i="2"/>
  <c r="JF76" i="2"/>
  <c r="IR76" i="2"/>
  <c r="IK76" i="2"/>
  <c r="HW76" i="2"/>
  <c r="GU76" i="2"/>
  <c r="GG76" i="2"/>
  <c r="FZ76" i="2"/>
  <c r="AB76" i="2"/>
  <c r="FL76" i="2"/>
  <c r="EX76" i="2"/>
  <c r="AW76" i="2"/>
  <c r="AI76" i="2"/>
  <c r="N76" i="2"/>
  <c r="KV76" i="2"/>
  <c r="KH76" i="2"/>
  <c r="HI76" i="2"/>
  <c r="EC76" i="2"/>
  <c r="DO76" i="2"/>
  <c r="DA76" i="2"/>
  <c r="CM76" i="2"/>
  <c r="BY76" i="2"/>
  <c r="BK76" i="2"/>
  <c r="SQ75" i="2"/>
  <c r="QT75" i="2"/>
  <c r="QF75" i="2"/>
  <c r="PR75" i="2"/>
  <c r="PK75" i="2"/>
  <c r="SC75" i="2"/>
  <c r="RO75" i="2"/>
  <c r="OP75" i="2"/>
  <c r="OB75" i="2"/>
  <c r="NN75" i="2"/>
  <c r="RA75" i="2"/>
  <c r="QM75" i="2"/>
  <c r="PY75" i="2"/>
  <c r="SJ75" i="2"/>
  <c r="RV75" i="2"/>
  <c r="PD75" i="2"/>
  <c r="OW75" i="2"/>
  <c r="OI75" i="2"/>
  <c r="NU75" i="2"/>
  <c r="MZ75" i="2"/>
  <c r="ML75" i="2"/>
  <c r="LX75" i="2"/>
  <c r="LQ75" i="2"/>
  <c r="LC75" i="2"/>
  <c r="KO75" i="2"/>
  <c r="JT75" i="2"/>
  <c r="ID75" i="2"/>
  <c r="HP75" i="2"/>
  <c r="HB75" i="2"/>
  <c r="GU75" i="2"/>
  <c r="GG75" i="2"/>
  <c r="EJ75" i="2"/>
  <c r="DV75" i="2"/>
  <c r="DH75" i="2"/>
  <c r="CT75" i="2"/>
  <c r="CF75" i="2"/>
  <c r="BR75" i="2"/>
  <c r="AW75" i="2"/>
  <c r="IY75" i="2"/>
  <c r="AB75" i="2"/>
  <c r="FL75" i="2"/>
  <c r="EX75" i="2"/>
  <c r="BD75" i="2"/>
  <c r="N75" i="2"/>
  <c r="NG75" i="2"/>
  <c r="MS75" i="2"/>
  <c r="ME75" i="2"/>
  <c r="LJ75" i="2"/>
  <c r="KH75" i="2"/>
  <c r="KA75" i="2"/>
  <c r="JM75" i="2"/>
  <c r="IK75" i="2"/>
  <c r="HW75" i="2"/>
  <c r="HI75" i="2"/>
  <c r="GN75" i="2"/>
  <c r="FS75" i="2"/>
  <c r="EC75" i="2"/>
  <c r="DO75" i="2"/>
  <c r="DA75" i="2"/>
  <c r="CM75" i="2"/>
  <c r="BY75" i="2"/>
  <c r="BK75" i="2"/>
  <c r="AI75" i="2"/>
  <c r="JF75" i="2"/>
  <c r="IR75" i="2"/>
  <c r="FZ75" i="2"/>
  <c r="U75" i="2"/>
  <c r="FE75" i="2"/>
  <c r="EQ75" i="2"/>
  <c r="AP75" i="2"/>
  <c r="SJ74" i="2"/>
  <c r="RV74" i="2"/>
  <c r="PD74" i="2"/>
  <c r="QT74" i="2"/>
  <c r="QF74" i="2"/>
  <c r="PR74" i="2"/>
  <c r="OP74" i="2"/>
  <c r="NN74" i="2"/>
  <c r="SQ74" i="2"/>
  <c r="SC74" i="2"/>
  <c r="RO74" i="2"/>
  <c r="RA74" i="2"/>
  <c r="QM74" i="2"/>
  <c r="PY74" i="2"/>
  <c r="OW74" i="2"/>
  <c r="OI74" i="2"/>
  <c r="NU74" i="2"/>
  <c r="PK74" i="2"/>
  <c r="ML74" i="2"/>
  <c r="LJ74" i="2"/>
  <c r="KA74" i="2"/>
  <c r="JM74" i="2"/>
  <c r="IK74" i="2"/>
  <c r="HW74" i="2"/>
  <c r="EX74" i="2"/>
  <c r="EC74" i="2"/>
  <c r="DA74" i="2"/>
  <c r="CM74" i="2"/>
  <c r="BY74" i="2"/>
  <c r="BK74" i="2"/>
  <c r="BD74" i="2"/>
  <c r="AW74" i="2"/>
  <c r="AP74" i="2"/>
  <c r="AI74" i="2"/>
  <c r="HP74" i="2"/>
  <c r="GN74" i="2"/>
  <c r="FZ74" i="2"/>
  <c r="FS74" i="2"/>
  <c r="NG74" i="2"/>
  <c r="MS74" i="2"/>
  <c r="ME74" i="2"/>
  <c r="LQ74" i="2"/>
  <c r="LC74" i="2"/>
  <c r="ID74" i="2"/>
  <c r="U74" i="2"/>
  <c r="FE74" i="2"/>
  <c r="EQ74" i="2"/>
  <c r="EJ74" i="2"/>
  <c r="BR74" i="2"/>
  <c r="N74" i="2"/>
  <c r="KH74" i="2"/>
  <c r="JF74" i="2"/>
  <c r="IR74" i="2"/>
  <c r="HI74" i="2"/>
  <c r="GU74" i="2"/>
  <c r="GG74" i="2"/>
  <c r="SQ73" i="2"/>
  <c r="QT73" i="2"/>
  <c r="QF73" i="2"/>
  <c r="PR73" i="2"/>
  <c r="NN73" i="2"/>
  <c r="SJ73" i="2"/>
  <c r="RV73" i="2"/>
  <c r="PD73" i="2"/>
  <c r="OW73" i="2"/>
  <c r="OI73" i="2"/>
  <c r="NU73" i="2"/>
  <c r="OB73" i="2"/>
  <c r="RA73" i="2"/>
  <c r="QM73" i="2"/>
  <c r="PY73" i="2"/>
  <c r="PK73" i="2"/>
  <c r="SC73" i="2"/>
  <c r="RO73" i="2"/>
  <c r="OP73" i="2"/>
  <c r="MZ73" i="2"/>
  <c r="ML73" i="2"/>
  <c r="LX73" i="2"/>
  <c r="LJ73" i="2"/>
  <c r="KO73" i="2"/>
  <c r="JT73" i="2"/>
  <c r="JF73" i="2"/>
  <c r="IR73" i="2"/>
  <c r="IK73" i="2"/>
  <c r="HW73" i="2"/>
  <c r="HP73" i="2"/>
  <c r="HB73" i="2"/>
  <c r="AI73" i="2"/>
  <c r="GU73" i="2"/>
  <c r="GG73" i="2"/>
  <c r="U73" i="2"/>
  <c r="FE73" i="2"/>
  <c r="EQ73" i="2"/>
  <c r="EJ73" i="2"/>
  <c r="DV73" i="2"/>
  <c r="DH73" i="2"/>
  <c r="CT73" i="2"/>
  <c r="CF73" i="2"/>
  <c r="BR73" i="2"/>
  <c r="BD73" i="2"/>
  <c r="N73" i="2"/>
  <c r="NG73" i="2"/>
  <c r="MS73" i="2"/>
  <c r="ME73" i="2"/>
  <c r="LQ73" i="2"/>
  <c r="LC73" i="2"/>
  <c r="KV73" i="2"/>
  <c r="KH73" i="2"/>
  <c r="KA73" i="2"/>
  <c r="JM73" i="2"/>
  <c r="IY73" i="2"/>
  <c r="ID73" i="2"/>
  <c r="HI73" i="2"/>
  <c r="FZ73" i="2"/>
  <c r="AW73" i="2"/>
  <c r="GN73" i="2"/>
  <c r="FS73" i="2"/>
  <c r="AB73" i="2"/>
  <c r="FL73" i="2"/>
  <c r="EX73" i="2"/>
  <c r="EC73" i="2"/>
  <c r="DO73" i="2"/>
  <c r="DA73" i="2"/>
  <c r="CM73" i="2"/>
  <c r="BY73" i="2"/>
  <c r="BK73" i="2"/>
  <c r="AP73" i="2"/>
  <c r="QT72" i="2"/>
  <c r="QF72" i="2"/>
  <c r="PK72" i="2"/>
  <c r="SJ72" i="2"/>
  <c r="OP72" i="2"/>
  <c r="OB72" i="2"/>
  <c r="NN72" i="2"/>
  <c r="PD72" i="2"/>
  <c r="RA72" i="2"/>
  <c r="QM72" i="2"/>
  <c r="PY72" i="2"/>
  <c r="OW72" i="2"/>
  <c r="OI72" i="2"/>
  <c r="NU72" i="2"/>
  <c r="MZ72" i="2"/>
  <c r="ML72" i="2"/>
  <c r="LX72" i="2"/>
  <c r="LJ72" i="2"/>
  <c r="HP72" i="2"/>
  <c r="HB72" i="2"/>
  <c r="GG72" i="2"/>
  <c r="FS72" i="2"/>
  <c r="EC72" i="2"/>
  <c r="DO72" i="2"/>
  <c r="DA72" i="2"/>
  <c r="CF72" i="2"/>
  <c r="BR72" i="2"/>
  <c r="BD72" i="2"/>
  <c r="AP72" i="2"/>
  <c r="KV72" i="2"/>
  <c r="KH72" i="2"/>
  <c r="IY72" i="2"/>
  <c r="IK72" i="2"/>
  <c r="HW72" i="2"/>
  <c r="AB72" i="2"/>
  <c r="FL72" i="2"/>
  <c r="EX72" i="2"/>
  <c r="NG72" i="2"/>
  <c r="MS72" i="2"/>
  <c r="ME72" i="2"/>
  <c r="LQ72" i="2"/>
  <c r="LC72" i="2"/>
  <c r="JT72" i="2"/>
  <c r="HI72" i="2"/>
  <c r="FZ72" i="2"/>
  <c r="EJ72" i="2"/>
  <c r="DV72" i="2"/>
  <c r="CT72" i="2"/>
  <c r="AW72" i="2"/>
  <c r="AI72" i="2"/>
  <c r="N72" i="2"/>
  <c r="KO72" i="2"/>
  <c r="JF72" i="2"/>
  <c r="ID72" i="2"/>
  <c r="U72" i="2"/>
  <c r="EQ72" i="2"/>
  <c r="SQ71" i="2"/>
  <c r="SC71" i="2"/>
  <c r="RO71" i="2"/>
  <c r="QT71" i="2"/>
  <c r="QF71" i="2"/>
  <c r="PR71" i="2"/>
  <c r="OP71" i="2"/>
  <c r="OB71" i="2"/>
  <c r="NN71" i="2"/>
  <c r="SJ71" i="2"/>
  <c r="RV71" i="2"/>
  <c r="RA71" i="2"/>
  <c r="QM71" i="2"/>
  <c r="PY71" i="2"/>
  <c r="OW71" i="2"/>
  <c r="OI71" i="2"/>
  <c r="NU71" i="2"/>
  <c r="PD71" i="2"/>
  <c r="PK71" i="2"/>
  <c r="MZ71" i="2"/>
  <c r="ML71" i="2"/>
  <c r="LX71" i="2"/>
  <c r="LJ71" i="2"/>
  <c r="KH71" i="2"/>
  <c r="IK71" i="2"/>
  <c r="HW71" i="2"/>
  <c r="HI71" i="2"/>
  <c r="EJ71" i="2"/>
  <c r="DV71" i="2"/>
  <c r="DH71" i="2"/>
  <c r="AI71" i="2"/>
  <c r="KA71" i="2"/>
  <c r="JM71" i="2"/>
  <c r="IY71" i="2"/>
  <c r="GU71" i="2"/>
  <c r="GG71" i="2"/>
  <c r="FS71" i="2"/>
  <c r="U71" i="2"/>
  <c r="FE71" i="2"/>
  <c r="EQ71" i="2"/>
  <c r="CF71" i="2"/>
  <c r="BR71" i="2"/>
  <c r="AP71" i="2"/>
  <c r="NG71" i="2"/>
  <c r="MS71" i="2"/>
  <c r="ME71" i="2"/>
  <c r="LQ71" i="2"/>
  <c r="LC71" i="2"/>
  <c r="KO71" i="2"/>
  <c r="ID71" i="2"/>
  <c r="HP71" i="2"/>
  <c r="HB71" i="2"/>
  <c r="FZ71" i="2"/>
  <c r="EC71" i="2"/>
  <c r="DO71" i="2"/>
  <c r="DA71" i="2"/>
  <c r="CM71" i="2"/>
  <c r="AW71" i="2"/>
  <c r="JT71" i="2"/>
  <c r="JF71" i="2"/>
  <c r="IR71" i="2"/>
  <c r="GN71" i="2"/>
  <c r="AB71" i="2"/>
  <c r="FL71" i="2"/>
  <c r="EX71" i="2"/>
  <c r="BY71" i="2"/>
  <c r="BK71" i="2"/>
  <c r="BD71" i="2"/>
  <c r="N71" i="2"/>
  <c r="PK70" i="2"/>
  <c r="SC70" i="2"/>
  <c r="RO70" i="2"/>
  <c r="RA70" i="2"/>
  <c r="PY70" i="2"/>
  <c r="OP70" i="2"/>
  <c r="OB70" i="2"/>
  <c r="NN70" i="2"/>
  <c r="SQ70" i="2"/>
  <c r="SJ70" i="2"/>
  <c r="RV70" i="2"/>
  <c r="QT70" i="2"/>
  <c r="QF70" i="2"/>
  <c r="PR70" i="2"/>
  <c r="OW70" i="2"/>
  <c r="OI70" i="2"/>
  <c r="NU70" i="2"/>
  <c r="MZ70" i="2"/>
  <c r="ML70" i="2"/>
  <c r="LX70" i="2"/>
  <c r="KO70" i="2"/>
  <c r="JT70" i="2"/>
  <c r="AB70" i="2"/>
  <c r="EX70" i="2"/>
  <c r="EJ70" i="2"/>
  <c r="DV70" i="2"/>
  <c r="DH70" i="2"/>
  <c r="LQ70" i="2"/>
  <c r="LC70" i="2"/>
  <c r="IY70" i="2"/>
  <c r="HI70" i="2"/>
  <c r="GU70" i="2"/>
  <c r="GG70" i="2"/>
  <c r="FZ70" i="2"/>
  <c r="FS70" i="2"/>
  <c r="BY70" i="2"/>
  <c r="BK70" i="2"/>
  <c r="N70" i="2"/>
  <c r="NG70" i="2"/>
  <c r="ME70" i="2"/>
  <c r="KV70" i="2"/>
  <c r="KH70" i="2"/>
  <c r="KA70" i="2"/>
  <c r="JM70" i="2"/>
  <c r="U70" i="2"/>
  <c r="FE70" i="2"/>
  <c r="EQ70" i="2"/>
  <c r="EC70" i="2"/>
  <c r="DA70" i="2"/>
  <c r="CM70" i="2"/>
  <c r="LJ70" i="2"/>
  <c r="JF70" i="2"/>
  <c r="IR70" i="2"/>
  <c r="IK70" i="2"/>
  <c r="HW70" i="2"/>
  <c r="HP70" i="2"/>
  <c r="HB70" i="2"/>
  <c r="GN70" i="2"/>
  <c r="CF70" i="2"/>
  <c r="BR70" i="2"/>
  <c r="BD70" i="2"/>
  <c r="AW70" i="2"/>
  <c r="AP70" i="2"/>
  <c r="AI70" i="2"/>
  <c r="P69" i="2"/>
  <c r="SQ69" i="2"/>
  <c r="SJ69" i="2"/>
  <c r="RV69" i="2"/>
  <c r="PD69" i="2"/>
  <c r="OP69" i="2"/>
  <c r="OB69" i="2"/>
  <c r="NN69" i="2"/>
  <c r="RA69" i="2"/>
  <c r="QM69" i="2"/>
  <c r="PY69" i="2"/>
  <c r="SC69" i="2"/>
  <c r="RO69" i="2"/>
  <c r="OW69" i="2"/>
  <c r="OI69" i="2"/>
  <c r="NU69" i="2"/>
  <c r="QT69" i="2"/>
  <c r="QF69" i="2"/>
  <c r="PR69" i="2"/>
  <c r="PK69" i="2"/>
  <c r="MZ69" i="2"/>
  <c r="ML69" i="2"/>
  <c r="LX69" i="2"/>
  <c r="KA69" i="2"/>
  <c r="JM69" i="2"/>
  <c r="JF69" i="2"/>
  <c r="IR69" i="2"/>
  <c r="HI69" i="2"/>
  <c r="BY69" i="2"/>
  <c r="BK69" i="2"/>
  <c r="BD69" i="2"/>
  <c r="N69" i="2"/>
  <c r="LQ69" i="2"/>
  <c r="LC69" i="2"/>
  <c r="KV69" i="2"/>
  <c r="KH69" i="2"/>
  <c r="ID69" i="2"/>
  <c r="GN69" i="2"/>
  <c r="U69" i="2"/>
  <c r="FE69" i="2"/>
  <c r="EQ69" i="2"/>
  <c r="EC69" i="2"/>
  <c r="DO69" i="2"/>
  <c r="DA69" i="2"/>
  <c r="CM69" i="2"/>
  <c r="AW69" i="2"/>
  <c r="NG69" i="2"/>
  <c r="MS69" i="2"/>
  <c r="ME69" i="2"/>
  <c r="JT69" i="2"/>
  <c r="IY69" i="2"/>
  <c r="HP69" i="2"/>
  <c r="HB69" i="2"/>
  <c r="FZ69" i="2"/>
  <c r="CF69" i="2"/>
  <c r="BR69" i="2"/>
  <c r="AP69" i="2"/>
  <c r="LJ69" i="2"/>
  <c r="KO69" i="2"/>
  <c r="IK69" i="2"/>
  <c r="HW69" i="2"/>
  <c r="GU69" i="2"/>
  <c r="GG69" i="2"/>
  <c r="FS69" i="2"/>
  <c r="AB69" i="2"/>
  <c r="FL69" i="2"/>
  <c r="EX69" i="2"/>
  <c r="EJ69" i="2"/>
  <c r="DV69" i="2"/>
  <c r="DH69" i="2"/>
  <c r="CT69" i="2"/>
  <c r="AI69" i="2"/>
  <c r="OW68" i="2"/>
  <c r="OI68" i="2"/>
  <c r="NU68" i="2"/>
  <c r="SJ68" i="2"/>
  <c r="RV68" i="2"/>
  <c r="PD68" i="2"/>
  <c r="RA68" i="2"/>
  <c r="QM68" i="2"/>
  <c r="PY68" i="2"/>
  <c r="PK68" i="2"/>
  <c r="SQ68" i="2"/>
  <c r="OP68" i="2"/>
  <c r="OB68" i="2"/>
  <c r="NN68" i="2"/>
  <c r="SC68" i="2"/>
  <c r="RO68" i="2"/>
  <c r="QF68" i="2"/>
  <c r="PR68" i="2"/>
  <c r="MZ68" i="2"/>
  <c r="ML68" i="2"/>
  <c r="LX68" i="2"/>
  <c r="KV68" i="2"/>
  <c r="KH68" i="2"/>
  <c r="JT68" i="2"/>
  <c r="U68" i="2"/>
  <c r="FE68" i="2"/>
  <c r="EQ68" i="2"/>
  <c r="CF68" i="2"/>
  <c r="BR68" i="2"/>
  <c r="BD68" i="2"/>
  <c r="AP68" i="2"/>
  <c r="LQ68" i="2"/>
  <c r="LC68" i="2"/>
  <c r="JF68" i="2"/>
  <c r="IR68" i="2"/>
  <c r="ID68" i="2"/>
  <c r="HP68" i="2"/>
  <c r="HB68" i="2"/>
  <c r="GU68" i="2"/>
  <c r="GG68" i="2"/>
  <c r="FS68" i="2"/>
  <c r="EJ68" i="2"/>
  <c r="DV68" i="2"/>
  <c r="DH68" i="2"/>
  <c r="CT68" i="2"/>
  <c r="NG68" i="2"/>
  <c r="MS68" i="2"/>
  <c r="ME68" i="2"/>
  <c r="KO68" i="2"/>
  <c r="KA68" i="2"/>
  <c r="JM68" i="2"/>
  <c r="AB68" i="2"/>
  <c r="FL68" i="2"/>
  <c r="BY68" i="2"/>
  <c r="BK68" i="2"/>
  <c r="AW68" i="2"/>
  <c r="AI68" i="2"/>
  <c r="N68" i="2"/>
  <c r="LJ68" i="2"/>
  <c r="IY68" i="2"/>
  <c r="IK68" i="2"/>
  <c r="HW68" i="2"/>
  <c r="HI68" i="2"/>
  <c r="GN68" i="2"/>
  <c r="FZ68" i="2"/>
  <c r="EC68" i="2"/>
  <c r="DO68" i="2"/>
  <c r="DA68" i="2"/>
  <c r="CM68" i="2"/>
  <c r="SQ67" i="2"/>
  <c r="SC67" i="2"/>
  <c r="RA67" i="2"/>
  <c r="QM67" i="2"/>
  <c r="PY67" i="2"/>
  <c r="OP67" i="2"/>
  <c r="OB67" i="2"/>
  <c r="NN67" i="2"/>
  <c r="PD67" i="2"/>
  <c r="SJ67" i="2"/>
  <c r="RV67" i="2"/>
  <c r="QT67" i="2"/>
  <c r="QF67" i="2"/>
  <c r="PR67" i="2"/>
  <c r="OW67" i="2"/>
  <c r="OI67" i="2"/>
  <c r="NU67" i="2"/>
  <c r="PK67" i="2"/>
  <c r="MZ67" i="2"/>
  <c r="ML67" i="2"/>
  <c r="LQ67" i="2"/>
  <c r="LC67" i="2"/>
  <c r="KO67" i="2"/>
  <c r="ID67" i="2"/>
  <c r="GN67" i="2"/>
  <c r="AW67" i="2"/>
  <c r="JT67" i="2"/>
  <c r="JF67" i="2"/>
  <c r="IR67" i="2"/>
  <c r="HI67" i="2"/>
  <c r="U67" i="2"/>
  <c r="FE67" i="2"/>
  <c r="EQ67" i="2"/>
  <c r="EJ67" i="2"/>
  <c r="DV67" i="2"/>
  <c r="CT67" i="2"/>
  <c r="BY67" i="2"/>
  <c r="BK67" i="2"/>
  <c r="BD67" i="2"/>
  <c r="N67" i="2"/>
  <c r="NG67" i="2"/>
  <c r="MS67" i="2"/>
  <c r="ME67" i="2"/>
  <c r="LJ67" i="2"/>
  <c r="KV67" i="2"/>
  <c r="KH67" i="2"/>
  <c r="IK67" i="2"/>
  <c r="HW67" i="2"/>
  <c r="GU67" i="2"/>
  <c r="GG67" i="2"/>
  <c r="FS67" i="2"/>
  <c r="AI67" i="2"/>
  <c r="KA67" i="2"/>
  <c r="JM67" i="2"/>
  <c r="IY67" i="2"/>
  <c r="HP67" i="2"/>
  <c r="HB67" i="2"/>
  <c r="FZ67" i="2"/>
  <c r="EX67" i="2"/>
  <c r="EC67" i="2"/>
  <c r="DO67" i="2"/>
  <c r="DA67" i="2"/>
  <c r="CM67" i="2"/>
  <c r="CF67" i="2"/>
  <c r="BR67" i="2"/>
  <c r="AP67" i="2"/>
  <c r="P66" i="2"/>
  <c r="RA66" i="2"/>
  <c r="QM66" i="2"/>
  <c r="PY66" i="2"/>
  <c r="SC66" i="2"/>
  <c r="RO66" i="2"/>
  <c r="OW66" i="2"/>
  <c r="OI66" i="2"/>
  <c r="NU66" i="2"/>
  <c r="SQ66" i="2"/>
  <c r="PD66" i="2"/>
  <c r="QT66" i="2"/>
  <c r="QF66" i="2"/>
  <c r="PR66" i="2"/>
  <c r="PK66" i="2"/>
  <c r="SJ66" i="2"/>
  <c r="RV66" i="2"/>
  <c r="OP66" i="2"/>
  <c r="OB66" i="2"/>
  <c r="NN66" i="2"/>
  <c r="MZ66" i="2"/>
  <c r="ML66" i="2"/>
  <c r="LX66" i="2"/>
  <c r="LQ66" i="2"/>
  <c r="LC66" i="2"/>
  <c r="KV66" i="2"/>
  <c r="KH66" i="2"/>
  <c r="KA66" i="2"/>
  <c r="JF66" i="2"/>
  <c r="IR66" i="2"/>
  <c r="IK66" i="2"/>
  <c r="HW66" i="2"/>
  <c r="HP66" i="2"/>
  <c r="HB66" i="2"/>
  <c r="GN66" i="2"/>
  <c r="AB66" i="2"/>
  <c r="FL66" i="2"/>
  <c r="EX66" i="2"/>
  <c r="EC66" i="2"/>
  <c r="DO66" i="2"/>
  <c r="DA66" i="2"/>
  <c r="CM66" i="2"/>
  <c r="CF66" i="2"/>
  <c r="BR66" i="2"/>
  <c r="BD66" i="2"/>
  <c r="AW66" i="2"/>
  <c r="AP66" i="2"/>
  <c r="AI66" i="2"/>
  <c r="NG66" i="2"/>
  <c r="MS66" i="2"/>
  <c r="ME66" i="2"/>
  <c r="KO66" i="2"/>
  <c r="JT66" i="2"/>
  <c r="IY66" i="2"/>
  <c r="ID66" i="2"/>
  <c r="HI66" i="2"/>
  <c r="GU66" i="2"/>
  <c r="GG66" i="2"/>
  <c r="FZ66" i="2"/>
  <c r="FS66" i="2"/>
  <c r="U66" i="2"/>
  <c r="FE66" i="2"/>
  <c r="EQ66" i="2"/>
  <c r="EJ66" i="2"/>
  <c r="DV66" i="2"/>
  <c r="DH66" i="2"/>
  <c r="CT66" i="2"/>
  <c r="BY66" i="2"/>
  <c r="BK66" i="2"/>
  <c r="N66" i="2"/>
  <c r="HI65" i="2"/>
  <c r="DO65" i="2"/>
  <c r="HP65" i="2"/>
  <c r="HB65" i="2"/>
  <c r="GU65" i="2"/>
  <c r="P65" i="2"/>
  <c r="SQ65" i="2"/>
  <c r="SJ65" i="2"/>
  <c r="RV65" i="2"/>
  <c r="RA65" i="2"/>
  <c r="QM65" i="2"/>
  <c r="PY65" i="2"/>
  <c r="OW65" i="2"/>
  <c r="OI65" i="2"/>
  <c r="NU65" i="2"/>
  <c r="PK65" i="2"/>
  <c r="SC65" i="2"/>
  <c r="RO65" i="2"/>
  <c r="QT65" i="2"/>
  <c r="QF65" i="2"/>
  <c r="PR65" i="2"/>
  <c r="OP65" i="2"/>
  <c r="OB65" i="2"/>
  <c r="NN65" i="2"/>
  <c r="PD65" i="2"/>
  <c r="MZ65" i="2"/>
  <c r="ML65" i="2"/>
  <c r="LX65" i="2"/>
  <c r="LQ65" i="2"/>
  <c r="LC65" i="2"/>
  <c r="JT65" i="2"/>
  <c r="IK65" i="2"/>
  <c r="HW65" i="2"/>
  <c r="GG65" i="2"/>
  <c r="FS65" i="2"/>
  <c r="AI65" i="2"/>
  <c r="KO65" i="2"/>
  <c r="JF65" i="2"/>
  <c r="IR65" i="2"/>
  <c r="U65" i="2"/>
  <c r="FE65" i="2"/>
  <c r="EQ65" i="2"/>
  <c r="EJ65" i="2"/>
  <c r="DV65" i="2"/>
  <c r="DH65" i="2"/>
  <c r="CT65" i="2"/>
  <c r="BY65" i="2"/>
  <c r="BK65" i="2"/>
  <c r="BD65" i="2"/>
  <c r="N65" i="2"/>
  <c r="NG65" i="2"/>
  <c r="MS65" i="2"/>
  <c r="ME65" i="2"/>
  <c r="LJ65" i="2"/>
  <c r="KA65" i="2"/>
  <c r="JM65" i="2"/>
  <c r="ID65" i="2"/>
  <c r="GN65" i="2"/>
  <c r="AW65" i="2"/>
  <c r="KV65" i="2"/>
  <c r="KH65" i="2"/>
  <c r="IY65" i="2"/>
  <c r="FZ65" i="2"/>
  <c r="AB65" i="2"/>
  <c r="FL65" i="2"/>
  <c r="EX65" i="2"/>
  <c r="EC65" i="2"/>
  <c r="DA65" i="2"/>
  <c r="CM65" i="2"/>
  <c r="CF65" i="2"/>
  <c r="BR65" i="2"/>
  <c r="AP65" i="2"/>
  <c r="PD64" i="2"/>
  <c r="RA64" i="2"/>
  <c r="QM64" i="2"/>
  <c r="PY64" i="2"/>
  <c r="OP64" i="2"/>
  <c r="NN64" i="2"/>
  <c r="SQ64" i="2"/>
  <c r="QT64" i="2"/>
  <c r="QF64" i="2"/>
  <c r="PR64" i="2"/>
  <c r="OW64" i="2"/>
  <c r="OI64" i="2"/>
  <c r="NU64" i="2"/>
  <c r="MZ64" i="2"/>
  <c r="ML64" i="2"/>
  <c r="JF64" i="2"/>
  <c r="IR64" i="2"/>
  <c r="ID64" i="2"/>
  <c r="HP64" i="2"/>
  <c r="HB64" i="2"/>
  <c r="AI64" i="2"/>
  <c r="N64" i="2"/>
  <c r="LJ64" i="2"/>
  <c r="KV64" i="2"/>
  <c r="KH64" i="2"/>
  <c r="JT64" i="2"/>
  <c r="FS64" i="2"/>
  <c r="AB64" i="2"/>
  <c r="EX64" i="2"/>
  <c r="DV64" i="2"/>
  <c r="DH64" i="2"/>
  <c r="CT64" i="2"/>
  <c r="BY64" i="2"/>
  <c r="BK64" i="2"/>
  <c r="AW64" i="2"/>
  <c r="NG64" i="2"/>
  <c r="MS64" i="2"/>
  <c r="ME64" i="2"/>
  <c r="IY64" i="2"/>
  <c r="IK64" i="2"/>
  <c r="HW64" i="2"/>
  <c r="HI64" i="2"/>
  <c r="LQ64" i="2"/>
  <c r="LC64" i="2"/>
  <c r="KO64" i="2"/>
  <c r="JM64" i="2"/>
  <c r="FZ64" i="2"/>
  <c r="U64" i="2"/>
  <c r="FE64" i="2"/>
  <c r="CM64" i="2"/>
  <c r="CF64" i="2"/>
  <c r="BR64" i="2"/>
  <c r="BD64" i="2"/>
  <c r="JF63" i="2"/>
  <c r="HB63" i="2"/>
  <c r="KO63" i="2"/>
  <c r="HW63" i="2"/>
  <c r="DA63" i="2"/>
  <c r="EQ63" i="2"/>
  <c r="KV63" i="2"/>
  <c r="AB63" i="2"/>
  <c r="AW63" i="2"/>
  <c r="SQ63" i="2"/>
  <c r="SC63" i="2"/>
  <c r="RO63" i="2"/>
  <c r="RA63" i="2"/>
  <c r="QM63" i="2"/>
  <c r="PY63" i="2"/>
  <c r="OP63" i="2"/>
  <c r="OB63" i="2"/>
  <c r="NN63" i="2"/>
  <c r="PD63" i="2"/>
  <c r="SJ63" i="2"/>
  <c r="RV63" i="2"/>
  <c r="QT63" i="2"/>
  <c r="QF63" i="2"/>
  <c r="PR63" i="2"/>
  <c r="OW63" i="2"/>
  <c r="OI63" i="2"/>
  <c r="NU63" i="2"/>
  <c r="PK63" i="2"/>
  <c r="MZ63" i="2"/>
  <c r="ML63" i="2"/>
  <c r="LX63" i="2"/>
  <c r="KH63" i="2"/>
  <c r="ID63" i="2"/>
  <c r="GN63" i="2"/>
  <c r="FZ63" i="2"/>
  <c r="FL63" i="2"/>
  <c r="EX63" i="2"/>
  <c r="EJ63" i="2"/>
  <c r="DV63" i="2"/>
  <c r="DH63" i="2"/>
  <c r="CT63" i="2"/>
  <c r="BY63" i="2"/>
  <c r="BK63" i="2"/>
  <c r="BD63" i="2"/>
  <c r="AI63" i="2"/>
  <c r="LJ63" i="2"/>
  <c r="KA63" i="2"/>
  <c r="JM63" i="2"/>
  <c r="IR63" i="2"/>
  <c r="HI63" i="2"/>
  <c r="NG63" i="2"/>
  <c r="MS63" i="2"/>
  <c r="ME63" i="2"/>
  <c r="IK63" i="2"/>
  <c r="GU63" i="2"/>
  <c r="GG63" i="2"/>
  <c r="U63" i="2"/>
  <c r="FE63" i="2"/>
  <c r="EC63" i="2"/>
  <c r="DO63" i="2"/>
  <c r="CM63" i="2"/>
  <c r="CF63" i="2"/>
  <c r="BR63" i="2"/>
  <c r="AP63" i="2"/>
  <c r="LQ63" i="2"/>
  <c r="LC63" i="2"/>
  <c r="JT63" i="2"/>
  <c r="IY63" i="2"/>
  <c r="HP63" i="2"/>
  <c r="FS63" i="2"/>
  <c r="N63" i="2"/>
  <c r="P62" i="2"/>
  <c r="PK62" i="2"/>
  <c r="SC62" i="2"/>
  <c r="PD62" i="2"/>
  <c r="QT62" i="2"/>
  <c r="QF62" i="2"/>
  <c r="PR62" i="2"/>
  <c r="OP62" i="2"/>
  <c r="OB62" i="2"/>
  <c r="NN62" i="2"/>
  <c r="SQ62" i="2"/>
  <c r="SJ62" i="2"/>
  <c r="RV62" i="2"/>
  <c r="RA62" i="2"/>
  <c r="PY62" i="2"/>
  <c r="OW62" i="2"/>
  <c r="OI62" i="2"/>
  <c r="NU62" i="2"/>
  <c r="MZ62" i="2"/>
  <c r="KA62" i="2"/>
  <c r="JM62" i="2"/>
  <c r="EC62" i="2"/>
  <c r="DA62" i="2"/>
  <c r="CF62" i="2"/>
  <c r="BR62" i="2"/>
  <c r="LQ62" i="2"/>
  <c r="LC62" i="2"/>
  <c r="KH62" i="2"/>
  <c r="IK62" i="2"/>
  <c r="HW62" i="2"/>
  <c r="GU62" i="2"/>
  <c r="GG62" i="2"/>
  <c r="FZ62" i="2"/>
  <c r="FS62" i="2"/>
  <c r="U62" i="2"/>
  <c r="EQ62" i="2"/>
  <c r="AI62" i="2"/>
  <c r="NG62" i="2"/>
  <c r="MS62" i="2"/>
  <c r="ME62" i="2"/>
  <c r="JT62" i="2"/>
  <c r="EJ62" i="2"/>
  <c r="CT62" i="2"/>
  <c r="BY62" i="2"/>
  <c r="BK62" i="2"/>
  <c r="LJ62" i="2"/>
  <c r="KO62" i="2"/>
  <c r="IR62" i="2"/>
  <c r="ID62" i="2"/>
  <c r="HI62" i="2"/>
  <c r="AB62" i="2"/>
  <c r="FL62" i="2"/>
  <c r="EX62" i="2"/>
  <c r="AW62" i="2"/>
  <c r="PY61" i="2"/>
  <c r="EQ61" i="2"/>
  <c r="AB61" i="2"/>
  <c r="EJ61" i="2"/>
  <c r="DH61" i="2"/>
  <c r="AW61" i="2"/>
  <c r="IR61" i="2"/>
  <c r="P61" i="2"/>
  <c r="SQ61" i="2"/>
  <c r="SJ61" i="2"/>
  <c r="RV61" i="2"/>
  <c r="OP61" i="2"/>
  <c r="OB61" i="2"/>
  <c r="NN61" i="2"/>
  <c r="QT61" i="2"/>
  <c r="QF61" i="2"/>
  <c r="PR61" i="2"/>
  <c r="SC61" i="2"/>
  <c r="RO61" i="2"/>
  <c r="PD61" i="2"/>
  <c r="OW61" i="2"/>
  <c r="OI61" i="2"/>
  <c r="NU61" i="2"/>
  <c r="RA61" i="2"/>
  <c r="QM61" i="2"/>
  <c r="PK61" i="2"/>
  <c r="MZ61" i="2"/>
  <c r="LX61" i="2"/>
  <c r="LQ61" i="2"/>
  <c r="LC61" i="2"/>
  <c r="IK61" i="2"/>
  <c r="HW61" i="2"/>
  <c r="GN61" i="2"/>
  <c r="DV61" i="2"/>
  <c r="CT61" i="2"/>
  <c r="BY61" i="2"/>
  <c r="BK61" i="2"/>
  <c r="BD61" i="2"/>
  <c r="AI61" i="2"/>
  <c r="N61" i="2"/>
  <c r="KO61" i="2"/>
  <c r="KA61" i="2"/>
  <c r="JM61" i="2"/>
  <c r="IY61" i="2"/>
  <c r="HI61" i="2"/>
  <c r="FZ61" i="2"/>
  <c r="FL61" i="2"/>
  <c r="EX61" i="2"/>
  <c r="AP61" i="2"/>
  <c r="NG61" i="2"/>
  <c r="MS61" i="2"/>
  <c r="ME61" i="2"/>
  <c r="LJ61" i="2"/>
  <c r="ID61" i="2"/>
  <c r="GU61" i="2"/>
  <c r="GG61" i="2"/>
  <c r="FS61" i="2"/>
  <c r="EC61" i="2"/>
  <c r="DO61" i="2"/>
  <c r="DA61" i="2"/>
  <c r="CM61" i="2"/>
  <c r="CF61" i="2"/>
  <c r="BR61" i="2"/>
  <c r="KV61" i="2"/>
  <c r="KH61" i="2"/>
  <c r="JT61" i="2"/>
  <c r="JF61" i="2"/>
  <c r="HP61" i="2"/>
  <c r="HB61" i="2"/>
  <c r="U61" i="2"/>
  <c r="FE61" i="2"/>
  <c r="P60" i="2"/>
  <c r="SJ60" i="2"/>
  <c r="RV60" i="2"/>
  <c r="QT60" i="2"/>
  <c r="QF60" i="2"/>
  <c r="PR60" i="2"/>
  <c r="OW60" i="2"/>
  <c r="OI60" i="2"/>
  <c r="NU60" i="2"/>
  <c r="SQ60" i="2"/>
  <c r="PK60" i="2"/>
  <c r="SC60" i="2"/>
  <c r="RO60" i="2"/>
  <c r="PD60" i="2"/>
  <c r="RA60" i="2"/>
  <c r="QM60" i="2"/>
  <c r="PY60" i="2"/>
  <c r="OB60" i="2"/>
  <c r="NN60" i="2"/>
  <c r="MZ60" i="2"/>
  <c r="ML60" i="2"/>
  <c r="LX60" i="2"/>
  <c r="LQ60" i="2"/>
  <c r="LC60" i="2"/>
  <c r="KO60" i="2"/>
  <c r="JF60" i="2"/>
  <c r="IR60" i="2"/>
  <c r="IK60" i="2"/>
  <c r="HW60" i="2"/>
  <c r="HI60" i="2"/>
  <c r="GU60" i="2"/>
  <c r="GG60" i="2"/>
  <c r="FS60" i="2"/>
  <c r="AB60" i="2"/>
  <c r="FL60" i="2"/>
  <c r="EX60" i="2"/>
  <c r="AP60" i="2"/>
  <c r="AI60" i="2"/>
  <c r="JT60" i="2"/>
  <c r="EC60" i="2"/>
  <c r="DO60" i="2"/>
  <c r="DA60" i="2"/>
  <c r="CM60" i="2"/>
  <c r="CF60" i="2"/>
  <c r="BR60" i="2"/>
  <c r="BD60" i="2"/>
  <c r="NG60" i="2"/>
  <c r="MS60" i="2"/>
  <c r="ME60" i="2"/>
  <c r="LJ60" i="2"/>
  <c r="KV60" i="2"/>
  <c r="KH60" i="2"/>
  <c r="IY60" i="2"/>
  <c r="ID60" i="2"/>
  <c r="HP60" i="2"/>
  <c r="HB60" i="2"/>
  <c r="GN60" i="2"/>
  <c r="FZ60" i="2"/>
  <c r="U60" i="2"/>
  <c r="FE60" i="2"/>
  <c r="EQ60" i="2"/>
  <c r="AW60" i="2"/>
  <c r="KA60" i="2"/>
  <c r="JM60" i="2"/>
  <c r="EJ60" i="2"/>
  <c r="DV60" i="2"/>
  <c r="DH60" i="2"/>
  <c r="CT60" i="2"/>
  <c r="BY60" i="2"/>
  <c r="BK60" i="2"/>
  <c r="N60" i="2"/>
  <c r="P59" i="2"/>
  <c r="SQ59" i="2"/>
  <c r="SC59" i="2"/>
  <c r="RO59" i="2"/>
  <c r="PD59" i="2"/>
  <c r="OW59" i="2"/>
  <c r="OI59" i="2"/>
  <c r="NU59" i="2"/>
  <c r="QT59" i="2"/>
  <c r="QF59" i="2"/>
  <c r="PR59" i="2"/>
  <c r="PK59" i="2"/>
  <c r="SJ59" i="2"/>
  <c r="RV59" i="2"/>
  <c r="OP59" i="2"/>
  <c r="OB59" i="2"/>
  <c r="NN59" i="2"/>
  <c r="RA59" i="2"/>
  <c r="QM59" i="2"/>
  <c r="PY59" i="2"/>
  <c r="MZ59" i="2"/>
  <c r="ML59" i="2"/>
  <c r="LX59" i="2"/>
  <c r="LQ59" i="2"/>
  <c r="LC59" i="2"/>
  <c r="IK59" i="2"/>
  <c r="HW59" i="2"/>
  <c r="GN59" i="2"/>
  <c r="EC59" i="2"/>
  <c r="DO59" i="2"/>
  <c r="DA59" i="2"/>
  <c r="CM59" i="2"/>
  <c r="CF59" i="2"/>
  <c r="BR59" i="2"/>
  <c r="AW59" i="2"/>
  <c r="AI59" i="2"/>
  <c r="KV59" i="2"/>
  <c r="KH59" i="2"/>
  <c r="KA59" i="2"/>
  <c r="JM59" i="2"/>
  <c r="JF59" i="2"/>
  <c r="IR59" i="2"/>
  <c r="HP59" i="2"/>
  <c r="HB59" i="2"/>
  <c r="U59" i="2"/>
  <c r="FE59" i="2"/>
  <c r="EQ59" i="2"/>
  <c r="NG59" i="2"/>
  <c r="MS59" i="2"/>
  <c r="ME59" i="2"/>
  <c r="LJ59" i="2"/>
  <c r="ID59" i="2"/>
  <c r="GU59" i="2"/>
  <c r="GG59" i="2"/>
  <c r="FS59" i="2"/>
  <c r="EJ59" i="2"/>
  <c r="DV59" i="2"/>
  <c r="DH59" i="2"/>
  <c r="CT59" i="2"/>
  <c r="BY59" i="2"/>
  <c r="BK59" i="2"/>
  <c r="BD59" i="2"/>
  <c r="N59" i="2"/>
  <c r="KO59" i="2"/>
  <c r="JT59" i="2"/>
  <c r="IY59" i="2"/>
  <c r="HI59" i="2"/>
  <c r="FZ59" i="2"/>
  <c r="AB59" i="2"/>
  <c r="FL59" i="2"/>
  <c r="EX59" i="2"/>
  <c r="AP59" i="2"/>
  <c r="NN58" i="2"/>
  <c r="SC58" i="2"/>
  <c r="RO58" i="2"/>
  <c r="PD58" i="2"/>
  <c r="QF58" i="2"/>
  <c r="PR58" i="2"/>
  <c r="SQ58" i="2"/>
  <c r="OW58" i="2"/>
  <c r="OI58" i="2"/>
  <c r="NU58" i="2"/>
  <c r="SJ58" i="2"/>
  <c r="RV58" i="2"/>
  <c r="RA58" i="2"/>
  <c r="QM58" i="2"/>
  <c r="PY58" i="2"/>
  <c r="MZ58" i="2"/>
  <c r="ML58" i="2"/>
  <c r="LX58" i="2"/>
  <c r="LQ58" i="2"/>
  <c r="LC58" i="2"/>
  <c r="KV58" i="2"/>
  <c r="KH58" i="2"/>
  <c r="IY58" i="2"/>
  <c r="IK58" i="2"/>
  <c r="HW58" i="2"/>
  <c r="HB58" i="2"/>
  <c r="N58" i="2"/>
  <c r="JT58" i="2"/>
  <c r="FZ58" i="2"/>
  <c r="FS58" i="2"/>
  <c r="U58" i="2"/>
  <c r="EQ58" i="2"/>
  <c r="EJ58" i="2"/>
  <c r="DV58" i="2"/>
  <c r="DH58" i="2"/>
  <c r="CT58" i="2"/>
  <c r="BY58" i="2"/>
  <c r="BK58" i="2"/>
  <c r="NG58" i="2"/>
  <c r="MS58" i="2"/>
  <c r="ME58" i="2"/>
  <c r="LJ58" i="2"/>
  <c r="KO58" i="2"/>
  <c r="JF58" i="2"/>
  <c r="IR58" i="2"/>
  <c r="ID58" i="2"/>
  <c r="HI58" i="2"/>
  <c r="AW58" i="2"/>
  <c r="KA58" i="2"/>
  <c r="JM58" i="2"/>
  <c r="GG58" i="2"/>
  <c r="AB58" i="2"/>
  <c r="FL58" i="2"/>
  <c r="EX58" i="2"/>
  <c r="EC58" i="2"/>
  <c r="DO58" i="2"/>
  <c r="DA58" i="2"/>
  <c r="CM58" i="2"/>
  <c r="CF58" i="2"/>
  <c r="BR58" i="2"/>
  <c r="BD58" i="2"/>
  <c r="AI58" i="2"/>
  <c r="SQ57" i="2"/>
  <c r="SJ57" i="2"/>
  <c r="RV57" i="2"/>
  <c r="QT57" i="2"/>
  <c r="QF57" i="2"/>
  <c r="PR57" i="2"/>
  <c r="OW57" i="2"/>
  <c r="OI57" i="2"/>
  <c r="NU57" i="2"/>
  <c r="SC57" i="2"/>
  <c r="RO57" i="2"/>
  <c r="PD57" i="2"/>
  <c r="PK57" i="2"/>
  <c r="RA57" i="2"/>
  <c r="QM57" i="2"/>
  <c r="PY57" i="2"/>
  <c r="OP57" i="2"/>
  <c r="OB57" i="2"/>
  <c r="NN57" i="2"/>
  <c r="MZ57" i="2"/>
  <c r="ML57" i="2"/>
  <c r="LX57" i="2"/>
  <c r="LQ57" i="2"/>
  <c r="LC57" i="2"/>
  <c r="IK57" i="2"/>
  <c r="U57" i="2"/>
  <c r="FE57" i="2"/>
  <c r="EQ57" i="2"/>
  <c r="EJ57" i="2"/>
  <c r="DV57" i="2"/>
  <c r="DH57" i="2"/>
  <c r="CT57" i="2"/>
  <c r="BY57" i="2"/>
  <c r="BK57" i="2"/>
  <c r="BD57" i="2"/>
  <c r="AW57" i="2"/>
  <c r="KO57" i="2"/>
  <c r="KA57" i="2"/>
  <c r="JM57" i="2"/>
  <c r="IY57" i="2"/>
  <c r="HI57" i="2"/>
  <c r="GU57" i="2"/>
  <c r="GG57" i="2"/>
  <c r="AP57" i="2"/>
  <c r="NG57" i="2"/>
  <c r="MS57" i="2"/>
  <c r="ME57" i="2"/>
  <c r="LJ57" i="2"/>
  <c r="ID57" i="2"/>
  <c r="FZ57" i="2"/>
  <c r="AB57" i="2"/>
  <c r="FL57" i="2"/>
  <c r="EX57" i="2"/>
  <c r="EC57" i="2"/>
  <c r="DO57" i="2"/>
  <c r="DA57" i="2"/>
  <c r="CM57" i="2"/>
  <c r="CF57" i="2"/>
  <c r="BR57" i="2"/>
  <c r="KV57" i="2"/>
  <c r="KH57" i="2"/>
  <c r="JT57" i="2"/>
  <c r="JF57" i="2"/>
  <c r="IR57" i="2"/>
  <c r="HP57" i="2"/>
  <c r="HB57" i="2"/>
  <c r="GN57" i="2"/>
  <c r="FS57" i="2"/>
  <c r="AI57" i="2"/>
  <c r="N57" i="2"/>
  <c r="P56" i="2"/>
  <c r="SJ56" i="2"/>
  <c r="RV56" i="2"/>
  <c r="OP56" i="2"/>
  <c r="NN56" i="2"/>
  <c r="RA56" i="2"/>
  <c r="QM56" i="2"/>
  <c r="PY56" i="2"/>
  <c r="SC56" i="2"/>
  <c r="RO56" i="2"/>
  <c r="OW56" i="2"/>
  <c r="OI56" i="2"/>
  <c r="NU56" i="2"/>
  <c r="QT56" i="2"/>
  <c r="QF56" i="2"/>
  <c r="PR56" i="2"/>
  <c r="PK56" i="2"/>
  <c r="ML56" i="2"/>
  <c r="LX56" i="2"/>
  <c r="LJ56" i="2"/>
  <c r="KA56" i="2"/>
  <c r="JM56" i="2"/>
  <c r="GU56" i="2"/>
  <c r="GG56" i="2"/>
  <c r="AB56" i="2"/>
  <c r="FL56" i="2"/>
  <c r="EX56" i="2"/>
  <c r="DO56" i="2"/>
  <c r="DA56" i="2"/>
  <c r="CM56" i="2"/>
  <c r="AI56" i="2"/>
  <c r="KO56" i="2"/>
  <c r="JF56" i="2"/>
  <c r="IR56" i="2"/>
  <c r="IK56" i="2"/>
  <c r="BY56" i="2"/>
  <c r="BK56" i="2"/>
  <c r="AP56" i="2"/>
  <c r="NG56" i="2"/>
  <c r="ME56" i="2"/>
  <c r="LQ56" i="2"/>
  <c r="JT56" i="2"/>
  <c r="U56" i="2"/>
  <c r="FE56" i="2"/>
  <c r="EQ56" i="2"/>
  <c r="EJ56" i="2"/>
  <c r="DV56" i="2"/>
  <c r="DH56" i="2"/>
  <c r="CT56" i="2"/>
  <c r="BD56" i="2"/>
  <c r="KV56" i="2"/>
  <c r="KH56" i="2"/>
  <c r="IY56" i="2"/>
  <c r="ID56" i="2"/>
  <c r="FZ56" i="2"/>
  <c r="BR56" i="2"/>
  <c r="AW56" i="2"/>
  <c r="N56" i="2"/>
  <c r="P54" i="2"/>
  <c r="SQ54" i="2"/>
  <c r="SJ54" i="2"/>
  <c r="RV54" i="2"/>
  <c r="RA54" i="2"/>
  <c r="QM54" i="2"/>
  <c r="PY54" i="2"/>
  <c r="OI54" i="2"/>
  <c r="PD54" i="2"/>
  <c r="PK54" i="2"/>
  <c r="SC54" i="2"/>
  <c r="RO54" i="2"/>
  <c r="QT54" i="2"/>
  <c r="QF54" i="2"/>
  <c r="PR54" i="2"/>
  <c r="OP54" i="2"/>
  <c r="OB54" i="2"/>
  <c r="NN54" i="2"/>
  <c r="MZ54" i="2"/>
  <c r="ML54" i="2"/>
  <c r="LX54" i="2"/>
  <c r="LJ54" i="2"/>
  <c r="KA54" i="2"/>
  <c r="JM54" i="2"/>
  <c r="JF54" i="2"/>
  <c r="IR54" i="2"/>
  <c r="HI54" i="2"/>
  <c r="CF54" i="2"/>
  <c r="BR54" i="2"/>
  <c r="N54" i="2"/>
  <c r="ID54" i="2"/>
  <c r="GN54" i="2"/>
  <c r="FZ54" i="2"/>
  <c r="U54" i="2"/>
  <c r="FE54" i="2"/>
  <c r="EQ54" i="2"/>
  <c r="DV54" i="2"/>
  <c r="DH54" i="2"/>
  <c r="CT54" i="2"/>
  <c r="BD54" i="2"/>
  <c r="NG54" i="2"/>
  <c r="MS54" i="2"/>
  <c r="ME54" i="2"/>
  <c r="LQ54" i="2"/>
  <c r="LC54" i="2"/>
  <c r="KH54" i="2"/>
  <c r="JT54" i="2"/>
  <c r="IY54" i="2"/>
  <c r="HP54" i="2"/>
  <c r="HB54" i="2"/>
  <c r="BY54" i="2"/>
  <c r="BK54" i="2"/>
  <c r="AP54" i="2"/>
  <c r="AI54" i="2"/>
  <c r="IK54" i="2"/>
  <c r="GU54" i="2"/>
  <c r="GG54" i="2"/>
  <c r="AB54" i="2"/>
  <c r="FL54" i="2"/>
  <c r="EX54" i="2"/>
  <c r="EC54" i="2"/>
  <c r="DA54" i="2"/>
  <c r="CM54" i="2"/>
  <c r="AW54" i="2"/>
  <c r="P53" i="2"/>
  <c r="SC53" i="2"/>
  <c r="RO53" i="2"/>
  <c r="OI53" i="2"/>
  <c r="NU53" i="2"/>
  <c r="RA53" i="2"/>
  <c r="QM53" i="2"/>
  <c r="PY53" i="2"/>
  <c r="PK53" i="2"/>
  <c r="SQ53" i="2"/>
  <c r="SJ53" i="2"/>
  <c r="RV53" i="2"/>
  <c r="OB53" i="2"/>
  <c r="NN53" i="2"/>
  <c r="PD53" i="2"/>
  <c r="QT53" i="2"/>
  <c r="QF53" i="2"/>
  <c r="PR53" i="2"/>
  <c r="MZ53" i="2"/>
  <c r="ML53" i="2"/>
  <c r="LX53" i="2"/>
  <c r="LJ53" i="2"/>
  <c r="KA53" i="2"/>
  <c r="JM53" i="2"/>
  <c r="U53" i="2"/>
  <c r="FE53" i="2"/>
  <c r="EQ53" i="2"/>
  <c r="DV53" i="2"/>
  <c r="CT53" i="2"/>
  <c r="CF53" i="2"/>
  <c r="BR53" i="2"/>
  <c r="AP53" i="2"/>
  <c r="KH53" i="2"/>
  <c r="IY53" i="2"/>
  <c r="IK53" i="2"/>
  <c r="HW53" i="2"/>
  <c r="HI53" i="2"/>
  <c r="GN53" i="2"/>
  <c r="AI53" i="2"/>
  <c r="NG53" i="2"/>
  <c r="MS53" i="2"/>
  <c r="ME53" i="2"/>
  <c r="LQ53" i="2"/>
  <c r="LC53" i="2"/>
  <c r="JT53" i="2"/>
  <c r="FL53" i="2"/>
  <c r="EX53" i="2"/>
  <c r="DO53" i="2"/>
  <c r="DA53" i="2"/>
  <c r="CM53" i="2"/>
  <c r="BK53" i="2"/>
  <c r="BD53" i="2"/>
  <c r="N53" i="2"/>
  <c r="JF53" i="2"/>
  <c r="IR53" i="2"/>
  <c r="ID53" i="2"/>
  <c r="HP53" i="2"/>
  <c r="HB53" i="2"/>
  <c r="GU53" i="2"/>
  <c r="FZ53" i="2"/>
  <c r="FS53" i="2"/>
  <c r="P52" i="2"/>
  <c r="SQ52" i="2"/>
  <c r="PD52" i="2"/>
  <c r="PK52" i="2"/>
  <c r="SC52" i="2"/>
  <c r="RO52" i="2"/>
  <c r="RA52" i="2"/>
  <c r="QM52" i="2"/>
  <c r="PY52" i="2"/>
  <c r="OP52" i="2"/>
  <c r="OB52" i="2"/>
  <c r="NN52" i="2"/>
  <c r="SJ52" i="2"/>
  <c r="RV52" i="2"/>
  <c r="QT52" i="2"/>
  <c r="QF52" i="2"/>
  <c r="PR52" i="2"/>
  <c r="OW52" i="2"/>
  <c r="OI52" i="2"/>
  <c r="NU52" i="2"/>
  <c r="MZ52" i="2"/>
  <c r="ML52" i="2"/>
  <c r="LX52" i="2"/>
  <c r="LJ52" i="2"/>
  <c r="KV52" i="2"/>
  <c r="KH52" i="2"/>
  <c r="JT52" i="2"/>
  <c r="JF52" i="2"/>
  <c r="IR52" i="2"/>
  <c r="HI52" i="2"/>
  <c r="FZ52" i="2"/>
  <c r="IK52" i="2"/>
  <c r="HW52" i="2"/>
  <c r="GU52" i="2"/>
  <c r="GG52" i="2"/>
  <c r="FS52" i="2"/>
  <c r="AB52" i="2"/>
  <c r="FL52" i="2"/>
  <c r="EX52" i="2"/>
  <c r="EC52" i="2"/>
  <c r="DO52" i="2"/>
  <c r="DA52" i="2"/>
  <c r="CM52" i="2"/>
  <c r="BY52" i="2"/>
  <c r="BK52" i="2"/>
  <c r="AI52" i="2"/>
  <c r="N52" i="2"/>
  <c r="NG52" i="2"/>
  <c r="MS52" i="2"/>
  <c r="ME52" i="2"/>
  <c r="LQ52" i="2"/>
  <c r="LC52" i="2"/>
  <c r="KO52" i="2"/>
  <c r="KA52" i="2"/>
  <c r="JM52" i="2"/>
  <c r="IY52" i="2"/>
  <c r="HP52" i="2"/>
  <c r="HB52" i="2"/>
  <c r="ID52" i="2"/>
  <c r="GN52" i="2"/>
  <c r="U52" i="2"/>
  <c r="FE52" i="2"/>
  <c r="EQ52" i="2"/>
  <c r="EJ52" i="2"/>
  <c r="DV52" i="2"/>
  <c r="DH52" i="2"/>
  <c r="CT52" i="2"/>
  <c r="CF52" i="2"/>
  <c r="BR52" i="2"/>
  <c r="BD52" i="2"/>
  <c r="AW52" i="2"/>
  <c r="AP52" i="2"/>
  <c r="P51" i="2"/>
  <c r="SJ51" i="2"/>
  <c r="RV51" i="2"/>
  <c r="OP51" i="2"/>
  <c r="OB51" i="2"/>
  <c r="NN51" i="2"/>
  <c r="PD51" i="2"/>
  <c r="RA51" i="2"/>
  <c r="QM51" i="2"/>
  <c r="PY51" i="2"/>
  <c r="SQ51" i="2"/>
  <c r="SC51" i="2"/>
  <c r="RO51" i="2"/>
  <c r="OW51" i="2"/>
  <c r="OI51" i="2"/>
  <c r="NU51" i="2"/>
  <c r="QT51" i="2"/>
  <c r="QF51" i="2"/>
  <c r="PR51" i="2"/>
  <c r="PK51" i="2"/>
  <c r="MZ51" i="2"/>
  <c r="ML51" i="2"/>
  <c r="LX51" i="2"/>
  <c r="LJ51" i="2"/>
  <c r="KA51" i="2"/>
  <c r="JM51" i="2"/>
  <c r="AB51" i="2"/>
  <c r="FL51" i="2"/>
  <c r="EX51" i="2"/>
  <c r="EC51" i="2"/>
  <c r="DO51" i="2"/>
  <c r="DA51" i="2"/>
  <c r="CM51" i="2"/>
  <c r="BY51" i="2"/>
  <c r="BK51" i="2"/>
  <c r="BD51" i="2"/>
  <c r="N51" i="2"/>
  <c r="KO51" i="2"/>
  <c r="JF51" i="2"/>
  <c r="IR51" i="2"/>
  <c r="HW51" i="2"/>
  <c r="HP51" i="2"/>
  <c r="HB51" i="2"/>
  <c r="GN51" i="2"/>
  <c r="FZ51" i="2"/>
  <c r="AW51" i="2"/>
  <c r="AI51" i="2"/>
  <c r="NG51" i="2"/>
  <c r="MS51" i="2"/>
  <c r="ME51" i="2"/>
  <c r="LQ51" i="2"/>
  <c r="LC51" i="2"/>
  <c r="JT51" i="2"/>
  <c r="U51" i="2"/>
  <c r="FE51" i="2"/>
  <c r="EQ51" i="2"/>
  <c r="EJ51" i="2"/>
  <c r="DV51" i="2"/>
  <c r="DH51" i="2"/>
  <c r="CT51" i="2"/>
  <c r="CF51" i="2"/>
  <c r="BR51" i="2"/>
  <c r="AP51" i="2"/>
  <c r="KV51" i="2"/>
  <c r="KH51" i="2"/>
  <c r="IY51" i="2"/>
  <c r="ID51" i="2"/>
  <c r="HI51" i="2"/>
  <c r="GU51" i="2"/>
  <c r="GG51" i="2"/>
  <c r="FS51" i="2"/>
  <c r="P50" i="2"/>
  <c r="SJ50" i="2"/>
  <c r="RV50" i="2"/>
  <c r="QT50" i="2"/>
  <c r="QF50" i="2"/>
  <c r="PR50" i="2"/>
  <c r="OP50" i="2"/>
  <c r="NN50" i="2"/>
  <c r="SC50" i="2"/>
  <c r="RO50" i="2"/>
  <c r="RA50" i="2"/>
  <c r="QM50" i="2"/>
  <c r="PY50" i="2"/>
  <c r="OW50" i="2"/>
  <c r="OI50" i="2"/>
  <c r="NU50" i="2"/>
  <c r="MZ50" i="2"/>
  <c r="LX50" i="2"/>
  <c r="KO50" i="2"/>
  <c r="JT50" i="2"/>
  <c r="IK50" i="2"/>
  <c r="HW50" i="2"/>
  <c r="HI50" i="2"/>
  <c r="AB50" i="2"/>
  <c r="FL50" i="2"/>
  <c r="EX50" i="2"/>
  <c r="EC50" i="2"/>
  <c r="DO50" i="2"/>
  <c r="DA50" i="2"/>
  <c r="CM50" i="2"/>
  <c r="BY50" i="2"/>
  <c r="BK50" i="2"/>
  <c r="AW50" i="2"/>
  <c r="N50" i="2"/>
  <c r="LJ50" i="2"/>
  <c r="JF50" i="2"/>
  <c r="IR50" i="2"/>
  <c r="GN50" i="2"/>
  <c r="MS50" i="2"/>
  <c r="KV50" i="2"/>
  <c r="KH50" i="2"/>
  <c r="JM50" i="2"/>
  <c r="HP50" i="2"/>
  <c r="HB50" i="2"/>
  <c r="FS50" i="2"/>
  <c r="U50" i="2"/>
  <c r="FE50" i="2"/>
  <c r="EQ50" i="2"/>
  <c r="EJ50" i="2"/>
  <c r="DV50" i="2"/>
  <c r="DH50" i="2"/>
  <c r="CT50" i="2"/>
  <c r="CF50" i="2"/>
  <c r="BR50" i="2"/>
  <c r="BD50" i="2"/>
  <c r="AP50" i="2"/>
  <c r="AI50" i="2"/>
  <c r="LQ50" i="2"/>
  <c r="IY50" i="2"/>
  <c r="GG50" i="2"/>
  <c r="FZ50" i="2"/>
  <c r="P49" i="2"/>
  <c r="OP49" i="2"/>
  <c r="OB49" i="2"/>
  <c r="NN49" i="2"/>
  <c r="SJ49" i="2"/>
  <c r="RV49" i="2"/>
  <c r="PD49" i="2"/>
  <c r="QT49" i="2"/>
  <c r="QF49" i="2"/>
  <c r="PR49" i="2"/>
  <c r="SQ49" i="2"/>
  <c r="OW49" i="2"/>
  <c r="OI49" i="2"/>
  <c r="NU49" i="2"/>
  <c r="SC49" i="2"/>
  <c r="RO49" i="2"/>
  <c r="RA49" i="2"/>
  <c r="QM49" i="2"/>
  <c r="PY49" i="2"/>
  <c r="PK49" i="2"/>
  <c r="MZ49" i="2"/>
  <c r="ML49" i="2"/>
  <c r="LX49" i="2"/>
  <c r="KA49" i="2"/>
  <c r="JM49" i="2"/>
  <c r="IY49" i="2"/>
  <c r="IK49" i="2"/>
  <c r="HW49" i="2"/>
  <c r="FZ49" i="2"/>
  <c r="FS49" i="2"/>
  <c r="LJ49" i="2"/>
  <c r="KV49" i="2"/>
  <c r="KH49" i="2"/>
  <c r="HP49" i="2"/>
  <c r="HB49" i="2"/>
  <c r="GU49" i="2"/>
  <c r="GG49" i="2"/>
  <c r="U49" i="2"/>
  <c r="FE49" i="2"/>
  <c r="EQ49" i="2"/>
  <c r="EJ49" i="2"/>
  <c r="DV49" i="2"/>
  <c r="DH49" i="2"/>
  <c r="CT49" i="2"/>
  <c r="CF49" i="2"/>
  <c r="BR49" i="2"/>
  <c r="AP49" i="2"/>
  <c r="NG49" i="2"/>
  <c r="MS49" i="2"/>
  <c r="ME49" i="2"/>
  <c r="JT49" i="2"/>
  <c r="JF49" i="2"/>
  <c r="IR49" i="2"/>
  <c r="ID49" i="2"/>
  <c r="AW49" i="2"/>
  <c r="AI49" i="2"/>
  <c r="LQ49" i="2"/>
  <c r="LC49" i="2"/>
  <c r="KO49" i="2"/>
  <c r="HI49" i="2"/>
  <c r="GN49" i="2"/>
  <c r="AB49" i="2"/>
  <c r="FL49" i="2"/>
  <c r="EX49" i="2"/>
  <c r="EC49" i="2"/>
  <c r="DO49" i="2"/>
  <c r="DA49" i="2"/>
  <c r="CM49" i="2"/>
  <c r="BY49" i="2"/>
  <c r="BK49" i="2"/>
  <c r="BD49" i="2"/>
  <c r="N49" i="2"/>
  <c r="P48" i="2"/>
  <c r="QT48" i="2"/>
  <c r="QF48" i="2"/>
  <c r="PR48" i="2"/>
  <c r="OW48" i="2"/>
  <c r="NU48" i="2"/>
  <c r="PK48" i="2"/>
  <c r="RA48" i="2"/>
  <c r="QM48" i="2"/>
  <c r="PY48" i="2"/>
  <c r="OP48" i="2"/>
  <c r="OB48" i="2"/>
  <c r="NN48" i="2"/>
  <c r="RO48" i="2"/>
  <c r="MZ48" i="2"/>
  <c r="ML48" i="2"/>
  <c r="LX48" i="2"/>
  <c r="LJ48" i="2"/>
  <c r="IY48" i="2"/>
  <c r="HI48" i="2"/>
  <c r="GU48" i="2"/>
  <c r="GG48" i="2"/>
  <c r="AB48" i="2"/>
  <c r="FL48" i="2"/>
  <c r="EJ48" i="2"/>
  <c r="DV48" i="2"/>
  <c r="DH48" i="2"/>
  <c r="CT48" i="2"/>
  <c r="KO48" i="2"/>
  <c r="KA48" i="2"/>
  <c r="JM48" i="2"/>
  <c r="ID48" i="2"/>
  <c r="FZ48" i="2"/>
  <c r="BY48" i="2"/>
  <c r="BK48" i="2"/>
  <c r="N48" i="2"/>
  <c r="NG48" i="2"/>
  <c r="ME48" i="2"/>
  <c r="LQ48" i="2"/>
  <c r="LC48" i="2"/>
  <c r="JF48" i="2"/>
  <c r="IR48" i="2"/>
  <c r="HP48" i="2"/>
  <c r="EQ48" i="2"/>
  <c r="EC48" i="2"/>
  <c r="DO48" i="2"/>
  <c r="DA48" i="2"/>
  <c r="KV48" i="2"/>
  <c r="KH48" i="2"/>
  <c r="JT48" i="2"/>
  <c r="IK48" i="2"/>
  <c r="CF48" i="2"/>
  <c r="BR48" i="2"/>
  <c r="SC47" i="2"/>
  <c r="RO47" i="2"/>
  <c r="QT47" i="2"/>
  <c r="QF47" i="2"/>
  <c r="PR47" i="2"/>
  <c r="PK47" i="2"/>
  <c r="OP47" i="2"/>
  <c r="OB47" i="2"/>
  <c r="NN47" i="2"/>
  <c r="SQ47" i="2"/>
  <c r="SJ47" i="2"/>
  <c r="RV47" i="2"/>
  <c r="PD47" i="2"/>
  <c r="RA47" i="2"/>
  <c r="QM47" i="2"/>
  <c r="PY47" i="2"/>
  <c r="OW47" i="2"/>
  <c r="OI47" i="2"/>
  <c r="NU47" i="2"/>
  <c r="MZ47" i="2"/>
  <c r="ML47" i="2"/>
  <c r="LX47" i="2"/>
  <c r="LJ47" i="2"/>
  <c r="KO47" i="2"/>
  <c r="GN47" i="2"/>
  <c r="FS47" i="2"/>
  <c r="BY47" i="2"/>
  <c r="BK47" i="2"/>
  <c r="BD47" i="2"/>
  <c r="AP47" i="2"/>
  <c r="N47" i="2"/>
  <c r="JT47" i="2"/>
  <c r="IY47" i="2"/>
  <c r="ID47" i="2"/>
  <c r="HP47" i="2"/>
  <c r="HB47" i="2"/>
  <c r="U47" i="2"/>
  <c r="FE47" i="2"/>
  <c r="EQ47" i="2"/>
  <c r="EC47" i="2"/>
  <c r="DO47" i="2"/>
  <c r="DA47" i="2"/>
  <c r="CM47" i="2"/>
  <c r="NG47" i="2"/>
  <c r="MS47" i="2"/>
  <c r="ME47" i="2"/>
  <c r="LQ47" i="2"/>
  <c r="LC47" i="2"/>
  <c r="KV47" i="2"/>
  <c r="KH47" i="2"/>
  <c r="GU47" i="2"/>
  <c r="GG47" i="2"/>
  <c r="FZ47" i="2"/>
  <c r="CF47" i="2"/>
  <c r="BR47" i="2"/>
  <c r="AI47" i="2"/>
  <c r="KA47" i="2"/>
  <c r="JM47" i="2"/>
  <c r="JF47" i="2"/>
  <c r="IR47" i="2"/>
  <c r="IK47" i="2"/>
  <c r="HW47" i="2"/>
  <c r="HI47" i="2"/>
  <c r="AB47" i="2"/>
  <c r="FL47" i="2"/>
  <c r="EX47" i="2"/>
  <c r="EJ47" i="2"/>
  <c r="DV47" i="2"/>
  <c r="DH47" i="2"/>
  <c r="CT47" i="2"/>
  <c r="SQ46" i="2"/>
  <c r="QT46" i="2"/>
  <c r="QF46" i="2"/>
  <c r="PR46" i="2"/>
  <c r="OP46" i="2"/>
  <c r="OB46" i="2"/>
  <c r="NN46" i="2"/>
  <c r="SC46" i="2"/>
  <c r="RO46" i="2"/>
  <c r="RA46" i="2"/>
  <c r="QM46" i="2"/>
  <c r="PY46" i="2"/>
  <c r="OW46" i="2"/>
  <c r="OI46" i="2"/>
  <c r="NU46" i="2"/>
  <c r="SJ46" i="2"/>
  <c r="RV46" i="2"/>
  <c r="PD46" i="2"/>
  <c r="PK46" i="2"/>
  <c r="MZ46" i="2"/>
  <c r="ML46" i="2"/>
  <c r="LX46" i="2"/>
  <c r="LJ46" i="2"/>
  <c r="JF46" i="2"/>
  <c r="IR46" i="2"/>
  <c r="GN46" i="2"/>
  <c r="FS46" i="2"/>
  <c r="AB46" i="2"/>
  <c r="FL46" i="2"/>
  <c r="EX46" i="2"/>
  <c r="EJ46" i="2"/>
  <c r="DH46" i="2"/>
  <c r="CT46" i="2"/>
  <c r="BY46" i="2"/>
  <c r="BK46" i="2"/>
  <c r="AP46" i="2"/>
  <c r="KV46" i="2"/>
  <c r="KH46" i="2"/>
  <c r="KA46" i="2"/>
  <c r="JM46" i="2"/>
  <c r="HI46" i="2"/>
  <c r="FZ46" i="2"/>
  <c r="BD46" i="2"/>
  <c r="NG46" i="2"/>
  <c r="MS46" i="2"/>
  <c r="ME46" i="2"/>
  <c r="LQ46" i="2"/>
  <c r="LC46" i="2"/>
  <c r="IY46" i="2"/>
  <c r="GU46" i="2"/>
  <c r="GG46" i="2"/>
  <c r="U46" i="2"/>
  <c r="FE46" i="2"/>
  <c r="EQ46" i="2"/>
  <c r="EC46" i="2"/>
  <c r="DO46" i="2"/>
  <c r="DA46" i="2"/>
  <c r="CM46" i="2"/>
  <c r="CF46" i="2"/>
  <c r="AW46" i="2"/>
  <c r="AI46" i="2"/>
  <c r="KO46" i="2"/>
  <c r="JT46" i="2"/>
  <c r="IK46" i="2"/>
  <c r="HW46" i="2"/>
  <c r="HP46" i="2"/>
  <c r="SJ45" i="2"/>
  <c r="RV45" i="2"/>
  <c r="PD45" i="2"/>
  <c r="QT45" i="2"/>
  <c r="QF45" i="2"/>
  <c r="PR45" i="2"/>
  <c r="OW45" i="2"/>
  <c r="OI45" i="2"/>
  <c r="NU45" i="2"/>
  <c r="SQ45" i="2"/>
  <c r="SC45" i="2"/>
  <c r="RO45" i="2"/>
  <c r="RA45" i="2"/>
  <c r="QM45" i="2"/>
  <c r="PY45" i="2"/>
  <c r="PK45" i="2"/>
  <c r="OP45" i="2"/>
  <c r="OB45" i="2"/>
  <c r="NN45" i="2"/>
  <c r="MZ45" i="2"/>
  <c r="ML45" i="2"/>
  <c r="LX45" i="2"/>
  <c r="LJ45" i="2"/>
  <c r="KV45" i="2"/>
  <c r="KH45" i="2"/>
  <c r="HI45" i="2"/>
  <c r="GU45" i="2"/>
  <c r="GG45" i="2"/>
  <c r="AW45" i="2"/>
  <c r="JT45" i="2"/>
  <c r="JF45" i="2"/>
  <c r="IR45" i="2"/>
  <c r="ID45" i="2"/>
  <c r="U45" i="2"/>
  <c r="FE45" i="2"/>
  <c r="EQ45" i="2"/>
  <c r="EC45" i="2"/>
  <c r="DO45" i="2"/>
  <c r="DA45" i="2"/>
  <c r="CM45" i="2"/>
  <c r="CF45" i="2"/>
  <c r="BR45" i="2"/>
  <c r="N45" i="2"/>
  <c r="NG45" i="2"/>
  <c r="MS45" i="2"/>
  <c r="ME45" i="2"/>
  <c r="LQ45" i="2"/>
  <c r="LC45" i="2"/>
  <c r="KO45" i="2"/>
  <c r="HP45" i="2"/>
  <c r="HB45" i="2"/>
  <c r="GN45" i="2"/>
  <c r="FZ45" i="2"/>
  <c r="FS45" i="2"/>
  <c r="BD45" i="2"/>
  <c r="AP45" i="2"/>
  <c r="AI45" i="2"/>
  <c r="KA45" i="2"/>
  <c r="JM45" i="2"/>
  <c r="IY45" i="2"/>
  <c r="HW45" i="2"/>
  <c r="AB45" i="2"/>
  <c r="FL45" i="2"/>
  <c r="EX45" i="2"/>
  <c r="EJ45" i="2"/>
  <c r="DV45" i="2"/>
  <c r="DH45" i="2"/>
  <c r="CT45" i="2"/>
  <c r="BY45" i="2"/>
  <c r="BK45" i="2"/>
  <c r="SQ44" i="2"/>
  <c r="QT44" i="2"/>
  <c r="QF44" i="2"/>
  <c r="PR44" i="2"/>
  <c r="OW44" i="2"/>
  <c r="OI44" i="2"/>
  <c r="NU44" i="2"/>
  <c r="SJ44" i="2"/>
  <c r="RV44" i="2"/>
  <c r="PD44" i="2"/>
  <c r="PK44" i="2"/>
  <c r="RA44" i="2"/>
  <c r="QM44" i="2"/>
  <c r="PY44" i="2"/>
  <c r="OP44" i="2"/>
  <c r="OB44" i="2"/>
  <c r="NN44" i="2"/>
  <c r="SC44" i="2"/>
  <c r="RO44" i="2"/>
  <c r="MZ44" i="2"/>
  <c r="ML44" i="2"/>
  <c r="LX44" i="2"/>
  <c r="LJ44" i="2"/>
  <c r="IY44" i="2"/>
  <c r="GN44" i="2"/>
  <c r="FS44" i="2"/>
  <c r="U44" i="2"/>
  <c r="FE44" i="2"/>
  <c r="EQ44" i="2"/>
  <c r="EC44" i="2"/>
  <c r="DO44" i="2"/>
  <c r="DA44" i="2"/>
  <c r="CM44" i="2"/>
  <c r="CF44" i="2"/>
  <c r="BR44" i="2"/>
  <c r="N44" i="2"/>
  <c r="KO44" i="2"/>
  <c r="KA44" i="2"/>
  <c r="JM44" i="2"/>
  <c r="ID44" i="2"/>
  <c r="HP44" i="2"/>
  <c r="HB44" i="2"/>
  <c r="AP44" i="2"/>
  <c r="NG44" i="2"/>
  <c r="MS44" i="2"/>
  <c r="ME44" i="2"/>
  <c r="LQ44" i="2"/>
  <c r="LC44" i="2"/>
  <c r="JF44" i="2"/>
  <c r="IR44" i="2"/>
  <c r="GU44" i="2"/>
  <c r="GG44" i="2"/>
  <c r="AB44" i="2"/>
  <c r="FL44" i="2"/>
  <c r="EX44" i="2"/>
  <c r="EJ44" i="2"/>
  <c r="DV44" i="2"/>
  <c r="DH44" i="2"/>
  <c r="CT44" i="2"/>
  <c r="BY44" i="2"/>
  <c r="BK44" i="2"/>
  <c r="AW44" i="2"/>
  <c r="AI44" i="2"/>
  <c r="KV44" i="2"/>
  <c r="KH44" i="2"/>
  <c r="JT44" i="2"/>
  <c r="IK44" i="2"/>
  <c r="HW44" i="2"/>
  <c r="HI44" i="2"/>
  <c r="FZ44" i="2"/>
  <c r="BD44" i="2"/>
  <c r="SC43" i="2"/>
  <c r="RO43" i="2"/>
  <c r="QT43" i="2"/>
  <c r="QF43" i="2"/>
  <c r="PR43" i="2"/>
  <c r="PK43" i="2"/>
  <c r="OP43" i="2"/>
  <c r="OB43" i="2"/>
  <c r="NN43" i="2"/>
  <c r="SQ43" i="2"/>
  <c r="SJ43" i="2"/>
  <c r="RV43" i="2"/>
  <c r="PD43" i="2"/>
  <c r="RA43" i="2"/>
  <c r="QM43" i="2"/>
  <c r="PY43" i="2"/>
  <c r="OW43" i="2"/>
  <c r="OI43" i="2"/>
  <c r="NU43" i="2"/>
  <c r="MZ43" i="2"/>
  <c r="ML43" i="2"/>
  <c r="LX43" i="2"/>
  <c r="LJ43" i="2"/>
  <c r="KO43" i="2"/>
  <c r="HP43" i="2"/>
  <c r="HB43" i="2"/>
  <c r="GU43" i="2"/>
  <c r="GG43" i="2"/>
  <c r="FZ43" i="2"/>
  <c r="BD43" i="2"/>
  <c r="AW43" i="2"/>
  <c r="AP43" i="2"/>
  <c r="JT43" i="2"/>
  <c r="IY43" i="2"/>
  <c r="ID43" i="2"/>
  <c r="AB43" i="2"/>
  <c r="FL43" i="2"/>
  <c r="EX43" i="2"/>
  <c r="EJ43" i="2"/>
  <c r="DV43" i="2"/>
  <c r="DH43" i="2"/>
  <c r="CT43" i="2"/>
  <c r="BY43" i="2"/>
  <c r="BK43" i="2"/>
  <c r="NG43" i="2"/>
  <c r="MS43" i="2"/>
  <c r="ME43" i="2"/>
  <c r="LQ43" i="2"/>
  <c r="LC43" i="2"/>
  <c r="KV43" i="2"/>
  <c r="KH43" i="2"/>
  <c r="HI43" i="2"/>
  <c r="GN43" i="2"/>
  <c r="FS43" i="2"/>
  <c r="AI43" i="2"/>
  <c r="KA43" i="2"/>
  <c r="JM43" i="2"/>
  <c r="JF43" i="2"/>
  <c r="IR43" i="2"/>
  <c r="IK43" i="2"/>
  <c r="HW43" i="2"/>
  <c r="U43" i="2"/>
  <c r="FE43" i="2"/>
  <c r="EQ43" i="2"/>
  <c r="EC43" i="2"/>
  <c r="DO43" i="2"/>
  <c r="DA43" i="2"/>
  <c r="CM43" i="2"/>
  <c r="CF43" i="2"/>
  <c r="BR43" i="2"/>
  <c r="N43" i="2"/>
  <c r="SQ42" i="2"/>
  <c r="QT42" i="2"/>
  <c r="QF42" i="2"/>
  <c r="PR42" i="2"/>
  <c r="OB42" i="2"/>
  <c r="NN42" i="2"/>
  <c r="SC42" i="2"/>
  <c r="RO42" i="2"/>
  <c r="RA42" i="2"/>
  <c r="QM42" i="2"/>
  <c r="PY42" i="2"/>
  <c r="OW42" i="2"/>
  <c r="OI42" i="2"/>
  <c r="NU42" i="2"/>
  <c r="SJ42" i="2"/>
  <c r="RV42" i="2"/>
  <c r="PD42" i="2"/>
  <c r="PK42" i="2"/>
  <c r="MZ42" i="2"/>
  <c r="ML42" i="2"/>
  <c r="LX42" i="2"/>
  <c r="LJ42" i="2"/>
  <c r="JF42" i="2"/>
  <c r="IR42" i="2"/>
  <c r="GN42" i="2"/>
  <c r="FS42" i="2"/>
  <c r="AB42" i="2"/>
  <c r="FL42" i="2"/>
  <c r="EX42" i="2"/>
  <c r="EJ42" i="2"/>
  <c r="DV42" i="2"/>
  <c r="DH42" i="2"/>
  <c r="CT42" i="2"/>
  <c r="BY42" i="2"/>
  <c r="BK42" i="2"/>
  <c r="KV42" i="2"/>
  <c r="KH42" i="2"/>
  <c r="KA42" i="2"/>
  <c r="JM42" i="2"/>
  <c r="ID42" i="2"/>
  <c r="HI42" i="2"/>
  <c r="FZ42" i="2"/>
  <c r="BD42" i="2"/>
  <c r="NG42" i="2"/>
  <c r="MS42" i="2"/>
  <c r="ME42" i="2"/>
  <c r="LQ42" i="2"/>
  <c r="LC42" i="2"/>
  <c r="IY42" i="2"/>
  <c r="GU42" i="2"/>
  <c r="GG42" i="2"/>
  <c r="U42" i="2"/>
  <c r="FE42" i="2"/>
  <c r="EQ42" i="2"/>
  <c r="EC42" i="2"/>
  <c r="DO42" i="2"/>
  <c r="DA42" i="2"/>
  <c r="CM42" i="2"/>
  <c r="CF42" i="2"/>
  <c r="BR42" i="2"/>
  <c r="AW42" i="2"/>
  <c r="AI42" i="2"/>
  <c r="N42" i="2"/>
  <c r="KO42" i="2"/>
  <c r="JT42" i="2"/>
  <c r="IK42" i="2"/>
  <c r="HW42" i="2"/>
  <c r="HP42" i="2"/>
  <c r="HB42" i="2"/>
  <c r="AP42" i="2"/>
  <c r="SJ41" i="2"/>
  <c r="RV41" i="2"/>
  <c r="PD41" i="2"/>
  <c r="QT41" i="2"/>
  <c r="QF41" i="2"/>
  <c r="PR41" i="2"/>
  <c r="OW41" i="2"/>
  <c r="OI41" i="2"/>
  <c r="NU41" i="2"/>
  <c r="SQ41" i="2"/>
  <c r="SC41" i="2"/>
  <c r="RO41" i="2"/>
  <c r="RA41" i="2"/>
  <c r="QM41" i="2"/>
  <c r="PY41" i="2"/>
  <c r="PK41" i="2"/>
  <c r="OP41" i="2"/>
  <c r="OB41" i="2"/>
  <c r="NN41" i="2"/>
  <c r="MZ41" i="2"/>
  <c r="ML41" i="2"/>
  <c r="LX41" i="2"/>
  <c r="LJ41" i="2"/>
  <c r="KH41" i="2"/>
  <c r="JT41" i="2"/>
  <c r="JF41" i="2"/>
  <c r="IR41" i="2"/>
  <c r="ID41" i="2"/>
  <c r="U41" i="2"/>
  <c r="FE41" i="2"/>
  <c r="EQ41" i="2"/>
  <c r="EC41" i="2"/>
  <c r="DO41" i="2"/>
  <c r="DA41" i="2"/>
  <c r="CM41" i="2"/>
  <c r="CF41" i="2"/>
  <c r="BR41" i="2"/>
  <c r="BD41" i="2"/>
  <c r="AP41" i="2"/>
  <c r="AI41" i="2"/>
  <c r="HP41" i="2"/>
  <c r="HB41" i="2"/>
  <c r="GN41" i="2"/>
  <c r="FZ41" i="2"/>
  <c r="FS41" i="2"/>
  <c r="NG41" i="2"/>
  <c r="MS41" i="2"/>
  <c r="ME41" i="2"/>
  <c r="LQ41" i="2"/>
  <c r="LC41" i="2"/>
  <c r="KO41" i="2"/>
  <c r="KA41" i="2"/>
  <c r="JM41" i="2"/>
  <c r="IY41" i="2"/>
  <c r="IK41" i="2"/>
  <c r="HW41" i="2"/>
  <c r="AB41" i="2"/>
  <c r="FL41" i="2"/>
  <c r="EX41" i="2"/>
  <c r="EJ41" i="2"/>
  <c r="DV41" i="2"/>
  <c r="DH41" i="2"/>
  <c r="CT41" i="2"/>
  <c r="BK41" i="2"/>
  <c r="AW41" i="2"/>
  <c r="HI41" i="2"/>
  <c r="GU41" i="2"/>
  <c r="GG41" i="2"/>
  <c r="SQ40" i="2"/>
  <c r="QT40" i="2"/>
  <c r="QF40" i="2"/>
  <c r="PR40" i="2"/>
  <c r="SJ40" i="2"/>
  <c r="RV40" i="2"/>
  <c r="PD40" i="2"/>
  <c r="OP40" i="2"/>
  <c r="NN40" i="2"/>
  <c r="RA40" i="2"/>
  <c r="QM40" i="2"/>
  <c r="SC40" i="2"/>
  <c r="RO40" i="2"/>
  <c r="OW40" i="2"/>
  <c r="MZ40" i="2"/>
  <c r="ML40" i="2"/>
  <c r="LX40" i="2"/>
  <c r="LJ40" i="2"/>
  <c r="KO40" i="2"/>
  <c r="JF40" i="2"/>
  <c r="IK40" i="2"/>
  <c r="HW40" i="2"/>
  <c r="EJ40" i="2"/>
  <c r="DH40" i="2"/>
  <c r="CT40" i="2"/>
  <c r="AW40" i="2"/>
  <c r="JT40" i="2"/>
  <c r="HP40" i="2"/>
  <c r="HB40" i="2"/>
  <c r="FZ40" i="2"/>
  <c r="U40" i="2"/>
  <c r="CF40" i="2"/>
  <c r="BR40" i="2"/>
  <c r="NG40" i="2"/>
  <c r="MS40" i="2"/>
  <c r="ME40" i="2"/>
  <c r="LQ40" i="2"/>
  <c r="KV40" i="2"/>
  <c r="KH40" i="2"/>
  <c r="IY40" i="2"/>
  <c r="GG40" i="2"/>
  <c r="FS40" i="2"/>
  <c r="EC40" i="2"/>
  <c r="DO40" i="2"/>
  <c r="DA40" i="2"/>
  <c r="CM40" i="2"/>
  <c r="KA40" i="2"/>
  <c r="JM40" i="2"/>
  <c r="HI40" i="2"/>
  <c r="EX40" i="2"/>
  <c r="BY40" i="2"/>
  <c r="N40" i="2"/>
  <c r="SC39" i="2"/>
  <c r="RO39" i="2"/>
  <c r="QT39" i="2"/>
  <c r="QF39" i="2"/>
  <c r="PR39" i="2"/>
  <c r="OP39" i="2"/>
  <c r="OB39" i="2"/>
  <c r="NN39" i="2"/>
  <c r="PK39" i="2"/>
  <c r="SQ39" i="2"/>
  <c r="SJ39" i="2"/>
  <c r="RV39" i="2"/>
  <c r="PD39" i="2"/>
  <c r="RA39" i="2"/>
  <c r="QM39" i="2"/>
  <c r="PY39" i="2"/>
  <c r="OW39" i="2"/>
  <c r="OI39" i="2"/>
  <c r="NU39" i="2"/>
  <c r="MZ39" i="2"/>
  <c r="ML39" i="2"/>
  <c r="LX39" i="2"/>
  <c r="LJ39" i="2"/>
  <c r="IK39" i="2"/>
  <c r="HW39" i="2"/>
  <c r="HP39" i="2"/>
  <c r="HB39" i="2"/>
  <c r="GU39" i="2"/>
  <c r="GG39" i="2"/>
  <c r="FS39" i="2"/>
  <c r="U39" i="2"/>
  <c r="FE39" i="2"/>
  <c r="EQ39" i="2"/>
  <c r="CF39" i="2"/>
  <c r="BR39" i="2"/>
  <c r="DV39" i="2"/>
  <c r="KV39" i="2"/>
  <c r="KH39" i="2"/>
  <c r="KA39" i="2"/>
  <c r="JM39" i="2"/>
  <c r="JF39" i="2"/>
  <c r="IR39" i="2"/>
  <c r="EC39" i="2"/>
  <c r="DO39" i="2"/>
  <c r="DA39" i="2"/>
  <c r="CM39" i="2"/>
  <c r="KO39" i="2"/>
  <c r="IY39" i="2"/>
  <c r="DH39" i="2"/>
  <c r="NG39" i="2"/>
  <c r="MS39" i="2"/>
  <c r="ME39" i="2"/>
  <c r="LQ39" i="2"/>
  <c r="LC39" i="2"/>
  <c r="ID39" i="2"/>
  <c r="HI39" i="2"/>
  <c r="GN39" i="2"/>
  <c r="FZ39" i="2"/>
  <c r="AB39" i="2"/>
  <c r="FL39" i="2"/>
  <c r="EX39" i="2"/>
  <c r="BY39" i="2"/>
  <c r="BK39" i="2"/>
  <c r="AW39" i="2"/>
  <c r="AP39" i="2"/>
  <c r="N39" i="2"/>
  <c r="JT39" i="2"/>
  <c r="EJ39" i="2"/>
  <c r="CT39" i="2"/>
  <c r="BD39" i="2"/>
  <c r="AI39" i="2"/>
  <c r="SQ38" i="2"/>
  <c r="QT38" i="2"/>
  <c r="QF38" i="2"/>
  <c r="PR38" i="2"/>
  <c r="SC38" i="2"/>
  <c r="RO38" i="2"/>
  <c r="OW38" i="2"/>
  <c r="OI38" i="2"/>
  <c r="NU38" i="2"/>
  <c r="RA38" i="2"/>
  <c r="QM38" i="2"/>
  <c r="PY38" i="2"/>
  <c r="PK38" i="2"/>
  <c r="SJ38" i="2"/>
  <c r="RV38" i="2"/>
  <c r="PD38" i="2"/>
  <c r="OP38" i="2"/>
  <c r="OB38" i="2"/>
  <c r="NN38" i="2"/>
  <c r="MZ38" i="2"/>
  <c r="ML38" i="2"/>
  <c r="LX38" i="2"/>
  <c r="LJ38" i="2"/>
  <c r="KV38" i="2"/>
  <c r="KH38" i="2"/>
  <c r="IY38" i="2"/>
  <c r="IK38" i="2"/>
  <c r="HW38" i="2"/>
  <c r="GN38" i="2"/>
  <c r="EC38" i="2"/>
  <c r="DO38" i="2"/>
  <c r="DA38" i="2"/>
  <c r="CM38" i="2"/>
  <c r="BY38" i="2"/>
  <c r="BK38" i="2"/>
  <c r="AP38" i="2"/>
  <c r="N38" i="2"/>
  <c r="JT38" i="2"/>
  <c r="HI38" i="2"/>
  <c r="AB38" i="2"/>
  <c r="FL38" i="2"/>
  <c r="EX38" i="2"/>
  <c r="NG38" i="2"/>
  <c r="MS38" i="2"/>
  <c r="ME38" i="2"/>
  <c r="LQ38" i="2"/>
  <c r="LC38" i="2"/>
  <c r="KO38" i="2"/>
  <c r="JF38" i="2"/>
  <c r="IR38" i="2"/>
  <c r="ID38" i="2"/>
  <c r="GU38" i="2"/>
  <c r="GG38" i="2"/>
  <c r="FS38" i="2"/>
  <c r="DV38" i="2"/>
  <c r="DH38" i="2"/>
  <c r="CT38" i="2"/>
  <c r="CF38" i="2"/>
  <c r="BR38" i="2"/>
  <c r="AI38" i="2"/>
  <c r="KA38" i="2"/>
  <c r="JM38" i="2"/>
  <c r="HP38" i="2"/>
  <c r="HB38" i="2"/>
  <c r="FZ38" i="2"/>
  <c r="U38" i="2"/>
  <c r="FE38" i="2"/>
  <c r="EQ38" i="2"/>
  <c r="BD38" i="2"/>
  <c r="AW38" i="2"/>
  <c r="SJ37" i="2"/>
  <c r="RV37" i="2"/>
  <c r="PD37" i="2"/>
  <c r="QT37" i="2"/>
  <c r="QF37" i="2"/>
  <c r="PR37" i="2"/>
  <c r="OW37" i="2"/>
  <c r="OI37" i="2"/>
  <c r="NU37" i="2"/>
  <c r="PK37" i="2"/>
  <c r="SQ37" i="2"/>
  <c r="SC37" i="2"/>
  <c r="RO37" i="2"/>
  <c r="RA37" i="2"/>
  <c r="QM37" i="2"/>
  <c r="PY37" i="2"/>
  <c r="OP37" i="2"/>
  <c r="OB37" i="2"/>
  <c r="NN37" i="2"/>
  <c r="MZ37" i="2"/>
  <c r="ML37" i="2"/>
  <c r="LX37" i="2"/>
  <c r="LJ37" i="2"/>
  <c r="IK37" i="2"/>
  <c r="HW37" i="2"/>
  <c r="HI37" i="2"/>
  <c r="GU37" i="2"/>
  <c r="GG37" i="2"/>
  <c r="FZ37" i="2"/>
  <c r="FS37" i="2"/>
  <c r="AB37" i="2"/>
  <c r="FL37" i="2"/>
  <c r="EX37" i="2"/>
  <c r="BD37" i="2"/>
  <c r="KO37" i="2"/>
  <c r="KA37" i="2"/>
  <c r="JM37" i="2"/>
  <c r="IY37" i="2"/>
  <c r="EJ37" i="2"/>
  <c r="DV37" i="2"/>
  <c r="DH37" i="2"/>
  <c r="CT37" i="2"/>
  <c r="CF37" i="2"/>
  <c r="BR37" i="2"/>
  <c r="AW37" i="2"/>
  <c r="NG37" i="2"/>
  <c r="MS37" i="2"/>
  <c r="ME37" i="2"/>
  <c r="LQ37" i="2"/>
  <c r="LC37" i="2"/>
  <c r="ID37" i="2"/>
  <c r="HP37" i="2"/>
  <c r="HB37" i="2"/>
  <c r="GN37" i="2"/>
  <c r="U37" i="2"/>
  <c r="FE37" i="2"/>
  <c r="EQ37" i="2"/>
  <c r="AI37" i="2"/>
  <c r="KV37" i="2"/>
  <c r="KH37" i="2"/>
  <c r="JT37" i="2"/>
  <c r="JF37" i="2"/>
  <c r="IR37" i="2"/>
  <c r="EC37" i="2"/>
  <c r="DO37" i="2"/>
  <c r="DA37" i="2"/>
  <c r="CM37" i="2"/>
  <c r="BY37" i="2"/>
  <c r="BK37" i="2"/>
  <c r="AP37" i="2"/>
  <c r="N37" i="2"/>
  <c r="SQ36" i="2"/>
  <c r="QT36" i="2"/>
  <c r="QF36" i="2"/>
  <c r="PR36" i="2"/>
  <c r="SJ36" i="2"/>
  <c r="RV36" i="2"/>
  <c r="PD36" i="2"/>
  <c r="OP36" i="2"/>
  <c r="OB36" i="2"/>
  <c r="NN36" i="2"/>
  <c r="RA36" i="2"/>
  <c r="QM36" i="2"/>
  <c r="PY36" i="2"/>
  <c r="SC36" i="2"/>
  <c r="RO36" i="2"/>
  <c r="OW36" i="2"/>
  <c r="OI36" i="2"/>
  <c r="NU36" i="2"/>
  <c r="MZ36" i="2"/>
  <c r="ML36" i="2"/>
  <c r="LX36" i="2"/>
  <c r="LJ36" i="2"/>
  <c r="JT36" i="2"/>
  <c r="HP36" i="2"/>
  <c r="HB36" i="2"/>
  <c r="FZ36" i="2"/>
  <c r="FL36" i="2"/>
  <c r="EX36" i="2"/>
  <c r="BD36" i="2"/>
  <c r="IY36" i="2"/>
  <c r="ID36" i="2"/>
  <c r="GU36" i="2"/>
  <c r="GG36" i="2"/>
  <c r="FS36" i="2"/>
  <c r="EJ36" i="2"/>
  <c r="DV36" i="2"/>
  <c r="DH36" i="2"/>
  <c r="CT36" i="2"/>
  <c r="BY36" i="2"/>
  <c r="BK36" i="2"/>
  <c r="AP36" i="2"/>
  <c r="AI36" i="2"/>
  <c r="N36" i="2"/>
  <c r="NG36" i="2"/>
  <c r="MS36" i="2"/>
  <c r="ME36" i="2"/>
  <c r="LQ36" i="2"/>
  <c r="LC36" i="2"/>
  <c r="KV36" i="2"/>
  <c r="KH36" i="2"/>
  <c r="KA36" i="2"/>
  <c r="JM36" i="2"/>
  <c r="HI36" i="2"/>
  <c r="FE36" i="2"/>
  <c r="EQ36" i="2"/>
  <c r="AW36" i="2"/>
  <c r="JF36" i="2"/>
  <c r="IR36" i="2"/>
  <c r="IK36" i="2"/>
  <c r="HW36" i="2"/>
  <c r="GN36" i="2"/>
  <c r="EC36" i="2"/>
  <c r="CM36" i="2"/>
  <c r="CF36" i="2"/>
  <c r="BR36" i="2"/>
  <c r="SC35" i="2"/>
  <c r="RO35" i="2"/>
  <c r="QT35" i="2"/>
  <c r="PR35" i="2"/>
  <c r="OW35" i="2"/>
  <c r="OI35" i="2"/>
  <c r="NU35" i="2"/>
  <c r="SQ35" i="2"/>
  <c r="SJ35" i="2"/>
  <c r="RV35" i="2"/>
  <c r="PD35" i="2"/>
  <c r="RA35" i="2"/>
  <c r="QM35" i="2"/>
  <c r="PY35" i="2"/>
  <c r="OB35" i="2"/>
  <c r="NN35" i="2"/>
  <c r="MZ35" i="2"/>
  <c r="ML35" i="2"/>
  <c r="LX35" i="2"/>
  <c r="LJ35" i="2"/>
  <c r="KA35" i="2"/>
  <c r="JM35" i="2"/>
  <c r="ID35" i="2"/>
  <c r="GG35" i="2"/>
  <c r="FZ35" i="2"/>
  <c r="U35" i="2"/>
  <c r="FE35" i="2"/>
  <c r="EC35" i="2"/>
  <c r="DO35" i="2"/>
  <c r="DA35" i="2"/>
  <c r="BD35" i="2"/>
  <c r="AI35" i="2"/>
  <c r="KV35" i="2"/>
  <c r="KH35" i="2"/>
  <c r="IY35" i="2"/>
  <c r="HP35" i="2"/>
  <c r="BK35" i="2"/>
  <c r="NG35" i="2"/>
  <c r="MS35" i="2"/>
  <c r="ME35" i="2"/>
  <c r="LQ35" i="2"/>
  <c r="LC35" i="2"/>
  <c r="IK35" i="2"/>
  <c r="FS35" i="2"/>
  <c r="AB35" i="2"/>
  <c r="FL35" i="2"/>
  <c r="EX35" i="2"/>
  <c r="EJ35" i="2"/>
  <c r="DV35" i="2"/>
  <c r="DH35" i="2"/>
  <c r="CT35" i="2"/>
  <c r="KO35" i="2"/>
  <c r="JF35" i="2"/>
  <c r="IR35" i="2"/>
  <c r="HI35" i="2"/>
  <c r="BR35" i="2"/>
  <c r="AW35" i="2"/>
  <c r="AP35" i="2"/>
  <c r="N35" i="2"/>
  <c r="SQ34" i="2"/>
  <c r="QT34" i="2"/>
  <c r="QF34" i="2"/>
  <c r="PR34" i="2"/>
  <c r="PK34" i="2"/>
  <c r="SJ34" i="2"/>
  <c r="OI34" i="2"/>
  <c r="SC34" i="2"/>
  <c r="RO34" i="2"/>
  <c r="OP34" i="2"/>
  <c r="OB34" i="2"/>
  <c r="NN34" i="2"/>
  <c r="RV34" i="2"/>
  <c r="OW34" i="2"/>
  <c r="RA34" i="2"/>
  <c r="PY34" i="2"/>
  <c r="PD34" i="2"/>
  <c r="NU34" i="2"/>
  <c r="MZ34" i="2"/>
  <c r="ML34" i="2"/>
  <c r="LX34" i="2"/>
  <c r="LJ34" i="2"/>
  <c r="KV34" i="2"/>
  <c r="KH34" i="2"/>
  <c r="DV34" i="2"/>
  <c r="CT34" i="2"/>
  <c r="BY34" i="2"/>
  <c r="BK34" i="2"/>
  <c r="AI34" i="2"/>
  <c r="GN34" i="2"/>
  <c r="FL34" i="2"/>
  <c r="NG34" i="2"/>
  <c r="MS34" i="2"/>
  <c r="ME34" i="2"/>
  <c r="LQ34" i="2"/>
  <c r="LC34" i="2"/>
  <c r="HP34" i="2"/>
  <c r="HB34" i="2"/>
  <c r="FZ34" i="2"/>
  <c r="EC34" i="2"/>
  <c r="DO34" i="2"/>
  <c r="CM34" i="2"/>
  <c r="CF34" i="2"/>
  <c r="BR34" i="2"/>
  <c r="AP34" i="2"/>
  <c r="N34" i="2"/>
  <c r="KA34" i="2"/>
  <c r="IY34" i="2"/>
  <c r="AB34" i="2"/>
  <c r="AW34" i="2"/>
  <c r="JT34" i="2"/>
  <c r="JF34" i="2"/>
  <c r="IR34" i="2"/>
  <c r="ID34" i="2"/>
  <c r="GU34" i="2"/>
  <c r="GG34" i="2"/>
  <c r="U34" i="2"/>
  <c r="FE34" i="2"/>
  <c r="EQ34" i="2"/>
  <c r="JM34" i="2"/>
  <c r="IK34" i="2"/>
  <c r="BD34" i="2"/>
  <c r="SJ33" i="2"/>
  <c r="RV33" i="2"/>
  <c r="PD33" i="2"/>
  <c r="QT33" i="2"/>
  <c r="QF33" i="2"/>
  <c r="PR33" i="2"/>
  <c r="OP33" i="2"/>
  <c r="OB33" i="2"/>
  <c r="NN33" i="2"/>
  <c r="PK33" i="2"/>
  <c r="SQ33" i="2"/>
  <c r="SC33" i="2"/>
  <c r="RO33" i="2"/>
  <c r="RA33" i="2"/>
  <c r="QM33" i="2"/>
  <c r="PY33" i="2"/>
  <c r="OW33" i="2"/>
  <c r="OI33" i="2"/>
  <c r="NU33" i="2"/>
  <c r="MZ33" i="2"/>
  <c r="ML33" i="2"/>
  <c r="LX33" i="2"/>
  <c r="LJ33" i="2"/>
  <c r="JF33" i="2"/>
  <c r="IR33" i="2"/>
  <c r="AB33" i="2"/>
  <c r="FL33" i="2"/>
  <c r="EX33" i="2"/>
  <c r="AI33" i="2"/>
  <c r="KV33" i="2"/>
  <c r="JM33" i="2"/>
  <c r="HI33" i="2"/>
  <c r="FZ33" i="2"/>
  <c r="DH33" i="2"/>
  <c r="BK33" i="2"/>
  <c r="KO33" i="2"/>
  <c r="JT33" i="2"/>
  <c r="IK33" i="2"/>
  <c r="HW33" i="2"/>
  <c r="HP33" i="2"/>
  <c r="HB33" i="2"/>
  <c r="GU33" i="2"/>
  <c r="GG33" i="2"/>
  <c r="EC33" i="2"/>
  <c r="DO33" i="2"/>
  <c r="DA33" i="2"/>
  <c r="CM33" i="2"/>
  <c r="CF33" i="2"/>
  <c r="BR33" i="2"/>
  <c r="AP33" i="2"/>
  <c r="N33" i="2"/>
  <c r="KA33" i="2"/>
  <c r="ID33" i="2"/>
  <c r="FS33" i="2"/>
  <c r="DV33" i="2"/>
  <c r="AW33" i="2"/>
  <c r="NG33" i="2"/>
  <c r="MS33" i="2"/>
  <c r="ME33" i="2"/>
  <c r="LQ33" i="2"/>
  <c r="LC33" i="2"/>
  <c r="IY33" i="2"/>
  <c r="U33" i="2"/>
  <c r="FE33" i="2"/>
  <c r="EQ33" i="2"/>
  <c r="BD33" i="2"/>
  <c r="KH33" i="2"/>
  <c r="GN33" i="2"/>
  <c r="EJ33" i="2"/>
  <c r="CT33" i="2"/>
  <c r="BY33" i="2"/>
  <c r="SQ32" i="2"/>
  <c r="QT32" i="2"/>
  <c r="QF32" i="2"/>
  <c r="PR32" i="2"/>
  <c r="SJ32" i="2"/>
  <c r="RV32" i="2"/>
  <c r="PD32" i="2"/>
  <c r="OW32" i="2"/>
  <c r="OI32" i="2"/>
  <c r="NU32" i="2"/>
  <c r="RA32" i="2"/>
  <c r="QM32" i="2"/>
  <c r="PY32" i="2"/>
  <c r="PK32" i="2"/>
  <c r="SC32" i="2"/>
  <c r="RO32" i="2"/>
  <c r="OP32" i="2"/>
  <c r="OB32" i="2"/>
  <c r="NN32" i="2"/>
  <c r="MZ32" i="2"/>
  <c r="ML32" i="2"/>
  <c r="LX32" i="2"/>
  <c r="LJ32" i="2"/>
  <c r="KO32" i="2"/>
  <c r="HP32" i="2"/>
  <c r="HB32" i="2"/>
  <c r="FZ32" i="2"/>
  <c r="EC32" i="2"/>
  <c r="DO32" i="2"/>
  <c r="DA32" i="2"/>
  <c r="CM32" i="2"/>
  <c r="CF32" i="2"/>
  <c r="BR32" i="2"/>
  <c r="AP32" i="2"/>
  <c r="AI32" i="2"/>
  <c r="N32" i="2"/>
  <c r="EJ32" i="2"/>
  <c r="KA32" i="2"/>
  <c r="JM32" i="2"/>
  <c r="JF32" i="2"/>
  <c r="IR32" i="2"/>
  <c r="IK32" i="2"/>
  <c r="HW32" i="2"/>
  <c r="GN32" i="2"/>
  <c r="FS32" i="2"/>
  <c r="U32" i="2"/>
  <c r="FE32" i="2"/>
  <c r="EQ32" i="2"/>
  <c r="AW32" i="2"/>
  <c r="DV32" i="2"/>
  <c r="BY32" i="2"/>
  <c r="NG32" i="2"/>
  <c r="MS32" i="2"/>
  <c r="ME32" i="2"/>
  <c r="LQ32" i="2"/>
  <c r="LC32" i="2"/>
  <c r="KV32" i="2"/>
  <c r="KH32" i="2"/>
  <c r="JT32" i="2"/>
  <c r="IY32" i="2"/>
  <c r="ID32" i="2"/>
  <c r="GU32" i="2"/>
  <c r="GG32" i="2"/>
  <c r="AB32" i="2"/>
  <c r="FL32" i="2"/>
  <c r="EX32" i="2"/>
  <c r="BD32" i="2"/>
  <c r="HI32" i="2"/>
  <c r="DH32" i="2"/>
  <c r="CT32" i="2"/>
  <c r="BK32" i="2"/>
  <c r="OW31" i="2"/>
  <c r="OP31" i="2"/>
  <c r="SJ31" i="2"/>
  <c r="NU31" i="2"/>
  <c r="HI31" i="2"/>
  <c r="FL31" i="2"/>
  <c r="CM31" i="2"/>
  <c r="HP31" i="2"/>
  <c r="JM29" i="2"/>
  <c r="EQ29" i="2"/>
  <c r="OB29" i="2"/>
  <c r="SC29" i="2"/>
  <c r="QT29" i="2"/>
  <c r="PR29" i="2"/>
  <c r="RH29" i="2"/>
  <c r="OW29" i="2"/>
  <c r="NU29" i="2"/>
  <c r="RO29" i="2"/>
  <c r="SQ29" i="2"/>
  <c r="RV29" i="2"/>
  <c r="QM29" i="2"/>
  <c r="OP29" i="2"/>
  <c r="NN29" i="2"/>
  <c r="OI29" i="2"/>
  <c r="SJ29" i="2"/>
  <c r="PD29" i="2"/>
  <c r="RA29" i="2"/>
  <c r="PY29" i="2"/>
  <c r="PK29" i="2"/>
  <c r="QF29" i="2"/>
  <c r="NG29" i="2"/>
  <c r="ME29" i="2"/>
  <c r="KV29" i="2"/>
  <c r="IK29" i="2"/>
  <c r="GN29" i="2"/>
  <c r="U29" i="2"/>
  <c r="EC29" i="2"/>
  <c r="DA29" i="2"/>
  <c r="CF29" i="2"/>
  <c r="AW29" i="2"/>
  <c r="LQ29" i="2"/>
  <c r="IR29" i="2"/>
  <c r="HB29" i="2"/>
  <c r="EX29" i="2"/>
  <c r="IY29" i="2"/>
  <c r="MZ29" i="2"/>
  <c r="LX29" i="2"/>
  <c r="KO29" i="2"/>
  <c r="KA29" i="2"/>
  <c r="ID29" i="2"/>
  <c r="GG29" i="2"/>
  <c r="AB29" i="2"/>
  <c r="DV29" i="2"/>
  <c r="CT29" i="2"/>
  <c r="BY29" i="2"/>
  <c r="LJ29" i="2"/>
  <c r="MS29" i="2"/>
  <c r="KH29" i="2"/>
  <c r="JT29" i="2"/>
  <c r="HW29" i="2"/>
  <c r="FZ29" i="2"/>
  <c r="DO29" i="2"/>
  <c r="CM29" i="2"/>
  <c r="BR29" i="2"/>
  <c r="AP29" i="2"/>
  <c r="LC29" i="2"/>
  <c r="JF29" i="2"/>
  <c r="HP29" i="2"/>
  <c r="FL29" i="2"/>
  <c r="BD29" i="2"/>
  <c r="AI29" i="2"/>
  <c r="N29" i="2"/>
  <c r="ML29" i="2"/>
  <c r="GU29" i="2"/>
  <c r="FS29" i="2"/>
  <c r="EJ29" i="2"/>
  <c r="DH29" i="2"/>
  <c r="BK29" i="2"/>
  <c r="HI29" i="2"/>
  <c r="FE29" i="2"/>
  <c r="SJ28" i="2"/>
  <c r="RH28" i="2"/>
  <c r="OI28" i="2"/>
  <c r="PK28" i="2"/>
  <c r="SC28" i="2"/>
  <c r="RA28" i="2"/>
  <c r="PY28" i="2"/>
  <c r="OB28" i="2"/>
  <c r="RV28" i="2"/>
  <c r="QT28" i="2"/>
  <c r="PR28" i="2"/>
  <c r="NU28" i="2"/>
  <c r="SQ28" i="2"/>
  <c r="RO28" i="2"/>
  <c r="QM28" i="2"/>
  <c r="OP28" i="2"/>
  <c r="NN28" i="2"/>
  <c r="MS28" i="2"/>
  <c r="KH28" i="2"/>
  <c r="HW28" i="2"/>
  <c r="HB28" i="2"/>
  <c r="GU28" i="2"/>
  <c r="FS28" i="2"/>
  <c r="FL28" i="2"/>
  <c r="BD28" i="2"/>
  <c r="KA28" i="2"/>
  <c r="IY28" i="2"/>
  <c r="AB28" i="2"/>
  <c r="DV28" i="2"/>
  <c r="CT28" i="2"/>
  <c r="BR28" i="2"/>
  <c r="AP28" i="2"/>
  <c r="ML28" i="2"/>
  <c r="GN28" i="2"/>
  <c r="FE28" i="2"/>
  <c r="LC28" i="2"/>
  <c r="LQ28" i="2"/>
  <c r="JT28" i="2"/>
  <c r="CM28" i="2"/>
  <c r="BK28" i="2"/>
  <c r="AI28" i="2"/>
  <c r="N28" i="2"/>
  <c r="JF28" i="2"/>
  <c r="NG28" i="2"/>
  <c r="ME28" i="2"/>
  <c r="KV28" i="2"/>
  <c r="IK28" i="2"/>
  <c r="HP28" i="2"/>
  <c r="GG28" i="2"/>
  <c r="EX28" i="2"/>
  <c r="AW28" i="2"/>
  <c r="JM28" i="2"/>
  <c r="FZ28" i="2"/>
  <c r="EJ28" i="2"/>
  <c r="DH28" i="2"/>
  <c r="CF28" i="2"/>
  <c r="EC28" i="2"/>
  <c r="KO28" i="2"/>
  <c r="ID28" i="2"/>
  <c r="HI28" i="2"/>
  <c r="EQ28" i="2"/>
  <c r="U28" i="2"/>
  <c r="BY28" i="2"/>
  <c r="PD27" i="2"/>
  <c r="QT27" i="2"/>
  <c r="PR27" i="2"/>
  <c r="OW27" i="2"/>
  <c r="NU27" i="2"/>
  <c r="SJ27" i="2"/>
  <c r="QM27" i="2"/>
  <c r="OP27" i="2"/>
  <c r="NN27" i="2"/>
  <c r="SC27" i="2"/>
  <c r="RH27" i="2"/>
  <c r="QF27" i="2"/>
  <c r="OI27" i="2"/>
  <c r="RO27" i="2"/>
  <c r="RV27" i="2"/>
  <c r="PK27" i="2"/>
  <c r="SQ27" i="2"/>
  <c r="RA27" i="2"/>
  <c r="PY27" i="2"/>
  <c r="OB27" i="2"/>
  <c r="ME27" i="2"/>
  <c r="LJ27" i="2"/>
  <c r="HI27" i="2"/>
  <c r="FE27" i="2"/>
  <c r="BD27" i="2"/>
  <c r="EJ27" i="2"/>
  <c r="GG27" i="2"/>
  <c r="FZ27" i="2"/>
  <c r="U27" i="2"/>
  <c r="EC27" i="2"/>
  <c r="DA27" i="2"/>
  <c r="BY27" i="2"/>
  <c r="MZ27" i="2"/>
  <c r="LX27" i="2"/>
  <c r="LC27" i="2"/>
  <c r="KV27" i="2"/>
  <c r="KA27" i="2"/>
  <c r="HB27" i="2"/>
  <c r="EX27" i="2"/>
  <c r="DH27" i="2"/>
  <c r="JF27" i="2"/>
  <c r="IK27" i="2"/>
  <c r="AB27" i="2"/>
  <c r="DV27" i="2"/>
  <c r="CT27" i="2"/>
  <c r="BR27" i="2"/>
  <c r="AP27" i="2"/>
  <c r="GN27" i="2"/>
  <c r="CF27" i="2"/>
  <c r="MS27" i="2"/>
  <c r="KO27" i="2"/>
  <c r="JT27" i="2"/>
  <c r="EQ27" i="2"/>
  <c r="IY27" i="2"/>
  <c r="ID27" i="2"/>
  <c r="GU27" i="2"/>
  <c r="FS27" i="2"/>
  <c r="DO27" i="2"/>
  <c r="CM27" i="2"/>
  <c r="BK27" i="2"/>
  <c r="AW27" i="2"/>
  <c r="ML27" i="2"/>
  <c r="LQ27" i="2"/>
  <c r="KH27" i="2"/>
  <c r="JM27" i="2"/>
  <c r="HP27" i="2"/>
  <c r="FL27" i="2"/>
  <c r="AI27" i="2"/>
  <c r="N27" i="2"/>
  <c r="IR27" i="2"/>
  <c r="HW27" i="2"/>
  <c r="RO26" i="2"/>
  <c r="RH26" i="2"/>
  <c r="QF26" i="2"/>
  <c r="OI26" i="2"/>
  <c r="SQ26" i="2"/>
  <c r="PK26" i="2"/>
  <c r="SJ26" i="2"/>
  <c r="RA26" i="2"/>
  <c r="PY26" i="2"/>
  <c r="OB26" i="2"/>
  <c r="SC26" i="2"/>
  <c r="QT26" i="2"/>
  <c r="PR26" i="2"/>
  <c r="OW26" i="2"/>
  <c r="NU26" i="2"/>
  <c r="PD26" i="2"/>
  <c r="RV26" i="2"/>
  <c r="QM26" i="2"/>
  <c r="OP26" i="2"/>
  <c r="NN26" i="2"/>
  <c r="MS26" i="2"/>
  <c r="JM26" i="2"/>
  <c r="JF26" i="2"/>
  <c r="DO26" i="2"/>
  <c r="CM26" i="2"/>
  <c r="BD26" i="2"/>
  <c r="N26" i="2"/>
  <c r="KV26" i="2"/>
  <c r="HP26" i="2"/>
  <c r="EX26" i="2"/>
  <c r="CF26" i="2"/>
  <c r="AI26" i="2"/>
  <c r="FE26" i="2"/>
  <c r="BK26" i="2"/>
  <c r="ML26" i="2"/>
  <c r="LQ26" i="2"/>
  <c r="IY26" i="2"/>
  <c r="DH26" i="2"/>
  <c r="KO26" i="2"/>
  <c r="IK26" i="2"/>
  <c r="HI26" i="2"/>
  <c r="GU26" i="2"/>
  <c r="FS26" i="2"/>
  <c r="EQ26" i="2"/>
  <c r="BY26" i="2"/>
  <c r="HW26" i="2"/>
  <c r="NG26" i="2"/>
  <c r="ME26" i="2"/>
  <c r="LJ26" i="2"/>
  <c r="KA26" i="2"/>
  <c r="IR26" i="2"/>
  <c r="U26" i="2"/>
  <c r="EC26" i="2"/>
  <c r="DA26" i="2"/>
  <c r="KH26" i="2"/>
  <c r="ID26" i="2"/>
  <c r="HB26" i="2"/>
  <c r="GN26" i="2"/>
  <c r="FL26" i="2"/>
  <c r="BR26" i="2"/>
  <c r="AP26" i="2"/>
  <c r="MZ26" i="2"/>
  <c r="LX26" i="2"/>
  <c r="LC26" i="2"/>
  <c r="JT26" i="2"/>
  <c r="FZ26" i="2"/>
  <c r="AB26" i="2"/>
  <c r="DV26" i="2"/>
  <c r="CT26" i="2"/>
  <c r="AW26" i="2"/>
  <c r="GG26" i="2"/>
  <c r="QT25" i="2"/>
  <c r="PR25" i="2"/>
  <c r="OW25" i="2"/>
  <c r="NU25" i="2"/>
  <c r="RO25" i="2"/>
  <c r="RV25" i="2"/>
  <c r="PD25" i="2"/>
  <c r="QM25" i="2"/>
  <c r="OP25" i="2"/>
  <c r="NN25" i="2"/>
  <c r="SQ25" i="2"/>
  <c r="SJ25" i="2"/>
  <c r="RH25" i="2"/>
  <c r="QF25" i="2"/>
  <c r="OI25" i="2"/>
  <c r="SC25" i="2"/>
  <c r="RA25" i="2"/>
  <c r="PY25" i="2"/>
  <c r="OB25" i="2"/>
  <c r="NG25" i="2"/>
  <c r="ME25" i="2"/>
  <c r="IR25" i="2"/>
  <c r="GN25" i="2"/>
  <c r="FZ25" i="2"/>
  <c r="FL25" i="2"/>
  <c r="CF25" i="2"/>
  <c r="AI25" i="2"/>
  <c r="IY25" i="2"/>
  <c r="CM25" i="2"/>
  <c r="KO25" i="2"/>
  <c r="JM25" i="2"/>
  <c r="EJ25" i="2"/>
  <c r="DH25" i="2"/>
  <c r="HW25" i="2"/>
  <c r="GU25" i="2"/>
  <c r="BK25" i="2"/>
  <c r="N25" i="2"/>
  <c r="KV25" i="2"/>
  <c r="JT25" i="2"/>
  <c r="MZ25" i="2"/>
  <c r="LX25" i="2"/>
  <c r="LC25" i="2"/>
  <c r="HP25" i="2"/>
  <c r="GG25" i="2"/>
  <c r="FE25" i="2"/>
  <c r="BY25" i="2"/>
  <c r="KH25" i="2"/>
  <c r="U25" i="2"/>
  <c r="EC25" i="2"/>
  <c r="DA25" i="2"/>
  <c r="AP25" i="2"/>
  <c r="DO25" i="2"/>
  <c r="MS25" i="2"/>
  <c r="JF25" i="2"/>
  <c r="ID25" i="2"/>
  <c r="HI25" i="2"/>
  <c r="EX25" i="2"/>
  <c r="BR25" i="2"/>
  <c r="KA25" i="2"/>
  <c r="AB25" i="2"/>
  <c r="DV25" i="2"/>
  <c r="CT25" i="2"/>
  <c r="BD25" i="2"/>
  <c r="EQ25" i="2"/>
  <c r="ML25" i="2"/>
  <c r="LQ25" i="2"/>
  <c r="PK24" i="2"/>
  <c r="OB24" i="2"/>
  <c r="QT24" i="2"/>
  <c r="PR24" i="2"/>
  <c r="OW24" i="2"/>
  <c r="NU24" i="2"/>
  <c r="RA24" i="2"/>
  <c r="RO24" i="2"/>
  <c r="PY24" i="2"/>
  <c r="QM24" i="2"/>
  <c r="NN24" i="2"/>
  <c r="PD24" i="2"/>
  <c r="SQ24" i="2"/>
  <c r="RH24" i="2"/>
  <c r="QF24" i="2"/>
  <c r="OI24" i="2"/>
  <c r="JT24" i="2"/>
  <c r="JF24" i="2"/>
  <c r="IK24" i="2"/>
  <c r="FZ24" i="2"/>
  <c r="EQ24" i="2"/>
  <c r="EC24" i="2"/>
  <c r="DA24" i="2"/>
  <c r="BD24" i="2"/>
  <c r="AW24" i="2"/>
  <c r="LC24" i="2"/>
  <c r="KV24" i="2"/>
  <c r="LQ24" i="2"/>
  <c r="KH24" i="2"/>
  <c r="U24" i="2"/>
  <c r="BR24" i="2"/>
  <c r="CF24" i="2"/>
  <c r="ML24" i="2"/>
  <c r="JM24" i="2"/>
  <c r="IY24" i="2"/>
  <c r="ID24" i="2"/>
  <c r="HP24" i="2"/>
  <c r="GN24" i="2"/>
  <c r="FL24" i="2"/>
  <c r="DV24" i="2"/>
  <c r="CT24" i="2"/>
  <c r="LJ24" i="2"/>
  <c r="AB24" i="2"/>
  <c r="BK24" i="2"/>
  <c r="AI24" i="2"/>
  <c r="NG24" i="2"/>
  <c r="ME24" i="2"/>
  <c r="GG24" i="2"/>
  <c r="DO24" i="2"/>
  <c r="CM24" i="2"/>
  <c r="MZ24" i="2"/>
  <c r="LX24" i="2"/>
  <c r="KA24" i="2"/>
  <c r="HB24" i="2"/>
  <c r="EX24" i="2"/>
  <c r="EJ24" i="2"/>
  <c r="DH24" i="2"/>
  <c r="KO24" i="2"/>
  <c r="FS24" i="2"/>
  <c r="BY24" i="2"/>
  <c r="RV23" i="2"/>
  <c r="PD23" i="2"/>
  <c r="RH23" i="2"/>
  <c r="QF23" i="2"/>
  <c r="OI23" i="2"/>
  <c r="QM23" i="2"/>
  <c r="NN23" i="2"/>
  <c r="PK23" i="2"/>
  <c r="SQ23" i="2"/>
  <c r="RO23" i="2"/>
  <c r="RA23" i="2"/>
  <c r="PY23" i="2"/>
  <c r="SJ23" i="2"/>
  <c r="QT23" i="2"/>
  <c r="PR23" i="2"/>
  <c r="OW23" i="2"/>
  <c r="NU23" i="2"/>
  <c r="SC23" i="2"/>
  <c r="OP23" i="2"/>
  <c r="NG23" i="2"/>
  <c r="ME23" i="2"/>
  <c r="KH23" i="2"/>
  <c r="KA23" i="2"/>
  <c r="IK23" i="2"/>
  <c r="FL23" i="2"/>
  <c r="EJ23" i="2"/>
  <c r="DH23" i="2"/>
  <c r="AW23" i="2"/>
  <c r="LC23" i="2"/>
  <c r="IR23" i="2"/>
  <c r="HB23" i="2"/>
  <c r="GG23" i="2"/>
  <c r="BY23" i="2"/>
  <c r="AP23" i="2"/>
  <c r="MZ23" i="2"/>
  <c r="LX23" i="2"/>
  <c r="JT23" i="2"/>
  <c r="ID23" i="2"/>
  <c r="FE23" i="2"/>
  <c r="EC23" i="2"/>
  <c r="DA23" i="2"/>
  <c r="N23" i="2"/>
  <c r="GN23" i="2"/>
  <c r="U23" i="2"/>
  <c r="BR23" i="2"/>
  <c r="IY23" i="2"/>
  <c r="MS23" i="2"/>
  <c r="KV23" i="2"/>
  <c r="JM23" i="2"/>
  <c r="HW23" i="2"/>
  <c r="FZ23" i="2"/>
  <c r="FS23" i="2"/>
  <c r="EX23" i="2"/>
  <c r="DV23" i="2"/>
  <c r="CT23" i="2"/>
  <c r="LQ23" i="2"/>
  <c r="JF23" i="2"/>
  <c r="HP23" i="2"/>
  <c r="GU23" i="2"/>
  <c r="AB23" i="2"/>
  <c r="BK23" i="2"/>
  <c r="AI23" i="2"/>
  <c r="ML23" i="2"/>
  <c r="KO23" i="2"/>
  <c r="EQ23" i="2"/>
  <c r="DO23" i="2"/>
  <c r="CM23" i="2"/>
  <c r="LJ23" i="2"/>
  <c r="CF23" i="2"/>
  <c r="OI22" i="2"/>
  <c r="SQ22" i="2"/>
  <c r="RH22" i="2"/>
  <c r="PK22" i="2"/>
  <c r="QM22" i="2"/>
  <c r="PD22" i="2"/>
  <c r="RA22" i="2"/>
  <c r="PY22" i="2"/>
  <c r="OW22" i="2"/>
  <c r="QT22" i="2"/>
  <c r="PR22" i="2"/>
  <c r="OP22" i="2"/>
  <c r="NN22" i="2"/>
  <c r="MS22" i="2"/>
  <c r="IY22" i="2"/>
  <c r="U22" i="2"/>
  <c r="DV22" i="2"/>
  <c r="GN22" i="2"/>
  <c r="LJ22" i="2"/>
  <c r="KV22" i="2"/>
  <c r="GG22" i="2"/>
  <c r="FL22" i="2"/>
  <c r="IR22" i="2"/>
  <c r="HP22" i="2"/>
  <c r="AB22" i="2"/>
  <c r="DO22" i="2"/>
  <c r="CM22" i="2"/>
  <c r="N22" i="2"/>
  <c r="LC22" i="2"/>
  <c r="KO22" i="2"/>
  <c r="JM22" i="2"/>
  <c r="IK22" i="2"/>
  <c r="FZ22" i="2"/>
  <c r="FE22" i="2"/>
  <c r="BR22" i="2"/>
  <c r="KA22" i="2"/>
  <c r="CF22" i="2"/>
  <c r="ME22" i="2"/>
  <c r="HI22" i="2"/>
  <c r="FS22" i="2"/>
  <c r="ID22" i="2"/>
  <c r="GU22" i="2"/>
  <c r="EX22" i="2"/>
  <c r="BK22" i="2"/>
  <c r="BD22" i="2"/>
  <c r="LQ22" i="2"/>
  <c r="AP22" i="2"/>
  <c r="MZ22" i="2"/>
  <c r="LX22" i="2"/>
  <c r="HB22" i="2"/>
  <c r="DA22" i="2"/>
  <c r="SC21" i="2"/>
  <c r="QT21" i="2"/>
  <c r="PR21" i="2"/>
  <c r="OP21" i="2"/>
  <c r="NN21" i="2"/>
  <c r="RV21" i="2"/>
  <c r="QM21" i="2"/>
  <c r="PK21" i="2"/>
  <c r="RO21" i="2"/>
  <c r="RH21" i="2"/>
  <c r="QF21" i="2"/>
  <c r="OB21" i="2"/>
  <c r="SJ21" i="2"/>
  <c r="PD21" i="2"/>
  <c r="RA21" i="2"/>
  <c r="OW21" i="2"/>
  <c r="NU21" i="2"/>
  <c r="KO21" i="2"/>
  <c r="FS21" i="2"/>
  <c r="FE21" i="2"/>
  <c r="CF21" i="2"/>
  <c r="AP21" i="2"/>
  <c r="AI21" i="2"/>
  <c r="N21" i="2"/>
  <c r="KA21" i="2"/>
  <c r="EC21" i="2"/>
  <c r="LQ21" i="2"/>
  <c r="JT21" i="2"/>
  <c r="JF21" i="2"/>
  <c r="IK21" i="2"/>
  <c r="GU21" i="2"/>
  <c r="U21" i="2"/>
  <c r="DV21" i="2"/>
  <c r="CT21" i="2"/>
  <c r="HB21" i="2"/>
  <c r="MZ21" i="2"/>
  <c r="LX21" i="2"/>
  <c r="KH21" i="2"/>
  <c r="EX21" i="2"/>
  <c r="BY21" i="2"/>
  <c r="LJ21" i="2"/>
  <c r="JM21" i="2"/>
  <c r="IY21" i="2"/>
  <c r="ID21" i="2"/>
  <c r="HP21" i="2"/>
  <c r="GN21" i="2"/>
  <c r="AB21" i="2"/>
  <c r="DO21" i="2"/>
  <c r="CM21" i="2"/>
  <c r="MS21" i="2"/>
  <c r="EQ21" i="2"/>
  <c r="BR21" i="2"/>
  <c r="BD21" i="2"/>
  <c r="LC21" i="2"/>
  <c r="IR21" i="2"/>
  <c r="HW21" i="2"/>
  <c r="HI21" i="2"/>
  <c r="GG21" i="2"/>
  <c r="EJ21" i="2"/>
  <c r="DH21" i="2"/>
  <c r="ML21" i="2"/>
  <c r="KV21" i="2"/>
  <c r="FZ21" i="2"/>
  <c r="FL21" i="2"/>
  <c r="BK21" i="2"/>
  <c r="AW21" i="2"/>
  <c r="DA21" i="2"/>
  <c r="RH20" i="2"/>
  <c r="QF20" i="2"/>
  <c r="OB20" i="2"/>
  <c r="SC20" i="2"/>
  <c r="RA20" i="2"/>
  <c r="PY20" i="2"/>
  <c r="OW20" i="2"/>
  <c r="NU20" i="2"/>
  <c r="PK20" i="2"/>
  <c r="RV20" i="2"/>
  <c r="PD20" i="2"/>
  <c r="SJ20" i="2"/>
  <c r="QT20" i="2"/>
  <c r="PR20" i="2"/>
  <c r="OP20" i="2"/>
  <c r="NN20" i="2"/>
  <c r="SQ20" i="2"/>
  <c r="RO20" i="2"/>
  <c r="QM20" i="2"/>
  <c r="OI20" i="2"/>
  <c r="MS20" i="2"/>
  <c r="KA20" i="2"/>
  <c r="HB20" i="2"/>
  <c r="EC20" i="2"/>
  <c r="DA20" i="2"/>
  <c r="IY20" i="2"/>
  <c r="GN20" i="2"/>
  <c r="LC20" i="2"/>
  <c r="KH20" i="2"/>
  <c r="IR20" i="2"/>
  <c r="ID20" i="2"/>
  <c r="GG20" i="2"/>
  <c r="FZ20" i="2"/>
  <c r="EQ20" i="2"/>
  <c r="CF20" i="2"/>
  <c r="AP20" i="2"/>
  <c r="N20" i="2"/>
  <c r="ML20" i="2"/>
  <c r="JT20" i="2"/>
  <c r="U20" i="2"/>
  <c r="DV20" i="2"/>
  <c r="CT20" i="2"/>
  <c r="AI20" i="2"/>
  <c r="IK20" i="2"/>
  <c r="EX20" i="2"/>
  <c r="HW20" i="2"/>
  <c r="FL20" i="2"/>
  <c r="BY20" i="2"/>
  <c r="BD20" i="2"/>
  <c r="LJ20" i="2"/>
  <c r="BK20" i="2"/>
  <c r="NG20" i="2"/>
  <c r="ME20" i="2"/>
  <c r="JM20" i="2"/>
  <c r="HP20" i="2"/>
  <c r="FS20" i="2"/>
  <c r="AB20" i="2"/>
  <c r="DO20" i="2"/>
  <c r="CM20" i="2"/>
  <c r="LQ20" i="2"/>
  <c r="GU20" i="2"/>
  <c r="FE20" i="2"/>
  <c r="BR20" i="2"/>
  <c r="MZ20" i="2"/>
  <c r="LX20" i="2"/>
  <c r="HI20" i="2"/>
  <c r="EJ20" i="2"/>
  <c r="DH20" i="2"/>
  <c r="AW20" i="2"/>
  <c r="KO20" i="2"/>
  <c r="SJ19" i="2"/>
  <c r="PD19" i="2"/>
  <c r="QT19" i="2"/>
  <c r="PR19" i="2"/>
  <c r="OP19" i="2"/>
  <c r="NN19" i="2"/>
  <c r="RA19" i="2"/>
  <c r="SQ19" i="2"/>
  <c r="SC19" i="2"/>
  <c r="QM19" i="2"/>
  <c r="OI19" i="2"/>
  <c r="PY19" i="2"/>
  <c r="NU19" i="2"/>
  <c r="PK19" i="2"/>
  <c r="RV19" i="2"/>
  <c r="RH19" i="2"/>
  <c r="QF19" i="2"/>
  <c r="OB19" i="2"/>
  <c r="RO19" i="2"/>
  <c r="NG19" i="2"/>
  <c r="ME19" i="2"/>
  <c r="KH19" i="2"/>
  <c r="HB19" i="2"/>
  <c r="GU19" i="2"/>
  <c r="CF19" i="2"/>
  <c r="BD19" i="2"/>
  <c r="LC19" i="2"/>
  <c r="N19" i="2"/>
  <c r="LQ19" i="2"/>
  <c r="JF19" i="2"/>
  <c r="HW19" i="2"/>
  <c r="FE19" i="2"/>
  <c r="DV19" i="2"/>
  <c r="CT19" i="2"/>
  <c r="AI19" i="2"/>
  <c r="MZ19" i="2"/>
  <c r="LX19" i="2"/>
  <c r="GN19" i="2"/>
  <c r="U19" i="2"/>
  <c r="BY19" i="2"/>
  <c r="LJ19" i="2"/>
  <c r="IY19" i="2"/>
  <c r="FZ19" i="2"/>
  <c r="EX19" i="2"/>
  <c r="DO19" i="2"/>
  <c r="CM19" i="2"/>
  <c r="DH19" i="2"/>
  <c r="MS19" i="2"/>
  <c r="KV19" i="2"/>
  <c r="JT19" i="2"/>
  <c r="HP19" i="2"/>
  <c r="GG19" i="2"/>
  <c r="AB19" i="2"/>
  <c r="BR19" i="2"/>
  <c r="EQ19" i="2"/>
  <c r="EJ19" i="2"/>
  <c r="ML19" i="2"/>
  <c r="KO19" i="2"/>
  <c r="JM19" i="2"/>
  <c r="HI19" i="2"/>
  <c r="BK19" i="2"/>
  <c r="ID19" i="2"/>
  <c r="FS19" i="2"/>
  <c r="EC19" i="2"/>
  <c r="DA19" i="2"/>
  <c r="AP19" i="2"/>
  <c r="RH18" i="2"/>
  <c r="QF18" i="2"/>
  <c r="OB18" i="2"/>
  <c r="SQ18" i="2"/>
  <c r="SJ18" i="2"/>
  <c r="PK18" i="2"/>
  <c r="RA18" i="2"/>
  <c r="PY18" i="2"/>
  <c r="OW18" i="2"/>
  <c r="NU18" i="2"/>
  <c r="SC18" i="2"/>
  <c r="RO18" i="2"/>
  <c r="QT18" i="2"/>
  <c r="PR18" i="2"/>
  <c r="OP18" i="2"/>
  <c r="NN18" i="2"/>
  <c r="RV18" i="2"/>
  <c r="PD18" i="2"/>
  <c r="QM18" i="2"/>
  <c r="OI18" i="2"/>
  <c r="MS18" i="2"/>
  <c r="JM18" i="2"/>
  <c r="IY18" i="2"/>
  <c r="GN18" i="2"/>
  <c r="FZ18" i="2"/>
  <c r="FE18" i="2"/>
  <c r="EJ18" i="2"/>
  <c r="DH18" i="2"/>
  <c r="HP18" i="2"/>
  <c r="LC18" i="2"/>
  <c r="HW18" i="2"/>
  <c r="HI18" i="2"/>
  <c r="BK18" i="2"/>
  <c r="BD18" i="2"/>
  <c r="ID18" i="2"/>
  <c r="ML18" i="2"/>
  <c r="IR18" i="2"/>
  <c r="GG18" i="2"/>
  <c r="EX18" i="2"/>
  <c r="EC18" i="2"/>
  <c r="DA18" i="2"/>
  <c r="AP18" i="2"/>
  <c r="N18" i="2"/>
  <c r="AB18" i="2"/>
  <c r="KV18" i="2"/>
  <c r="HB18" i="2"/>
  <c r="CF18" i="2"/>
  <c r="LJ18" i="2"/>
  <c r="NG18" i="2"/>
  <c r="ME18" i="2"/>
  <c r="KA18" i="2"/>
  <c r="EQ18" i="2"/>
  <c r="DV18" i="2"/>
  <c r="CT18" i="2"/>
  <c r="LQ18" i="2"/>
  <c r="KO18" i="2"/>
  <c r="IK18" i="2"/>
  <c r="FS18" i="2"/>
  <c r="U18" i="2"/>
  <c r="BY18" i="2"/>
  <c r="AI18" i="2"/>
  <c r="MZ18" i="2"/>
  <c r="LX18" i="2"/>
  <c r="JT18" i="2"/>
  <c r="JF18" i="2"/>
  <c r="GU18" i="2"/>
  <c r="FL18" i="2"/>
  <c r="DO18" i="2"/>
  <c r="CM18" i="2"/>
  <c r="AW18" i="2"/>
  <c r="KH18" i="2"/>
  <c r="BR18" i="2"/>
  <c r="RO17" i="2"/>
  <c r="QT17" i="2"/>
  <c r="PR17" i="2"/>
  <c r="OP17" i="2"/>
  <c r="NN17" i="2"/>
  <c r="SJ17" i="2"/>
  <c r="PD17" i="2"/>
  <c r="QM17" i="2"/>
  <c r="OI17" i="2"/>
  <c r="SQ17" i="2"/>
  <c r="PK17" i="2"/>
  <c r="SC17" i="2"/>
  <c r="RH17" i="2"/>
  <c r="QF17" i="2"/>
  <c r="OB17" i="2"/>
  <c r="RV17" i="2"/>
  <c r="RA17" i="2"/>
  <c r="PY17" i="2"/>
  <c r="OW17" i="2"/>
  <c r="NU17" i="2"/>
  <c r="NG17" i="2"/>
  <c r="ME17" i="2"/>
  <c r="JT17" i="2"/>
  <c r="LC17" i="2"/>
  <c r="IK17" i="2"/>
  <c r="LQ17" i="2"/>
  <c r="HW17" i="2"/>
  <c r="MZ17" i="2"/>
  <c r="LX17" i="2"/>
  <c r="KV17" i="2"/>
  <c r="JM17" i="2"/>
  <c r="HP17" i="2"/>
  <c r="LJ17" i="2"/>
  <c r="JF17" i="2"/>
  <c r="MS17" i="2"/>
  <c r="KO17" i="2"/>
  <c r="HI17" i="2"/>
  <c r="GU17" i="2"/>
  <c r="IY17" i="2"/>
  <c r="ML17" i="2"/>
  <c r="KH17" i="2"/>
  <c r="KA17" i="2"/>
  <c r="HB17" i="2"/>
  <c r="GN17" i="2"/>
  <c r="IR17" i="2"/>
  <c r="ID17" i="2"/>
  <c r="QM16" i="2"/>
  <c r="RO16" i="2"/>
  <c r="RA16" i="2"/>
  <c r="PY16" i="2"/>
  <c r="OW16" i="2"/>
  <c r="NU16" i="2"/>
  <c r="SQ16" i="2"/>
  <c r="SJ16" i="2"/>
  <c r="QT16" i="2"/>
  <c r="PR16" i="2"/>
  <c r="OP16" i="2"/>
  <c r="NN16" i="2"/>
  <c r="SC16" i="2"/>
  <c r="OI16" i="2"/>
  <c r="PK16" i="2"/>
  <c r="RV16" i="2"/>
  <c r="RH16" i="2"/>
  <c r="QF16" i="2"/>
  <c r="OB16" i="2"/>
  <c r="MS16" i="2"/>
  <c r="IY16" i="2"/>
  <c r="LC16" i="2"/>
  <c r="KV16" i="2"/>
  <c r="JT16" i="2"/>
  <c r="GN16" i="2"/>
  <c r="LQ16" i="2"/>
  <c r="HI16" i="2"/>
  <c r="ML16" i="2"/>
  <c r="IR16" i="2"/>
  <c r="IK16" i="2"/>
  <c r="HP16" i="2"/>
  <c r="KH16" i="2"/>
  <c r="ID16" i="2"/>
  <c r="NG16" i="2"/>
  <c r="ME16" i="2"/>
  <c r="FL16" i="2"/>
  <c r="EC16" i="2"/>
  <c r="MZ16" i="2"/>
  <c r="LX16" i="2"/>
  <c r="JF16" i="2"/>
  <c r="LJ16" i="2"/>
  <c r="KA16" i="2"/>
  <c r="HW16" i="2"/>
  <c r="HB16" i="2"/>
  <c r="GU16" i="2"/>
  <c r="RV15" i="2"/>
  <c r="RA15" i="2"/>
  <c r="NU15" i="2"/>
  <c r="QM15" i="2"/>
  <c r="OI15" i="2"/>
  <c r="PY15" i="2"/>
  <c r="RO15" i="2"/>
  <c r="PK15" i="2"/>
  <c r="PD15" i="2"/>
  <c r="RH15" i="2"/>
  <c r="QF15" i="2"/>
  <c r="OB15" i="2"/>
  <c r="OW15" i="2"/>
  <c r="SJ15" i="2"/>
  <c r="SC15" i="2"/>
  <c r="SQ15" i="2"/>
  <c r="QT15" i="2"/>
  <c r="PR15" i="2"/>
  <c r="NN15" i="2"/>
  <c r="NG15" i="2"/>
  <c r="ME15" i="2"/>
  <c r="KV15" i="2"/>
  <c r="LQ15" i="2"/>
  <c r="KA15" i="2"/>
  <c r="HB15" i="2"/>
  <c r="MZ15" i="2"/>
  <c r="LX15" i="2"/>
  <c r="KO15" i="2"/>
  <c r="JF15" i="2"/>
  <c r="IK15" i="2"/>
  <c r="LJ15" i="2"/>
  <c r="ID15" i="2"/>
  <c r="ML15" i="2"/>
  <c r="IR15" i="2"/>
  <c r="HW15" i="2"/>
  <c r="KH15" i="2"/>
  <c r="IY15" i="2"/>
  <c r="JM15" i="2"/>
  <c r="GN15" i="2"/>
  <c r="HI15" i="2"/>
  <c r="MS15" i="2"/>
  <c r="LC15" i="2"/>
  <c r="HP15" i="2"/>
  <c r="PD14" i="2"/>
  <c r="QM14" i="2"/>
  <c r="SQ14" i="2"/>
  <c r="RV14" i="2"/>
  <c r="RA14" i="2"/>
  <c r="PY14" i="2"/>
  <c r="OW14" i="2"/>
  <c r="NU14" i="2"/>
  <c r="RO14" i="2"/>
  <c r="QT14" i="2"/>
  <c r="PR14" i="2"/>
  <c r="OP14" i="2"/>
  <c r="NN14" i="2"/>
  <c r="OI14" i="2"/>
  <c r="SJ14" i="2"/>
  <c r="PK14" i="2"/>
  <c r="SC14" i="2"/>
  <c r="RH14" i="2"/>
  <c r="QF14" i="2"/>
  <c r="OB14" i="2"/>
  <c r="MS14" i="2"/>
  <c r="HP14" i="2"/>
  <c r="GU14" i="2"/>
  <c r="LQ14" i="2"/>
  <c r="LC14" i="2"/>
  <c r="KO14" i="2"/>
  <c r="IY14" i="2"/>
  <c r="ML14" i="2"/>
  <c r="IK14" i="2"/>
  <c r="HI14" i="2"/>
  <c r="GN14" i="2"/>
  <c r="KH14" i="2"/>
  <c r="KA14" i="2"/>
  <c r="IR14" i="2"/>
  <c r="NG14" i="2"/>
  <c r="ME14" i="2"/>
  <c r="ID14" i="2"/>
  <c r="HB14" i="2"/>
  <c r="JT14" i="2"/>
  <c r="MZ14" i="2"/>
  <c r="LX14" i="2"/>
  <c r="HW14" i="2"/>
  <c r="LJ14" i="2"/>
  <c r="KV14" i="2"/>
  <c r="JM14" i="2"/>
  <c r="JF14" i="2"/>
  <c r="SC13" i="2"/>
  <c r="RO13" i="2"/>
  <c r="PD13" i="2"/>
  <c r="RA13" i="2"/>
  <c r="QM13" i="2"/>
  <c r="PY13" i="2"/>
  <c r="OW13" i="2"/>
  <c r="OI13" i="2"/>
  <c r="NU13" i="2"/>
  <c r="SJ13" i="2"/>
  <c r="RV13" i="2"/>
  <c r="PK13" i="2"/>
  <c r="SQ13" i="2"/>
  <c r="RH13" i="2"/>
  <c r="QT13" i="2"/>
  <c r="QF13" i="2"/>
  <c r="PR13" i="2"/>
  <c r="OP13" i="2"/>
  <c r="OB13" i="2"/>
  <c r="NN13" i="2"/>
  <c r="NG13" i="2"/>
  <c r="MS13" i="2"/>
  <c r="ME13" i="2"/>
  <c r="KO13" i="2"/>
  <c r="JF13" i="2"/>
  <c r="IR13" i="2"/>
  <c r="ID13" i="2"/>
  <c r="LQ13" i="2"/>
  <c r="LC13" i="2"/>
  <c r="KA13" i="2"/>
  <c r="JM13" i="2"/>
  <c r="HI13" i="2"/>
  <c r="GU13" i="2"/>
  <c r="MZ13" i="2"/>
  <c r="ML13" i="2"/>
  <c r="LX13" i="2"/>
  <c r="KV13" i="2"/>
  <c r="KH13" i="2"/>
  <c r="IY13" i="2"/>
  <c r="IK13" i="2"/>
  <c r="HW13" i="2"/>
  <c r="LJ13" i="2"/>
  <c r="JT13" i="2"/>
  <c r="HP13" i="2"/>
  <c r="HB13" i="2"/>
  <c r="GN13" i="2"/>
  <c r="RA12" i="2"/>
  <c r="QM12" i="2"/>
  <c r="PY12" i="2"/>
  <c r="OI12" i="2"/>
  <c r="NU12" i="2"/>
  <c r="SQ12" i="2"/>
  <c r="SC12" i="2"/>
  <c r="PD12" i="2"/>
  <c r="PK12" i="2"/>
  <c r="RH12" i="2"/>
  <c r="QT12" i="2"/>
  <c r="QF12" i="2"/>
  <c r="PR12" i="2"/>
  <c r="OP12" i="2"/>
  <c r="OB12" i="2"/>
  <c r="NN12" i="2"/>
  <c r="SJ12" i="2"/>
  <c r="RV12" i="2"/>
  <c r="NG12" i="2"/>
  <c r="MS12" i="2"/>
  <c r="ME12" i="2"/>
  <c r="JT12" i="2"/>
  <c r="JF12" i="2"/>
  <c r="IR12" i="2"/>
  <c r="LQ12" i="2"/>
  <c r="LC12" i="2"/>
  <c r="KH12" i="2"/>
  <c r="IK12" i="2"/>
  <c r="HW12" i="2"/>
  <c r="HP12" i="2"/>
  <c r="HB12" i="2"/>
  <c r="GU12" i="2"/>
  <c r="MZ12" i="2"/>
  <c r="ML12" i="2"/>
  <c r="LX12" i="2"/>
  <c r="KA12" i="2"/>
  <c r="JM12" i="2"/>
  <c r="IY12" i="2"/>
  <c r="LJ12" i="2"/>
  <c r="KO12" i="2"/>
  <c r="ID12" i="2"/>
  <c r="HI12" i="2"/>
  <c r="GN12" i="2"/>
  <c r="SJ11" i="2"/>
  <c r="RV11" i="2"/>
  <c r="RA11" i="2"/>
  <c r="QM11" i="2"/>
  <c r="PY11" i="2"/>
  <c r="OW11" i="2"/>
  <c r="OI11" i="2"/>
  <c r="NU11" i="2"/>
  <c r="PK11" i="2"/>
  <c r="SC11" i="2"/>
  <c r="RO11" i="2"/>
  <c r="PD11" i="2"/>
  <c r="RH11" i="2"/>
  <c r="QT11" i="2"/>
  <c r="QF11" i="2"/>
  <c r="PR11" i="2"/>
  <c r="OP11" i="2"/>
  <c r="OB11" i="2"/>
  <c r="NN11" i="2"/>
  <c r="SQ11" i="2"/>
  <c r="NG11" i="2"/>
  <c r="MS11" i="2"/>
  <c r="ME11" i="2"/>
  <c r="KV11" i="2"/>
  <c r="KH11" i="2"/>
  <c r="KA11" i="2"/>
  <c r="JM11" i="2"/>
  <c r="HP11" i="2"/>
  <c r="HB11" i="2"/>
  <c r="GN11" i="2"/>
  <c r="LQ11" i="2"/>
  <c r="LC11" i="2"/>
  <c r="JF11" i="2"/>
  <c r="IR11" i="2"/>
  <c r="IK11" i="2"/>
  <c r="HW11" i="2"/>
  <c r="MZ11" i="2"/>
  <c r="ML11" i="2"/>
  <c r="LX11" i="2"/>
  <c r="KO11" i="2"/>
  <c r="JT11" i="2"/>
  <c r="HI11" i="2"/>
  <c r="GU11" i="2"/>
  <c r="LJ11" i="2"/>
  <c r="IY11" i="2"/>
  <c r="ID11" i="2"/>
  <c r="RA10" i="2"/>
  <c r="QM10" i="2"/>
  <c r="PY10" i="2"/>
  <c r="OW10" i="2"/>
  <c r="OI10" i="2"/>
  <c r="NU10" i="2"/>
  <c r="SQ10" i="2"/>
  <c r="SJ10" i="2"/>
  <c r="RV10" i="2"/>
  <c r="PK10" i="2"/>
  <c r="RH10" i="2"/>
  <c r="QT10" i="2"/>
  <c r="QF10" i="2"/>
  <c r="PR10" i="2"/>
  <c r="OP10" i="2"/>
  <c r="OB10" i="2"/>
  <c r="NN10" i="2"/>
  <c r="SC10" i="2"/>
  <c r="RO10" i="2"/>
  <c r="PD10" i="2"/>
  <c r="NG10" i="2"/>
  <c r="MS10" i="2"/>
  <c r="ME10" i="2"/>
  <c r="JT10" i="2"/>
  <c r="IK10" i="2"/>
  <c r="HW10" i="2"/>
  <c r="HI10" i="2"/>
  <c r="GN10" i="2"/>
  <c r="LQ10" i="2"/>
  <c r="LC10" i="2"/>
  <c r="KO10" i="2"/>
  <c r="JF10" i="2"/>
  <c r="IR10" i="2"/>
  <c r="MZ10" i="2"/>
  <c r="ML10" i="2"/>
  <c r="LX10" i="2"/>
  <c r="JM10" i="2"/>
  <c r="ID10" i="2"/>
  <c r="HP10" i="2"/>
  <c r="HB10" i="2"/>
  <c r="GU10" i="2"/>
  <c r="LJ10" i="2"/>
  <c r="KV10" i="2"/>
  <c r="KH10" i="2"/>
  <c r="IY10" i="2"/>
  <c r="QM9" i="2"/>
  <c r="KV9" i="2"/>
  <c r="HP9" i="2"/>
  <c r="KO9" i="2"/>
  <c r="SC9" i="2"/>
  <c r="RO9" i="2"/>
  <c r="PD9" i="2"/>
  <c r="RA9" i="2"/>
  <c r="PY9" i="2"/>
  <c r="OW9" i="2"/>
  <c r="OI9" i="2"/>
  <c r="NU9" i="2"/>
  <c r="PK9" i="2"/>
  <c r="SJ9" i="2"/>
  <c r="RV9" i="2"/>
  <c r="RH9" i="2"/>
  <c r="QT9" i="2"/>
  <c r="QF9" i="2"/>
  <c r="PR9" i="2"/>
  <c r="OP9" i="2"/>
  <c r="OB9" i="2"/>
  <c r="NN9" i="2"/>
  <c r="SQ9" i="2"/>
  <c r="NG9" i="2"/>
  <c r="MS9" i="2"/>
  <c r="ME9" i="2"/>
  <c r="KA9" i="2"/>
  <c r="JM9" i="2"/>
  <c r="IY9" i="2"/>
  <c r="IK9" i="2"/>
  <c r="HW9" i="2"/>
  <c r="LQ9" i="2"/>
  <c r="LC9" i="2"/>
  <c r="HB9" i="2"/>
  <c r="GN9" i="2"/>
  <c r="MZ9" i="2"/>
  <c r="ML9" i="2"/>
  <c r="LX9" i="2"/>
  <c r="KH9" i="2"/>
  <c r="JT9" i="2"/>
  <c r="JF9" i="2"/>
  <c r="IR9" i="2"/>
  <c r="ID9" i="2"/>
  <c r="LJ9" i="2"/>
  <c r="HI9" i="2"/>
  <c r="GU9" i="2"/>
  <c r="SC31" i="2"/>
  <c r="PD31" i="2"/>
  <c r="RA31" i="2"/>
  <c r="PY31" i="2"/>
  <c r="NN31" i="2"/>
  <c r="SQ31" i="2"/>
  <c r="RV31" i="2"/>
  <c r="QT31" i="2"/>
  <c r="PR31" i="2"/>
  <c r="OI31" i="2"/>
  <c r="QM31" i="2"/>
  <c r="RO31" i="2"/>
  <c r="PK31" i="2"/>
  <c r="QF31" i="2"/>
  <c r="ML31" i="2"/>
  <c r="LC31" i="2"/>
  <c r="KV31" i="2"/>
  <c r="DO31" i="2"/>
  <c r="BD31" i="2"/>
  <c r="N31" i="2"/>
  <c r="EQ31" i="2"/>
  <c r="JM31" i="2"/>
  <c r="ID31" i="2"/>
  <c r="GU31" i="2"/>
  <c r="CF31" i="2"/>
  <c r="NG31" i="2"/>
  <c r="ME31" i="2"/>
  <c r="KO31" i="2"/>
  <c r="JF31" i="2"/>
  <c r="EJ31" i="2"/>
  <c r="DH31" i="2"/>
  <c r="HW31" i="2"/>
  <c r="GN31" i="2"/>
  <c r="FS31" i="2"/>
  <c r="U31" i="2"/>
  <c r="FE31" i="2"/>
  <c r="BY31" i="2"/>
  <c r="AP31" i="2"/>
  <c r="MZ31" i="2"/>
  <c r="LX31" i="2"/>
  <c r="LQ31" i="2"/>
  <c r="KH31" i="2"/>
  <c r="IY31" i="2"/>
  <c r="DA31" i="2"/>
  <c r="KA31" i="2"/>
  <c r="GG31" i="2"/>
  <c r="FZ31" i="2"/>
  <c r="AB31" i="2"/>
  <c r="EX31" i="2"/>
  <c r="BK31" i="2"/>
  <c r="MS31" i="2"/>
  <c r="LJ31" i="2"/>
  <c r="IR31" i="2"/>
  <c r="DV31" i="2"/>
  <c r="CT31" i="2"/>
  <c r="AW31" i="2"/>
  <c r="JT31" i="2"/>
  <c r="IK31" i="2"/>
  <c r="AI31" i="2"/>
  <c r="NN8" i="2"/>
  <c r="PY8" i="2"/>
  <c r="QT8" i="2"/>
  <c r="OB8" i="2"/>
  <c r="JF8" i="2"/>
  <c r="LJ8" i="2"/>
  <c r="LC8" i="2"/>
  <c r="ML8" i="2"/>
  <c r="OP8" i="2"/>
  <c r="SC8" i="2"/>
  <c r="PD8" i="2"/>
  <c r="RH8" i="2"/>
  <c r="QF8" i="2"/>
  <c r="OI8" i="2"/>
  <c r="RV8" i="2"/>
  <c r="RA8" i="2"/>
  <c r="PK8" i="2"/>
  <c r="QM8" i="2"/>
  <c r="RO8" i="2"/>
  <c r="PR8" i="2"/>
  <c r="SJ8" i="2"/>
  <c r="SQ8" i="2"/>
  <c r="OW8" i="2"/>
  <c r="NU8" i="2"/>
  <c r="KH8" i="2"/>
  <c r="JM8" i="2"/>
  <c r="IR8" i="2"/>
  <c r="HW8" i="2"/>
  <c r="HB8" i="2"/>
  <c r="MS8" i="2"/>
  <c r="GN8" i="2"/>
  <c r="NG8" i="2"/>
  <c r="ME8" i="2"/>
  <c r="MZ8" i="2"/>
  <c r="LX8" i="2"/>
  <c r="GU8" i="2"/>
  <c r="KV8" i="2"/>
  <c r="KA8" i="2"/>
  <c r="IK8" i="2"/>
  <c r="HP8" i="2"/>
  <c r="KO8" i="2"/>
  <c r="JT8" i="2"/>
  <c r="IY8" i="2"/>
  <c r="ID8" i="2"/>
  <c r="HI8" i="2"/>
  <c r="LQ8" i="2"/>
  <c r="SQ7" i="2"/>
  <c r="SJ7" i="2"/>
  <c r="SC7" i="2"/>
  <c r="RV7" i="2"/>
  <c r="RO7" i="2"/>
  <c r="SC6" i="2"/>
  <c r="RO6" i="2"/>
  <c r="RV6" i="2"/>
  <c r="LJ7" i="2"/>
  <c r="LQ7" i="2"/>
  <c r="LC7" i="2"/>
  <c r="KH7" i="2"/>
  <c r="ME7" i="2"/>
  <c r="QM6" i="2"/>
  <c r="QT6" i="2"/>
  <c r="RA6" i="2"/>
  <c r="RH6" i="2"/>
  <c r="RA7" i="2"/>
  <c r="QM7" i="2"/>
  <c r="RH7" i="2"/>
  <c r="QT7" i="2"/>
  <c r="QF6" i="2"/>
  <c r="PY6" i="2"/>
  <c r="PK6" i="2"/>
  <c r="PD6" i="2"/>
  <c r="PR6" i="2"/>
  <c r="PY7" i="2"/>
  <c r="QF7" i="2"/>
  <c r="PR7" i="2"/>
  <c r="PK7" i="2"/>
  <c r="PD7" i="2"/>
  <c r="OI7" i="2"/>
  <c r="OB7" i="2"/>
  <c r="OW7" i="2"/>
  <c r="NU7" i="2"/>
  <c r="NN7" i="2"/>
  <c r="OP7" i="2"/>
  <c r="OW6" i="2"/>
  <c r="NU6" i="2"/>
  <c r="OI6" i="2"/>
  <c r="OP6" i="2"/>
  <c r="NN6" i="2"/>
  <c r="OB6" i="2"/>
  <c r="NG6" i="2"/>
  <c r="ME6" i="2"/>
  <c r="LC6" i="2"/>
  <c r="KO6" i="2"/>
  <c r="KA6" i="2"/>
  <c r="MZ6" i="2"/>
  <c r="LX6" i="2"/>
  <c r="IY6" i="2"/>
  <c r="IK6" i="2"/>
  <c r="MS6" i="2"/>
  <c r="LQ6" i="2"/>
  <c r="HP6" i="2"/>
  <c r="GU6" i="2"/>
  <c r="HW6" i="2"/>
  <c r="ML6" i="2"/>
  <c r="LJ6" i="2"/>
  <c r="HI6" i="2"/>
  <c r="JT6" i="2"/>
  <c r="KH6" i="2"/>
  <c r="GN6" i="2"/>
  <c r="ID6" i="2"/>
  <c r="IR6" i="2"/>
  <c r="JF6" i="2"/>
  <c r="KV6" i="2"/>
  <c r="HB6" i="2"/>
  <c r="JM6" i="2"/>
  <c r="NG7" i="2"/>
  <c r="HP7" i="2"/>
  <c r="KA7" i="2"/>
  <c r="KO7" i="2"/>
  <c r="IY7" i="2"/>
  <c r="IK7" i="2"/>
  <c r="MZ7" i="2"/>
  <c r="LX7" i="2"/>
  <c r="HI7" i="2"/>
  <c r="GU7" i="2"/>
  <c r="MS7" i="2"/>
  <c r="HB7" i="2"/>
  <c r="JT7" i="2"/>
  <c r="ID7" i="2"/>
  <c r="GN7" i="2"/>
  <c r="ML7" i="2"/>
  <c r="KV7" i="2"/>
  <c r="JM7" i="2"/>
  <c r="JF7" i="2"/>
  <c r="HW7" i="2"/>
  <c r="IR7" i="2"/>
  <c r="FZ11" i="2"/>
  <c r="EC11" i="2"/>
  <c r="GG11" i="2"/>
  <c r="N15" i="2"/>
  <c r="N11" i="2"/>
  <c r="FZ17" i="2"/>
  <c r="EX17" i="2"/>
  <c r="BK17" i="2"/>
  <c r="DA17" i="2"/>
  <c r="AB17" i="2"/>
  <c r="N13" i="2"/>
  <c r="N14" i="2"/>
  <c r="N10" i="2"/>
  <c r="N16" i="2"/>
  <c r="N12" i="2"/>
  <c r="N8" i="2"/>
  <c r="N7" i="2"/>
  <c r="FE14" i="2"/>
  <c r="EQ14" i="2"/>
  <c r="EC14" i="2"/>
  <c r="DO14" i="2"/>
  <c r="DA14" i="2"/>
  <c r="CM14" i="2"/>
  <c r="BY14" i="2"/>
  <c r="BK14" i="2"/>
  <c r="GG14" i="2"/>
  <c r="FS14" i="2"/>
  <c r="FL14" i="2"/>
  <c r="EX14" i="2"/>
  <c r="EJ14" i="2"/>
  <c r="DV14" i="2"/>
  <c r="DH14" i="2"/>
  <c r="CT14" i="2"/>
  <c r="FZ14" i="2"/>
  <c r="CF14" i="2"/>
  <c r="AP14" i="2"/>
  <c r="AW14" i="2"/>
  <c r="BR14" i="2"/>
  <c r="AI14" i="2"/>
  <c r="BD14" i="2"/>
  <c r="AB14" i="2"/>
  <c r="U14" i="2"/>
  <c r="AB10" i="2"/>
  <c r="FE10" i="2"/>
  <c r="EQ10" i="2"/>
  <c r="EC10" i="2"/>
  <c r="DO10" i="2"/>
  <c r="DA10" i="2"/>
  <c r="CM10" i="2"/>
  <c r="GG10" i="2"/>
  <c r="FS10" i="2"/>
  <c r="U10" i="2"/>
  <c r="FL10" i="2"/>
  <c r="EX10" i="2"/>
  <c r="EJ10" i="2"/>
  <c r="DV10" i="2"/>
  <c r="DH10" i="2"/>
  <c r="CT10" i="2"/>
  <c r="FZ10" i="2"/>
  <c r="CF10" i="2"/>
  <c r="BR10" i="2"/>
  <c r="BY10" i="2"/>
  <c r="BK10" i="2"/>
  <c r="AW10" i="2"/>
  <c r="AP10" i="2"/>
  <c r="AI10" i="2"/>
  <c r="BD10" i="2"/>
  <c r="AB6" i="2"/>
  <c r="FE6" i="2"/>
  <c r="EQ6" i="2"/>
  <c r="EC6" i="2"/>
  <c r="DO6" i="2"/>
  <c r="DA6" i="2"/>
  <c r="CM6" i="2"/>
  <c r="GG6" i="2"/>
  <c r="FS6" i="2"/>
  <c r="FL6" i="2"/>
  <c r="EX6" i="2"/>
  <c r="FZ6" i="2"/>
  <c r="DV6" i="2"/>
  <c r="CF6" i="2"/>
  <c r="BR6" i="2"/>
  <c r="EJ6" i="2"/>
  <c r="CT6" i="2"/>
  <c r="BY6" i="2"/>
  <c r="BK6" i="2"/>
  <c r="AW6" i="2"/>
  <c r="DH6" i="2"/>
  <c r="U6" i="2"/>
  <c r="BD6" i="2"/>
  <c r="FE17" i="2"/>
  <c r="EQ17" i="2"/>
  <c r="EC17" i="2"/>
  <c r="DO17" i="2"/>
  <c r="CM17" i="2"/>
  <c r="BY17" i="2"/>
  <c r="FL17" i="2"/>
  <c r="EJ17" i="2"/>
  <c r="DV17" i="2"/>
  <c r="DH17" i="2"/>
  <c r="CT17" i="2"/>
  <c r="GG17" i="2"/>
  <c r="FS17" i="2"/>
  <c r="BR17" i="2"/>
  <c r="AW17" i="2"/>
  <c r="CF17" i="2"/>
  <c r="FE13" i="2"/>
  <c r="EQ13" i="2"/>
  <c r="EC13" i="2"/>
  <c r="DO13" i="2"/>
  <c r="DA13" i="2"/>
  <c r="CM13" i="2"/>
  <c r="BY13" i="2"/>
  <c r="BK13" i="2"/>
  <c r="FZ13" i="2"/>
  <c r="FL13" i="2"/>
  <c r="EX13" i="2"/>
  <c r="EJ13" i="2"/>
  <c r="DV13" i="2"/>
  <c r="DH13" i="2"/>
  <c r="CT13" i="2"/>
  <c r="GG13" i="2"/>
  <c r="FS13" i="2"/>
  <c r="AW13" i="2"/>
  <c r="CF13" i="2"/>
  <c r="BD13" i="2"/>
  <c r="AI13" i="2"/>
  <c r="BR13" i="2"/>
  <c r="AB13" i="2"/>
  <c r="U13" i="2"/>
  <c r="AP13" i="2"/>
  <c r="U9" i="2"/>
  <c r="FE9" i="2"/>
  <c r="EQ9" i="2"/>
  <c r="EC9" i="2"/>
  <c r="DO9" i="2"/>
  <c r="DA9" i="2"/>
  <c r="CM9" i="2"/>
  <c r="FZ9" i="2"/>
  <c r="FL9" i="2"/>
  <c r="EX9" i="2"/>
  <c r="EJ9" i="2"/>
  <c r="DV9" i="2"/>
  <c r="DH9" i="2"/>
  <c r="CT9" i="2"/>
  <c r="GG9" i="2"/>
  <c r="FS9" i="2"/>
  <c r="CF9" i="2"/>
  <c r="BR9" i="2"/>
  <c r="AW9" i="2"/>
  <c r="BY9" i="2"/>
  <c r="BK9" i="2"/>
  <c r="BD9" i="2"/>
  <c r="AP9" i="2"/>
  <c r="FE16" i="2"/>
  <c r="EQ16" i="2"/>
  <c r="DO16" i="2"/>
  <c r="DA16" i="2"/>
  <c r="CM16" i="2"/>
  <c r="BY16" i="2"/>
  <c r="BK16" i="2"/>
  <c r="GG16" i="2"/>
  <c r="FS16" i="2"/>
  <c r="EX16" i="2"/>
  <c r="EJ16" i="2"/>
  <c r="DV16" i="2"/>
  <c r="DH16" i="2"/>
  <c r="CT16" i="2"/>
  <c r="FZ16" i="2"/>
  <c r="CF16" i="2"/>
  <c r="AW16" i="2"/>
  <c r="AP16" i="2"/>
  <c r="BR16" i="2"/>
  <c r="AI16" i="2"/>
  <c r="BD16" i="2"/>
  <c r="AB16" i="2"/>
  <c r="U16" i="2"/>
  <c r="FE12" i="2"/>
  <c r="EQ12" i="2"/>
  <c r="EC12" i="2"/>
  <c r="DO12" i="2"/>
  <c r="BY12" i="2"/>
  <c r="BK12" i="2"/>
  <c r="GG12" i="2"/>
  <c r="FL12" i="2"/>
  <c r="EX12" i="2"/>
  <c r="EJ12" i="2"/>
  <c r="DV12" i="2"/>
  <c r="DH12" i="2"/>
  <c r="CT12" i="2"/>
  <c r="FZ12" i="2"/>
  <c r="CF12" i="2"/>
  <c r="AP12" i="2"/>
  <c r="AW12" i="2"/>
  <c r="BR12" i="2"/>
  <c r="AI12" i="2"/>
  <c r="AB12" i="2"/>
  <c r="FE8" i="2"/>
  <c r="EQ8" i="2"/>
  <c r="EC8" i="2"/>
  <c r="DO8" i="2"/>
  <c r="DA8" i="2"/>
  <c r="CM8" i="2"/>
  <c r="GG8" i="2"/>
  <c r="FS8" i="2"/>
  <c r="FL8" i="2"/>
  <c r="EX8" i="2"/>
  <c r="FZ8" i="2"/>
  <c r="DV8" i="2"/>
  <c r="CF8" i="2"/>
  <c r="BR8" i="2"/>
  <c r="EJ8" i="2"/>
  <c r="CT8" i="2"/>
  <c r="BY8" i="2"/>
  <c r="BK8" i="2"/>
  <c r="AW8" i="2"/>
  <c r="AP8" i="2"/>
  <c r="DH8" i="2"/>
  <c r="BD8" i="2"/>
  <c r="U8" i="2"/>
  <c r="AB8" i="2"/>
  <c r="AI8" i="2"/>
  <c r="FE15" i="2"/>
  <c r="EQ15" i="2"/>
  <c r="EC15" i="2"/>
  <c r="DO15" i="2"/>
  <c r="DA15" i="2"/>
  <c r="CM15" i="2"/>
  <c r="BY15" i="2"/>
  <c r="BK15" i="2"/>
  <c r="FZ15" i="2"/>
  <c r="AB15" i="2"/>
  <c r="FL15" i="2"/>
  <c r="EX15" i="2"/>
  <c r="EJ15" i="2"/>
  <c r="DV15" i="2"/>
  <c r="DH15" i="2"/>
  <c r="CT15" i="2"/>
  <c r="GG15" i="2"/>
  <c r="FS15" i="2"/>
  <c r="AW15" i="2"/>
  <c r="BR15" i="2"/>
  <c r="CF15" i="2"/>
  <c r="BD15" i="2"/>
  <c r="AI15" i="2"/>
  <c r="AP15" i="2"/>
  <c r="U15" i="2"/>
  <c r="FE11" i="2"/>
  <c r="EQ11" i="2"/>
  <c r="DO11" i="2"/>
  <c r="DA11" i="2"/>
  <c r="CM11" i="2"/>
  <c r="BY11" i="2"/>
  <c r="BK11" i="2"/>
  <c r="FL11" i="2"/>
  <c r="EX11" i="2"/>
  <c r="EJ11" i="2"/>
  <c r="DV11" i="2"/>
  <c r="DH11" i="2"/>
  <c r="CT11" i="2"/>
  <c r="FS11" i="2"/>
  <c r="AW11" i="2"/>
  <c r="AI11" i="2"/>
  <c r="CF11" i="2"/>
  <c r="BD11" i="2"/>
  <c r="BR11" i="2"/>
  <c r="U11" i="2"/>
  <c r="AP11" i="2"/>
  <c r="AB11" i="2"/>
  <c r="U7" i="2"/>
  <c r="FE7" i="2"/>
  <c r="EQ7" i="2"/>
  <c r="EC7" i="2"/>
  <c r="DO7" i="2"/>
  <c r="DA7" i="2"/>
  <c r="CM7" i="2"/>
  <c r="FZ7" i="2"/>
  <c r="FL7" i="2"/>
  <c r="EX7" i="2"/>
  <c r="GG7" i="2"/>
  <c r="FS7" i="2"/>
  <c r="AB7" i="2"/>
  <c r="DV7" i="2"/>
  <c r="CF7" i="2"/>
  <c r="BR7" i="2"/>
  <c r="BD7" i="2"/>
  <c r="AW7" i="2"/>
  <c r="EJ7" i="2"/>
  <c r="CT7" i="2"/>
  <c r="BY7" i="2"/>
  <c r="BK7" i="2"/>
  <c r="DH7" i="2"/>
  <c r="AI7" i="2"/>
  <c r="AP7" i="2"/>
  <c r="AI17" i="2"/>
  <c r="BD17" i="2"/>
  <c r="U17" i="2"/>
  <c r="AP17" i="2"/>
  <c r="N9" i="2"/>
  <c r="AI6" i="2"/>
  <c r="AP6" i="2"/>
  <c r="AB9" i="2"/>
  <c r="AI9" i="2"/>
  <c r="KB3" i="2" l="1"/>
  <c r="HQ3" i="2"/>
  <c r="SK3" i="2"/>
  <c r="HX3" i="2"/>
  <c r="SR3" i="2"/>
  <c r="MF3" i="2"/>
  <c r="RP3" i="2"/>
  <c r="SD3" i="2"/>
  <c r="RW3" i="2"/>
  <c r="JG3" i="2"/>
  <c r="NV3" i="2"/>
  <c r="LR3" i="2"/>
  <c r="OX3" i="2"/>
  <c r="LK3" i="2"/>
  <c r="GO3" i="2"/>
  <c r="OJ3" i="2"/>
  <c r="KI3" i="2"/>
  <c r="KW3" i="2"/>
  <c r="IZ3" i="2"/>
  <c r="LD3" i="2"/>
  <c r="MM3" i="2"/>
  <c r="LY3" i="2"/>
  <c r="HC3" i="2"/>
  <c r="KP3" i="2"/>
  <c r="PE3" i="2"/>
  <c r="RI3" i="2"/>
  <c r="MT3" i="2"/>
  <c r="NA3" i="2"/>
  <c r="PL3" i="2"/>
  <c r="RB3" i="2"/>
  <c r="QU3" i="2"/>
  <c r="QN3" i="2"/>
  <c r="PZ3" i="2"/>
  <c r="IS3" i="2"/>
  <c r="HJ3" i="2"/>
  <c r="NH3" i="2"/>
  <c r="NO3" i="2"/>
  <c r="PS3" i="2"/>
  <c r="QG3" i="2"/>
  <c r="JN3" i="2"/>
  <c r="GV3" i="2"/>
  <c r="IE3" i="2"/>
  <c r="IL3" i="2"/>
  <c r="OC3" i="2"/>
  <c r="JU3" i="2"/>
  <c r="OQ3" i="2"/>
  <c r="AC3" i="2"/>
  <c r="BE3" i="2"/>
  <c r="DI3" i="2"/>
  <c r="CU3" i="2"/>
  <c r="DW3" i="2"/>
  <c r="FT3" i="2"/>
  <c r="DP3" i="2"/>
  <c r="EK3" i="2"/>
  <c r="GA3" i="2"/>
  <c r="GH3" i="2"/>
  <c r="ED3" i="2"/>
  <c r="BL3" i="2"/>
  <c r="BS3" i="2"/>
  <c r="EY3" i="2"/>
  <c r="CN3" i="2"/>
  <c r="ER3" i="2"/>
  <c r="V3" i="2"/>
  <c r="BZ3" i="2"/>
  <c r="CG3" i="2"/>
  <c r="FM3" i="2"/>
  <c r="DB3" i="2"/>
  <c r="FF3" i="2"/>
  <c r="O6" i="2"/>
  <c r="N6" i="2" s="1"/>
  <c r="R176" i="2"/>
  <c r="R198" i="2"/>
  <c r="R175" i="2"/>
  <c r="R163" i="2"/>
  <c r="R145" i="2"/>
  <c r="R153" i="2"/>
  <c r="R169" i="2"/>
  <c r="R187" i="2"/>
  <c r="R151" i="2"/>
  <c r="R166" i="2"/>
  <c r="R157" i="2"/>
  <c r="R190" i="2"/>
  <c r="R206" i="2"/>
  <c r="R193" i="2"/>
  <c r="R148" i="2"/>
  <c r="R172" i="2"/>
  <c r="R189" i="2"/>
  <c r="R202" i="2"/>
  <c r="R205" i="2"/>
  <c r="R186" i="2"/>
  <c r="R208" i="2"/>
  <c r="R185" i="2"/>
  <c r="R150" i="2"/>
  <c r="R191" i="2"/>
  <c r="R160" i="2"/>
  <c r="R209" i="2"/>
  <c r="R203" i="2"/>
  <c r="R183" i="2"/>
  <c r="R146" i="2"/>
  <c r="R195" i="2"/>
  <c r="R194" i="2"/>
  <c r="R188" i="2"/>
  <c r="R179" i="2"/>
  <c r="R165" i="2"/>
  <c r="R155" i="2"/>
  <c r="R171" i="2"/>
  <c r="R192" i="2"/>
  <c r="R173" i="2"/>
  <c r="R162" i="2"/>
  <c r="R154" i="2"/>
  <c r="R182" i="2"/>
  <c r="R164" i="2"/>
  <c r="R201" i="2"/>
  <c r="R144" i="2"/>
  <c r="R147" i="2"/>
  <c r="R196" i="2"/>
  <c r="R161" i="2"/>
  <c r="R167" i="2"/>
  <c r="R207" i="2"/>
  <c r="R197" i="2"/>
  <c r="R180" i="2"/>
  <c r="R200" i="2"/>
  <c r="R204" i="2"/>
  <c r="R184" i="2"/>
  <c r="R156" i="2"/>
  <c r="R170" i="2"/>
  <c r="R149" i="2"/>
  <c r="R181" i="2"/>
  <c r="R174" i="2"/>
  <c r="R152" i="2"/>
  <c r="R177" i="2"/>
  <c r="R158" i="2"/>
  <c r="R159" i="2"/>
  <c r="R168" i="2"/>
  <c r="R199" i="2"/>
  <c r="R178" i="2"/>
  <c r="T208" i="2" l="1"/>
  <c r="T209" i="2"/>
  <c r="Z146" i="2"/>
  <c r="T207" i="2"/>
  <c r="T205" i="2"/>
  <c r="T206" i="2"/>
  <c r="Z151" i="2"/>
  <c r="AB151" i="2" s="1"/>
  <c r="Z143" i="2"/>
  <c r="Z141" i="2"/>
  <c r="Z139" i="2"/>
  <c r="Z147" i="2"/>
  <c r="Z149" i="2"/>
  <c r="T148" i="2"/>
  <c r="Z150" i="2"/>
  <c r="Z144" i="2"/>
  <c r="Z142" i="2"/>
  <c r="Z140" i="2"/>
  <c r="T204" i="2"/>
  <c r="T197" i="2" l="1"/>
  <c r="T190" i="2"/>
  <c r="T201" i="2"/>
  <c r="T194" i="2"/>
  <c r="T203" i="2"/>
  <c r="T195" i="2"/>
  <c r="T193" i="2"/>
  <c r="T192" i="2"/>
  <c r="T188" i="2"/>
  <c r="T196" i="2"/>
  <c r="T202" i="2"/>
  <c r="T198" i="2"/>
  <c r="T200" i="2"/>
  <c r="T191" i="2"/>
  <c r="AB147" i="2" l="1"/>
  <c r="T170" i="2"/>
  <c r="T164" i="2"/>
  <c r="T169" i="2"/>
  <c r="T175" i="2"/>
  <c r="T177" i="2"/>
  <c r="T186" i="2"/>
  <c r="T151" i="2"/>
  <c r="T165" i="2"/>
  <c r="T179" i="2"/>
  <c r="T199" i="2"/>
  <c r="T159" i="2"/>
  <c r="T176" i="2"/>
  <c r="T147" i="2"/>
  <c r="T153" i="2"/>
  <c r="T167" i="2"/>
  <c r="T173" i="2"/>
  <c r="T158" i="2"/>
  <c r="T180" i="2"/>
  <c r="T185" i="2"/>
  <c r="T145" i="2"/>
  <c r="T144" i="2"/>
  <c r="T154" i="2"/>
  <c r="T174" i="2"/>
  <c r="T182" i="2"/>
  <c r="T166" i="2"/>
  <c r="T160" i="2"/>
  <c r="T150" i="2"/>
  <c r="T183" i="2"/>
  <c r="T187" i="2"/>
  <c r="T157" i="2"/>
  <c r="T184" i="2"/>
  <c r="T181" i="2"/>
  <c r="T152" i="2"/>
  <c r="T149" i="2"/>
  <c r="T171" i="2"/>
  <c r="T168" i="2"/>
  <c r="T163" i="2"/>
  <c r="T161" i="2"/>
  <c r="T156" i="2"/>
  <c r="T189" i="2"/>
  <c r="AB144" i="2" l="1"/>
  <c r="AB150" i="2"/>
  <c r="AB143" i="2"/>
  <c r="AB146" i="2"/>
  <c r="AB140" i="2"/>
  <c r="T178" i="2"/>
  <c r="AB142" i="2"/>
  <c r="T162" i="2"/>
  <c r="AB141" i="2"/>
  <c r="T155" i="2"/>
  <c r="T172" i="2"/>
  <c r="T146" i="2"/>
  <c r="AX3" i="2" l="1"/>
  <c r="Z148" i="2" s="1"/>
  <c r="AB148" i="2" s="1"/>
  <c r="AJ3" i="2"/>
  <c r="Z145" i="2" s="1"/>
  <c r="AB145" i="2" s="1"/>
  <c r="AQ3" i="2"/>
  <c r="R141" i="2"/>
  <c r="R142" i="2"/>
  <c r="R140" i="2"/>
  <c r="R139" i="2"/>
  <c r="R143" i="2"/>
  <c r="Z138" i="2" l="1"/>
  <c r="AB138" i="2" s="1"/>
  <c r="AB149" i="2"/>
  <c r="T143" i="2"/>
  <c r="T141" i="2"/>
  <c r="T142" i="2"/>
  <c r="AB139" i="2"/>
  <c r="T140" i="2"/>
  <c r="T139" i="2"/>
  <c r="O3" i="2"/>
  <c r="R138" i="2"/>
  <c r="X151" i="2" l="1"/>
  <c r="X148" i="2"/>
  <c r="X139" i="2"/>
  <c r="X146" i="2"/>
  <c r="X138" i="2"/>
  <c r="X143" i="2"/>
  <c r="X141" i="2"/>
  <c r="X140" i="2"/>
  <c r="X150" i="2"/>
  <c r="X142" i="2"/>
  <c r="X147" i="2"/>
  <c r="X145" i="2"/>
  <c r="X144" i="2"/>
  <c r="X149" i="2"/>
  <c r="T138" i="2"/>
  <c r="C225" i="2" l="1"/>
  <c r="D225" i="2"/>
  <c r="D212" i="2"/>
  <c r="P207" i="2"/>
  <c r="P208" i="2"/>
  <c r="P209" i="2"/>
  <c r="P206" i="2"/>
  <c r="P205" i="2"/>
  <c r="P148" i="2"/>
  <c r="P175" i="2"/>
  <c r="P140" i="2"/>
  <c r="P139" i="2"/>
  <c r="P141" i="2"/>
  <c r="P138" i="2"/>
  <c r="P204" i="2"/>
  <c r="P198" i="2"/>
  <c r="P197" i="2"/>
  <c r="P196" i="2"/>
  <c r="P188" i="2"/>
  <c r="P192" i="2"/>
  <c r="P200" i="2"/>
  <c r="P194" i="2"/>
  <c r="P202" i="2"/>
  <c r="P195" i="2"/>
  <c r="P203" i="2"/>
  <c r="P201" i="2"/>
  <c r="P193" i="2"/>
  <c r="P190" i="2"/>
  <c r="P191" i="2"/>
  <c r="P171" i="2"/>
  <c r="P165" i="2"/>
  <c r="P185" i="2"/>
  <c r="P157" i="2"/>
  <c r="P153" i="2"/>
  <c r="P189" i="2"/>
  <c r="P176" i="2"/>
  <c r="P167" i="2"/>
  <c r="P152" i="2"/>
  <c r="P158" i="2"/>
  <c r="P164" i="2"/>
  <c r="P163" i="2"/>
  <c r="P168" i="2"/>
  <c r="P170" i="2"/>
  <c r="P159" i="2"/>
  <c r="P160" i="2"/>
  <c r="P199" i="2"/>
  <c r="P181" i="2"/>
  <c r="P151" i="2"/>
  <c r="P187" i="2"/>
  <c r="P147" i="2"/>
  <c r="P174" i="2"/>
  <c r="P177" i="2"/>
  <c r="P182" i="2"/>
  <c r="P156" i="2"/>
  <c r="P161" i="2"/>
  <c r="P154" i="2"/>
  <c r="P186" i="2"/>
  <c r="P183" i="2"/>
  <c r="P184" i="2"/>
  <c r="P169" i="2"/>
  <c r="P166" i="2"/>
  <c r="P179" i="2"/>
  <c r="P173" i="2"/>
  <c r="P150" i="2"/>
  <c r="P149" i="2"/>
  <c r="P180" i="2"/>
  <c r="P145" i="2"/>
  <c r="P144" i="2"/>
  <c r="P155" i="2"/>
  <c r="P178" i="2"/>
  <c r="P162" i="2"/>
  <c r="P172" i="2"/>
  <c r="P146" i="2"/>
  <c r="P143" i="2"/>
  <c r="P142" i="2"/>
  <c r="D214" i="2"/>
  <c r="D217" i="2"/>
  <c r="C218" i="2"/>
  <c r="D222" i="2"/>
  <c r="C215" i="2"/>
  <c r="C216" i="2"/>
  <c r="D216" i="2"/>
  <c r="C217" i="2"/>
  <c r="D221" i="2"/>
  <c r="C222" i="2"/>
  <c r="C220" i="2"/>
  <c r="C221" i="2"/>
  <c r="C219" i="2"/>
  <c r="D223" i="2"/>
  <c r="C224" i="2"/>
  <c r="D224" i="2"/>
  <c r="D213" i="2"/>
  <c r="D218" i="2"/>
  <c r="C223" i="2"/>
  <c r="D215" i="2"/>
  <c r="C214" i="2"/>
  <c r="D219" i="2"/>
  <c r="D220" i="2"/>
  <c r="C213" i="2"/>
  <c r="C212" i="2"/>
  <c r="A225" i="2" l="1"/>
  <c r="D209" i="2"/>
  <c r="D139" i="2"/>
  <c r="D206" i="2"/>
  <c r="C209" i="2"/>
  <c r="C204" i="2"/>
  <c r="D208" i="2"/>
  <c r="D204" i="2"/>
  <c r="C207" i="2"/>
  <c r="D207" i="2"/>
  <c r="C205" i="2"/>
  <c r="D205" i="2"/>
  <c r="C208" i="2"/>
  <c r="C206" i="2"/>
  <c r="D144" i="2"/>
  <c r="C147" i="2"/>
  <c r="D152" i="2"/>
  <c r="C155" i="2"/>
  <c r="D160" i="2"/>
  <c r="C163" i="2"/>
  <c r="D168" i="2"/>
  <c r="C171" i="2"/>
  <c r="D176" i="2"/>
  <c r="C179" i="2"/>
  <c r="D184" i="2"/>
  <c r="C187" i="2"/>
  <c r="D192" i="2"/>
  <c r="C195" i="2"/>
  <c r="D200" i="2"/>
  <c r="C203" i="2"/>
  <c r="C142" i="2"/>
  <c r="D147" i="2"/>
  <c r="C150" i="2"/>
  <c r="D155" i="2"/>
  <c r="C158" i="2"/>
  <c r="D163" i="2"/>
  <c r="C166" i="2"/>
  <c r="D171" i="2"/>
  <c r="C174" i="2"/>
  <c r="D179" i="2"/>
  <c r="C182" i="2"/>
  <c r="D187" i="2"/>
  <c r="C190" i="2"/>
  <c r="D195" i="2"/>
  <c r="C198" i="2"/>
  <c r="D203" i="2"/>
  <c r="D142" i="2"/>
  <c r="C145" i="2"/>
  <c r="D150" i="2"/>
  <c r="C153" i="2"/>
  <c r="D158" i="2"/>
  <c r="C161" i="2"/>
  <c r="D166" i="2"/>
  <c r="C169" i="2"/>
  <c r="D174" i="2"/>
  <c r="C177" i="2"/>
  <c r="D182" i="2"/>
  <c r="C185" i="2"/>
  <c r="D190" i="2"/>
  <c r="C193" i="2"/>
  <c r="D198" i="2"/>
  <c r="C201" i="2"/>
  <c r="D145" i="2"/>
  <c r="C148" i="2"/>
  <c r="D153" i="2"/>
  <c r="C156" i="2"/>
  <c r="D161" i="2"/>
  <c r="C164" i="2"/>
  <c r="D169" i="2"/>
  <c r="C172" i="2"/>
  <c r="D177" i="2"/>
  <c r="C180" i="2"/>
  <c r="D185" i="2"/>
  <c r="C188" i="2"/>
  <c r="D193" i="2"/>
  <c r="C196" i="2"/>
  <c r="D201" i="2"/>
  <c r="C143" i="2"/>
  <c r="D148" i="2"/>
  <c r="C151" i="2"/>
  <c r="D156" i="2"/>
  <c r="C159" i="2"/>
  <c r="D164" i="2"/>
  <c r="C167" i="2"/>
  <c r="D172" i="2"/>
  <c r="C175" i="2"/>
  <c r="D180" i="2"/>
  <c r="C183" i="2"/>
  <c r="D188" i="2"/>
  <c r="C191" i="2"/>
  <c r="D196" i="2"/>
  <c r="C199" i="2"/>
  <c r="D143" i="2"/>
  <c r="C146" i="2"/>
  <c r="D151" i="2"/>
  <c r="C154" i="2"/>
  <c r="D159" i="2"/>
  <c r="C162" i="2"/>
  <c r="D167" i="2"/>
  <c r="C170" i="2"/>
  <c r="D175" i="2"/>
  <c r="C178" i="2"/>
  <c r="D183" i="2"/>
  <c r="C186" i="2"/>
  <c r="D191" i="2"/>
  <c r="C194" i="2"/>
  <c r="D199" i="2"/>
  <c r="C202" i="2"/>
  <c r="D146" i="2"/>
  <c r="C149" i="2"/>
  <c r="D154" i="2"/>
  <c r="C157" i="2"/>
  <c r="D162" i="2"/>
  <c r="C165" i="2"/>
  <c r="D170" i="2"/>
  <c r="C173" i="2"/>
  <c r="D178" i="2"/>
  <c r="C181" i="2"/>
  <c r="D186" i="2"/>
  <c r="C189" i="2"/>
  <c r="D194" i="2"/>
  <c r="C197" i="2"/>
  <c r="D202" i="2"/>
  <c r="C144" i="2"/>
  <c r="D149" i="2"/>
  <c r="C152" i="2"/>
  <c r="D157" i="2"/>
  <c r="C160" i="2"/>
  <c r="D165" i="2"/>
  <c r="C168" i="2"/>
  <c r="D173" i="2"/>
  <c r="C176" i="2"/>
  <c r="D181" i="2"/>
  <c r="C184" i="2"/>
  <c r="D189" i="2"/>
  <c r="C192" i="2"/>
  <c r="D197" i="2"/>
  <c r="C200" i="2"/>
  <c r="D141" i="2"/>
  <c r="D140" i="2"/>
  <c r="D138" i="2"/>
  <c r="A213" i="2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C141" i="2"/>
  <c r="C140" i="2"/>
  <c r="C138" i="2"/>
  <c r="C139" i="2"/>
  <c r="A139" i="2" l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</calcChain>
</file>

<file path=xl/sharedStrings.xml><?xml version="1.0" encoding="utf-8"?>
<sst xmlns="http://schemas.openxmlformats.org/spreadsheetml/2006/main" count="8923" uniqueCount="630">
  <si>
    <t>Ergebnis</t>
  </si>
  <si>
    <t>Zwischenstand Punkte:</t>
  </si>
  <si>
    <t>Punktzahl</t>
  </si>
  <si>
    <t>Spanien</t>
  </si>
  <si>
    <t>:</t>
  </si>
  <si>
    <t>Deutschland</t>
  </si>
  <si>
    <t>Halbfinale</t>
  </si>
  <si>
    <t>Viertelfinale</t>
  </si>
  <si>
    <t>England</t>
  </si>
  <si>
    <t>Portugal</t>
  </si>
  <si>
    <t>Frankreich</t>
  </si>
  <si>
    <t>Belgien</t>
  </si>
  <si>
    <t>Achtelfinale</t>
  </si>
  <si>
    <t>Finale</t>
  </si>
  <si>
    <t>Gruppenphase</t>
  </si>
  <si>
    <t>Tabelle: Einzelwertung</t>
  </si>
  <si>
    <t>Tabelle: Familienwertung</t>
  </si>
  <si>
    <t>ZP</t>
  </si>
  <si>
    <t>Kane</t>
  </si>
  <si>
    <t>Mbappé</t>
  </si>
  <si>
    <t>Schottland</t>
  </si>
  <si>
    <t>Schweiz</t>
  </si>
  <si>
    <t>Kroatien</t>
  </si>
  <si>
    <t>Niederlande</t>
  </si>
  <si>
    <t>Österreich</t>
  </si>
  <si>
    <t>Türkei</t>
  </si>
  <si>
    <t>Tschechien</t>
  </si>
  <si>
    <t>Anzahl Tore:</t>
  </si>
  <si>
    <t>Mexiko</t>
  </si>
  <si>
    <t>Südafrika</t>
  </si>
  <si>
    <t>Südkorea</t>
  </si>
  <si>
    <t>Kanada</t>
  </si>
  <si>
    <t>USA</t>
  </si>
  <si>
    <t>Paraguay</t>
  </si>
  <si>
    <t>Katar</t>
  </si>
  <si>
    <t>Brasilien</t>
  </si>
  <si>
    <t>Marokko</t>
  </si>
  <si>
    <t>Haiti</t>
  </si>
  <si>
    <t>Australien</t>
  </si>
  <si>
    <t>Curacao</t>
  </si>
  <si>
    <t>Japan</t>
  </si>
  <si>
    <t>Elfenbeinküste</t>
  </si>
  <si>
    <t>Ecuador</t>
  </si>
  <si>
    <t>Schweden</t>
  </si>
  <si>
    <t>Tunesien</t>
  </si>
  <si>
    <t>Kap Verde</t>
  </si>
  <si>
    <t>Ägypten</t>
  </si>
  <si>
    <t>Saudi-Arabien</t>
  </si>
  <si>
    <t>Uruguay</t>
  </si>
  <si>
    <t>IR Iran</t>
  </si>
  <si>
    <t>Neuseeland</t>
  </si>
  <si>
    <t>Senegal</t>
  </si>
  <si>
    <t>Irak</t>
  </si>
  <si>
    <t>Norwegen</t>
  </si>
  <si>
    <t>Argentinien</t>
  </si>
  <si>
    <t>Algerien</t>
  </si>
  <si>
    <t>Jordanien</t>
  </si>
  <si>
    <t>Kongo</t>
  </si>
  <si>
    <t>Ghana</t>
  </si>
  <si>
    <t>Panama</t>
  </si>
  <si>
    <t>Usbekistan</t>
  </si>
  <si>
    <t>Kolumbien</t>
  </si>
  <si>
    <t>Wert</t>
  </si>
  <si>
    <t>Sechzehntelfinale</t>
  </si>
  <si>
    <t>Spiel um Platz 3</t>
  </si>
  <si>
    <t>Torjäger:</t>
  </si>
  <si>
    <t>Offizielles Tippspiel</t>
  </si>
  <si>
    <t xml:space="preserve">(15 Punkte)  </t>
  </si>
  <si>
    <t xml:space="preserve">(3 Punkte pro Tor)  </t>
  </si>
  <si>
    <t>J2</t>
  </si>
  <si>
    <t>Q2</t>
  </si>
  <si>
    <t>X2</t>
  </si>
  <si>
    <t>AE2</t>
  </si>
  <si>
    <t>AL2</t>
  </si>
  <si>
    <t>AS2</t>
  </si>
  <si>
    <t>AZ2</t>
  </si>
  <si>
    <t>BG2</t>
  </si>
  <si>
    <t>BN2</t>
  </si>
  <si>
    <t>BU2</t>
  </si>
  <si>
    <t>CB2</t>
  </si>
  <si>
    <t>CI2</t>
  </si>
  <si>
    <t>CP2</t>
  </si>
  <si>
    <t>CW2</t>
  </si>
  <si>
    <t>DD2</t>
  </si>
  <si>
    <t>DK2</t>
  </si>
  <si>
    <t>DR2</t>
  </si>
  <si>
    <t>DY2</t>
  </si>
  <si>
    <t>EF2</t>
  </si>
  <si>
    <t>EM2</t>
  </si>
  <si>
    <t>ET2</t>
  </si>
  <si>
    <t>FA2</t>
  </si>
  <si>
    <t>FH2</t>
  </si>
  <si>
    <t>FO2</t>
  </si>
  <si>
    <t>FV2</t>
  </si>
  <si>
    <t>GC2</t>
  </si>
  <si>
    <t>GJ2</t>
  </si>
  <si>
    <t>GQ2</t>
  </si>
  <si>
    <t>GX2</t>
  </si>
  <si>
    <t>HE2</t>
  </si>
  <si>
    <t>HL2</t>
  </si>
  <si>
    <t>HS2</t>
  </si>
  <si>
    <t>HZ2</t>
  </si>
  <si>
    <t>IG2</t>
  </si>
  <si>
    <t>IN2</t>
  </si>
  <si>
    <t>IU2</t>
  </si>
  <si>
    <t>JB2</t>
  </si>
  <si>
    <t>JI2</t>
  </si>
  <si>
    <t>JP2</t>
  </si>
  <si>
    <t>JW2</t>
  </si>
  <si>
    <t>KD2</t>
  </si>
  <si>
    <t>KK2</t>
  </si>
  <si>
    <t>KR2</t>
  </si>
  <si>
    <t>KY2</t>
  </si>
  <si>
    <t>LF2</t>
  </si>
  <si>
    <t>LM2</t>
  </si>
  <si>
    <t>LT2</t>
  </si>
  <si>
    <t>MA2</t>
  </si>
  <si>
    <t>MH2</t>
  </si>
  <si>
    <t>MO2</t>
  </si>
  <si>
    <t>MV2</t>
  </si>
  <si>
    <t>NC2</t>
  </si>
  <si>
    <t>NJ2</t>
  </si>
  <si>
    <t>NQ2</t>
  </si>
  <si>
    <t>NX2</t>
  </si>
  <si>
    <t>OE2</t>
  </si>
  <si>
    <t>OL2</t>
  </si>
  <si>
    <t>OS2</t>
  </si>
  <si>
    <t>OZ2</t>
  </si>
  <si>
    <t>PG2</t>
  </si>
  <si>
    <t>PN2</t>
  </si>
  <si>
    <t>PU2</t>
  </si>
  <si>
    <t>QB2</t>
  </si>
  <si>
    <t>QI2</t>
  </si>
  <si>
    <t>QP2</t>
  </si>
  <si>
    <t>QW2</t>
  </si>
  <si>
    <t>RD2</t>
  </si>
  <si>
    <t>RK2</t>
  </si>
  <si>
    <t>RR2</t>
  </si>
  <si>
    <t>RY2</t>
  </si>
  <si>
    <t>SF2</t>
  </si>
  <si>
    <t>SM2</t>
  </si>
  <si>
    <t>ST2</t>
  </si>
  <si>
    <t>TA2</t>
  </si>
  <si>
    <t>TH2</t>
  </si>
  <si>
    <t>TO2</t>
  </si>
  <si>
    <t>TV2</t>
  </si>
  <si>
    <t>UC2</t>
  </si>
  <si>
    <t>UJ2</t>
  </si>
  <si>
    <t>UQ2</t>
  </si>
  <si>
    <t>UX2</t>
  </si>
  <si>
    <t>VE2</t>
  </si>
  <si>
    <t>VL2</t>
  </si>
  <si>
    <t>VS2</t>
  </si>
  <si>
    <t>VZ2</t>
  </si>
  <si>
    <t>WG2</t>
  </si>
  <si>
    <t>WN2</t>
  </si>
  <si>
    <t>WU2</t>
  </si>
  <si>
    <t>XB2</t>
  </si>
  <si>
    <t>XI2</t>
  </si>
  <si>
    <t>XP2</t>
  </si>
  <si>
    <t>XW2</t>
  </si>
  <si>
    <t>YD2</t>
  </si>
  <si>
    <t>YK2</t>
  </si>
  <si>
    <t>YR2</t>
  </si>
  <si>
    <t>YY2</t>
  </si>
  <si>
    <t>ZF2</t>
  </si>
  <si>
    <t>ZM2</t>
  </si>
  <si>
    <t>ZT2</t>
  </si>
  <si>
    <t>AAA2</t>
  </si>
  <si>
    <t>AAH2</t>
  </si>
  <si>
    <t>AAO2</t>
  </si>
  <si>
    <t>AAV2</t>
  </si>
  <si>
    <t>ABC2</t>
  </si>
  <si>
    <t>ABJ2</t>
  </si>
  <si>
    <t>ABQ2</t>
  </si>
  <si>
    <t>ABX2</t>
  </si>
  <si>
    <t>ACE2</t>
  </si>
  <si>
    <t>ACL2</t>
  </si>
  <si>
    <t>ACS2</t>
  </si>
  <si>
    <t>ACZ2</t>
  </si>
  <si>
    <t>ADG2</t>
  </si>
  <si>
    <t>ADN2</t>
  </si>
  <si>
    <t>ADU2</t>
  </si>
  <si>
    <t>AEB2</t>
  </si>
  <si>
    <t>AEI2</t>
  </si>
  <si>
    <t>AEP2</t>
  </si>
  <si>
    <t>AEW2</t>
  </si>
  <si>
    <t>AFD2</t>
  </si>
  <si>
    <t>AFK2</t>
  </si>
  <si>
    <t>O3</t>
  </si>
  <si>
    <t>V3</t>
  </si>
  <si>
    <t>AC3</t>
  </si>
  <si>
    <t>AJ3</t>
  </si>
  <si>
    <t>AQ3</t>
  </si>
  <si>
    <t>AX3</t>
  </si>
  <si>
    <t>BE3</t>
  </si>
  <si>
    <t>BL3</t>
  </si>
  <si>
    <t>BS3</t>
  </si>
  <si>
    <t>BZ3</t>
  </si>
  <si>
    <t>CG3</t>
  </si>
  <si>
    <t>CN3</t>
  </si>
  <si>
    <t>CU3</t>
  </si>
  <si>
    <t>DB3</t>
  </si>
  <si>
    <t>DI3</t>
  </si>
  <si>
    <t>DP3</t>
  </si>
  <si>
    <t>DW3</t>
  </si>
  <si>
    <t>ED3</t>
  </si>
  <si>
    <t>EK3</t>
  </si>
  <si>
    <t>ER3</t>
  </si>
  <si>
    <t>EY3</t>
  </si>
  <si>
    <t>FF3</t>
  </si>
  <si>
    <t>FM3</t>
  </si>
  <si>
    <t>FT3</t>
  </si>
  <si>
    <t>GA3</t>
  </si>
  <si>
    <t>GH3</t>
  </si>
  <si>
    <t>GO3</t>
  </si>
  <si>
    <t>GV3</t>
  </si>
  <si>
    <t>HC3</t>
  </si>
  <si>
    <t>HJ3</t>
  </si>
  <si>
    <t>HQ3</t>
  </si>
  <si>
    <t>HX3</t>
  </si>
  <si>
    <t>IE3</t>
  </si>
  <si>
    <t>IL3</t>
  </si>
  <si>
    <t>IS3</t>
  </si>
  <si>
    <t>IZ3</t>
  </si>
  <si>
    <t>JG3</t>
  </si>
  <si>
    <t>JN3</t>
  </si>
  <si>
    <t>JU3</t>
  </si>
  <si>
    <t>KB3</t>
  </si>
  <si>
    <t>KI3</t>
  </si>
  <si>
    <t>KP3</t>
  </si>
  <si>
    <t>KW3</t>
  </si>
  <si>
    <t>LD3</t>
  </si>
  <si>
    <t>LK3</t>
  </si>
  <si>
    <t>LR3</t>
  </si>
  <si>
    <t>LY3</t>
  </si>
  <si>
    <t>MF3</t>
  </si>
  <si>
    <t>MM3</t>
  </si>
  <si>
    <t>MT3</t>
  </si>
  <si>
    <t>NA3</t>
  </si>
  <si>
    <t>NH3</t>
  </si>
  <si>
    <t>NO3</t>
  </si>
  <si>
    <t>NV3</t>
  </si>
  <si>
    <t>OC3</t>
  </si>
  <si>
    <t>OJ3</t>
  </si>
  <si>
    <t>OQ3</t>
  </si>
  <si>
    <t>OX3</t>
  </si>
  <si>
    <t>PE3</t>
  </si>
  <si>
    <t>PL3</t>
  </si>
  <si>
    <t>PS3</t>
  </si>
  <si>
    <t>PZ3</t>
  </si>
  <si>
    <t>QG3</t>
  </si>
  <si>
    <t>QN3</t>
  </si>
  <si>
    <t>QU3</t>
  </si>
  <si>
    <t>RB3</t>
  </si>
  <si>
    <t>RI3</t>
  </si>
  <si>
    <t>RP3</t>
  </si>
  <si>
    <t>RW3</t>
  </si>
  <si>
    <t>SD3</t>
  </si>
  <si>
    <t>SK3</t>
  </si>
  <si>
    <t>SR3</t>
  </si>
  <si>
    <t>SY3</t>
  </si>
  <si>
    <t>TF3</t>
  </si>
  <si>
    <t>TM3</t>
  </si>
  <si>
    <t>TT3</t>
  </si>
  <si>
    <t>UA3</t>
  </si>
  <si>
    <t>UH3</t>
  </si>
  <si>
    <t>UO3</t>
  </si>
  <si>
    <t>UV3</t>
  </si>
  <si>
    <t>VC3</t>
  </si>
  <si>
    <t>VJ3</t>
  </si>
  <si>
    <t>VQ3</t>
  </si>
  <si>
    <t>VX3</t>
  </si>
  <si>
    <t>WE3</t>
  </si>
  <si>
    <t>WL3</t>
  </si>
  <si>
    <t>WS3</t>
  </si>
  <si>
    <t>WZ3</t>
  </si>
  <si>
    <t>XG3</t>
  </si>
  <si>
    <t>XN3</t>
  </si>
  <si>
    <t>XU3</t>
  </si>
  <si>
    <t>YB3</t>
  </si>
  <si>
    <t>YI3</t>
  </si>
  <si>
    <t>YP3</t>
  </si>
  <si>
    <t>YW3</t>
  </si>
  <si>
    <t>ZD3</t>
  </si>
  <si>
    <t>ZK3</t>
  </si>
  <si>
    <t>ZR3</t>
  </si>
  <si>
    <t>ZY3</t>
  </si>
  <si>
    <t>AAF3</t>
  </si>
  <si>
    <t>AAM3</t>
  </si>
  <si>
    <t>AAT3</t>
  </si>
  <si>
    <t>ABA3</t>
  </si>
  <si>
    <t>ABH3</t>
  </si>
  <si>
    <t>ABO3</t>
  </si>
  <si>
    <t>ABV3</t>
  </si>
  <si>
    <t>ACC3</t>
  </si>
  <si>
    <t>ACJ3</t>
  </si>
  <si>
    <t>ACQ3</t>
  </si>
  <si>
    <t>ACX3</t>
  </si>
  <si>
    <t>ADE3</t>
  </si>
  <si>
    <t>ADL3</t>
  </si>
  <si>
    <t>ADS3</t>
  </si>
  <si>
    <t>ADZ3</t>
  </si>
  <si>
    <t>AEG3</t>
  </si>
  <si>
    <t>AEN3</t>
  </si>
  <si>
    <t>AEU3</t>
  </si>
  <si>
    <t>AFB3</t>
  </si>
  <si>
    <t>AFI3</t>
  </si>
  <si>
    <t>AFP3</t>
  </si>
  <si>
    <t>AFW3</t>
  </si>
  <si>
    <t xml:space="preserve">(+10 für korrekt, sonst minus 2 Punkte mal Delta)  </t>
  </si>
  <si>
    <t>Anzahl Elfmeterschießen bis einschl. Halbfinale:</t>
  </si>
  <si>
    <t>Börn</t>
  </si>
  <si>
    <t>Julian</t>
  </si>
  <si>
    <t>Harry Kane</t>
  </si>
  <si>
    <t>Bosnien-Herzeg.</t>
  </si>
  <si>
    <t>Kohls</t>
  </si>
  <si>
    <t>Mbappe</t>
  </si>
  <si>
    <t>Tina</t>
  </si>
  <si>
    <t>ChatGPT-Charly</t>
  </si>
  <si>
    <t>Basti</t>
  </si>
  <si>
    <t>Oyarzabal</t>
  </si>
  <si>
    <t>Weltmeister:</t>
  </si>
  <si>
    <t>Zusatzfragen:</t>
  </si>
  <si>
    <t>(richtige Tendenz: Wert mal 1, genau richtig: Wert mal 1,5)</t>
  </si>
  <si>
    <t>Johanna</t>
  </si>
  <si>
    <t>Andrea</t>
  </si>
  <si>
    <t>Folker</t>
  </si>
  <si>
    <t>Jiménez</t>
  </si>
  <si>
    <t>Jimenez</t>
  </si>
  <si>
    <t>Franzi</t>
  </si>
  <si>
    <t>Albert</t>
  </si>
  <si>
    <t>Helene</t>
  </si>
  <si>
    <t>Carl</t>
  </si>
  <si>
    <t>Alfons</t>
  </si>
  <si>
    <t>Tobi</t>
  </si>
  <si>
    <t>Lukas</t>
  </si>
  <si>
    <t>Cathrin</t>
  </si>
  <si>
    <t>Vroni</t>
  </si>
  <si>
    <t>Ferdi</t>
  </si>
  <si>
    <t>Pepe</t>
  </si>
  <si>
    <t>Haaland</t>
  </si>
  <si>
    <t>Conrad</t>
  </si>
  <si>
    <t>Dembelé</t>
  </si>
  <si>
    <t>Christian</t>
  </si>
  <si>
    <t>Kay</t>
  </si>
  <si>
    <t>AGD3</t>
  </si>
  <si>
    <t>AGK3</t>
  </si>
  <si>
    <t>AGR3</t>
  </si>
  <si>
    <t>AGY3</t>
  </si>
  <si>
    <t>AHF3</t>
  </si>
  <si>
    <t>AHM3</t>
  </si>
  <si>
    <t>AHT3</t>
  </si>
  <si>
    <t>AIA3</t>
  </si>
  <si>
    <t>AIH3</t>
  </si>
  <si>
    <t>AIO3</t>
  </si>
  <si>
    <t>AIV3</t>
  </si>
  <si>
    <t>AJC3</t>
  </si>
  <si>
    <t>AJJ3</t>
  </si>
  <si>
    <t>AJQ3</t>
  </si>
  <si>
    <t>AJX3</t>
  </si>
  <si>
    <t>AKE3</t>
  </si>
  <si>
    <t>AKL3</t>
  </si>
  <si>
    <t>AKS3</t>
  </si>
  <si>
    <t>AKZ3</t>
  </si>
  <si>
    <t>ALG3</t>
  </si>
  <si>
    <t>ALN3</t>
  </si>
  <si>
    <t>ALU3</t>
  </si>
  <si>
    <t>AMB3</t>
  </si>
  <si>
    <t>AMI3</t>
  </si>
  <si>
    <t>AMP3</t>
  </si>
  <si>
    <t>AMW3</t>
  </si>
  <si>
    <t>AND3</t>
  </si>
  <si>
    <t>ANK3</t>
  </si>
  <si>
    <t>ANR3</t>
  </si>
  <si>
    <t>ANY3</t>
  </si>
  <si>
    <t>AOF3</t>
  </si>
  <si>
    <t>AOM3</t>
  </si>
  <si>
    <t>AOT3</t>
  </si>
  <si>
    <t>APA3</t>
  </si>
  <si>
    <t>APH3</t>
  </si>
  <si>
    <t>APO3</t>
  </si>
  <si>
    <t>APV3</t>
  </si>
  <si>
    <t>AQC3</t>
  </si>
  <si>
    <t>AQJ3</t>
  </si>
  <si>
    <t>AQQ3</t>
  </si>
  <si>
    <t>AQX3</t>
  </si>
  <si>
    <t>ARE3</t>
  </si>
  <si>
    <t>ARL3</t>
  </si>
  <si>
    <t>ARS3</t>
  </si>
  <si>
    <t>ARZ3</t>
  </si>
  <si>
    <t>ASG3</t>
  </si>
  <si>
    <t>ASN3</t>
  </si>
  <si>
    <t>ASU3</t>
  </si>
  <si>
    <t>ATB3</t>
  </si>
  <si>
    <t>ATI3</t>
  </si>
  <si>
    <t>ATP3</t>
  </si>
  <si>
    <t>ATW3</t>
  </si>
  <si>
    <t>AUD3</t>
  </si>
  <si>
    <t>AUK3</t>
  </si>
  <si>
    <t>AUR3</t>
  </si>
  <si>
    <t>AUY3</t>
  </si>
  <si>
    <t>AVF3</t>
  </si>
  <si>
    <t>AVM3</t>
  </si>
  <si>
    <t>AVT3</t>
  </si>
  <si>
    <t>AWA3</t>
  </si>
  <si>
    <t>AWH3</t>
  </si>
  <si>
    <t>AWO3</t>
  </si>
  <si>
    <t>AWV3</t>
  </si>
  <si>
    <t>AXC3</t>
  </si>
  <si>
    <t>AXJ3</t>
  </si>
  <si>
    <t>AXQ3</t>
  </si>
  <si>
    <t>AXX3</t>
  </si>
  <si>
    <t>AYE3</t>
  </si>
  <si>
    <t>AYL3</t>
  </si>
  <si>
    <t>AYS3</t>
  </si>
  <si>
    <t>AYZ3</t>
  </si>
  <si>
    <t>AZG3</t>
  </si>
  <si>
    <t>AZN3</t>
  </si>
  <si>
    <t>AZU3</t>
  </si>
  <si>
    <t>BAB3</t>
  </si>
  <si>
    <t>BAI3</t>
  </si>
  <si>
    <t>BAP3</t>
  </si>
  <si>
    <t>BAW3</t>
  </si>
  <si>
    <t>BBD3</t>
  </si>
  <si>
    <t>BBK3</t>
  </si>
  <si>
    <t>BBR3</t>
  </si>
  <si>
    <t>BBY3</t>
  </si>
  <si>
    <t>BCF3</t>
  </si>
  <si>
    <t>BCM3</t>
  </si>
  <si>
    <t>BCT3</t>
  </si>
  <si>
    <t>BDA3</t>
  </si>
  <si>
    <t>BDH3</t>
  </si>
  <si>
    <t>BDO3</t>
  </si>
  <si>
    <t>BDV3</t>
  </si>
  <si>
    <t>BEC3</t>
  </si>
  <si>
    <t>BEJ3</t>
  </si>
  <si>
    <t>BEQ3</t>
  </si>
  <si>
    <t>BEX3</t>
  </si>
  <si>
    <t>BFE3</t>
  </si>
  <si>
    <t>BFL3</t>
  </si>
  <si>
    <t>BFS3</t>
  </si>
  <si>
    <t>BFZ3</t>
  </si>
  <si>
    <t>BGG3</t>
  </si>
  <si>
    <t>BGN3</t>
  </si>
  <si>
    <t>BGU3</t>
  </si>
  <si>
    <t>AFR2</t>
  </si>
  <si>
    <t>AFY2</t>
  </si>
  <si>
    <t>AGF2</t>
  </si>
  <si>
    <t>AGM2</t>
  </si>
  <si>
    <t>AGT2</t>
  </si>
  <si>
    <t>AHA2</t>
  </si>
  <si>
    <t>AHH2</t>
  </si>
  <si>
    <t>AHO2</t>
  </si>
  <si>
    <t>AHV2</t>
  </si>
  <si>
    <t>AIC2</t>
  </si>
  <si>
    <t>AIJ2</t>
  </si>
  <si>
    <t>AIQ2</t>
  </si>
  <si>
    <t>AIX2</t>
  </si>
  <si>
    <t>AJE2</t>
  </si>
  <si>
    <t>AJL2</t>
  </si>
  <si>
    <t>AJS2</t>
  </si>
  <si>
    <t>AJZ2</t>
  </si>
  <si>
    <t>AKG2</t>
  </si>
  <si>
    <t>AKN2</t>
  </si>
  <si>
    <t>AKU2</t>
  </si>
  <si>
    <t>ALB2</t>
  </si>
  <si>
    <t>ALI2</t>
  </si>
  <si>
    <t>ALP2</t>
  </si>
  <si>
    <t>ALW2</t>
  </si>
  <si>
    <t>AMD2</t>
  </si>
  <si>
    <t>AMK2</t>
  </si>
  <si>
    <t>AMR2</t>
  </si>
  <si>
    <t>AMY2</t>
  </si>
  <si>
    <t>ANF2</t>
  </si>
  <si>
    <t>ANM2</t>
  </si>
  <si>
    <t>ANT2</t>
  </si>
  <si>
    <t>AOA2</t>
  </si>
  <si>
    <t>AOH2</t>
  </si>
  <si>
    <t>AOO2</t>
  </si>
  <si>
    <t>AOV2</t>
  </si>
  <si>
    <t>APC2</t>
  </si>
  <si>
    <t>APJ2</t>
  </si>
  <si>
    <t>APQ2</t>
  </si>
  <si>
    <t>APX2</t>
  </si>
  <si>
    <t>AQE2</t>
  </si>
  <si>
    <t>AQL2</t>
  </si>
  <si>
    <t>AQS2</t>
  </si>
  <si>
    <t>AQZ2</t>
  </si>
  <si>
    <t>ARG2</t>
  </si>
  <si>
    <t>ARN2</t>
  </si>
  <si>
    <t>ARU2</t>
  </si>
  <si>
    <t>ASB2</t>
  </si>
  <si>
    <t>ASI2</t>
  </si>
  <si>
    <t>ASP2</t>
  </si>
  <si>
    <t>ASW2</t>
  </si>
  <si>
    <t>ATD2</t>
  </si>
  <si>
    <t>ATK2</t>
  </si>
  <si>
    <t>ATR2</t>
  </si>
  <si>
    <t>ATY2</t>
  </si>
  <si>
    <t>AUF2</t>
  </si>
  <si>
    <t>AUM2</t>
  </si>
  <si>
    <t>AUT2</t>
  </si>
  <si>
    <t>AVA2</t>
  </si>
  <si>
    <t>AVH2</t>
  </si>
  <si>
    <t>AVO2</t>
  </si>
  <si>
    <t>AVV2</t>
  </si>
  <si>
    <t>AWC2</t>
  </si>
  <si>
    <t>AWJ2</t>
  </si>
  <si>
    <t>AWQ2</t>
  </si>
  <si>
    <t>AWX2</t>
  </si>
  <si>
    <t>AXE2</t>
  </si>
  <si>
    <t>AXL2</t>
  </si>
  <si>
    <t>AXS2</t>
  </si>
  <si>
    <t>AXZ2</t>
  </si>
  <si>
    <t>AYG2</t>
  </si>
  <si>
    <t>AYN2</t>
  </si>
  <si>
    <t>AYU2</t>
  </si>
  <si>
    <t>AZB2</t>
  </si>
  <si>
    <t>AZI2</t>
  </si>
  <si>
    <t>AZP2</t>
  </si>
  <si>
    <t>AZW2</t>
  </si>
  <si>
    <t>BAD2</t>
  </si>
  <si>
    <t>BAK2</t>
  </si>
  <si>
    <t>BAR2</t>
  </si>
  <si>
    <t>BAY2</t>
  </si>
  <si>
    <t>BBF2</t>
  </si>
  <si>
    <t>BBM2</t>
  </si>
  <si>
    <t>BBT2</t>
  </si>
  <si>
    <t>BCA2</t>
  </si>
  <si>
    <t>BCH2</t>
  </si>
  <si>
    <t>BCO2</t>
  </si>
  <si>
    <t>BCV2</t>
  </si>
  <si>
    <t>BDC2</t>
  </si>
  <si>
    <t>BDJ2</t>
  </si>
  <si>
    <t>BDQ2</t>
  </si>
  <si>
    <t>BDX2</t>
  </si>
  <si>
    <t>BEE2</t>
  </si>
  <si>
    <t>BEL2</t>
  </si>
  <si>
    <t>BES2</t>
  </si>
  <si>
    <t>BEZ2</t>
  </si>
  <si>
    <t>BFG2</t>
  </si>
  <si>
    <t>BFN2</t>
  </si>
  <si>
    <t>BFU2</t>
  </si>
  <si>
    <t>BGB2</t>
  </si>
  <si>
    <t>BGI2</t>
  </si>
  <si>
    <t>BGP2</t>
  </si>
  <si>
    <t>BGW2</t>
  </si>
  <si>
    <t>Ingrid</t>
  </si>
  <si>
    <t>Alexander</t>
  </si>
  <si>
    <t>Severin</t>
  </si>
  <si>
    <t>Xaver</t>
  </si>
  <si>
    <t>Arnd</t>
  </si>
  <si>
    <t>Tabea</t>
  </si>
  <si>
    <t>Paul</t>
  </si>
  <si>
    <t>Lou</t>
  </si>
  <si>
    <t>Summerville</t>
  </si>
  <si>
    <t>Valentin</t>
  </si>
  <si>
    <t>Evelyn</t>
  </si>
  <si>
    <t>Carsten</t>
  </si>
  <si>
    <t>Nuria</t>
  </si>
  <si>
    <t>Joseph</t>
  </si>
  <si>
    <t>Sören</t>
  </si>
  <si>
    <t>Marietta</t>
  </si>
  <si>
    <t>Marlene</t>
  </si>
  <si>
    <t>Uwe</t>
  </si>
  <si>
    <t>Raphinha</t>
  </si>
  <si>
    <t>Fam. Baum</t>
  </si>
  <si>
    <t>Fam. Bieling</t>
  </si>
  <si>
    <t>Fam. Dobmeier</t>
  </si>
  <si>
    <t>Fam. Caspary</t>
  </si>
  <si>
    <t>Fam. Hübner</t>
  </si>
  <si>
    <t>Fam. Brockamp</t>
  </si>
  <si>
    <t>Fam. Schulz</t>
  </si>
  <si>
    <t>Fam. Hitzfeld</t>
  </si>
  <si>
    <t>Fam. Klesbiehl</t>
  </si>
  <si>
    <t>Jonathan</t>
  </si>
  <si>
    <t>Olisé</t>
  </si>
  <si>
    <t>Olise</t>
  </si>
  <si>
    <t>Marius</t>
  </si>
  <si>
    <t>Claudia F</t>
  </si>
  <si>
    <t>Anton</t>
  </si>
  <si>
    <t>Claudia B</t>
  </si>
  <si>
    <t>Jörg</t>
  </si>
  <si>
    <t>Nico</t>
  </si>
  <si>
    <t>Evi</t>
  </si>
  <si>
    <t>Valentina</t>
  </si>
  <si>
    <t xml:space="preserve">Kane </t>
  </si>
  <si>
    <t>Rebecca</t>
  </si>
  <si>
    <t>Sandra</t>
  </si>
  <si>
    <t>Jochen</t>
  </si>
  <si>
    <t>Lucian</t>
  </si>
  <si>
    <t>Fam. Ulrich</t>
  </si>
  <si>
    <t>Emma E</t>
  </si>
  <si>
    <t>Jens</t>
  </si>
  <si>
    <t>Emma H</t>
  </si>
  <si>
    <t>Luise</t>
  </si>
  <si>
    <t>Aymen Hussein</t>
  </si>
  <si>
    <t>Hussein</t>
  </si>
  <si>
    <t>Frank</t>
  </si>
  <si>
    <t>Peter</t>
  </si>
  <si>
    <t>Tanja</t>
  </si>
  <si>
    <t>Martina</t>
  </si>
  <si>
    <t>Ferran Torres</t>
  </si>
  <si>
    <t>Mimi</t>
  </si>
  <si>
    <t>Yamal</t>
  </si>
  <si>
    <t>Lamine Yamal</t>
  </si>
  <si>
    <t>Dembele</t>
  </si>
  <si>
    <t>Torres</t>
  </si>
  <si>
    <t>Fam. Weiher</t>
  </si>
  <si>
    <t>Manzambi Beimer</t>
  </si>
  <si>
    <t>Kere</t>
  </si>
  <si>
    <t>Ben W</t>
  </si>
  <si>
    <t>Ben L</t>
  </si>
  <si>
    <t>Frieda</t>
  </si>
  <si>
    <t>Konrad</t>
  </si>
  <si>
    <t>Fam. Hofmann</t>
  </si>
  <si>
    <t>Alvarez</t>
  </si>
  <si>
    <t>Daphne</t>
  </si>
  <si>
    <t>Pascal</t>
  </si>
  <si>
    <t>Spanian</t>
  </si>
  <si>
    <t>Rosa</t>
  </si>
  <si>
    <t>Alma</t>
  </si>
  <si>
    <t>Avinash</t>
  </si>
  <si>
    <t>zu spät</t>
  </si>
  <si>
    <t>Fam. Keilmann</t>
  </si>
  <si>
    <t>Mexico</t>
  </si>
  <si>
    <t>Bosnien-Herzog.</t>
  </si>
  <si>
    <t xml:space="preserve">USA </t>
  </si>
  <si>
    <t>Argentinen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</si>
</sst>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/\,\ dd/mm/"/>
    <numFmt numFmtId="166" formatCode="hh:mm\ &quot;Uhr&quot;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indexed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name val="Arial"/>
      <family val="2"/>
    </font>
    <font>
      <b/>
      <sz val="10"/>
      <color indexed="10"/>
      <name val="Arial"/>
      <family val="2"/>
    </font>
    <font>
      <sz val="8"/>
      <color indexed="9"/>
      <name val="Arial"/>
      <family val="2"/>
    </font>
    <font>
      <sz val="10"/>
      <color indexed="8"/>
      <name val="Arial"/>
      <family val="2"/>
    </font>
    <font>
      <sz val="8"/>
      <color indexed="51"/>
      <name val="Arial"/>
      <family val="2"/>
    </font>
    <font>
      <sz val="8"/>
      <color indexed="22"/>
      <name val="Arial"/>
      <family val="2"/>
    </font>
    <font>
      <sz val="8"/>
      <color indexed="5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color theme="0"/>
      <name val="Arial"/>
      <family val="2"/>
    </font>
    <font>
      <sz val="10"/>
      <name val="Arial"/>
      <family val="2"/>
    </font>
    <font>
      <sz val="6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8"/>
      <color rgb="FFFF0000"/>
      <name val="Arial"/>
      <family val="2"/>
    </font>
    <font>
      <sz val="12"/>
      <color rgb="FFFF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13"/>
        <bgColor indexed="34"/>
      </patternFill>
    </fill>
    <fill>
      <patternFill patternType="solid">
        <fgColor indexed="51"/>
        <bgColor indexed="13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1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0">
    <xf numFmtId="0" fontId="0" fillId="0" borderId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1" fillId="0" borderId="0"/>
    <xf numFmtId="0" fontId="33" fillId="0" borderId="0"/>
    <xf numFmtId="0" fontId="34" fillId="0" borderId="0"/>
    <xf numFmtId="0" fontId="35" fillId="0" borderId="0"/>
  </cellStyleXfs>
  <cellXfs count="139">
    <xf numFmtId="0" fontId="0" fillId="0" borderId="0" xfId="0"/>
    <xf numFmtId="0" fontId="0" fillId="3" borderId="0" xfId="0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26" fillId="3" borderId="0" xfId="0" applyFont="1" applyFill="1" applyProtection="1">
      <protection locked="0"/>
    </xf>
    <xf numFmtId="0" fontId="26" fillId="3" borderId="0" xfId="0" applyFont="1" applyFill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21" fillId="9" borderId="0" xfId="0" applyFont="1" applyFill="1" applyAlignment="1">
      <alignment horizontal="left"/>
    </xf>
    <xf numFmtId="0" fontId="5" fillId="9" borderId="0" xfId="0" applyFont="1" applyFill="1"/>
    <xf numFmtId="0" fontId="0" fillId="9" borderId="0" xfId="0" applyFill="1"/>
    <xf numFmtId="0" fontId="3" fillId="9" borderId="0" xfId="0" applyFont="1" applyFill="1"/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/>
    </xf>
    <xf numFmtId="0" fontId="4" fillId="9" borderId="0" xfId="0" applyFont="1" applyFill="1"/>
    <xf numFmtId="0" fontId="5" fillId="11" borderId="0" xfId="0" applyFont="1" applyFill="1" applyAlignment="1">
      <alignment horizontal="center"/>
    </xf>
    <xf numFmtId="0" fontId="4" fillId="2" borderId="1" xfId="0" applyFont="1" applyFill="1" applyBorder="1"/>
    <xf numFmtId="0" fontId="5" fillId="9" borderId="2" xfId="0" applyFont="1" applyFill="1" applyBorder="1"/>
    <xf numFmtId="0" fontId="4" fillId="9" borderId="2" xfId="0" applyFont="1" applyFill="1" applyBorder="1"/>
    <xf numFmtId="0" fontId="5" fillId="2" borderId="7" xfId="0" applyFont="1" applyFill="1" applyBorder="1"/>
    <xf numFmtId="0" fontId="5" fillId="2" borderId="10" xfId="0" applyFont="1" applyFill="1" applyBorder="1"/>
    <xf numFmtId="0" fontId="0" fillId="0" borderId="2" xfId="0" applyBorder="1"/>
    <xf numFmtId="14" fontId="7" fillId="0" borderId="0" xfId="0" applyNumberFormat="1" applyFont="1"/>
    <xf numFmtId="0" fontId="5" fillId="0" borderId="0" xfId="0" applyFont="1" applyAlignment="1">
      <alignment horizontal="right"/>
    </xf>
    <xf numFmtId="0" fontId="15" fillId="0" borderId="0" xfId="0" applyFont="1"/>
    <xf numFmtId="0" fontId="17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1" fontId="15" fillId="0" borderId="0" xfId="0" applyNumberFormat="1" applyFont="1"/>
    <xf numFmtId="1" fontId="0" fillId="0" borderId="0" xfId="0" applyNumberFormat="1"/>
    <xf numFmtId="14" fontId="29" fillId="0" borderId="0" xfId="0" applyNumberFormat="1" applyFont="1"/>
    <xf numFmtId="0" fontId="14" fillId="0" borderId="0" xfId="0" applyFont="1"/>
    <xf numFmtId="0" fontId="15" fillId="0" borderId="4" xfId="0" applyFont="1" applyBorder="1" applyAlignment="1">
      <alignment horizontal="center"/>
    </xf>
    <xf numFmtId="165" fontId="30" fillId="0" borderId="0" xfId="0" applyNumberFormat="1" applyFont="1" applyAlignment="1">
      <alignment horizontal="left"/>
    </xf>
    <xf numFmtId="166" fontId="30" fillId="0" borderId="0" xfId="0" applyNumberFormat="1" applyFont="1" applyAlignment="1">
      <alignment horizontal="left"/>
    </xf>
    <xf numFmtId="0" fontId="28" fillId="0" borderId="0" xfId="0" applyFont="1" applyAlignment="1">
      <alignment horizontal="left"/>
    </xf>
    <xf numFmtId="0" fontId="27" fillId="3" borderId="0" xfId="0" applyFont="1" applyFill="1"/>
    <xf numFmtId="1" fontId="23" fillId="0" borderId="0" xfId="0" applyNumberFormat="1" applyFont="1"/>
    <xf numFmtId="0" fontId="23" fillId="0" borderId="11" xfId="0" applyFont="1" applyBorder="1" applyAlignment="1">
      <alignment horizontal="center"/>
    </xf>
    <xf numFmtId="1" fontId="23" fillId="0" borderId="0" xfId="0" applyNumberFormat="1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15" fillId="0" borderId="5" xfId="0" applyFont="1" applyBorder="1" applyAlignment="1">
      <alignment horizontal="center"/>
    </xf>
    <xf numFmtId="1" fontId="14" fillId="0" borderId="0" xfId="0" applyNumberFormat="1" applyFont="1"/>
    <xf numFmtId="0" fontId="23" fillId="0" borderId="6" xfId="0" applyFont="1" applyBorder="1" applyAlignment="1">
      <alignment horizontal="center"/>
    </xf>
    <xf numFmtId="0" fontId="31" fillId="11" borderId="0" xfId="0" applyFont="1" applyFill="1" applyAlignment="1">
      <alignment horizontal="center"/>
    </xf>
    <xf numFmtId="166" fontId="26" fillId="0" borderId="0" xfId="0" applyNumberFormat="1" applyFont="1" applyAlignment="1">
      <alignment horizontal="left"/>
    </xf>
    <xf numFmtId="1" fontId="10" fillId="0" borderId="0" xfId="0" applyNumberFormat="1" applyFont="1"/>
    <xf numFmtId="0" fontId="10" fillId="0" borderId="6" xfId="0" applyFont="1" applyBorder="1" applyAlignment="1">
      <alignment horizontal="center"/>
    </xf>
    <xf numFmtId="1" fontId="10" fillId="0" borderId="0" xfId="0" applyNumberFormat="1" applyFont="1" applyAlignment="1">
      <alignment horizontal="left"/>
    </xf>
    <xf numFmtId="0" fontId="3" fillId="3" borderId="0" xfId="0" applyFont="1" applyFill="1"/>
    <xf numFmtId="165" fontId="26" fillId="0" borderId="0" xfId="0" applyNumberFormat="1" applyFont="1" applyAlignment="1">
      <alignment horizontal="left"/>
    </xf>
    <xf numFmtId="0" fontId="22" fillId="0" borderId="0" xfId="0" applyFont="1"/>
    <xf numFmtId="165" fontId="26" fillId="0" borderId="0" xfId="0" applyNumberFormat="1" applyFont="1" applyAlignment="1">
      <alignment horizontal="center"/>
    </xf>
    <xf numFmtId="0" fontId="4" fillId="0" borderId="0" xfId="0" applyFont="1"/>
    <xf numFmtId="0" fontId="9" fillId="0" borderId="0" xfId="0" applyFont="1"/>
    <xf numFmtId="165" fontId="27" fillId="0" borderId="0" xfId="0" applyNumberFormat="1" applyFont="1" applyAlignment="1">
      <alignment horizontal="left"/>
    </xf>
    <xf numFmtId="0" fontId="15" fillId="0" borderId="12" xfId="0" applyFont="1" applyBorder="1" applyAlignment="1">
      <alignment horizontal="center"/>
    </xf>
    <xf numFmtId="0" fontId="0" fillId="0" borderId="0" xfId="0" applyAlignment="1">
      <alignment horizontal="right"/>
    </xf>
    <xf numFmtId="0" fontId="21" fillId="0" borderId="0" xfId="0" applyFont="1" applyAlignment="1">
      <alignment horizontal="center"/>
    </xf>
    <xf numFmtId="0" fontId="25" fillId="0" borderId="0" xfId="0" applyFont="1"/>
    <xf numFmtId="0" fontId="16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32" fillId="0" borderId="0" xfId="0" applyFont="1"/>
    <xf numFmtId="14" fontId="0" fillId="0" borderId="0" xfId="0" applyNumberFormat="1"/>
    <xf numFmtId="0" fontId="24" fillId="0" borderId="0" xfId="0" applyFont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3" fillId="0" borderId="0" xfId="0" applyFont="1"/>
    <xf numFmtId="0" fontId="17" fillId="0" borderId="0" xfId="0" applyFont="1" applyAlignment="1">
      <alignment horizontal="center"/>
    </xf>
    <xf numFmtId="0" fontId="0" fillId="10" borderId="0" xfId="0" applyFill="1" applyAlignment="1">
      <alignment horizontal="left"/>
    </xf>
    <xf numFmtId="14" fontId="15" fillId="0" borderId="0" xfId="0" applyNumberFormat="1" applyFont="1" applyAlignment="1">
      <alignment horizontal="left"/>
    </xf>
    <xf numFmtId="0" fontId="16" fillId="0" borderId="0" xfId="0" applyFont="1" applyAlignment="1">
      <alignment horizontal="center"/>
    </xf>
    <xf numFmtId="0" fontId="20" fillId="10" borderId="0" xfId="0" applyFont="1" applyFill="1" applyAlignment="1">
      <alignment horizontal="center"/>
    </xf>
    <xf numFmtId="0" fontId="3" fillId="3" borderId="0" xfId="0" applyFont="1" applyFill="1" applyProtection="1">
      <protection locked="0"/>
    </xf>
    <xf numFmtId="0" fontId="21" fillId="0" borderId="0" xfId="0" applyFont="1"/>
    <xf numFmtId="164" fontId="6" fillId="2" borderId="3" xfId="0" applyNumberFormat="1" applyFont="1" applyFill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left" vertical="center"/>
    </xf>
    <xf numFmtId="0" fontId="26" fillId="0" borderId="0" xfId="0" applyFont="1"/>
    <xf numFmtId="165" fontId="26" fillId="0" borderId="0" xfId="0" applyNumberFormat="1" applyFont="1"/>
    <xf numFmtId="14" fontId="27" fillId="0" borderId="0" xfId="0" applyNumberFormat="1" applyFont="1"/>
    <xf numFmtId="0" fontId="7" fillId="0" borderId="0" xfId="0" applyFont="1" applyAlignment="1">
      <alignment horizontal="right"/>
    </xf>
    <xf numFmtId="0" fontId="34" fillId="0" borderId="0" xfId="28"/>
    <xf numFmtId="0" fontId="7" fillId="11" borderId="0" xfId="0" applyFont="1" applyFill="1" applyAlignment="1">
      <alignment horizontal="center"/>
    </xf>
    <xf numFmtId="0" fontId="36" fillId="0" borderId="0" xfId="0" applyFont="1" applyAlignment="1">
      <alignment horizontal="right"/>
    </xf>
    <xf numFmtId="0" fontId="0" fillId="4" borderId="19" xfId="0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2" fontId="23" fillId="4" borderId="20" xfId="0" applyNumberFormat="1" applyFont="1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12" fillId="5" borderId="0" xfId="0" applyFont="1" applyFill="1" applyAlignment="1">
      <alignment horizontal="center"/>
    </xf>
    <xf numFmtId="0" fontId="23" fillId="5" borderId="0" xfId="0" applyFont="1" applyFill="1" applyAlignment="1">
      <alignment horizontal="left"/>
    </xf>
    <xf numFmtId="2" fontId="23" fillId="5" borderId="20" xfId="0" applyNumberFormat="1" applyFont="1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13" fillId="6" borderId="0" xfId="0" applyFont="1" applyFill="1" applyAlignment="1">
      <alignment horizontal="center"/>
    </xf>
    <xf numFmtId="0" fontId="23" fillId="6" borderId="0" xfId="0" applyFont="1" applyFill="1" applyAlignment="1">
      <alignment horizontal="left"/>
    </xf>
    <xf numFmtId="2" fontId="23" fillId="6" borderId="20" xfId="0" applyNumberFormat="1" applyFont="1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2" fontId="0" fillId="10" borderId="20" xfId="0" applyNumberFormat="1" applyFill="1" applyBorder="1" applyAlignment="1">
      <alignment horizontal="center"/>
    </xf>
    <xf numFmtId="0" fontId="0" fillId="9" borderId="19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20" fillId="10" borderId="22" xfId="0" applyFont="1" applyFill="1" applyBorder="1" applyAlignment="1">
      <alignment horizontal="center"/>
    </xf>
    <xf numFmtId="0" fontId="0" fillId="10" borderId="22" xfId="0" applyFill="1" applyBorder="1" applyAlignment="1">
      <alignment horizontal="left"/>
    </xf>
    <xf numFmtId="2" fontId="0" fillId="10" borderId="23" xfId="0" applyNumberFormat="1" applyFill="1" applyBorder="1" applyAlignment="1">
      <alignment horizontal="center"/>
    </xf>
    <xf numFmtId="164" fontId="23" fillId="4" borderId="20" xfId="0" applyNumberFormat="1" applyFont="1" applyFill="1" applyBorder="1" applyAlignment="1">
      <alignment horizontal="center"/>
    </xf>
    <xf numFmtId="164" fontId="23" fillId="5" borderId="20" xfId="0" applyNumberFormat="1" applyFont="1" applyFill="1" applyBorder="1" applyAlignment="1">
      <alignment horizontal="center"/>
    </xf>
    <xf numFmtId="164" fontId="23" fillId="6" borderId="20" xfId="0" applyNumberFormat="1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164" fontId="0" fillId="10" borderId="20" xfId="0" applyNumberFormat="1" applyFill="1" applyBorder="1" applyAlignment="1">
      <alignment horizontal="center"/>
    </xf>
    <xf numFmtId="16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left"/>
    </xf>
    <xf numFmtId="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right"/>
    </xf>
    <xf numFmtId="2" fontId="14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0" fontId="23" fillId="12" borderId="24" xfId="0" applyFont="1" applyFill="1" applyBorder="1" applyAlignment="1" applyProtection="1">
      <alignment horizontal="center"/>
      <protection locked="0"/>
    </xf>
    <xf numFmtId="0" fontId="0" fillId="7" borderId="25" xfId="0" applyFill="1" applyBorder="1" applyAlignment="1">
      <alignment horizontal="center"/>
    </xf>
    <xf numFmtId="0" fontId="9" fillId="9" borderId="26" xfId="0" applyFont="1" applyFill="1" applyBorder="1" applyAlignment="1">
      <alignment horizontal="center"/>
    </xf>
    <xf numFmtId="0" fontId="0" fillId="10" borderId="26" xfId="0" applyFill="1" applyBorder="1" applyAlignment="1">
      <alignment horizontal="left"/>
    </xf>
    <xf numFmtId="164" fontId="0" fillId="10" borderId="27" xfId="0" applyNumberFormat="1" applyFill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3" fillId="2" borderId="8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wrapText="1"/>
    </xf>
    <xf numFmtId="0" fontId="8" fillId="8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0" fontId="2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</cellXfs>
  <cellStyles count="30">
    <cellStyle name="Besuchter Hyperlink" xfId="2" builtinId="9" hidden="1"/>
    <cellStyle name="Besuchter Hyperlink" xfId="4" builtinId="9" hidden="1"/>
    <cellStyle name="Besuchter Hyperlink" xfId="6" builtinId="9" hidden="1"/>
    <cellStyle name="Besuchter Hyperlink" xfId="8" builtinId="9" hidden="1"/>
    <cellStyle name="Besuchter Hyperlink" xfId="10" builtinId="9" hidden="1"/>
    <cellStyle name="Besuchter Hyperlink" xfId="12" builtinId="9" hidden="1"/>
    <cellStyle name="Besuchter Hyperlink" xfId="14" builtinId="9" hidden="1"/>
    <cellStyle name="Besuchter Hyperlink" xfId="16" builtinId="9" hidden="1"/>
    <cellStyle name="Besuchter Hyperlink" xfId="18" builtinId="9" hidden="1"/>
    <cellStyle name="Besuchter Hyperlink" xfId="19" builtinId="9" hidden="1"/>
    <cellStyle name="Besuchter Hyperlink" xfId="20" builtinId="9" hidden="1"/>
    <cellStyle name="Besuchter Hyperlink" xfId="22" builtinId="9" hidden="1"/>
    <cellStyle name="Besuchter Hyperlink" xfId="24" builtinId="9" hidden="1"/>
    <cellStyle name="Link" xfId="1" builtinId="8" hidden="1"/>
    <cellStyle name="Link" xfId="3" builtinId="8" hidden="1"/>
    <cellStyle name="Link" xfId="5" builtinId="8" hidden="1"/>
    <cellStyle name="Link" xfId="7" builtinId="8" hidden="1"/>
    <cellStyle name="Link" xfId="9" builtinId="8" hidden="1"/>
    <cellStyle name="Link" xfId="11" builtinId="8" hidden="1"/>
    <cellStyle name="Link" xfId="13" builtinId="8" hidden="1"/>
    <cellStyle name="Link" xfId="15" builtinId="8" hidden="1"/>
    <cellStyle name="Link" xfId="17" builtinId="8" hidden="1"/>
    <cellStyle name="Link" xfId="21" builtinId="8" hidden="1"/>
    <cellStyle name="Link" xfId="23" builtinId="8" hidden="1"/>
    <cellStyle name="Standard" xfId="0" builtinId="0"/>
    <cellStyle name="Standard 2" xfId="25" xr:uid="{00000000-0005-0000-0000-000019000000}"/>
    <cellStyle name="Standard 3" xfId="26" xr:uid="{00000000-0005-0000-0000-00001A000000}"/>
    <cellStyle name="Standard 4" xfId="27" xr:uid="{C5532249-95AF-42E8-A828-9107A6177CDA}"/>
    <cellStyle name="Standard 5" xfId="28" xr:uid="{65C50AAA-3972-425D-BDAD-F1A6AD021618}"/>
    <cellStyle name="Standard 6" xfId="29" xr:uid="{34491F7F-0A0C-4D85-A1DD-1A6C5E39BB4B}"/>
  </cellStyles>
  <dxfs count="0"/>
  <tableStyles count="0" defaultTableStyle="TableStyleMedium2" defaultPivotStyle="PivotStyleLight16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2239819</xdr:colOff>
      <xdr:row>32</xdr:row>
      <xdr:rowOff>23090</xdr:rowOff>
    </xdr:from>
    <xdr:to>
      <xdr:col>3</xdr:col>
      <xdr:colOff>311087</xdr:colOff>
      <xdr:row>33</xdr:row>
      <xdr:rowOff>115967</xdr:rowOff>
    </xdr:to>
    <xdr:sp macro="" textlink="">
      <xdr:nvSpPr>
        <xdr:cNvPr id="4" name="AutoShape 61" descr="🇮🇹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4055919" y="5547590"/>
          <a:ext cx="30364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10584</xdr:colOff>
      <xdr:row>0</xdr:row>
      <xdr:rowOff>10583</xdr:rowOff>
    </xdr:from>
    <xdr:to>
      <xdr:col>0</xdr:col>
      <xdr:colOff>694267</xdr:colOff>
      <xdr:row>3</xdr:row>
      <xdr:rowOff>10583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9BDE6FFF-E2D1-C064-71BE-1FA1F43D3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4" y="10583"/>
          <a:ext cx="740833" cy="740833"/>
        </a:xfrm>
        <a:prstGeom prst="rect">
          <a:avLst/>
        </a:prstGeom>
      </xdr:spPr>
    </xdr:pic>
    <xdr:clientData/>
  </xdr:twoCellAnchor>
  <xdr:twoCellAnchor editAs="oneCell">
    <xdr:from>
      <xdr:col>1</xdr:col>
      <xdr:colOff>560915</xdr:colOff>
      <xdr:row>0</xdr:row>
      <xdr:rowOff>173362</xdr:rowOff>
    </xdr:from>
    <xdr:to>
      <xdr:col>3</xdr:col>
      <xdr:colOff>485952</xdr:colOff>
      <xdr:row>2</xdr:row>
      <xdr:rowOff>338667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44E6EFB-4366-1D85-4269-F3C532294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48" y="173362"/>
          <a:ext cx="1873252" cy="5039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R289"/>
  <sheetViews>
    <sheetView tabSelected="1" zoomScaleNormal="100" workbookViewId="0">
      <pane xSplit="8" ySplit="4" topLeftCell="I77" activePane="bottomRight" state="frozen"/>
      <selection pane="topRight" activeCell="I1" sqref="I1"/>
      <selection pane="bottomLeft" activeCell="A5" sqref="A5"/>
      <selection pane="bottomRight" activeCell="E104" sqref="E104"/>
    </sheetView>
  </sheetViews>
  <sheetFormatPr baseColWidth="10" defaultColWidth="4.1640625" defaultRowHeight="13" x14ac:dyDescent="0.15"/>
  <cols>
    <col min="1" max="1" width="11.83203125" style="65" customWidth="1"/>
    <col min="2" max="2" width="11.1640625" style="8" customWidth="1"/>
    <col min="3" max="3" width="14.5" customWidth="1"/>
    <col min="4" max="4" width="16" customWidth="1"/>
    <col min="5" max="5" width="4.83203125" customWidth="1"/>
    <col min="6" max="6" width="1.1640625" style="6" customWidth="1"/>
    <col min="7" max="7" width="4" style="5" customWidth="1"/>
    <col min="8" max="8" width="6.33203125" style="7" customWidth="1"/>
    <col min="9" max="9" width="2" style="54" customWidth="1"/>
    <col min="10" max="10" width="3.83203125" customWidth="1"/>
    <col min="11" max="11" width="1.1640625" style="6" customWidth="1"/>
    <col min="12" max="12" width="3.83203125" style="5" customWidth="1"/>
    <col min="13" max="13" width="3.5" style="5" customWidth="1"/>
    <col min="14" max="14" width="9.5" style="7" customWidth="1"/>
    <col min="15" max="15" width="5.83203125" style="54" customWidth="1"/>
    <col min="16" max="16" width="2.83203125" style="54" customWidth="1"/>
    <col min="17" max="17" width="4.5" customWidth="1"/>
    <col min="18" max="18" width="2.1640625" style="6" customWidth="1"/>
    <col min="19" max="19" width="3.6640625" style="5" customWidth="1"/>
    <col min="20" max="20" width="3.5" style="5" customWidth="1"/>
    <col min="21" max="21" width="9.5" style="7" customWidth="1"/>
    <col min="22" max="22" width="5.83203125" style="54" customWidth="1"/>
    <col min="23" max="23" width="2.83203125" customWidth="1"/>
    <col min="24" max="24" width="4.1640625" customWidth="1"/>
    <col min="25" max="25" width="1.5" style="6" customWidth="1"/>
    <col min="26" max="27" width="3.5" style="5" customWidth="1"/>
    <col min="28" max="28" width="9.5" style="7" customWidth="1"/>
    <col min="29" max="29" width="5.83203125" style="54" customWidth="1"/>
    <col min="30" max="30" width="2.83203125" customWidth="1"/>
    <col min="31" max="31" width="4" customWidth="1"/>
    <col min="32" max="32" width="1.1640625" style="6" customWidth="1"/>
    <col min="33" max="33" width="4.1640625" style="5" customWidth="1"/>
    <col min="34" max="34" width="3.5" style="5" customWidth="1"/>
    <col min="35" max="35" width="9.5" style="7" customWidth="1"/>
    <col min="36" max="36" width="5.83203125" style="54" customWidth="1"/>
    <col min="37" max="37" width="2.83203125" style="5" customWidth="1"/>
    <col min="38" max="38" width="4" customWidth="1"/>
    <col min="39" max="39" width="1.1640625" style="6" customWidth="1"/>
    <col min="40" max="40" width="4.1640625" style="5"/>
    <col min="41" max="41" width="3.5" style="5" customWidth="1"/>
    <col min="42" max="42" width="9.5" style="7" customWidth="1"/>
    <col min="43" max="43" width="5.83203125" style="54" customWidth="1"/>
    <col min="44" max="44" width="2.83203125" style="5" customWidth="1"/>
    <col min="45" max="45" width="4" customWidth="1"/>
    <col min="46" max="46" width="1.1640625" style="6" customWidth="1"/>
    <col min="47" max="47" width="4.1640625" style="5"/>
    <col min="48" max="48" width="3.5" style="5" customWidth="1"/>
    <col min="49" max="49" width="9.5" style="7" customWidth="1"/>
    <col min="50" max="50" width="5.83203125" style="54" customWidth="1"/>
    <col min="51" max="51" width="2.83203125" style="5" customWidth="1"/>
    <col min="52" max="52" width="4" customWidth="1"/>
    <col min="53" max="53" width="1.1640625" style="6" customWidth="1"/>
    <col min="54" max="54" width="4.1640625" style="5"/>
    <col min="55" max="55" width="3.5" style="5" customWidth="1"/>
    <col min="56" max="56" width="9.5" style="7" customWidth="1"/>
    <col min="57" max="57" width="5.83203125" style="54" customWidth="1"/>
    <col min="58" max="58" width="2.83203125" customWidth="1"/>
    <col min="59" max="59" width="4" customWidth="1"/>
    <col min="60" max="60" width="1.1640625" style="6" customWidth="1"/>
    <col min="61" max="61" width="4.1640625" style="5" customWidth="1"/>
    <col min="62" max="62" width="3.5" style="5" customWidth="1"/>
    <col min="63" max="63" width="9.5" style="7" customWidth="1"/>
    <col min="64" max="64" width="5.83203125" style="54" customWidth="1"/>
    <col min="65" max="65" width="2.83203125" style="5" customWidth="1"/>
    <col min="66" max="66" width="4" customWidth="1"/>
    <col min="67" max="67" width="1.1640625" style="6" customWidth="1"/>
    <col min="68" max="68" width="4.1640625" style="5"/>
    <col min="69" max="69" width="3.5" style="5" customWidth="1"/>
    <col min="70" max="70" width="9.5" style="7" customWidth="1"/>
    <col min="71" max="71" width="5.83203125" style="54" customWidth="1"/>
    <col min="72" max="72" width="2.83203125" style="5" customWidth="1"/>
    <col min="73" max="73" width="4" customWidth="1"/>
    <col min="74" max="74" width="1.1640625" style="6" customWidth="1"/>
    <col min="75" max="75" width="4.1640625" style="5"/>
    <col min="76" max="76" width="3.5" style="5" customWidth="1"/>
    <col min="77" max="77" width="9.5" style="7" customWidth="1"/>
    <col min="78" max="78" width="5.83203125" style="54" customWidth="1"/>
    <col min="79" max="79" width="2.83203125" style="5" customWidth="1"/>
    <col min="80" max="80" width="4" customWidth="1"/>
    <col min="81" max="81" width="1.1640625" style="6" customWidth="1"/>
    <col min="82" max="82" width="4.1640625" style="5"/>
    <col min="83" max="83" width="3.5" style="5" customWidth="1"/>
    <col min="84" max="84" width="9.5" style="7" customWidth="1"/>
    <col min="85" max="85" width="5.83203125" style="54" customWidth="1"/>
    <col min="86" max="86" width="2.83203125" customWidth="1"/>
    <col min="87" max="87" width="4" customWidth="1"/>
    <col min="88" max="88" width="1.1640625" style="6" customWidth="1"/>
    <col min="89" max="89" width="4.1640625" style="5" customWidth="1"/>
    <col min="90" max="90" width="3.5" style="5" customWidth="1"/>
    <col min="91" max="91" width="9.5" style="7" customWidth="1"/>
    <col min="92" max="92" width="5.83203125" style="54" customWidth="1"/>
    <col min="93" max="93" width="2.83203125" style="5" customWidth="1"/>
    <col min="94" max="94" width="4" customWidth="1"/>
    <col min="95" max="95" width="1.1640625" style="6" customWidth="1"/>
    <col min="96" max="96" width="4.1640625" style="5"/>
    <col min="97" max="97" width="3.5" style="5" customWidth="1"/>
    <col min="98" max="98" width="9.5" style="7" customWidth="1"/>
    <col min="99" max="99" width="5.83203125" style="54" customWidth="1"/>
    <col min="100" max="100" width="2.83203125" style="5" customWidth="1"/>
    <col min="101" max="101" width="4" customWidth="1"/>
    <col min="102" max="102" width="1.1640625" style="6" customWidth="1"/>
    <col min="103" max="103" width="4.1640625" style="5"/>
    <col min="104" max="104" width="3.5" style="5" customWidth="1"/>
    <col min="105" max="105" width="9.5" style="7" customWidth="1"/>
    <col min="106" max="106" width="5.83203125" style="54" customWidth="1"/>
    <col min="107" max="107" width="2.83203125" style="5" customWidth="1"/>
    <col min="108" max="108" width="4" customWidth="1"/>
    <col min="109" max="109" width="1.1640625" style="6" customWidth="1"/>
    <col min="110" max="110" width="4.1640625" style="5"/>
    <col min="111" max="111" width="3.5" style="5" customWidth="1"/>
    <col min="112" max="112" width="9.5" style="7" customWidth="1"/>
    <col min="113" max="113" width="5.83203125" style="54" customWidth="1"/>
    <col min="114" max="114" width="2.83203125" customWidth="1"/>
    <col min="115" max="115" width="4" customWidth="1"/>
    <col min="116" max="116" width="1.1640625" style="6" customWidth="1"/>
    <col min="117" max="117" width="4.1640625" style="5" customWidth="1"/>
    <col min="118" max="118" width="3.5" style="5" customWidth="1"/>
    <col min="119" max="119" width="9.5" style="7" customWidth="1"/>
    <col min="120" max="120" width="5.83203125" style="54" customWidth="1"/>
    <col min="121" max="121" width="2.83203125" style="5" customWidth="1"/>
    <col min="122" max="122" width="4" customWidth="1"/>
    <col min="123" max="123" width="1.1640625" style="6" customWidth="1"/>
    <col min="124" max="124" width="4.1640625" style="5"/>
    <col min="125" max="125" width="3.5" style="5" customWidth="1"/>
    <col min="126" max="126" width="9.5" style="7" customWidth="1"/>
    <col min="127" max="127" width="5.83203125" style="54" customWidth="1"/>
    <col min="128" max="128" width="2.83203125" style="5" customWidth="1"/>
    <col min="129" max="129" width="4" customWidth="1"/>
    <col min="130" max="130" width="1.1640625" style="6" customWidth="1"/>
    <col min="131" max="131" width="4.1640625" style="5"/>
    <col min="132" max="132" width="3.5" style="5" customWidth="1"/>
    <col min="133" max="133" width="9.5" style="7" customWidth="1"/>
    <col min="134" max="134" width="5.83203125" style="54" customWidth="1"/>
    <col min="135" max="135" width="2.83203125" style="5" customWidth="1"/>
    <col min="136" max="136" width="4" customWidth="1"/>
    <col min="137" max="137" width="1.1640625" style="6" customWidth="1"/>
    <col min="138" max="138" width="4.1640625" style="5"/>
    <col min="139" max="139" width="3.5" style="5" customWidth="1"/>
    <col min="140" max="140" width="9.5" style="7" customWidth="1"/>
    <col min="141" max="141" width="5.83203125" style="54" customWidth="1"/>
    <col min="142" max="142" width="2.83203125" customWidth="1"/>
    <col min="143" max="143" width="4" customWidth="1"/>
    <col min="144" max="144" width="1.1640625" style="6" customWidth="1"/>
    <col min="145" max="145" width="4.1640625" style="5" customWidth="1"/>
    <col min="146" max="146" width="3.5" style="5" customWidth="1"/>
    <col min="147" max="147" width="9.5" style="7" customWidth="1"/>
    <col min="148" max="148" width="5.83203125" style="54" customWidth="1"/>
    <col min="149" max="149" width="2.83203125" style="5" customWidth="1"/>
    <col min="150" max="150" width="4" customWidth="1"/>
    <col min="151" max="151" width="1.1640625" style="6" customWidth="1"/>
    <col min="152" max="152" width="4.1640625" style="5"/>
    <col min="153" max="153" width="3.5" style="5" customWidth="1"/>
    <col min="154" max="154" width="9.5" style="7" customWidth="1"/>
    <col min="155" max="155" width="5.83203125" style="54" customWidth="1"/>
    <col min="156" max="156" width="2.83203125" style="5" customWidth="1"/>
    <col min="157" max="157" width="4" customWidth="1"/>
    <col min="158" max="158" width="1.1640625" style="6" customWidth="1"/>
    <col min="159" max="159" width="4.1640625" style="5"/>
    <col min="160" max="160" width="3.5" style="5" customWidth="1"/>
    <col min="161" max="161" width="9.5" style="7" customWidth="1"/>
    <col min="162" max="162" width="5.83203125" style="54" customWidth="1"/>
    <col min="163" max="163" width="2.83203125" style="5" customWidth="1"/>
    <col min="164" max="164" width="4" customWidth="1"/>
    <col min="165" max="165" width="1.1640625" style="6" customWidth="1"/>
    <col min="166" max="166" width="4.1640625" style="5"/>
    <col min="167" max="167" width="3.5" style="5" customWidth="1"/>
    <col min="168" max="168" width="9.5" style="7" customWidth="1"/>
    <col min="169" max="169" width="5.83203125" style="54" customWidth="1"/>
    <col min="170" max="170" width="2.83203125" customWidth="1"/>
    <col min="171" max="171" width="4" customWidth="1"/>
    <col min="172" max="172" width="1.1640625" style="6" customWidth="1"/>
    <col min="173" max="173" width="4.1640625" style="5" customWidth="1"/>
    <col min="174" max="174" width="3.5" style="5" customWidth="1"/>
    <col min="175" max="175" width="9.5" style="7" customWidth="1"/>
    <col min="176" max="176" width="5.83203125" style="54" customWidth="1"/>
    <col min="177" max="177" width="2.83203125" style="5" customWidth="1"/>
    <col min="178" max="178" width="4" customWidth="1"/>
    <col min="179" max="179" width="1.1640625" style="6" customWidth="1"/>
    <col min="180" max="180" width="4.1640625" style="5"/>
    <col min="181" max="181" width="3.5" style="5" customWidth="1"/>
    <col min="182" max="182" width="9.5" style="7" customWidth="1"/>
    <col min="183" max="183" width="5.83203125" style="54" customWidth="1"/>
    <col min="184" max="184" width="2.83203125" style="5" customWidth="1"/>
    <col min="185" max="185" width="4" customWidth="1"/>
    <col min="186" max="186" width="1.1640625" style="6" customWidth="1"/>
    <col min="187" max="187" width="4.1640625" style="5"/>
    <col min="188" max="188" width="3.5" style="5" customWidth="1"/>
    <col min="189" max="189" width="9.5" style="7" customWidth="1"/>
    <col min="190" max="190" width="5.83203125" style="54" customWidth="1"/>
    <col min="191" max="191" width="2.83203125" style="5" customWidth="1"/>
    <col min="192" max="192" width="4" customWidth="1"/>
    <col min="193" max="193" width="1.1640625" style="6" customWidth="1"/>
    <col min="194" max="194" width="4.1640625" style="5"/>
    <col min="195" max="195" width="3.5" style="5" customWidth="1"/>
    <col min="196" max="196" width="9.5" style="7" customWidth="1"/>
    <col min="197" max="197" width="5.83203125" style="54" customWidth="1"/>
    <col min="198" max="198" width="2.83203125" customWidth="1"/>
    <col min="199" max="199" width="4" customWidth="1"/>
    <col min="200" max="200" width="1.1640625" style="6" customWidth="1"/>
    <col min="201" max="201" width="4.1640625" style="5" customWidth="1"/>
    <col min="202" max="202" width="3.5" style="5" customWidth="1"/>
    <col min="203" max="203" width="9.5" style="7" customWidth="1"/>
    <col min="204" max="204" width="5.83203125" style="54" customWidth="1"/>
    <col min="205" max="205" width="2.83203125" style="5" customWidth="1"/>
    <col min="206" max="206" width="4" customWidth="1"/>
    <col min="207" max="207" width="1.1640625" style="6" customWidth="1"/>
    <col min="208" max="208" width="4.1640625" style="5"/>
    <col min="209" max="209" width="3.5" style="5" customWidth="1"/>
    <col min="210" max="210" width="9.5" style="7" customWidth="1"/>
    <col min="211" max="211" width="5.83203125" style="54" customWidth="1"/>
    <col min="212" max="212" width="2.83203125" style="5" customWidth="1"/>
    <col min="213" max="213" width="4" customWidth="1"/>
    <col min="214" max="214" width="1.1640625" style="6" customWidth="1"/>
    <col min="215" max="215" width="4.1640625" style="5"/>
    <col min="216" max="216" width="3.5" style="5" customWidth="1"/>
    <col min="217" max="217" width="9.5" style="7" customWidth="1"/>
    <col min="218" max="218" width="5.83203125" style="54" customWidth="1"/>
    <col min="219" max="219" width="2.83203125" style="5" customWidth="1"/>
    <col min="220" max="220" width="4" customWidth="1"/>
    <col min="221" max="221" width="1.1640625" style="6" customWidth="1"/>
    <col min="222" max="222" width="4.1640625" style="5"/>
    <col min="223" max="223" width="3.5" style="5" customWidth="1"/>
    <col min="224" max="224" width="9.5" style="7" customWidth="1"/>
    <col min="225" max="225" width="5.83203125" style="54" customWidth="1"/>
    <col min="226" max="226" width="2.83203125" customWidth="1"/>
    <col min="227" max="227" width="4" customWidth="1"/>
    <col min="228" max="228" width="1.1640625" style="6" customWidth="1"/>
    <col min="229" max="229" width="4.1640625" style="5" customWidth="1"/>
    <col min="230" max="230" width="3.5" style="5" customWidth="1"/>
    <col min="231" max="231" width="9.5" style="7" customWidth="1"/>
    <col min="232" max="232" width="5.83203125" style="54" customWidth="1"/>
    <col min="233" max="233" width="2.83203125" style="5" customWidth="1"/>
    <col min="234" max="234" width="4" customWidth="1"/>
    <col min="235" max="235" width="1.1640625" style="6" customWidth="1"/>
    <col min="236" max="236" width="4.1640625" style="5"/>
    <col min="237" max="237" width="3.5" style="5" customWidth="1"/>
    <col min="238" max="238" width="9.5" style="7" customWidth="1"/>
    <col min="239" max="239" width="5.83203125" style="54" customWidth="1"/>
    <col min="240" max="240" width="2.83203125" style="5" customWidth="1"/>
    <col min="241" max="241" width="4" customWidth="1"/>
    <col min="242" max="242" width="1.1640625" style="6" customWidth="1"/>
    <col min="243" max="243" width="4.1640625" style="5"/>
    <col min="244" max="244" width="3.5" style="5" customWidth="1"/>
    <col min="245" max="245" width="9.5" style="7" customWidth="1"/>
    <col min="246" max="246" width="5.83203125" style="54" customWidth="1"/>
    <col min="247" max="247" width="2.83203125" style="5" customWidth="1"/>
    <col min="248" max="248" width="4" customWidth="1"/>
    <col min="249" max="249" width="1.1640625" style="6" customWidth="1"/>
    <col min="250" max="250" width="4.1640625" style="5"/>
    <col min="251" max="251" width="3.5" style="5" customWidth="1"/>
    <col min="252" max="252" width="9.5" style="7" customWidth="1"/>
    <col min="253" max="253" width="5.83203125" style="54" customWidth="1"/>
    <col min="254" max="254" width="2.83203125" customWidth="1"/>
    <col min="255" max="255" width="4" customWidth="1"/>
    <col min="256" max="256" width="1.1640625" style="6" customWidth="1"/>
    <col min="257" max="257" width="4.1640625" style="5" customWidth="1"/>
    <col min="258" max="258" width="3.5" style="5" customWidth="1"/>
    <col min="259" max="259" width="9.5" style="7" customWidth="1"/>
    <col min="260" max="260" width="5.83203125" style="54" customWidth="1"/>
    <col min="261" max="261" width="2.83203125" style="5" customWidth="1"/>
    <col min="262" max="262" width="4" customWidth="1"/>
    <col min="263" max="263" width="1.1640625" style="6" customWidth="1"/>
    <col min="264" max="264" width="4.1640625" style="5"/>
    <col min="265" max="265" width="3.5" style="5" customWidth="1"/>
    <col min="266" max="266" width="9.5" style="7" customWidth="1"/>
    <col min="267" max="267" width="5.83203125" style="54" customWidth="1"/>
    <col min="268" max="268" width="2.83203125" style="5" customWidth="1"/>
    <col min="269" max="269" width="4" customWidth="1"/>
    <col min="270" max="270" width="1.1640625" style="6" customWidth="1"/>
    <col min="271" max="271" width="4.1640625" style="5"/>
    <col min="272" max="272" width="3.5" style="5" customWidth="1"/>
    <col min="273" max="273" width="9.5" style="7" customWidth="1"/>
    <col min="274" max="274" width="5.83203125" style="54" customWidth="1"/>
    <col min="275" max="275" width="2.83203125" style="5" customWidth="1"/>
    <col min="276" max="276" width="4" customWidth="1"/>
    <col min="277" max="277" width="1.1640625" style="6" customWidth="1"/>
    <col min="278" max="278" width="4.1640625" style="5"/>
    <col min="279" max="279" width="3.5" style="5" customWidth="1"/>
    <col min="280" max="280" width="9.5" style="7" customWidth="1"/>
    <col min="281" max="281" width="5.83203125" style="54" customWidth="1"/>
    <col min="282" max="282" width="2.83203125" customWidth="1"/>
    <col min="283" max="283" width="4" customWidth="1"/>
    <col min="284" max="284" width="1.1640625" style="6" customWidth="1"/>
    <col min="285" max="285" width="4.1640625" style="5" customWidth="1"/>
    <col min="286" max="286" width="3.5" style="5" customWidth="1"/>
    <col min="287" max="287" width="9.5" style="7" customWidth="1"/>
    <col min="288" max="288" width="5.83203125" style="54" customWidth="1"/>
    <col min="289" max="289" width="2.83203125" style="5" customWidth="1"/>
    <col min="290" max="290" width="4" customWidth="1"/>
    <col min="291" max="291" width="1.1640625" style="6" customWidth="1"/>
    <col min="292" max="292" width="4.1640625" style="5"/>
    <col min="293" max="293" width="3.5" style="5" customWidth="1"/>
    <col min="294" max="294" width="9.5" style="7" customWidth="1"/>
    <col min="295" max="295" width="5.83203125" style="54" customWidth="1"/>
    <col min="296" max="296" width="2.83203125" style="5" customWidth="1"/>
    <col min="297" max="297" width="4" customWidth="1"/>
    <col min="298" max="298" width="1.1640625" style="6" customWidth="1"/>
    <col min="299" max="299" width="4.1640625" style="5"/>
    <col min="300" max="300" width="3.5" style="5" customWidth="1"/>
    <col min="301" max="301" width="9.5" style="7" customWidth="1"/>
    <col min="302" max="302" width="5.83203125" style="54" customWidth="1"/>
    <col min="303" max="303" width="2.83203125" style="5" customWidth="1"/>
    <col min="304" max="304" width="4" customWidth="1"/>
    <col min="305" max="305" width="1.1640625" style="6" customWidth="1"/>
    <col min="306" max="306" width="4.1640625" style="5"/>
    <col min="307" max="307" width="3.5" style="5" customWidth="1"/>
    <col min="308" max="308" width="9.5" style="7" customWidth="1"/>
    <col min="309" max="309" width="5.83203125" style="54" customWidth="1"/>
    <col min="310" max="310" width="2.83203125" style="5" customWidth="1"/>
    <col min="311" max="311" width="4" customWidth="1"/>
    <col min="312" max="312" width="1.1640625" style="6" customWidth="1"/>
    <col min="313" max="313" width="4.1640625" style="5"/>
    <col min="314" max="314" width="3.5" style="5" customWidth="1"/>
    <col min="315" max="315" width="9.5" style="7" customWidth="1"/>
    <col min="316" max="316" width="5.83203125" style="54" customWidth="1"/>
    <col min="317" max="317" width="2.83203125" style="5" customWidth="1"/>
    <col min="318" max="318" width="4" customWidth="1"/>
    <col min="319" max="319" width="1.1640625" style="6" customWidth="1"/>
    <col min="320" max="320" width="4.1640625" style="5"/>
    <col min="321" max="321" width="3.5" style="5" customWidth="1"/>
    <col min="322" max="322" width="9.5" style="7" customWidth="1"/>
    <col min="323" max="323" width="5.83203125" style="54" customWidth="1"/>
    <col min="324" max="324" width="2.83203125" style="5" customWidth="1"/>
    <col min="325" max="325" width="4" customWidth="1"/>
    <col min="326" max="326" width="1.1640625" style="6" customWidth="1"/>
    <col min="327" max="327" width="4.1640625" style="5"/>
    <col min="328" max="328" width="3.5" style="5" customWidth="1"/>
    <col min="329" max="329" width="9.5" style="7" customWidth="1"/>
    <col min="330" max="330" width="5.83203125" style="54" customWidth="1"/>
    <col min="331" max="331" width="2.83203125" style="5" customWidth="1"/>
    <col min="332" max="332" width="4" customWidth="1"/>
    <col min="333" max="333" width="1.1640625" style="6" customWidth="1"/>
    <col min="334" max="334" width="4.1640625" style="5"/>
    <col min="335" max="335" width="3.5" style="5" customWidth="1"/>
    <col min="336" max="336" width="9.5" style="7" customWidth="1"/>
    <col min="337" max="337" width="5.83203125" style="54" customWidth="1"/>
    <col min="338" max="338" width="2.83203125" style="5" customWidth="1"/>
    <col min="339" max="339" width="4" customWidth="1"/>
    <col min="340" max="340" width="1.1640625" style="6" customWidth="1"/>
    <col min="341" max="341" width="4.1640625" style="5"/>
    <col min="342" max="342" width="3.5" style="5" customWidth="1"/>
    <col min="343" max="343" width="9.5" style="7" customWidth="1"/>
    <col min="344" max="344" width="5.83203125" style="54" customWidth="1"/>
    <col min="345" max="345" width="2.83203125" style="5" customWidth="1"/>
    <col min="346" max="346" width="4" customWidth="1"/>
    <col min="347" max="347" width="1.1640625" style="6" customWidth="1"/>
    <col min="348" max="348" width="4.1640625" style="5"/>
    <col min="349" max="349" width="3.5" style="5" customWidth="1"/>
    <col min="350" max="350" width="9.5" style="7" customWidth="1"/>
    <col min="351" max="351" width="5.83203125" style="54" customWidth="1"/>
    <col min="352" max="352" width="2.83203125" style="5" customWidth="1"/>
    <col min="353" max="353" width="4" customWidth="1"/>
    <col min="354" max="354" width="1.1640625" style="6" customWidth="1"/>
    <col min="355" max="355" width="4.1640625" style="5"/>
    <col min="356" max="356" width="3.5" style="5" customWidth="1"/>
    <col min="357" max="357" width="9.5" style="7" customWidth="1"/>
    <col min="358" max="358" width="5.83203125" style="54" customWidth="1"/>
    <col min="359" max="359" width="2.83203125" style="5" customWidth="1"/>
    <col min="360" max="360" width="4" customWidth="1"/>
    <col min="361" max="361" width="1.1640625" style="6" customWidth="1"/>
    <col min="362" max="362" width="4.1640625" style="5"/>
    <col min="363" max="363" width="3.5" style="5" customWidth="1"/>
    <col min="364" max="364" width="9.5" style="7" customWidth="1"/>
    <col min="365" max="365" width="5.83203125" style="54" customWidth="1"/>
    <col min="366" max="366" width="2.83203125" style="5" customWidth="1"/>
    <col min="367" max="367" width="4" customWidth="1"/>
    <col min="368" max="368" width="1.1640625" style="6" customWidth="1"/>
    <col min="369" max="369" width="4.1640625" style="5"/>
    <col min="370" max="370" width="3.5" style="5" customWidth="1"/>
    <col min="371" max="371" width="9.5" style="7" customWidth="1"/>
    <col min="372" max="372" width="5.83203125" style="54" customWidth="1"/>
    <col min="373" max="373" width="2.83203125" style="5" customWidth="1"/>
    <col min="374" max="374" width="4" customWidth="1"/>
    <col min="375" max="375" width="1.1640625" style="6" customWidth="1"/>
    <col min="376" max="376" width="4.1640625" style="5"/>
    <col min="377" max="377" width="3.5" style="5" customWidth="1"/>
    <col min="378" max="378" width="9.5" style="7" customWidth="1"/>
    <col min="379" max="379" width="5.83203125" style="54" customWidth="1"/>
    <col min="380" max="380" width="2.83203125" style="5" customWidth="1"/>
    <col min="381" max="381" width="4" customWidth="1"/>
    <col min="382" max="382" width="1.1640625" style="6" customWidth="1"/>
    <col min="383" max="383" width="4.1640625" style="5"/>
    <col min="384" max="384" width="3.5" style="5" customWidth="1"/>
    <col min="385" max="385" width="9.5" style="7" customWidth="1"/>
    <col min="386" max="386" width="5.83203125" style="54" customWidth="1"/>
    <col min="387" max="387" width="2.83203125" style="5" customWidth="1"/>
    <col min="388" max="388" width="4" customWidth="1"/>
    <col min="389" max="389" width="1.1640625" style="6" customWidth="1"/>
    <col min="390" max="390" width="4.1640625" style="5"/>
    <col min="391" max="391" width="3.5" style="5" customWidth="1"/>
    <col min="392" max="392" width="9.5" style="7" customWidth="1"/>
    <col min="393" max="393" width="5.83203125" style="54" customWidth="1"/>
    <col min="394" max="394" width="2.83203125" style="5" customWidth="1"/>
    <col min="395" max="395" width="4" customWidth="1"/>
    <col min="396" max="396" width="1.1640625" style="6" customWidth="1"/>
    <col min="397" max="397" width="4.1640625" style="5"/>
    <col min="398" max="398" width="3.5" style="5" customWidth="1"/>
    <col min="399" max="399" width="9.5" style="7" customWidth="1"/>
    <col min="400" max="400" width="5.83203125" style="54" customWidth="1"/>
    <col min="401" max="401" width="2.83203125" style="5" customWidth="1"/>
    <col min="402" max="402" width="4" customWidth="1"/>
    <col min="403" max="403" width="1.1640625" style="6" customWidth="1"/>
    <col min="404" max="404" width="4.1640625" style="5"/>
    <col min="405" max="405" width="3.5" style="5" customWidth="1"/>
    <col min="406" max="406" width="9.5" style="7" customWidth="1"/>
    <col min="407" max="407" width="5.83203125" style="54" customWidth="1"/>
    <col min="408" max="408" width="2.83203125" style="5" customWidth="1"/>
    <col min="409" max="409" width="4" customWidth="1"/>
    <col min="410" max="410" width="1.1640625" style="6" customWidth="1"/>
    <col min="411" max="411" width="4.1640625" style="5"/>
    <col min="412" max="412" width="3.5" style="5" customWidth="1"/>
    <col min="413" max="413" width="9.5" style="7" customWidth="1"/>
    <col min="414" max="414" width="5.83203125" style="54" customWidth="1"/>
    <col min="415" max="415" width="2.83203125" style="5" customWidth="1"/>
    <col min="416" max="416" width="4" customWidth="1"/>
    <col min="417" max="417" width="1.1640625" style="6" customWidth="1"/>
    <col min="418" max="418" width="4.1640625" style="5"/>
    <col min="419" max="419" width="3.5" style="5" customWidth="1"/>
    <col min="420" max="420" width="9.5" style="7" customWidth="1"/>
    <col min="421" max="421" width="5.83203125" style="54" customWidth="1"/>
    <col min="422" max="422" width="2.83203125" style="5" customWidth="1"/>
    <col min="423" max="423" width="4" customWidth="1"/>
    <col min="424" max="424" width="1.1640625" style="6" customWidth="1"/>
    <col min="425" max="425" width="4.1640625" style="5"/>
    <col min="426" max="426" width="3.5" style="5" customWidth="1"/>
    <col min="427" max="427" width="9.5" style="7" customWidth="1"/>
    <col min="428" max="428" width="5.83203125" style="54" customWidth="1"/>
    <col min="429" max="429" width="2.83203125" style="5" customWidth="1"/>
    <col min="430" max="430" width="4" customWidth="1"/>
    <col min="431" max="431" width="1.1640625" style="6" customWidth="1"/>
    <col min="432" max="432" width="4.1640625" style="5"/>
    <col min="433" max="433" width="3.5" style="5" customWidth="1"/>
    <col min="434" max="434" width="9.5" style="7" customWidth="1"/>
    <col min="435" max="435" width="5.83203125" style="54" customWidth="1"/>
    <col min="436" max="436" width="2.83203125" style="5" customWidth="1"/>
    <col min="437" max="437" width="4" customWidth="1"/>
    <col min="438" max="438" width="1.1640625" style="6" customWidth="1"/>
    <col min="439" max="439" width="4.1640625" style="5"/>
    <col min="440" max="440" width="3.5" style="5" customWidth="1"/>
    <col min="441" max="441" width="9.5" style="7" customWidth="1"/>
    <col min="442" max="442" width="5.83203125" style="54" customWidth="1"/>
    <col min="443" max="443" width="2.83203125" style="5" customWidth="1"/>
    <col min="444" max="444" width="4" customWidth="1"/>
    <col min="445" max="445" width="1.1640625" style="6" customWidth="1"/>
    <col min="446" max="446" width="4.1640625" style="5"/>
    <col min="447" max="447" width="3.5" style="5" customWidth="1"/>
    <col min="448" max="448" width="9.5" style="7" customWidth="1"/>
    <col min="449" max="449" width="5.83203125" style="54" customWidth="1"/>
    <col min="450" max="450" width="2.83203125" style="5" customWidth="1"/>
    <col min="451" max="451" width="4" customWidth="1"/>
    <col min="452" max="452" width="1.1640625" style="6" customWidth="1"/>
    <col min="453" max="453" width="4.1640625" style="5"/>
    <col min="454" max="454" width="3.5" style="5" customWidth="1"/>
    <col min="455" max="455" width="9.5" style="7" customWidth="1"/>
    <col min="456" max="456" width="5.83203125" style="54" customWidth="1"/>
    <col min="457" max="457" width="2.83203125" style="5" customWidth="1"/>
    <col min="458" max="458" width="4" customWidth="1"/>
    <col min="459" max="459" width="1.1640625" style="6" customWidth="1"/>
    <col min="460" max="460" width="4.1640625" style="5"/>
    <col min="461" max="461" width="3.5" style="5" customWidth="1"/>
    <col min="462" max="462" width="9.5" style="7" customWidth="1"/>
    <col min="463" max="463" width="5.83203125" style="54" customWidth="1"/>
    <col min="464" max="464" width="2.83203125" style="5" customWidth="1"/>
    <col min="465" max="465" width="4" customWidth="1"/>
    <col min="466" max="466" width="1.1640625" style="6" customWidth="1"/>
    <col min="467" max="467" width="4.1640625" style="5"/>
    <col min="468" max="468" width="3.5" style="5" customWidth="1"/>
    <col min="469" max="469" width="9.5" style="7" customWidth="1"/>
    <col min="470" max="470" width="5.83203125" style="54" customWidth="1"/>
    <col min="471" max="471" width="2.83203125" style="5" customWidth="1"/>
    <col min="472" max="472" width="4" customWidth="1"/>
    <col min="473" max="473" width="1.1640625" style="6" customWidth="1"/>
    <col min="474" max="474" width="4.1640625" style="5"/>
    <col min="475" max="475" width="3.5" style="5" customWidth="1"/>
    <col min="476" max="476" width="9.5" style="7" customWidth="1"/>
    <col min="477" max="477" width="5.83203125" style="54" customWidth="1"/>
    <col min="478" max="478" width="2.83203125" style="5" customWidth="1"/>
    <col min="479" max="479" width="4" customWidth="1"/>
    <col min="480" max="480" width="1.1640625" style="6" customWidth="1"/>
    <col min="481" max="481" width="4.1640625" style="5"/>
    <col min="482" max="482" width="3.5" style="5" customWidth="1"/>
    <col min="483" max="483" width="9.5" style="7" customWidth="1"/>
    <col min="484" max="484" width="5.83203125" style="54" customWidth="1"/>
    <col min="485" max="485" width="2.83203125" style="5" customWidth="1"/>
    <col min="486" max="486" width="4" customWidth="1"/>
    <col min="487" max="487" width="1.1640625" style="6" customWidth="1"/>
    <col min="488" max="488" width="4.1640625" style="5"/>
    <col min="489" max="489" width="3.5" style="5" customWidth="1"/>
    <col min="490" max="490" width="9.5" style="7" customWidth="1"/>
    <col min="491" max="491" width="5.83203125" style="54" customWidth="1"/>
    <col min="492" max="492" width="2.83203125" style="5" customWidth="1"/>
    <col min="493" max="493" width="4" customWidth="1"/>
    <col min="494" max="494" width="1.1640625" style="6" customWidth="1"/>
    <col min="495" max="495" width="4.1640625" style="5"/>
    <col min="496" max="496" width="3.5" style="5" customWidth="1"/>
    <col min="497" max="497" width="9.5" style="7" customWidth="1"/>
    <col min="498" max="498" width="5.83203125" style="54" customWidth="1"/>
    <col min="499" max="499" width="2.83203125" style="5" customWidth="1"/>
    <col min="500" max="500" width="4" customWidth="1"/>
    <col min="501" max="501" width="1.1640625" style="6" customWidth="1"/>
    <col min="502" max="502" width="4.1640625" style="5"/>
    <col min="503" max="503" width="3.5" style="5" customWidth="1"/>
    <col min="504" max="504" width="9.5" style="7" customWidth="1"/>
    <col min="505" max="505" width="5.83203125" style="54" customWidth="1"/>
    <col min="506" max="506" width="2.83203125" style="5" customWidth="1"/>
    <col min="507" max="507" width="4" customWidth="1"/>
    <col min="508" max="508" width="1.1640625" style="6" customWidth="1"/>
    <col min="509" max="509" width="4.1640625" style="5"/>
    <col min="510" max="510" width="3.5" style="5" customWidth="1"/>
    <col min="511" max="511" width="9.5" style="7" customWidth="1"/>
    <col min="512" max="512" width="5.83203125" style="54" customWidth="1"/>
    <col min="513" max="16384" width="4.1640625" style="5"/>
  </cols>
  <sheetData>
    <row r="1" spans="1:512" ht="15" customHeight="1" thickBot="1" x14ac:dyDescent="0.2">
      <c r="A1" s="132"/>
      <c r="C1" s="9" t="s">
        <v>66</v>
      </c>
      <c r="D1" s="10"/>
      <c r="E1" s="11"/>
      <c r="F1" s="12"/>
      <c r="G1" s="13"/>
      <c r="H1" s="14"/>
      <c r="I1" s="15"/>
      <c r="J1" s="11"/>
      <c r="K1" s="12"/>
      <c r="L1" s="13"/>
      <c r="M1" s="13"/>
      <c r="N1" s="14"/>
      <c r="O1" s="15"/>
      <c r="P1" s="15"/>
      <c r="Q1" s="11"/>
      <c r="R1" s="12"/>
      <c r="S1" s="13"/>
      <c r="T1" s="13"/>
      <c r="U1" s="14"/>
      <c r="V1" s="15"/>
      <c r="W1" s="5"/>
      <c r="X1" s="11"/>
      <c r="Y1" s="12"/>
      <c r="Z1" s="13"/>
      <c r="AA1" s="13"/>
      <c r="AB1" s="14"/>
      <c r="AC1" s="15"/>
      <c r="AD1" s="5"/>
      <c r="AE1" s="11"/>
      <c r="AF1" s="12"/>
      <c r="AG1" s="13"/>
      <c r="AH1" s="13"/>
      <c r="AI1" s="14"/>
      <c r="AJ1" s="15"/>
      <c r="AL1" s="11"/>
      <c r="AM1" s="12"/>
      <c r="AN1" s="13"/>
      <c r="AO1" s="13"/>
      <c r="AP1" s="14"/>
      <c r="AQ1" s="15"/>
      <c r="AS1" s="11"/>
      <c r="AT1" s="12"/>
      <c r="AU1" s="13"/>
      <c r="AV1" s="13"/>
      <c r="AW1" s="14"/>
      <c r="AX1" s="15"/>
      <c r="AZ1" s="11"/>
      <c r="BA1" s="12"/>
      <c r="BB1" s="13"/>
      <c r="BC1" s="13"/>
      <c r="BD1" s="14"/>
      <c r="BE1" s="15"/>
      <c r="BF1" s="5"/>
      <c r="BG1" s="11"/>
      <c r="BH1" s="12"/>
      <c r="BI1" s="13"/>
      <c r="BJ1" s="13"/>
      <c r="BK1" s="14"/>
      <c r="BL1" s="15"/>
      <c r="BN1" s="11"/>
      <c r="BO1" s="12"/>
      <c r="BP1" s="13"/>
      <c r="BQ1" s="13"/>
      <c r="BR1" s="14"/>
      <c r="BS1" s="15"/>
      <c r="BU1" s="11"/>
      <c r="BV1" s="12"/>
      <c r="BW1" s="13"/>
      <c r="BX1" s="13"/>
      <c r="BY1" s="14"/>
      <c r="BZ1" s="15"/>
      <c r="CB1" s="11"/>
      <c r="CC1" s="12"/>
      <c r="CD1" s="13"/>
      <c r="CE1" s="13"/>
      <c r="CF1" s="14"/>
      <c r="CG1" s="15"/>
      <c r="CH1" s="5"/>
      <c r="CI1" s="11"/>
      <c r="CJ1" s="12"/>
      <c r="CK1" s="13"/>
      <c r="CL1" s="13"/>
      <c r="CM1" s="14"/>
      <c r="CN1" s="15"/>
      <c r="CP1" s="11"/>
      <c r="CQ1" s="12"/>
      <c r="CR1" s="13"/>
      <c r="CS1" s="13"/>
      <c r="CT1" s="14"/>
      <c r="CU1" s="15"/>
      <c r="CW1" s="11"/>
      <c r="CX1" s="12"/>
      <c r="CY1" s="13"/>
      <c r="CZ1" s="13"/>
      <c r="DA1" s="14"/>
      <c r="DB1" s="15"/>
      <c r="DD1" s="11"/>
      <c r="DE1" s="12"/>
      <c r="DF1" s="13"/>
      <c r="DG1" s="13"/>
      <c r="DH1" s="14"/>
      <c r="DI1" s="15"/>
      <c r="DJ1" s="5"/>
      <c r="DK1" s="11"/>
      <c r="DL1" s="12"/>
      <c r="DM1" s="13"/>
      <c r="DN1" s="13"/>
      <c r="DO1" s="14"/>
      <c r="DP1" s="15"/>
      <c r="DR1" s="11"/>
      <c r="DS1" s="12"/>
      <c r="DT1" s="13"/>
      <c r="DU1" s="13"/>
      <c r="DV1" s="14"/>
      <c r="DW1" s="15"/>
      <c r="DY1" s="11"/>
      <c r="DZ1" s="12"/>
      <c r="EA1" s="13"/>
      <c r="EB1" s="13"/>
      <c r="EC1" s="14"/>
      <c r="ED1" s="15"/>
      <c r="EF1" s="11"/>
      <c r="EG1" s="12"/>
      <c r="EH1" s="13"/>
      <c r="EI1" s="13"/>
      <c r="EJ1" s="14"/>
      <c r="EK1" s="15"/>
      <c r="EL1" s="5"/>
      <c r="EM1" s="11"/>
      <c r="EN1" s="12"/>
      <c r="EO1" s="13"/>
      <c r="EP1" s="13"/>
      <c r="EQ1" s="14"/>
      <c r="ER1" s="15"/>
      <c r="ET1" s="11"/>
      <c r="EU1" s="12"/>
      <c r="EV1" s="13"/>
      <c r="EW1" s="13"/>
      <c r="EX1" s="14"/>
      <c r="EY1" s="15"/>
      <c r="FA1" s="11"/>
      <c r="FB1" s="12"/>
      <c r="FC1" s="13"/>
      <c r="FD1" s="13"/>
      <c r="FE1" s="14"/>
      <c r="FF1" s="15"/>
      <c r="FH1" s="11"/>
      <c r="FI1" s="12"/>
      <c r="FJ1" s="13"/>
      <c r="FK1" s="13"/>
      <c r="FL1" s="14"/>
      <c r="FM1" s="15"/>
      <c r="FN1" s="5"/>
      <c r="FO1" s="11"/>
      <c r="FP1" s="12"/>
      <c r="FQ1" s="13"/>
      <c r="FR1" s="13"/>
      <c r="FS1" s="14"/>
      <c r="FT1" s="15"/>
      <c r="FV1" s="11"/>
      <c r="FW1" s="12"/>
      <c r="FX1" s="13"/>
      <c r="FY1" s="13"/>
      <c r="FZ1" s="14"/>
      <c r="GA1" s="15"/>
      <c r="GC1" s="11"/>
      <c r="GD1" s="12"/>
      <c r="GE1" s="13"/>
      <c r="GF1" s="13"/>
      <c r="GG1" s="14"/>
      <c r="GH1" s="15"/>
      <c r="GJ1" s="11"/>
      <c r="GK1" s="12"/>
      <c r="GL1" s="13"/>
      <c r="GM1" s="13"/>
      <c r="GN1" s="14"/>
      <c r="GO1" s="15"/>
      <c r="GP1" s="5"/>
      <c r="GQ1" s="11"/>
      <c r="GR1" s="12"/>
      <c r="GS1" s="13"/>
      <c r="GT1" s="13"/>
      <c r="GU1" s="14"/>
      <c r="GV1" s="15"/>
      <c r="GX1" s="11"/>
      <c r="GY1" s="12"/>
      <c r="GZ1" s="13"/>
      <c r="HA1" s="13"/>
      <c r="HB1" s="14"/>
      <c r="HC1" s="15"/>
      <c r="HE1" s="11"/>
      <c r="HF1" s="12"/>
      <c r="HG1" s="13"/>
      <c r="HH1" s="13"/>
      <c r="HI1" s="14"/>
      <c r="HJ1" s="15"/>
      <c r="HL1" s="11"/>
      <c r="HM1" s="12"/>
      <c r="HN1" s="13"/>
      <c r="HO1" s="13"/>
      <c r="HP1" s="14"/>
      <c r="HQ1" s="15"/>
      <c r="HR1" s="5"/>
      <c r="HS1" s="11"/>
      <c r="HT1" s="12"/>
      <c r="HU1" s="13"/>
      <c r="HV1" s="13"/>
      <c r="HW1" s="14"/>
      <c r="HX1" s="15"/>
      <c r="HZ1" s="11"/>
      <c r="IA1" s="12"/>
      <c r="IB1" s="13"/>
      <c r="IC1" s="13"/>
      <c r="ID1" s="14"/>
      <c r="IE1" s="15"/>
      <c r="IG1" s="11"/>
      <c r="IH1" s="12"/>
      <c r="II1" s="13"/>
      <c r="IJ1" s="13"/>
      <c r="IK1" s="14"/>
      <c r="IL1" s="15"/>
      <c r="IN1" s="11"/>
      <c r="IO1" s="12"/>
      <c r="IP1" s="13"/>
      <c r="IQ1" s="13"/>
      <c r="IR1" s="14"/>
      <c r="IS1" s="15"/>
      <c r="IT1" s="5"/>
      <c r="IU1" s="11"/>
      <c r="IV1" s="12"/>
      <c r="IW1" s="13"/>
      <c r="IX1" s="13"/>
      <c r="IY1" s="14"/>
      <c r="IZ1" s="15"/>
      <c r="JB1" s="11"/>
      <c r="JC1" s="12"/>
      <c r="JD1" s="13"/>
      <c r="JE1" s="13"/>
      <c r="JF1" s="14"/>
      <c r="JG1" s="15"/>
      <c r="JI1" s="11"/>
      <c r="JJ1" s="12"/>
      <c r="JK1" s="13"/>
      <c r="JL1" s="13"/>
      <c r="JM1" s="14"/>
      <c r="JN1" s="15"/>
      <c r="JP1" s="11"/>
      <c r="JQ1" s="12"/>
      <c r="JR1" s="13"/>
      <c r="JS1" s="13"/>
      <c r="JT1" s="14"/>
      <c r="JU1" s="15"/>
      <c r="JV1" s="5"/>
      <c r="JW1" s="11"/>
      <c r="JX1" s="12"/>
      <c r="JY1" s="13"/>
      <c r="JZ1" s="13"/>
      <c r="KA1" s="14"/>
      <c r="KB1" s="15"/>
      <c r="KD1" s="11"/>
      <c r="KE1" s="12"/>
      <c r="KF1" s="13"/>
      <c r="KG1" s="13"/>
      <c r="KH1" s="14"/>
      <c r="KI1" s="15"/>
      <c r="KK1" s="11"/>
      <c r="KL1" s="12"/>
      <c r="KM1" s="13"/>
      <c r="KN1" s="13"/>
      <c r="KO1" s="14"/>
      <c r="KP1" s="15"/>
      <c r="KR1" s="11"/>
      <c r="KS1" s="12"/>
      <c r="KT1" s="13"/>
      <c r="KU1" s="13"/>
      <c r="KV1" s="14"/>
      <c r="KW1" s="15"/>
      <c r="KY1" s="11"/>
      <c r="KZ1" s="12"/>
      <c r="LA1" s="13"/>
      <c r="LB1" s="13"/>
      <c r="LC1" s="14"/>
      <c r="LD1" s="15"/>
      <c r="LF1" s="11"/>
      <c r="LG1" s="12"/>
      <c r="LH1" s="13"/>
      <c r="LI1" s="13"/>
      <c r="LJ1" s="14"/>
      <c r="LK1" s="15"/>
      <c r="LM1" s="11"/>
      <c r="LN1" s="12"/>
      <c r="LO1" s="13"/>
      <c r="LP1" s="13"/>
      <c r="LQ1" s="14"/>
      <c r="LR1" s="15"/>
      <c r="LT1" s="11"/>
      <c r="LU1" s="12"/>
      <c r="LV1" s="13"/>
      <c r="LW1" s="13"/>
      <c r="LX1" s="14"/>
      <c r="LY1" s="15"/>
      <c r="MA1" s="11"/>
      <c r="MB1" s="12"/>
      <c r="MC1" s="13"/>
      <c r="MD1" s="13"/>
      <c r="ME1" s="14"/>
      <c r="MF1" s="15"/>
      <c r="MH1" s="11"/>
      <c r="MI1" s="12"/>
      <c r="MJ1" s="13"/>
      <c r="MK1" s="13"/>
      <c r="ML1" s="14"/>
      <c r="MM1" s="15"/>
      <c r="MO1" s="11"/>
      <c r="MP1" s="12"/>
      <c r="MQ1" s="13"/>
      <c r="MR1" s="13"/>
      <c r="MS1" s="14"/>
      <c r="MT1" s="15"/>
      <c r="MV1" s="11"/>
      <c r="MW1" s="12"/>
      <c r="MX1" s="13"/>
      <c r="MY1" s="13"/>
      <c r="MZ1" s="14"/>
      <c r="NA1" s="15"/>
      <c r="NC1" s="11"/>
      <c r="ND1" s="12"/>
      <c r="NE1" s="13"/>
      <c r="NF1" s="13"/>
      <c r="NG1" s="14"/>
      <c r="NH1" s="15"/>
      <c r="NJ1" s="11"/>
      <c r="NK1" s="12"/>
      <c r="NL1" s="13"/>
      <c r="NM1" s="13"/>
      <c r="NN1" s="14"/>
      <c r="NO1" s="15"/>
      <c r="NQ1" s="11"/>
      <c r="NR1" s="12"/>
      <c r="NS1" s="13"/>
      <c r="NT1" s="13"/>
      <c r="NU1" s="14"/>
      <c r="NV1" s="15"/>
      <c r="NX1" s="11"/>
      <c r="NY1" s="12"/>
      <c r="NZ1" s="13"/>
      <c r="OA1" s="13"/>
      <c r="OB1" s="14"/>
      <c r="OC1" s="15"/>
      <c r="OE1" s="11"/>
      <c r="OF1" s="12"/>
      <c r="OG1" s="13"/>
      <c r="OH1" s="13"/>
      <c r="OI1" s="14"/>
      <c r="OJ1" s="15"/>
      <c r="OL1" s="11"/>
      <c r="OM1" s="12"/>
      <c r="ON1" s="13"/>
      <c r="OO1" s="13"/>
      <c r="OP1" s="14"/>
      <c r="OQ1" s="15"/>
      <c r="OS1" s="11"/>
      <c r="OT1" s="12"/>
      <c r="OU1" s="13"/>
      <c r="OV1" s="13"/>
      <c r="OW1" s="14"/>
      <c r="OX1" s="15"/>
      <c r="OZ1" s="11"/>
      <c r="PA1" s="12"/>
      <c r="PB1" s="13"/>
      <c r="PC1" s="13"/>
      <c r="PD1" s="14"/>
      <c r="PE1" s="15"/>
      <c r="PG1" s="11"/>
      <c r="PH1" s="12"/>
      <c r="PI1" s="13"/>
      <c r="PJ1" s="13"/>
      <c r="PK1" s="14"/>
      <c r="PL1" s="15"/>
      <c r="PN1" s="11"/>
      <c r="PO1" s="12"/>
      <c r="PP1" s="13"/>
      <c r="PQ1" s="13"/>
      <c r="PR1" s="14"/>
      <c r="PS1" s="15"/>
      <c r="PU1" s="11"/>
      <c r="PV1" s="12"/>
      <c r="PW1" s="13"/>
      <c r="PX1" s="13"/>
      <c r="PY1" s="14"/>
      <c r="PZ1" s="15"/>
      <c r="QB1" s="11"/>
      <c r="QC1" s="12"/>
      <c r="QD1" s="13"/>
      <c r="QE1" s="13"/>
      <c r="QF1" s="14"/>
      <c r="QG1" s="15"/>
      <c r="QI1" s="11"/>
      <c r="QJ1" s="12"/>
      <c r="QK1" s="13"/>
      <c r="QL1" s="13"/>
      <c r="QM1" s="14"/>
      <c r="QN1" s="15"/>
      <c r="QP1" s="11"/>
      <c r="QQ1" s="12"/>
      <c r="QR1" s="13"/>
      <c r="QS1" s="13"/>
      <c r="QT1" s="14"/>
      <c r="QU1" s="15"/>
      <c r="QW1" s="11"/>
      <c r="QX1" s="12"/>
      <c r="QY1" s="13"/>
      <c r="QZ1" s="13"/>
      <c r="RA1" s="14"/>
      <c r="RB1" s="15"/>
      <c r="RD1" s="11"/>
      <c r="RE1" s="12"/>
      <c r="RF1" s="13"/>
      <c r="RG1" s="13"/>
      <c r="RH1" s="14"/>
      <c r="RI1" s="15"/>
      <c r="RK1" s="11"/>
      <c r="RL1" s="12"/>
      <c r="RM1" s="13"/>
      <c r="RN1" s="13"/>
      <c r="RO1" s="14"/>
      <c r="RP1" s="15"/>
      <c r="RR1" s="11"/>
      <c r="RS1" s="12"/>
      <c r="RT1" s="13"/>
      <c r="RU1" s="13"/>
      <c r="RV1" s="14"/>
      <c r="RW1" s="15"/>
      <c r="RY1" s="11"/>
      <c r="RZ1" s="12"/>
      <c r="SA1" s="13"/>
      <c r="SB1" s="13"/>
      <c r="SC1" s="14"/>
      <c r="SD1" s="15"/>
      <c r="SF1" s="11"/>
      <c r="SG1" s="12"/>
      <c r="SH1" s="13"/>
      <c r="SI1" s="13"/>
      <c r="SJ1" s="14"/>
      <c r="SK1" s="15"/>
      <c r="SM1" s="11"/>
      <c r="SN1" s="12"/>
      <c r="SO1" s="13"/>
      <c r="SP1" s="13"/>
      <c r="SQ1" s="14"/>
      <c r="SR1" s="15"/>
    </row>
    <row r="2" spans="1:512" ht="12.75" customHeight="1" x14ac:dyDescent="0.15">
      <c r="A2" s="132"/>
      <c r="B2" s="10"/>
      <c r="C2" s="10"/>
      <c r="D2" s="10"/>
      <c r="E2" s="136" t="s">
        <v>0</v>
      </c>
      <c r="F2" s="136"/>
      <c r="G2" s="136"/>
      <c r="H2" s="16"/>
      <c r="I2" s="15"/>
      <c r="J2" s="127" t="s">
        <v>312</v>
      </c>
      <c r="K2" s="127"/>
      <c r="L2" s="127"/>
      <c r="M2" s="127"/>
      <c r="N2" s="127"/>
      <c r="O2" s="17"/>
      <c r="P2" s="15"/>
      <c r="Q2" s="127" t="s">
        <v>313</v>
      </c>
      <c r="R2" s="128"/>
      <c r="S2" s="128"/>
      <c r="T2" s="128"/>
      <c r="U2" s="128"/>
      <c r="V2" s="17"/>
      <c r="W2" s="5"/>
      <c r="X2" s="127" t="s">
        <v>316</v>
      </c>
      <c r="Y2" s="128"/>
      <c r="Z2" s="128"/>
      <c r="AA2" s="128"/>
      <c r="AB2" s="128"/>
      <c r="AC2" s="17"/>
      <c r="AD2" s="5"/>
      <c r="AE2" s="127" t="s">
        <v>318</v>
      </c>
      <c r="AF2" s="128"/>
      <c r="AG2" s="128"/>
      <c r="AH2" s="128"/>
      <c r="AI2" s="128"/>
      <c r="AJ2" s="17"/>
      <c r="AL2" s="127" t="s">
        <v>319</v>
      </c>
      <c r="AM2" s="128"/>
      <c r="AN2" s="128"/>
      <c r="AO2" s="128"/>
      <c r="AP2" s="128"/>
      <c r="AQ2" s="17"/>
      <c r="AS2" s="127" t="s">
        <v>325</v>
      </c>
      <c r="AT2" s="128"/>
      <c r="AU2" s="128"/>
      <c r="AV2" s="128"/>
      <c r="AW2" s="128"/>
      <c r="AX2" s="17"/>
      <c r="AZ2" s="127" t="s">
        <v>320</v>
      </c>
      <c r="BA2" s="128"/>
      <c r="BB2" s="128"/>
      <c r="BC2" s="128"/>
      <c r="BD2" s="128"/>
      <c r="BE2" s="17"/>
      <c r="BF2" s="5"/>
      <c r="BG2" s="127" t="s">
        <v>326</v>
      </c>
      <c r="BH2" s="128"/>
      <c r="BI2" s="128"/>
      <c r="BJ2" s="128"/>
      <c r="BK2" s="128"/>
      <c r="BL2" s="17"/>
      <c r="BN2" s="127" t="s">
        <v>327</v>
      </c>
      <c r="BO2" s="128"/>
      <c r="BP2" s="128"/>
      <c r="BQ2" s="128"/>
      <c r="BR2" s="128"/>
      <c r="BS2" s="17"/>
      <c r="BU2" s="127" t="s">
        <v>330</v>
      </c>
      <c r="BV2" s="128"/>
      <c r="BW2" s="128"/>
      <c r="BX2" s="128"/>
      <c r="BY2" s="128"/>
      <c r="BZ2" s="17"/>
      <c r="CB2" s="127" t="s">
        <v>331</v>
      </c>
      <c r="CC2" s="128"/>
      <c r="CD2" s="128"/>
      <c r="CE2" s="128"/>
      <c r="CF2" s="128"/>
      <c r="CG2" s="17"/>
      <c r="CH2" s="5"/>
      <c r="CI2" s="127" t="s">
        <v>332</v>
      </c>
      <c r="CJ2" s="128"/>
      <c r="CK2" s="128"/>
      <c r="CL2" s="128"/>
      <c r="CM2" s="128"/>
      <c r="CN2" s="17"/>
      <c r="CP2" s="127" t="s">
        <v>333</v>
      </c>
      <c r="CQ2" s="128"/>
      <c r="CR2" s="128"/>
      <c r="CS2" s="128"/>
      <c r="CT2" s="128"/>
      <c r="CU2" s="17"/>
      <c r="CW2" s="127" t="s">
        <v>334</v>
      </c>
      <c r="CX2" s="128"/>
      <c r="CY2" s="128"/>
      <c r="CZ2" s="128"/>
      <c r="DA2" s="128"/>
      <c r="DB2" s="17"/>
      <c r="DD2" s="127" t="s">
        <v>582</v>
      </c>
      <c r="DE2" s="128"/>
      <c r="DF2" s="128"/>
      <c r="DG2" s="128"/>
      <c r="DH2" s="128"/>
      <c r="DI2" s="17"/>
      <c r="DJ2" s="5"/>
      <c r="DK2" s="127" t="s">
        <v>335</v>
      </c>
      <c r="DL2" s="128"/>
      <c r="DM2" s="128"/>
      <c r="DN2" s="128"/>
      <c r="DO2" s="128"/>
      <c r="DP2" s="17"/>
      <c r="DR2" s="127" t="s">
        <v>336</v>
      </c>
      <c r="DS2" s="128"/>
      <c r="DT2" s="128"/>
      <c r="DU2" s="128"/>
      <c r="DV2" s="128"/>
      <c r="DW2" s="17"/>
      <c r="DY2" s="127" t="s">
        <v>337</v>
      </c>
      <c r="DZ2" s="128"/>
      <c r="EA2" s="128"/>
      <c r="EB2" s="128"/>
      <c r="EC2" s="128"/>
      <c r="ED2" s="17"/>
      <c r="EF2" s="127" t="s">
        <v>338</v>
      </c>
      <c r="EG2" s="128"/>
      <c r="EH2" s="128"/>
      <c r="EI2" s="128"/>
      <c r="EJ2" s="128"/>
      <c r="EK2" s="17"/>
      <c r="EL2" s="5"/>
      <c r="EM2" s="127" t="s">
        <v>339</v>
      </c>
      <c r="EN2" s="128"/>
      <c r="EO2" s="128"/>
      <c r="EP2" s="128"/>
      <c r="EQ2" s="128"/>
      <c r="ER2" s="17"/>
      <c r="ET2" s="127" t="s">
        <v>593</v>
      </c>
      <c r="EU2" s="128"/>
      <c r="EV2" s="128"/>
      <c r="EW2" s="128"/>
      <c r="EX2" s="128"/>
      <c r="EY2" s="17"/>
      <c r="FA2" s="127" t="s">
        <v>340</v>
      </c>
      <c r="FB2" s="128"/>
      <c r="FC2" s="128"/>
      <c r="FD2" s="128"/>
      <c r="FE2" s="128"/>
      <c r="FF2" s="17"/>
      <c r="FH2" s="127" t="s">
        <v>613</v>
      </c>
      <c r="FI2" s="128"/>
      <c r="FJ2" s="128"/>
      <c r="FK2" s="128"/>
      <c r="FL2" s="128"/>
      <c r="FM2" s="17"/>
      <c r="FN2" s="5"/>
      <c r="FO2" s="127" t="s">
        <v>342</v>
      </c>
      <c r="FP2" s="128"/>
      <c r="FQ2" s="128"/>
      <c r="FR2" s="128"/>
      <c r="FS2" s="128"/>
      <c r="FT2" s="17"/>
      <c r="FV2" s="127" t="s">
        <v>344</v>
      </c>
      <c r="FW2" s="128"/>
      <c r="FX2" s="128"/>
      <c r="FY2" s="128"/>
      <c r="FZ2" s="128"/>
      <c r="GA2" s="17"/>
      <c r="GC2" s="127" t="s">
        <v>345</v>
      </c>
      <c r="GD2" s="128"/>
      <c r="GE2" s="128"/>
      <c r="GF2" s="128"/>
      <c r="GG2" s="128"/>
      <c r="GH2" s="17"/>
      <c r="GJ2" s="127" t="s">
        <v>548</v>
      </c>
      <c r="GK2" s="128"/>
      <c r="GL2" s="128"/>
      <c r="GM2" s="128"/>
      <c r="GN2" s="128"/>
      <c r="GO2" s="17"/>
      <c r="GP2" s="5"/>
      <c r="GQ2" s="127" t="s">
        <v>549</v>
      </c>
      <c r="GR2" s="128"/>
      <c r="GS2" s="128"/>
      <c r="GT2" s="128"/>
      <c r="GU2" s="128"/>
      <c r="GV2" s="17"/>
      <c r="GX2" s="127" t="s">
        <v>550</v>
      </c>
      <c r="GY2" s="128"/>
      <c r="GZ2" s="128"/>
      <c r="HA2" s="128"/>
      <c r="HB2" s="128"/>
      <c r="HC2" s="17"/>
      <c r="HE2" s="127" t="s">
        <v>551</v>
      </c>
      <c r="HF2" s="128"/>
      <c r="HG2" s="128"/>
      <c r="HH2" s="128"/>
      <c r="HI2" s="128"/>
      <c r="HJ2" s="17"/>
      <c r="HL2" s="127" t="s">
        <v>552</v>
      </c>
      <c r="HM2" s="128"/>
      <c r="HN2" s="128"/>
      <c r="HO2" s="128"/>
      <c r="HP2" s="128"/>
      <c r="HQ2" s="17"/>
      <c r="HR2" s="5"/>
      <c r="HS2" s="127" t="s">
        <v>553</v>
      </c>
      <c r="HT2" s="128"/>
      <c r="HU2" s="128"/>
      <c r="HV2" s="128"/>
      <c r="HW2" s="128"/>
      <c r="HX2" s="17"/>
      <c r="HZ2" s="127" t="s">
        <v>554</v>
      </c>
      <c r="IA2" s="128"/>
      <c r="IB2" s="128"/>
      <c r="IC2" s="128"/>
      <c r="ID2" s="128"/>
      <c r="IE2" s="17"/>
      <c r="IG2" s="127" t="s">
        <v>555</v>
      </c>
      <c r="IH2" s="128"/>
      <c r="II2" s="128"/>
      <c r="IJ2" s="128"/>
      <c r="IK2" s="128"/>
      <c r="IL2" s="17"/>
      <c r="IN2" s="127" t="s">
        <v>557</v>
      </c>
      <c r="IO2" s="128"/>
      <c r="IP2" s="128"/>
      <c r="IQ2" s="128"/>
      <c r="IR2" s="128"/>
      <c r="IS2" s="17"/>
      <c r="IT2" s="5"/>
      <c r="IU2" s="127" t="s">
        <v>558</v>
      </c>
      <c r="IV2" s="128"/>
      <c r="IW2" s="128"/>
      <c r="IX2" s="128"/>
      <c r="IY2" s="128"/>
      <c r="IZ2" s="17"/>
      <c r="JB2" s="127" t="s">
        <v>559</v>
      </c>
      <c r="JC2" s="128"/>
      <c r="JD2" s="128"/>
      <c r="JE2" s="128"/>
      <c r="JF2" s="128"/>
      <c r="JG2" s="17"/>
      <c r="JI2" s="127" t="s">
        <v>560</v>
      </c>
      <c r="JJ2" s="128"/>
      <c r="JK2" s="128"/>
      <c r="JL2" s="128"/>
      <c r="JM2" s="128"/>
      <c r="JN2" s="17"/>
      <c r="JP2" s="127" t="s">
        <v>561</v>
      </c>
      <c r="JQ2" s="128"/>
      <c r="JR2" s="128"/>
      <c r="JS2" s="128"/>
      <c r="JT2" s="128"/>
      <c r="JU2" s="17"/>
      <c r="JV2" s="5"/>
      <c r="JW2" s="127" t="s">
        <v>562</v>
      </c>
      <c r="JX2" s="128"/>
      <c r="JY2" s="128"/>
      <c r="JZ2" s="128"/>
      <c r="KA2" s="128"/>
      <c r="KB2" s="17"/>
      <c r="KD2" s="127" t="s">
        <v>563</v>
      </c>
      <c r="KE2" s="128"/>
      <c r="KF2" s="128"/>
      <c r="KG2" s="128"/>
      <c r="KH2" s="128"/>
      <c r="KI2" s="17"/>
      <c r="KK2" s="127" t="s">
        <v>564</v>
      </c>
      <c r="KL2" s="128"/>
      <c r="KM2" s="128"/>
      <c r="KN2" s="128"/>
      <c r="KO2" s="128"/>
      <c r="KP2" s="17"/>
      <c r="KR2" s="127" t="s">
        <v>565</v>
      </c>
      <c r="KS2" s="128"/>
      <c r="KT2" s="128"/>
      <c r="KU2" s="128"/>
      <c r="KV2" s="128"/>
      <c r="KW2" s="17"/>
      <c r="KY2" s="127" t="s">
        <v>576</v>
      </c>
      <c r="KZ2" s="128"/>
      <c r="LA2" s="128"/>
      <c r="LB2" s="128"/>
      <c r="LC2" s="128"/>
      <c r="LD2" s="17"/>
      <c r="LF2" s="127" t="s">
        <v>579</v>
      </c>
      <c r="LG2" s="128"/>
      <c r="LH2" s="128"/>
      <c r="LI2" s="128"/>
      <c r="LJ2" s="128"/>
      <c r="LK2" s="17"/>
      <c r="LM2" s="127" t="s">
        <v>580</v>
      </c>
      <c r="LN2" s="128"/>
      <c r="LO2" s="128"/>
      <c r="LP2" s="128"/>
      <c r="LQ2" s="128"/>
      <c r="LR2" s="17"/>
      <c r="LT2" s="127" t="s">
        <v>581</v>
      </c>
      <c r="LU2" s="128"/>
      <c r="LV2" s="128"/>
      <c r="LW2" s="128"/>
      <c r="LX2" s="128"/>
      <c r="LY2" s="17"/>
      <c r="MA2" s="127" t="s">
        <v>583</v>
      </c>
      <c r="MB2" s="128"/>
      <c r="MC2" s="128"/>
      <c r="MD2" s="128"/>
      <c r="ME2" s="128"/>
      <c r="MF2" s="17"/>
      <c r="MH2" s="127" t="s">
        <v>584</v>
      </c>
      <c r="MI2" s="128"/>
      <c r="MJ2" s="128"/>
      <c r="MK2" s="128"/>
      <c r="ML2" s="128"/>
      <c r="MM2" s="17"/>
      <c r="MO2" s="127" t="s">
        <v>585</v>
      </c>
      <c r="MP2" s="128"/>
      <c r="MQ2" s="128"/>
      <c r="MR2" s="128"/>
      <c r="MS2" s="128"/>
      <c r="MT2" s="17"/>
      <c r="MV2" s="127" t="s">
        <v>586</v>
      </c>
      <c r="MW2" s="128"/>
      <c r="MX2" s="128"/>
      <c r="MY2" s="128"/>
      <c r="MZ2" s="128"/>
      <c r="NA2" s="17"/>
      <c r="NC2" s="127" t="s">
        <v>588</v>
      </c>
      <c r="ND2" s="128"/>
      <c r="NE2" s="128"/>
      <c r="NF2" s="128"/>
      <c r="NG2" s="128"/>
      <c r="NH2" s="17"/>
      <c r="NJ2" s="127" t="s">
        <v>591</v>
      </c>
      <c r="NK2" s="128"/>
      <c r="NL2" s="128"/>
      <c r="NM2" s="128"/>
      <c r="NN2" s="128"/>
      <c r="NO2" s="17"/>
      <c r="NQ2" s="127" t="s">
        <v>589</v>
      </c>
      <c r="NR2" s="128"/>
      <c r="NS2" s="128"/>
      <c r="NT2" s="128"/>
      <c r="NU2" s="128"/>
      <c r="NV2" s="17"/>
      <c r="NX2" s="127" t="s">
        <v>590</v>
      </c>
      <c r="NY2" s="128"/>
      <c r="NZ2" s="128"/>
      <c r="OA2" s="128"/>
      <c r="OB2" s="128"/>
      <c r="OC2" s="17"/>
      <c r="OE2" s="127" t="s">
        <v>594</v>
      </c>
      <c r="OF2" s="128"/>
      <c r="OG2" s="128"/>
      <c r="OH2" s="128"/>
      <c r="OI2" s="128"/>
      <c r="OJ2" s="17"/>
      <c r="OL2" s="127" t="s">
        <v>595</v>
      </c>
      <c r="OM2" s="128"/>
      <c r="ON2" s="128"/>
      <c r="OO2" s="128"/>
      <c r="OP2" s="128"/>
      <c r="OQ2" s="17"/>
      <c r="OS2" s="127" t="s">
        <v>596</v>
      </c>
      <c r="OT2" s="128"/>
      <c r="OU2" s="128"/>
      <c r="OV2" s="128"/>
      <c r="OW2" s="128"/>
      <c r="OX2" s="17"/>
      <c r="OZ2" s="127" t="s">
        <v>599</v>
      </c>
      <c r="PA2" s="128"/>
      <c r="PB2" s="128"/>
      <c r="PC2" s="128"/>
      <c r="PD2" s="128"/>
      <c r="PE2" s="17"/>
      <c r="PG2" s="127" t="s">
        <v>600</v>
      </c>
      <c r="PH2" s="128"/>
      <c r="PI2" s="128"/>
      <c r="PJ2" s="128"/>
      <c r="PK2" s="128"/>
      <c r="PL2" s="17"/>
      <c r="PN2" s="127" t="s">
        <v>601</v>
      </c>
      <c r="PO2" s="128"/>
      <c r="PP2" s="128"/>
      <c r="PQ2" s="128"/>
      <c r="PR2" s="128"/>
      <c r="PS2" s="17"/>
      <c r="PU2" s="127" t="s">
        <v>602</v>
      </c>
      <c r="PV2" s="128"/>
      <c r="PW2" s="128"/>
      <c r="PX2" s="128"/>
      <c r="PY2" s="128"/>
      <c r="PZ2" s="17"/>
      <c r="QB2" s="127" t="s">
        <v>604</v>
      </c>
      <c r="QC2" s="128"/>
      <c r="QD2" s="128"/>
      <c r="QE2" s="128"/>
      <c r="QF2" s="128"/>
      <c r="QG2" s="17"/>
      <c r="QI2" s="127" t="s">
        <v>612</v>
      </c>
      <c r="QJ2" s="128"/>
      <c r="QK2" s="128"/>
      <c r="QL2" s="128"/>
      <c r="QM2" s="128"/>
      <c r="QN2" s="17"/>
      <c r="QP2" s="127" t="s">
        <v>611</v>
      </c>
      <c r="QQ2" s="128"/>
      <c r="QR2" s="128"/>
      <c r="QS2" s="128"/>
      <c r="QT2" s="128"/>
      <c r="QU2" s="17"/>
      <c r="QW2" s="127" t="s">
        <v>614</v>
      </c>
      <c r="QX2" s="128"/>
      <c r="QY2" s="128"/>
      <c r="QZ2" s="128"/>
      <c r="RA2" s="128"/>
      <c r="RB2" s="17"/>
      <c r="RD2" s="127" t="s">
        <v>615</v>
      </c>
      <c r="RE2" s="128"/>
      <c r="RF2" s="128"/>
      <c r="RG2" s="128"/>
      <c r="RH2" s="128"/>
      <c r="RI2" s="17"/>
      <c r="RK2" s="127" t="s">
        <v>618</v>
      </c>
      <c r="RL2" s="128"/>
      <c r="RM2" s="128"/>
      <c r="RN2" s="128"/>
      <c r="RO2" s="128"/>
      <c r="RP2" s="17"/>
      <c r="RR2" s="127" t="s">
        <v>619</v>
      </c>
      <c r="RS2" s="128"/>
      <c r="RT2" s="128"/>
      <c r="RU2" s="128"/>
      <c r="RV2" s="128"/>
      <c r="RW2" s="17"/>
      <c r="RY2" s="127" t="s">
        <v>621</v>
      </c>
      <c r="RZ2" s="128"/>
      <c r="SA2" s="128"/>
      <c r="SB2" s="128"/>
      <c r="SC2" s="128"/>
      <c r="SD2" s="17"/>
      <c r="SF2" s="127" t="s">
        <v>622</v>
      </c>
      <c r="SG2" s="128"/>
      <c r="SH2" s="128"/>
      <c r="SI2" s="128"/>
      <c r="SJ2" s="128"/>
      <c r="SK2" s="17"/>
      <c r="SM2" s="127" t="s">
        <v>623</v>
      </c>
      <c r="SN2" s="128"/>
      <c r="SO2" s="128"/>
      <c r="SP2" s="128"/>
      <c r="SQ2" s="128"/>
      <c r="SR2" s="17"/>
    </row>
    <row r="3" spans="1:512" s="22" customFormat="1" ht="32.25" customHeight="1" thickBot="1" x14ac:dyDescent="0.2">
      <c r="A3" s="133"/>
      <c r="B3" s="18"/>
      <c r="C3" s="18"/>
      <c r="D3" s="18"/>
      <c r="E3" s="137"/>
      <c r="F3" s="137"/>
      <c r="G3" s="137"/>
      <c r="H3" s="87" t="s">
        <v>62</v>
      </c>
      <c r="I3" s="19"/>
      <c r="J3" s="138" t="s">
        <v>1</v>
      </c>
      <c r="K3" s="138"/>
      <c r="L3" s="138"/>
      <c r="M3" s="138"/>
      <c r="N3" s="138"/>
      <c r="O3" s="77">
        <f>SUM(N6:N132)</f>
        <v>144.6</v>
      </c>
      <c r="P3" s="19"/>
      <c r="Q3" s="20" t="s">
        <v>1</v>
      </c>
      <c r="R3" s="21"/>
      <c r="S3" s="21"/>
      <c r="T3" s="21"/>
      <c r="U3" s="21"/>
      <c r="V3" s="77">
        <f>SUM(U6:U132)</f>
        <v>214.49999999999994</v>
      </c>
      <c r="X3" s="20" t="s">
        <v>1</v>
      </c>
      <c r="Y3" s="21"/>
      <c r="Z3" s="21"/>
      <c r="AA3" s="21"/>
      <c r="AB3" s="21"/>
      <c r="AC3" s="77">
        <f>SUM(AB6:AB132)</f>
        <v>144</v>
      </c>
      <c r="AE3" s="20" t="s">
        <v>1</v>
      </c>
      <c r="AF3" s="21"/>
      <c r="AG3" s="21"/>
      <c r="AH3" s="21"/>
      <c r="AI3" s="21"/>
      <c r="AJ3" s="77">
        <f>SUM(AI6:AI132)</f>
        <v>191.39999999999995</v>
      </c>
      <c r="AL3" s="20" t="s">
        <v>1</v>
      </c>
      <c r="AM3" s="21"/>
      <c r="AN3" s="21"/>
      <c r="AO3" s="21"/>
      <c r="AP3" s="21"/>
      <c r="AQ3" s="77">
        <f>SUM(AP6:AP132)</f>
        <v>265.69999999999993</v>
      </c>
      <c r="AS3" s="20" t="s">
        <v>1</v>
      </c>
      <c r="AT3" s="21"/>
      <c r="AU3" s="21"/>
      <c r="AV3" s="21"/>
      <c r="AW3" s="21"/>
      <c r="AX3" s="77">
        <f>SUM(AW6:AW132)</f>
        <v>218.9</v>
      </c>
      <c r="AZ3" s="20" t="s">
        <v>1</v>
      </c>
      <c r="BA3" s="21"/>
      <c r="BB3" s="21"/>
      <c r="BC3" s="21"/>
      <c r="BD3" s="21"/>
      <c r="BE3" s="77">
        <f>SUM(BD6:BD132)</f>
        <v>237.79999999999993</v>
      </c>
      <c r="BG3" s="20" t="s">
        <v>1</v>
      </c>
      <c r="BH3" s="21"/>
      <c r="BI3" s="21"/>
      <c r="BJ3" s="21"/>
      <c r="BK3" s="21"/>
      <c r="BL3" s="77">
        <f>SUM(BK6:BK132)</f>
        <v>214.39999999999995</v>
      </c>
      <c r="BN3" s="20" t="s">
        <v>1</v>
      </c>
      <c r="BO3" s="21"/>
      <c r="BP3" s="21"/>
      <c r="BQ3" s="21"/>
      <c r="BR3" s="21"/>
      <c r="BS3" s="77">
        <f>SUM(BR6:BR132)</f>
        <v>216.30000000000004</v>
      </c>
      <c r="BU3" s="20" t="s">
        <v>1</v>
      </c>
      <c r="BV3" s="21"/>
      <c r="BW3" s="21"/>
      <c r="BX3" s="21"/>
      <c r="BY3" s="21"/>
      <c r="BZ3" s="77">
        <f>SUM(BY6:BY132)</f>
        <v>222.20000000000002</v>
      </c>
      <c r="CB3" s="20" t="s">
        <v>1</v>
      </c>
      <c r="CC3" s="21"/>
      <c r="CD3" s="21"/>
      <c r="CE3" s="21"/>
      <c r="CF3" s="21"/>
      <c r="CG3" s="77">
        <f>SUM(CF6:CF132)</f>
        <v>128.60000000000002</v>
      </c>
      <c r="CI3" s="20" t="s">
        <v>1</v>
      </c>
      <c r="CJ3" s="21"/>
      <c r="CK3" s="21"/>
      <c r="CL3" s="21"/>
      <c r="CM3" s="21"/>
      <c r="CN3" s="77">
        <f>SUM(CM6:CM132)</f>
        <v>227.79999999999998</v>
      </c>
      <c r="CP3" s="20" t="s">
        <v>1</v>
      </c>
      <c r="CQ3" s="21"/>
      <c r="CR3" s="21"/>
      <c r="CS3" s="21"/>
      <c r="CT3" s="21"/>
      <c r="CU3" s="77">
        <f>SUM(CT6:CT132)</f>
        <v>236.99999999999997</v>
      </c>
      <c r="CW3" s="20" t="s">
        <v>1</v>
      </c>
      <c r="CX3" s="21"/>
      <c r="CY3" s="21"/>
      <c r="CZ3" s="21"/>
      <c r="DA3" s="21"/>
      <c r="DB3" s="77">
        <f>SUM(DA6:DA132)</f>
        <v>248.10000000000002</v>
      </c>
      <c r="DD3" s="20" t="s">
        <v>1</v>
      </c>
      <c r="DE3" s="21"/>
      <c r="DF3" s="21"/>
      <c r="DG3" s="21"/>
      <c r="DH3" s="21"/>
      <c r="DI3" s="77">
        <f>SUM(DH6:DH132)</f>
        <v>221.79999999999998</v>
      </c>
      <c r="DK3" s="20" t="s">
        <v>1</v>
      </c>
      <c r="DL3" s="21"/>
      <c r="DM3" s="21"/>
      <c r="DN3" s="21"/>
      <c r="DO3" s="21"/>
      <c r="DP3" s="77">
        <f>SUM(DO6:DO132)</f>
        <v>238.8</v>
      </c>
      <c r="DR3" s="20" t="s">
        <v>1</v>
      </c>
      <c r="DS3" s="21"/>
      <c r="DT3" s="21"/>
      <c r="DU3" s="21"/>
      <c r="DV3" s="21"/>
      <c r="DW3" s="77">
        <f>SUM(DV6:DV132)</f>
        <v>261.59999999999997</v>
      </c>
      <c r="DY3" s="20" t="s">
        <v>1</v>
      </c>
      <c r="DZ3" s="21"/>
      <c r="EA3" s="21"/>
      <c r="EB3" s="21"/>
      <c r="EC3" s="21"/>
      <c r="ED3" s="77">
        <f>SUM(EC6:EC132)</f>
        <v>246.00000000000006</v>
      </c>
      <c r="EF3" s="20" t="s">
        <v>1</v>
      </c>
      <c r="EG3" s="21"/>
      <c r="EH3" s="21"/>
      <c r="EI3" s="21"/>
      <c r="EJ3" s="21"/>
      <c r="EK3" s="77">
        <f>SUM(EJ6:EJ132)</f>
        <v>219.1</v>
      </c>
      <c r="EM3" s="20" t="s">
        <v>1</v>
      </c>
      <c r="EN3" s="21"/>
      <c r="EO3" s="21"/>
      <c r="EP3" s="21"/>
      <c r="EQ3" s="21"/>
      <c r="ER3" s="77">
        <f>SUM(EQ6:EQ132)</f>
        <v>242.59999999999994</v>
      </c>
      <c r="ET3" s="20" t="s">
        <v>1</v>
      </c>
      <c r="EU3" s="21"/>
      <c r="EV3" s="21"/>
      <c r="EW3" s="21"/>
      <c r="EX3" s="21"/>
      <c r="EY3" s="77">
        <f>SUM(EX6:EX132)</f>
        <v>216.49999999999997</v>
      </c>
      <c r="FA3" s="20" t="s">
        <v>1</v>
      </c>
      <c r="FB3" s="21"/>
      <c r="FC3" s="21"/>
      <c r="FD3" s="21"/>
      <c r="FE3" s="21"/>
      <c r="FF3" s="77">
        <f>SUM(FE6:FE132)</f>
        <v>233.79999999999995</v>
      </c>
      <c r="FH3" s="20" t="s">
        <v>1</v>
      </c>
      <c r="FI3" s="21"/>
      <c r="FJ3" s="21"/>
      <c r="FK3" s="21"/>
      <c r="FL3" s="21"/>
      <c r="FM3" s="77">
        <f>SUM(FL6:FL132)</f>
        <v>266.90000000000003</v>
      </c>
      <c r="FO3" s="20" t="s">
        <v>1</v>
      </c>
      <c r="FP3" s="21"/>
      <c r="FQ3" s="21"/>
      <c r="FR3" s="21"/>
      <c r="FS3" s="21"/>
      <c r="FT3" s="77">
        <f>SUM(FS6:FS132)</f>
        <v>209.70000000000002</v>
      </c>
      <c r="FV3" s="20" t="s">
        <v>1</v>
      </c>
      <c r="FW3" s="21"/>
      <c r="FX3" s="21"/>
      <c r="FY3" s="21"/>
      <c r="FZ3" s="21"/>
      <c r="GA3" s="77">
        <f>SUM(FZ6:FZ132)</f>
        <v>218.39999999999992</v>
      </c>
      <c r="GC3" s="20" t="s">
        <v>1</v>
      </c>
      <c r="GD3" s="21"/>
      <c r="GE3" s="21"/>
      <c r="GF3" s="21"/>
      <c r="GG3" s="21"/>
      <c r="GH3" s="77">
        <f>SUM(GG6:GG132)</f>
        <v>222.50000000000003</v>
      </c>
      <c r="GJ3" s="20" t="s">
        <v>1</v>
      </c>
      <c r="GK3" s="21"/>
      <c r="GL3" s="21"/>
      <c r="GM3" s="21"/>
      <c r="GN3" s="21"/>
      <c r="GO3" s="77">
        <f>SUM(GN6:GN132)</f>
        <v>219.99999999999997</v>
      </c>
      <c r="GQ3" s="20" t="s">
        <v>1</v>
      </c>
      <c r="GR3" s="21"/>
      <c r="GS3" s="21"/>
      <c r="GT3" s="21"/>
      <c r="GU3" s="21"/>
      <c r="GV3" s="77">
        <f>SUM(GU6:GU132)</f>
        <v>235.09999999999997</v>
      </c>
      <c r="GX3" s="20" t="s">
        <v>1</v>
      </c>
      <c r="GY3" s="21"/>
      <c r="GZ3" s="21"/>
      <c r="HA3" s="21"/>
      <c r="HB3" s="21"/>
      <c r="HC3" s="77">
        <f>SUM(HB6:HB132)</f>
        <v>253.10000000000002</v>
      </c>
      <c r="HE3" s="20" t="s">
        <v>1</v>
      </c>
      <c r="HF3" s="21"/>
      <c r="HG3" s="21"/>
      <c r="HH3" s="21"/>
      <c r="HI3" s="21"/>
      <c r="HJ3" s="77">
        <f>SUM(HI6:HI132)</f>
        <v>247.79999999999998</v>
      </c>
      <c r="HL3" s="20" t="s">
        <v>1</v>
      </c>
      <c r="HM3" s="21"/>
      <c r="HN3" s="21"/>
      <c r="HO3" s="21"/>
      <c r="HP3" s="21"/>
      <c r="HQ3" s="77">
        <f>SUM(HP6:HP132)</f>
        <v>255.00000000000003</v>
      </c>
      <c r="HS3" s="20" t="s">
        <v>1</v>
      </c>
      <c r="HT3" s="21"/>
      <c r="HU3" s="21"/>
      <c r="HV3" s="21"/>
      <c r="HW3" s="21"/>
      <c r="HX3" s="77">
        <f>SUM(HW6:HW132)</f>
        <v>240.70000000000005</v>
      </c>
      <c r="HZ3" s="20" t="s">
        <v>1</v>
      </c>
      <c r="IA3" s="21"/>
      <c r="IB3" s="21"/>
      <c r="IC3" s="21"/>
      <c r="ID3" s="21"/>
      <c r="IE3" s="77">
        <f>SUM(ID6:ID132)</f>
        <v>230.39999999999995</v>
      </c>
      <c r="IG3" s="20" t="s">
        <v>1</v>
      </c>
      <c r="IH3" s="21"/>
      <c r="II3" s="21"/>
      <c r="IJ3" s="21"/>
      <c r="IK3" s="21"/>
      <c r="IL3" s="77">
        <f>SUM(IK6:IK132)</f>
        <v>147.99999999999997</v>
      </c>
      <c r="IN3" s="20" t="s">
        <v>1</v>
      </c>
      <c r="IO3" s="21"/>
      <c r="IP3" s="21"/>
      <c r="IQ3" s="21"/>
      <c r="IR3" s="21"/>
      <c r="IS3" s="77">
        <f>SUM(IR6:IR132)</f>
        <v>215.09999999999997</v>
      </c>
      <c r="IU3" s="20" t="s">
        <v>1</v>
      </c>
      <c r="IV3" s="21"/>
      <c r="IW3" s="21"/>
      <c r="IX3" s="21"/>
      <c r="IY3" s="21"/>
      <c r="IZ3" s="77">
        <f>SUM(IY6:IY132)</f>
        <v>237.89999999999995</v>
      </c>
      <c r="JB3" s="20" t="s">
        <v>1</v>
      </c>
      <c r="JC3" s="21"/>
      <c r="JD3" s="21"/>
      <c r="JE3" s="21"/>
      <c r="JF3" s="21"/>
      <c r="JG3" s="77">
        <f>SUM(JF6:JF132)</f>
        <v>224.70000000000002</v>
      </c>
      <c r="JI3" s="20" t="s">
        <v>1</v>
      </c>
      <c r="JJ3" s="21"/>
      <c r="JK3" s="21"/>
      <c r="JL3" s="21"/>
      <c r="JM3" s="21"/>
      <c r="JN3" s="77">
        <f>SUM(JM6:JM132)</f>
        <v>227.7</v>
      </c>
      <c r="JP3" s="20" t="s">
        <v>1</v>
      </c>
      <c r="JQ3" s="21"/>
      <c r="JR3" s="21"/>
      <c r="JS3" s="21"/>
      <c r="JT3" s="21"/>
      <c r="JU3" s="77">
        <f>SUM(JT6:JT132)</f>
        <v>220.20000000000002</v>
      </c>
      <c r="JW3" s="20" t="s">
        <v>1</v>
      </c>
      <c r="JX3" s="21"/>
      <c r="JY3" s="21"/>
      <c r="JZ3" s="21"/>
      <c r="KA3" s="21"/>
      <c r="KB3" s="77">
        <f>SUM(KA6:KA132)</f>
        <v>204.20000000000002</v>
      </c>
      <c r="KD3" s="20" t="s">
        <v>1</v>
      </c>
      <c r="KE3" s="21"/>
      <c r="KF3" s="21"/>
      <c r="KG3" s="21"/>
      <c r="KH3" s="21"/>
      <c r="KI3" s="77">
        <f>SUM(KH6:KH132)</f>
        <v>214.59999999999997</v>
      </c>
      <c r="KK3" s="20" t="s">
        <v>1</v>
      </c>
      <c r="KL3" s="21"/>
      <c r="KM3" s="21"/>
      <c r="KN3" s="21"/>
      <c r="KO3" s="21"/>
      <c r="KP3" s="77">
        <f>SUM(KO6:KO132)</f>
        <v>221.7</v>
      </c>
      <c r="KR3" s="20" t="s">
        <v>1</v>
      </c>
      <c r="KS3" s="21"/>
      <c r="KT3" s="21"/>
      <c r="KU3" s="21"/>
      <c r="KV3" s="21"/>
      <c r="KW3" s="77">
        <f>SUM(KV6:KV132)</f>
        <v>217.6</v>
      </c>
      <c r="KY3" s="20" t="s">
        <v>1</v>
      </c>
      <c r="KZ3" s="21"/>
      <c r="LA3" s="21"/>
      <c r="LB3" s="21"/>
      <c r="LC3" s="21"/>
      <c r="LD3" s="77">
        <f>SUM(LC6:LC132)</f>
        <v>215.3</v>
      </c>
      <c r="LF3" s="20" t="s">
        <v>1</v>
      </c>
      <c r="LG3" s="21"/>
      <c r="LH3" s="21"/>
      <c r="LI3" s="21"/>
      <c r="LJ3" s="21"/>
      <c r="LK3" s="77">
        <f>SUM(LJ6:LJ132)</f>
        <v>247.5</v>
      </c>
      <c r="LM3" s="20" t="s">
        <v>1</v>
      </c>
      <c r="LN3" s="21"/>
      <c r="LO3" s="21"/>
      <c r="LP3" s="21"/>
      <c r="LQ3" s="21"/>
      <c r="LR3" s="77">
        <f>SUM(LQ6:LQ132)</f>
        <v>220</v>
      </c>
      <c r="LT3" s="20" t="s">
        <v>1</v>
      </c>
      <c r="LU3" s="21"/>
      <c r="LV3" s="21"/>
      <c r="LW3" s="21"/>
      <c r="LX3" s="21"/>
      <c r="LY3" s="77">
        <f>SUM(LX6:LX132)</f>
        <v>243.7</v>
      </c>
      <c r="MA3" s="20" t="s">
        <v>1</v>
      </c>
      <c r="MB3" s="21"/>
      <c r="MC3" s="21"/>
      <c r="MD3" s="21"/>
      <c r="ME3" s="21"/>
      <c r="MF3" s="77">
        <f>SUM(ME6:ME132)</f>
        <v>206.1</v>
      </c>
      <c r="MH3" s="20" t="s">
        <v>1</v>
      </c>
      <c r="MI3" s="21"/>
      <c r="MJ3" s="21"/>
      <c r="MK3" s="21"/>
      <c r="ML3" s="21"/>
      <c r="MM3" s="77">
        <f>SUM(ML6:ML132)</f>
        <v>231.6</v>
      </c>
      <c r="MO3" s="20" t="s">
        <v>1</v>
      </c>
      <c r="MP3" s="21"/>
      <c r="MQ3" s="21"/>
      <c r="MR3" s="21"/>
      <c r="MS3" s="21"/>
      <c r="MT3" s="77">
        <f>SUM(MS6:MS132)</f>
        <v>216.6</v>
      </c>
      <c r="MV3" s="20" t="s">
        <v>1</v>
      </c>
      <c r="MW3" s="21"/>
      <c r="MX3" s="21"/>
      <c r="MY3" s="21"/>
      <c r="MZ3" s="21"/>
      <c r="NA3" s="77">
        <f>SUM(MZ6:MZ132)</f>
        <v>232.29999999999995</v>
      </c>
      <c r="NC3" s="20" t="s">
        <v>1</v>
      </c>
      <c r="ND3" s="21"/>
      <c r="NE3" s="21"/>
      <c r="NF3" s="21"/>
      <c r="NG3" s="21"/>
      <c r="NH3" s="77">
        <f>SUM(NG6:NG132)</f>
        <v>193.4</v>
      </c>
      <c r="NJ3" s="20" t="s">
        <v>1</v>
      </c>
      <c r="NK3" s="21"/>
      <c r="NL3" s="21"/>
      <c r="NM3" s="21"/>
      <c r="NN3" s="21"/>
      <c r="NO3" s="77">
        <f>SUM(NN6:NN132)</f>
        <v>159.29999999999995</v>
      </c>
      <c r="NQ3" s="20" t="s">
        <v>1</v>
      </c>
      <c r="NR3" s="21"/>
      <c r="NS3" s="21"/>
      <c r="NT3" s="21"/>
      <c r="NU3" s="21"/>
      <c r="NV3" s="77">
        <f>SUM(NU6:NU132)</f>
        <v>210.8</v>
      </c>
      <c r="NX3" s="20" t="s">
        <v>1</v>
      </c>
      <c r="NY3" s="21"/>
      <c r="NZ3" s="21"/>
      <c r="OA3" s="21"/>
      <c r="OB3" s="21"/>
      <c r="OC3" s="77">
        <f>SUM(OB6:OB132)</f>
        <v>257.39999999999998</v>
      </c>
      <c r="OE3" s="20" t="s">
        <v>1</v>
      </c>
      <c r="OF3" s="21"/>
      <c r="OG3" s="21"/>
      <c r="OH3" s="21"/>
      <c r="OI3" s="21"/>
      <c r="OJ3" s="77">
        <f>SUM(OI6:OI132)</f>
        <v>205.39999999999998</v>
      </c>
      <c r="OL3" s="20" t="s">
        <v>1</v>
      </c>
      <c r="OM3" s="21"/>
      <c r="ON3" s="21"/>
      <c r="OO3" s="21"/>
      <c r="OP3" s="21"/>
      <c r="OQ3" s="77">
        <f>SUM(OP6:OP132)</f>
        <v>248.59999999999997</v>
      </c>
      <c r="OS3" s="20" t="s">
        <v>1</v>
      </c>
      <c r="OT3" s="21"/>
      <c r="OU3" s="21"/>
      <c r="OV3" s="21"/>
      <c r="OW3" s="21"/>
      <c r="OX3" s="77">
        <f>SUM(OW6:OW132)</f>
        <v>204.7</v>
      </c>
      <c r="OZ3" s="20" t="s">
        <v>1</v>
      </c>
      <c r="PA3" s="21"/>
      <c r="PB3" s="21"/>
      <c r="PC3" s="21"/>
      <c r="PD3" s="21"/>
      <c r="PE3" s="77">
        <f>SUM(PD6:PD132)</f>
        <v>234.2</v>
      </c>
      <c r="PG3" s="20" t="s">
        <v>1</v>
      </c>
      <c r="PH3" s="21"/>
      <c r="PI3" s="21"/>
      <c r="PJ3" s="21"/>
      <c r="PK3" s="21"/>
      <c r="PL3" s="77">
        <f>SUM(PK6:PK132)</f>
        <v>225.9</v>
      </c>
      <c r="PN3" s="20" t="s">
        <v>1</v>
      </c>
      <c r="PO3" s="21"/>
      <c r="PP3" s="21"/>
      <c r="PQ3" s="21"/>
      <c r="PR3" s="21"/>
      <c r="PS3" s="77">
        <f>SUM(PR6:PR132)</f>
        <v>248.79999999999995</v>
      </c>
      <c r="PU3" s="20" t="s">
        <v>1</v>
      </c>
      <c r="PV3" s="21"/>
      <c r="PW3" s="21"/>
      <c r="PX3" s="21"/>
      <c r="PY3" s="21"/>
      <c r="PZ3" s="77">
        <f>SUM(PY6:PY132)</f>
        <v>179.99999999999997</v>
      </c>
      <c r="QB3" s="20" t="s">
        <v>1</v>
      </c>
      <c r="QC3" s="21"/>
      <c r="QD3" s="21"/>
      <c r="QE3" s="21"/>
      <c r="QF3" s="21"/>
      <c r="QG3" s="77">
        <f>SUM(QF6:QF132)</f>
        <v>207.7</v>
      </c>
      <c r="QI3" s="20" t="s">
        <v>1</v>
      </c>
      <c r="QJ3" s="21"/>
      <c r="QK3" s="21"/>
      <c r="QL3" s="21"/>
      <c r="QM3" s="21"/>
      <c r="QN3" s="77">
        <f>SUM(QM6:QM132)</f>
        <v>246.29999999999993</v>
      </c>
      <c r="QP3" s="20" t="s">
        <v>1</v>
      </c>
      <c r="QQ3" s="21"/>
      <c r="QR3" s="21"/>
      <c r="QS3" s="21"/>
      <c r="QT3" s="21"/>
      <c r="QU3" s="77">
        <f>SUM(QT6:QT132)</f>
        <v>197</v>
      </c>
      <c r="QW3" s="20" t="s">
        <v>1</v>
      </c>
      <c r="QX3" s="21"/>
      <c r="QY3" s="21"/>
      <c r="QZ3" s="21"/>
      <c r="RA3" s="21"/>
      <c r="RB3" s="77">
        <f>SUM(RA6:RA132)</f>
        <v>176.69999999999996</v>
      </c>
      <c r="RD3" s="20" t="s">
        <v>1</v>
      </c>
      <c r="RE3" s="21"/>
      <c r="RF3" s="21"/>
      <c r="RG3" s="21"/>
      <c r="RH3" s="21"/>
      <c r="RI3" s="77">
        <f>SUM(RH6:RH132)</f>
        <v>26.499999999999996</v>
      </c>
      <c r="RK3" s="20" t="s">
        <v>1</v>
      </c>
      <c r="RL3" s="21"/>
      <c r="RM3" s="21"/>
      <c r="RN3" s="21"/>
      <c r="RO3" s="21"/>
      <c r="RP3" s="77">
        <f>SUM(RO6:RO132)</f>
        <v>191.70000000000002</v>
      </c>
      <c r="RR3" s="20" t="s">
        <v>1</v>
      </c>
      <c r="RS3" s="21"/>
      <c r="RT3" s="21"/>
      <c r="RU3" s="21"/>
      <c r="RV3" s="21"/>
      <c r="RW3" s="77">
        <f>SUM(RV6:RV132)</f>
        <v>219.4</v>
      </c>
      <c r="RY3" s="20" t="s">
        <v>1</v>
      </c>
      <c r="RZ3" s="21"/>
      <c r="SA3" s="21"/>
      <c r="SB3" s="21"/>
      <c r="SC3" s="21"/>
      <c r="SD3" s="77">
        <f>SUM(SC6:SC132)</f>
        <v>184.79999999999998</v>
      </c>
      <c r="SF3" s="20" t="s">
        <v>1</v>
      </c>
      <c r="SG3" s="21"/>
      <c r="SH3" s="21"/>
      <c r="SI3" s="21"/>
      <c r="SJ3" s="21"/>
      <c r="SK3" s="77">
        <f>SUM(SJ6:SJ132)</f>
        <v>149.5</v>
      </c>
      <c r="SM3" s="20" t="s">
        <v>1</v>
      </c>
      <c r="SN3" s="21"/>
      <c r="SO3" s="21"/>
      <c r="SP3" s="21"/>
      <c r="SQ3" s="21"/>
      <c r="SR3" s="77">
        <f>SUM(SQ6:SQ132)</f>
        <v>174.3</v>
      </c>
    </row>
    <row r="4" spans="1:512" customFormat="1" x14ac:dyDescent="0.15">
      <c r="A4" s="23"/>
      <c r="B4" s="8"/>
      <c r="E4" s="24"/>
      <c r="F4" s="6"/>
      <c r="G4" s="5"/>
      <c r="H4" s="7"/>
      <c r="I4" s="25"/>
      <c r="J4" s="25"/>
      <c r="K4" s="26"/>
      <c r="L4" s="27"/>
      <c r="M4" s="27"/>
      <c r="N4" s="28"/>
      <c r="O4" s="25"/>
      <c r="P4" s="29"/>
      <c r="Q4" s="25"/>
      <c r="R4" s="26"/>
      <c r="S4" s="27"/>
      <c r="T4" s="27"/>
      <c r="U4" s="28"/>
      <c r="V4" s="25"/>
      <c r="W4" s="30"/>
      <c r="X4" s="25"/>
      <c r="Y4" s="26"/>
      <c r="Z4" s="27"/>
      <c r="AA4" s="27"/>
      <c r="AB4" s="28"/>
      <c r="AC4" s="25"/>
      <c r="AD4" s="30"/>
      <c r="AE4" s="25"/>
      <c r="AF4" s="26"/>
      <c r="AG4" s="27"/>
      <c r="AH4" s="27"/>
      <c r="AI4" s="28"/>
      <c r="AJ4" s="25"/>
      <c r="AK4" s="30"/>
      <c r="AL4" s="25"/>
      <c r="AM4" s="26"/>
      <c r="AN4" s="27"/>
      <c r="AO4" s="27"/>
      <c r="AP4" s="28"/>
      <c r="AQ4" s="25"/>
      <c r="AR4" s="30"/>
      <c r="AS4" s="25"/>
      <c r="AT4" s="26"/>
      <c r="AU4" s="27"/>
      <c r="AV4" s="27"/>
      <c r="AW4" s="28"/>
      <c r="AX4" s="25"/>
      <c r="AY4" s="30"/>
      <c r="AZ4" s="25"/>
      <c r="BA4" s="26"/>
      <c r="BB4" s="27"/>
      <c r="BC4" s="27"/>
      <c r="BD4" s="28"/>
      <c r="BE4" s="25"/>
      <c r="BF4" s="30"/>
      <c r="BG4" s="25"/>
      <c r="BH4" s="26"/>
      <c r="BI4" s="27"/>
      <c r="BJ4" s="27"/>
      <c r="BK4" s="28"/>
      <c r="BL4" s="25"/>
      <c r="BM4" s="30"/>
      <c r="BN4" s="25"/>
      <c r="BO4" s="26"/>
      <c r="BP4" s="27"/>
      <c r="BQ4" s="27"/>
      <c r="BR4" s="28"/>
      <c r="BS4" s="25"/>
      <c r="BT4" s="30"/>
      <c r="BU4" s="25"/>
      <c r="BV4" s="26"/>
      <c r="BW4" s="27"/>
      <c r="BX4" s="27"/>
      <c r="BY4" s="28"/>
      <c r="BZ4" s="25"/>
      <c r="CA4" s="30"/>
      <c r="CB4" s="25"/>
      <c r="CC4" s="26"/>
      <c r="CD4" s="27"/>
      <c r="CE4" s="27"/>
      <c r="CF4" s="28"/>
      <c r="CG4" s="25"/>
      <c r="CH4" s="30"/>
      <c r="CI4" s="25"/>
      <c r="CJ4" s="26"/>
      <c r="CK4" s="27"/>
      <c r="CL4" s="27"/>
      <c r="CM4" s="28"/>
      <c r="CN4" s="25"/>
      <c r="CO4" s="30"/>
      <c r="CP4" s="25"/>
      <c r="CQ4" s="26"/>
      <c r="CR4" s="27"/>
      <c r="CS4" s="27"/>
      <c r="CT4" s="28"/>
      <c r="CU4" s="25"/>
      <c r="CV4" s="30"/>
      <c r="CW4" s="25"/>
      <c r="CX4" s="26"/>
      <c r="CY4" s="27"/>
      <c r="CZ4" s="27"/>
      <c r="DA4" s="28"/>
      <c r="DB4" s="25"/>
      <c r="DC4" s="30"/>
      <c r="DD4" s="25"/>
      <c r="DE4" s="26"/>
      <c r="DF4" s="27"/>
      <c r="DG4" s="27"/>
      <c r="DH4" s="28"/>
      <c r="DI4" s="25"/>
      <c r="DJ4" s="30"/>
      <c r="DK4" s="25"/>
      <c r="DL4" s="26"/>
      <c r="DM4" s="27"/>
      <c r="DN4" s="27"/>
      <c r="DO4" s="28"/>
      <c r="DP4" s="25"/>
      <c r="DQ4" s="30"/>
      <c r="DR4" s="25"/>
      <c r="DS4" s="26"/>
      <c r="DT4" s="27"/>
      <c r="DU4" s="27"/>
      <c r="DV4" s="28"/>
      <c r="DW4" s="25"/>
      <c r="DX4" s="30"/>
      <c r="DY4" s="25"/>
      <c r="DZ4" s="26"/>
      <c r="EA4" s="27"/>
      <c r="EB4" s="27"/>
      <c r="EC4" s="28"/>
      <c r="ED4" s="25"/>
      <c r="EE4" s="30"/>
      <c r="EF4" s="25"/>
      <c r="EG4" s="26"/>
      <c r="EH4" s="27"/>
      <c r="EI4" s="27"/>
      <c r="EJ4" s="28"/>
      <c r="EK4" s="25"/>
      <c r="EL4" s="30"/>
      <c r="EM4" s="25"/>
      <c r="EN4" s="26"/>
      <c r="EO4" s="27"/>
      <c r="EP4" s="27"/>
      <c r="EQ4" s="28"/>
      <c r="ER4" s="25"/>
      <c r="ES4" s="30"/>
      <c r="ET4" s="25"/>
      <c r="EU4" s="26"/>
      <c r="EV4" s="27"/>
      <c r="EW4" s="27"/>
      <c r="EX4" s="28"/>
      <c r="EY4" s="25"/>
      <c r="EZ4" s="30"/>
      <c r="FA4" s="25"/>
      <c r="FB4" s="26"/>
      <c r="FC4" s="27"/>
      <c r="FD4" s="27"/>
      <c r="FE4" s="28"/>
      <c r="FF4" s="25"/>
      <c r="FG4" s="30"/>
      <c r="FH4" s="25"/>
      <c r="FI4" s="26"/>
      <c r="FJ4" s="27"/>
      <c r="FK4" s="27"/>
      <c r="FL4" s="28"/>
      <c r="FM4" s="25"/>
      <c r="FN4" s="30"/>
      <c r="FO4" s="25"/>
      <c r="FP4" s="26"/>
      <c r="FQ4" s="27"/>
      <c r="FR4" s="27"/>
      <c r="FS4" s="28"/>
      <c r="FT4" s="25"/>
      <c r="FU4" s="30"/>
      <c r="FV4" s="25"/>
      <c r="FW4" s="26"/>
      <c r="FX4" s="27"/>
      <c r="FY4" s="27"/>
      <c r="FZ4" s="28"/>
      <c r="GA4" s="25"/>
      <c r="GB4" s="30"/>
      <c r="GC4" s="25"/>
      <c r="GD4" s="26"/>
      <c r="GE4" s="27"/>
      <c r="GF4" s="27"/>
      <c r="GG4" s="28"/>
      <c r="GH4" s="25"/>
      <c r="GI4" s="30"/>
      <c r="GJ4" s="25"/>
      <c r="GK4" s="26"/>
      <c r="GL4" s="27"/>
      <c r="GM4" s="27"/>
      <c r="GN4" s="28"/>
      <c r="GO4" s="25"/>
      <c r="GP4" s="30"/>
      <c r="GQ4" s="25"/>
      <c r="GR4" s="26"/>
      <c r="GS4" s="27"/>
      <c r="GT4" s="27"/>
      <c r="GU4" s="28"/>
      <c r="GV4" s="25"/>
      <c r="GW4" s="30"/>
      <c r="GX4" s="25"/>
      <c r="GY4" s="26"/>
      <c r="GZ4" s="27"/>
      <c r="HA4" s="27"/>
      <c r="HB4" s="28"/>
      <c r="HC4" s="25"/>
      <c r="HD4" s="30"/>
      <c r="HE4" s="25"/>
      <c r="HF4" s="26"/>
      <c r="HG4" s="27"/>
      <c r="HH4" s="27"/>
      <c r="HI4" s="28"/>
      <c r="HJ4" s="25"/>
      <c r="HK4" s="30"/>
      <c r="HL4" s="25"/>
      <c r="HM4" s="26"/>
      <c r="HN4" s="27"/>
      <c r="HO4" s="27"/>
      <c r="HP4" s="28"/>
      <c r="HQ4" s="25"/>
      <c r="HR4" s="30"/>
      <c r="HS4" s="25"/>
      <c r="HT4" s="26"/>
      <c r="HU4" s="27"/>
      <c r="HV4" s="27"/>
      <c r="HW4" s="28"/>
      <c r="HX4" s="25"/>
      <c r="HY4" s="30"/>
      <c r="HZ4" s="25"/>
      <c r="IA4" s="26"/>
      <c r="IB4" s="27"/>
      <c r="IC4" s="27"/>
      <c r="ID4" s="28"/>
      <c r="IE4" s="25"/>
      <c r="IF4" s="30"/>
      <c r="IG4" s="25"/>
      <c r="IH4" s="26"/>
      <c r="II4" s="27"/>
      <c r="IJ4" s="27"/>
      <c r="IK4" s="28"/>
      <c r="IL4" s="25"/>
      <c r="IM4" s="30"/>
      <c r="IN4" s="25"/>
      <c r="IO4" s="26"/>
      <c r="IP4" s="27"/>
      <c r="IQ4" s="27"/>
      <c r="IR4" s="28"/>
      <c r="IS4" s="25"/>
      <c r="IT4" s="30"/>
      <c r="IU4" s="25"/>
      <c r="IV4" s="26"/>
      <c r="IW4" s="27"/>
      <c r="IX4" s="27"/>
      <c r="IY4" s="28"/>
      <c r="IZ4" s="25"/>
      <c r="JA4" s="30"/>
      <c r="JB4" s="25"/>
      <c r="JC4" s="26"/>
      <c r="JD4" s="27"/>
      <c r="JE4" s="27"/>
      <c r="JF4" s="28"/>
      <c r="JG4" s="25"/>
      <c r="JH4" s="30"/>
      <c r="JI4" s="25"/>
      <c r="JJ4" s="26"/>
      <c r="JK4" s="27"/>
      <c r="JL4" s="27"/>
      <c r="JM4" s="28"/>
      <c r="JN4" s="25"/>
      <c r="JO4" s="30"/>
      <c r="JP4" s="25"/>
      <c r="JQ4" s="26"/>
      <c r="JR4" s="27"/>
      <c r="JS4" s="27"/>
      <c r="JT4" s="28"/>
      <c r="JU4" s="25"/>
      <c r="JV4" s="30"/>
      <c r="JW4" s="25"/>
      <c r="JX4" s="26"/>
      <c r="JY4" s="27"/>
      <c r="JZ4" s="27"/>
      <c r="KA4" s="28"/>
      <c r="KB4" s="25"/>
      <c r="KC4" s="30"/>
      <c r="KD4" s="25"/>
      <c r="KE4" s="26"/>
      <c r="KF4" s="27"/>
      <c r="KG4" s="27"/>
      <c r="KH4" s="28"/>
      <c r="KI4" s="25"/>
      <c r="KJ4" s="30"/>
      <c r="KK4" s="25"/>
      <c r="KL4" s="26"/>
      <c r="KM4" s="27"/>
      <c r="KN4" s="27"/>
      <c r="KO4" s="28"/>
      <c r="KP4" s="25"/>
      <c r="KQ4" s="30"/>
      <c r="KR4" s="25"/>
      <c r="KS4" s="26"/>
      <c r="KT4" s="27"/>
      <c r="KU4" s="27"/>
      <c r="KV4" s="28"/>
      <c r="KW4" s="25"/>
      <c r="KX4" s="30"/>
      <c r="KY4" s="25"/>
      <c r="KZ4" s="26"/>
      <c r="LA4" s="27"/>
      <c r="LB4" s="27"/>
      <c r="LC4" s="28"/>
      <c r="LD4" s="25"/>
      <c r="LE4" s="30"/>
      <c r="LF4" s="25"/>
      <c r="LG4" s="26"/>
      <c r="LH4" s="27"/>
      <c r="LI4" s="27"/>
      <c r="LJ4" s="28"/>
      <c r="LK4" s="25"/>
      <c r="LL4" s="30"/>
      <c r="LM4" s="25"/>
      <c r="LN4" s="26"/>
      <c r="LO4" s="27"/>
      <c r="LP4" s="27"/>
      <c r="LQ4" s="28"/>
      <c r="LR4" s="25"/>
      <c r="LS4" s="30"/>
      <c r="LT4" s="25"/>
      <c r="LU4" s="26"/>
      <c r="LV4" s="27"/>
      <c r="LW4" s="27"/>
      <c r="LX4" s="28"/>
      <c r="LY4" s="25"/>
      <c r="LZ4" s="30"/>
      <c r="MA4" s="25"/>
      <c r="MB4" s="26"/>
      <c r="MC4" s="27"/>
      <c r="MD4" s="27"/>
      <c r="ME4" s="28"/>
      <c r="MF4" s="25"/>
      <c r="MG4" s="30"/>
      <c r="MH4" s="25"/>
      <c r="MI4" s="26"/>
      <c r="MJ4" s="27"/>
      <c r="MK4" s="27"/>
      <c r="ML4" s="28"/>
      <c r="MM4" s="25"/>
      <c r="MN4" s="30"/>
      <c r="MO4" s="25"/>
      <c r="MP4" s="26"/>
      <c r="MQ4" s="27"/>
      <c r="MR4" s="27"/>
      <c r="MS4" s="28"/>
      <c r="MT4" s="25"/>
      <c r="MU4" s="30"/>
      <c r="MV4" s="25"/>
      <c r="MW4" s="26"/>
      <c r="MX4" s="27"/>
      <c r="MY4" s="27"/>
      <c r="MZ4" s="28"/>
      <c r="NA4" s="25"/>
      <c r="NB4" s="30"/>
      <c r="NC4" s="25"/>
      <c r="ND4" s="26"/>
      <c r="NE4" s="27"/>
      <c r="NF4" s="27"/>
      <c r="NG4" s="28"/>
      <c r="NH4" s="25"/>
      <c r="NI4" s="30"/>
      <c r="NJ4" s="25"/>
      <c r="NK4" s="26"/>
      <c r="NL4" s="27"/>
      <c r="NM4" s="27"/>
      <c r="NN4" s="28"/>
      <c r="NO4" s="25"/>
      <c r="NP4" s="30"/>
      <c r="NQ4" s="25"/>
      <c r="NR4" s="26"/>
      <c r="NS4" s="27"/>
      <c r="NT4" s="27"/>
      <c r="NU4" s="28"/>
      <c r="NV4" s="25"/>
      <c r="NW4" s="30"/>
      <c r="NX4" s="25"/>
      <c r="NY4" s="26"/>
      <c r="NZ4" s="27"/>
      <c r="OA4" s="27"/>
      <c r="OB4" s="28"/>
      <c r="OC4" s="25"/>
      <c r="OD4" s="30"/>
      <c r="OE4" s="25"/>
      <c r="OF4" s="26"/>
      <c r="OG4" s="27"/>
      <c r="OH4" s="27"/>
      <c r="OI4" s="28"/>
      <c r="OJ4" s="25"/>
      <c r="OK4" s="30"/>
      <c r="OL4" s="25"/>
      <c r="OM4" s="26"/>
      <c r="ON4" s="27"/>
      <c r="OO4" s="27"/>
      <c r="OP4" s="28"/>
      <c r="OQ4" s="25"/>
      <c r="OR4" s="30"/>
      <c r="OS4" s="25"/>
      <c r="OT4" s="26"/>
      <c r="OU4" s="27"/>
      <c r="OV4" s="27"/>
      <c r="OW4" s="28"/>
      <c r="OX4" s="25"/>
      <c r="OY4" s="30"/>
      <c r="OZ4" s="25"/>
      <c r="PA4" s="26"/>
      <c r="PB4" s="27"/>
      <c r="PC4" s="27"/>
      <c r="PD4" s="28"/>
      <c r="PE4" s="25"/>
      <c r="PF4" s="30"/>
      <c r="PG4" s="25"/>
      <c r="PH4" s="26"/>
      <c r="PI4" s="27"/>
      <c r="PJ4" s="27"/>
      <c r="PK4" s="28"/>
      <c r="PL4" s="25"/>
      <c r="PM4" s="30"/>
      <c r="PN4" s="25"/>
      <c r="PO4" s="26"/>
      <c r="PP4" s="27"/>
      <c r="PQ4" s="27"/>
      <c r="PR4" s="28"/>
      <c r="PS4" s="25"/>
      <c r="PT4" s="30"/>
      <c r="PU4" s="25"/>
      <c r="PV4" s="26"/>
      <c r="PW4" s="27"/>
      <c r="PX4" s="27"/>
      <c r="PY4" s="28"/>
      <c r="PZ4" s="25"/>
      <c r="QA4" s="30"/>
      <c r="QB4" s="25"/>
      <c r="QC4" s="26"/>
      <c r="QD4" s="27"/>
      <c r="QE4" s="27"/>
      <c r="QF4" s="28"/>
      <c r="QG4" s="25"/>
      <c r="QH4" s="30"/>
      <c r="QI4" s="25"/>
      <c r="QJ4" s="26"/>
      <c r="QK4" s="27"/>
      <c r="QL4" s="27"/>
      <c r="QM4" s="28"/>
      <c r="QN4" s="25"/>
      <c r="QO4" s="30"/>
      <c r="QP4" s="25"/>
      <c r="QQ4" s="26"/>
      <c r="QR4" s="27"/>
      <c r="QS4" s="27"/>
      <c r="QT4" s="28"/>
      <c r="QU4" s="25"/>
      <c r="QV4" s="30"/>
      <c r="QW4" s="25"/>
      <c r="QX4" s="26"/>
      <c r="QY4" s="27"/>
      <c r="QZ4" s="27"/>
      <c r="RA4" s="28"/>
      <c r="RB4" s="25"/>
      <c r="RC4" s="30"/>
      <c r="RD4" s="25"/>
      <c r="RE4" s="26"/>
      <c r="RF4" s="27"/>
      <c r="RG4" s="27"/>
      <c r="RH4" s="28"/>
      <c r="RI4" s="25"/>
      <c r="RJ4" s="30"/>
      <c r="RK4" s="25"/>
      <c r="RL4" s="26"/>
      <c r="RM4" s="27"/>
      <c r="RN4" s="27"/>
      <c r="RO4" s="28"/>
      <c r="RP4" s="25"/>
      <c r="RQ4" s="30"/>
      <c r="RR4" s="25"/>
      <c r="RS4" s="26"/>
      <c r="RT4" s="27"/>
      <c r="RU4" s="27"/>
      <c r="RV4" s="28"/>
      <c r="RW4" s="25"/>
      <c r="RX4" s="30"/>
      <c r="RY4" s="25"/>
      <c r="RZ4" s="26"/>
      <c r="SA4" s="27"/>
      <c r="SB4" s="27"/>
      <c r="SC4" s="28"/>
      <c r="SD4" s="25"/>
      <c r="SE4" s="30"/>
      <c r="SF4" s="25"/>
      <c r="SG4" s="26"/>
      <c r="SH4" s="27"/>
      <c r="SI4" s="27"/>
      <c r="SJ4" s="28"/>
      <c r="SK4" s="25"/>
      <c r="SL4" s="30"/>
      <c r="SM4" s="25"/>
      <c r="SN4" s="26"/>
      <c r="SO4" s="27"/>
      <c r="SP4" s="27"/>
      <c r="SQ4" s="28"/>
      <c r="SR4" s="25"/>
    </row>
    <row r="5" spans="1:512" customFormat="1" ht="16" x14ac:dyDescent="0.2">
      <c r="A5" s="31" t="s">
        <v>14</v>
      </c>
      <c r="B5" s="8"/>
      <c r="F5" s="6"/>
      <c r="G5" s="5"/>
      <c r="H5" s="7"/>
      <c r="I5" s="32"/>
      <c r="K5" s="6"/>
      <c r="L5" s="5"/>
      <c r="M5" s="27"/>
      <c r="N5" s="33" t="s">
        <v>2</v>
      </c>
      <c r="O5" s="25"/>
      <c r="P5" s="32"/>
      <c r="R5" s="6"/>
      <c r="S5" s="5"/>
      <c r="T5" s="27"/>
      <c r="U5" s="33" t="s">
        <v>2</v>
      </c>
      <c r="V5" s="25"/>
      <c r="Y5" s="6"/>
      <c r="Z5" s="5"/>
      <c r="AA5" s="27"/>
      <c r="AB5" s="33" t="s">
        <v>2</v>
      </c>
      <c r="AC5" s="25"/>
      <c r="AF5" s="6"/>
      <c r="AG5" s="5"/>
      <c r="AH5" s="27"/>
      <c r="AI5" s="33" t="s">
        <v>2</v>
      </c>
      <c r="AJ5" s="25"/>
      <c r="AM5" s="6"/>
      <c r="AN5" s="5"/>
      <c r="AO5" s="27"/>
      <c r="AP5" s="33" t="s">
        <v>2</v>
      </c>
      <c r="AQ5" s="25"/>
      <c r="AT5" s="6"/>
      <c r="AU5" s="5"/>
      <c r="AV5" s="27"/>
      <c r="AW5" s="33" t="s">
        <v>2</v>
      </c>
      <c r="AX5" s="25"/>
      <c r="BA5" s="6"/>
      <c r="BB5" s="5"/>
      <c r="BC5" s="27"/>
      <c r="BD5" s="33" t="s">
        <v>2</v>
      </c>
      <c r="BE5" s="25"/>
      <c r="BH5" s="6"/>
      <c r="BI5" s="5"/>
      <c r="BJ5" s="27"/>
      <c r="BK5" s="33" t="s">
        <v>2</v>
      </c>
      <c r="BL5" s="25"/>
      <c r="BO5" s="6"/>
      <c r="BP5" s="5"/>
      <c r="BQ5" s="27"/>
      <c r="BR5" s="33" t="s">
        <v>2</v>
      </c>
      <c r="BS5" s="25"/>
      <c r="BV5" s="6"/>
      <c r="BW5" s="5"/>
      <c r="BX5" s="27"/>
      <c r="BY5" s="33" t="s">
        <v>2</v>
      </c>
      <c r="BZ5" s="25"/>
      <c r="CC5" s="6"/>
      <c r="CD5" s="5"/>
      <c r="CE5" s="27"/>
      <c r="CF5" s="33" t="s">
        <v>2</v>
      </c>
      <c r="CG5" s="25"/>
      <c r="CJ5" s="6"/>
      <c r="CK5" s="5"/>
      <c r="CL5" s="27"/>
      <c r="CM5" s="33" t="s">
        <v>2</v>
      </c>
      <c r="CN5" s="25"/>
      <c r="CQ5" s="6"/>
      <c r="CR5" s="5"/>
      <c r="CS5" s="27"/>
      <c r="CT5" s="33" t="s">
        <v>2</v>
      </c>
      <c r="CU5" s="25"/>
      <c r="CX5" s="6"/>
      <c r="CY5" s="5"/>
      <c r="CZ5" s="27"/>
      <c r="DA5" s="33" t="s">
        <v>2</v>
      </c>
      <c r="DB5" s="25"/>
      <c r="DE5" s="6"/>
      <c r="DF5" s="5"/>
      <c r="DG5" s="27"/>
      <c r="DH5" s="33" t="s">
        <v>2</v>
      </c>
      <c r="DI5" s="25"/>
      <c r="DL5" s="6"/>
      <c r="DM5" s="5"/>
      <c r="DN5" s="27"/>
      <c r="DO5" s="33" t="s">
        <v>2</v>
      </c>
      <c r="DP5" s="25"/>
      <c r="DS5" s="6"/>
      <c r="DT5" s="5"/>
      <c r="DU5" s="27"/>
      <c r="DV5" s="33" t="s">
        <v>2</v>
      </c>
      <c r="DW5" s="25"/>
      <c r="DZ5" s="6"/>
      <c r="EA5" s="5"/>
      <c r="EB5" s="27"/>
      <c r="EC5" s="33" t="s">
        <v>2</v>
      </c>
      <c r="ED5" s="25"/>
      <c r="EG5" s="6"/>
      <c r="EH5" s="5"/>
      <c r="EI5" s="27"/>
      <c r="EJ5" s="33" t="s">
        <v>2</v>
      </c>
      <c r="EK5" s="25"/>
      <c r="EN5" s="6"/>
      <c r="EO5" s="5"/>
      <c r="EP5" s="27"/>
      <c r="EQ5" s="33" t="s">
        <v>2</v>
      </c>
      <c r="ER5" s="25"/>
      <c r="EU5" s="6"/>
      <c r="EV5" s="5"/>
      <c r="EW5" s="27"/>
      <c r="EX5" s="33" t="s">
        <v>2</v>
      </c>
      <c r="EY5" s="25"/>
      <c r="FB5" s="6"/>
      <c r="FC5" s="5"/>
      <c r="FD5" s="27"/>
      <c r="FE5" s="33" t="s">
        <v>2</v>
      </c>
      <c r="FF5" s="25"/>
      <c r="FI5" s="6"/>
      <c r="FJ5" s="5"/>
      <c r="FK5" s="27"/>
      <c r="FL5" s="33" t="s">
        <v>2</v>
      </c>
      <c r="FM5" s="25"/>
      <c r="FP5" s="6"/>
      <c r="FQ5" s="5"/>
      <c r="FR5" s="27"/>
      <c r="FS5" s="33" t="s">
        <v>2</v>
      </c>
      <c r="FT5" s="25"/>
      <c r="FW5" s="6"/>
      <c r="FX5" s="5"/>
      <c r="FY5" s="27"/>
      <c r="FZ5" s="33" t="s">
        <v>2</v>
      </c>
      <c r="GA5" s="25"/>
      <c r="GD5" s="6"/>
      <c r="GE5" s="5"/>
      <c r="GF5" s="27"/>
      <c r="GG5" s="33" t="s">
        <v>2</v>
      </c>
      <c r="GH5" s="25"/>
      <c r="GK5" s="6"/>
      <c r="GL5" s="5"/>
      <c r="GM5" s="27"/>
      <c r="GN5" s="33" t="s">
        <v>2</v>
      </c>
      <c r="GO5" s="25"/>
      <c r="GR5" s="6"/>
      <c r="GS5" s="5"/>
      <c r="GT5" s="27"/>
      <c r="GU5" s="33" t="s">
        <v>2</v>
      </c>
      <c r="GV5" s="25"/>
      <c r="GY5" s="6"/>
      <c r="GZ5" s="5"/>
      <c r="HA5" s="27"/>
      <c r="HB5" s="33" t="s">
        <v>2</v>
      </c>
      <c r="HC5" s="25"/>
      <c r="HF5" s="6"/>
      <c r="HG5" s="5"/>
      <c r="HH5" s="27"/>
      <c r="HI5" s="33" t="s">
        <v>2</v>
      </c>
      <c r="HJ5" s="25"/>
      <c r="HM5" s="6"/>
      <c r="HN5" s="5"/>
      <c r="HO5" s="27"/>
      <c r="HP5" s="33" t="s">
        <v>2</v>
      </c>
      <c r="HQ5" s="25"/>
      <c r="HT5" s="6"/>
      <c r="HU5" s="5"/>
      <c r="HV5" s="27"/>
      <c r="HW5" s="33" t="s">
        <v>2</v>
      </c>
      <c r="HX5" s="25"/>
      <c r="IA5" s="6"/>
      <c r="IB5" s="5"/>
      <c r="IC5" s="27"/>
      <c r="ID5" s="33" t="s">
        <v>2</v>
      </c>
      <c r="IE5" s="25"/>
      <c r="IH5" s="6"/>
      <c r="II5" s="5"/>
      <c r="IJ5" s="27"/>
      <c r="IK5" s="33" t="s">
        <v>2</v>
      </c>
      <c r="IL5" s="25"/>
      <c r="IO5" s="6"/>
      <c r="IP5" s="5"/>
      <c r="IQ5" s="27"/>
      <c r="IR5" s="33" t="s">
        <v>2</v>
      </c>
      <c r="IS5" s="25"/>
      <c r="IV5" s="6"/>
      <c r="IW5" s="5"/>
      <c r="IX5" s="27"/>
      <c r="IY5" s="33" t="s">
        <v>2</v>
      </c>
      <c r="IZ5" s="25"/>
      <c r="JC5" s="6"/>
      <c r="JD5" s="5"/>
      <c r="JE5" s="27"/>
      <c r="JF5" s="33" t="s">
        <v>2</v>
      </c>
      <c r="JG5" s="25"/>
      <c r="JJ5" s="6"/>
      <c r="JK5" s="5"/>
      <c r="JL5" s="27"/>
      <c r="JM5" s="33" t="s">
        <v>2</v>
      </c>
      <c r="JN5" s="25"/>
      <c r="JQ5" s="6"/>
      <c r="JR5" s="5"/>
      <c r="JS5" s="27"/>
      <c r="JT5" s="33" t="s">
        <v>2</v>
      </c>
      <c r="JU5" s="25"/>
      <c r="JX5" s="6"/>
      <c r="JY5" s="5"/>
      <c r="JZ5" s="27"/>
      <c r="KA5" s="33" t="s">
        <v>2</v>
      </c>
      <c r="KB5" s="25"/>
      <c r="KE5" s="6"/>
      <c r="KF5" s="5"/>
      <c r="KG5" s="27"/>
      <c r="KH5" s="33" t="s">
        <v>2</v>
      </c>
      <c r="KI5" s="25"/>
      <c r="KL5" s="6"/>
      <c r="KM5" s="5"/>
      <c r="KN5" s="27"/>
      <c r="KO5" s="33" t="s">
        <v>2</v>
      </c>
      <c r="KP5" s="25"/>
      <c r="KS5" s="6"/>
      <c r="KT5" s="5"/>
      <c r="KU5" s="27"/>
      <c r="KV5" s="33" t="s">
        <v>2</v>
      </c>
      <c r="KW5" s="25"/>
      <c r="KZ5" s="6"/>
      <c r="LA5" s="5"/>
      <c r="LB5" s="27"/>
      <c r="LC5" s="33" t="s">
        <v>2</v>
      </c>
      <c r="LD5" s="25"/>
      <c r="LG5" s="6"/>
      <c r="LH5" s="5"/>
      <c r="LI5" s="27"/>
      <c r="LJ5" s="33" t="s">
        <v>2</v>
      </c>
      <c r="LK5" s="25"/>
      <c r="LN5" s="6"/>
      <c r="LO5" s="5"/>
      <c r="LP5" s="27"/>
      <c r="LQ5" s="33" t="s">
        <v>2</v>
      </c>
      <c r="LR5" s="25"/>
      <c r="LU5" s="6"/>
      <c r="LV5" s="5"/>
      <c r="LW5" s="27"/>
      <c r="LX5" s="33" t="s">
        <v>2</v>
      </c>
      <c r="LY5" s="25"/>
      <c r="MB5" s="6"/>
      <c r="MC5" s="5"/>
      <c r="MD5" s="27"/>
      <c r="ME5" s="33" t="s">
        <v>2</v>
      </c>
      <c r="MF5" s="25"/>
      <c r="MI5" s="6"/>
      <c r="MJ5" s="5"/>
      <c r="MK5" s="27"/>
      <c r="ML5" s="33" t="s">
        <v>2</v>
      </c>
      <c r="MM5" s="25"/>
      <c r="MP5" s="6"/>
      <c r="MQ5" s="5"/>
      <c r="MR5" s="27"/>
      <c r="MS5" s="33" t="s">
        <v>2</v>
      </c>
      <c r="MT5" s="25"/>
      <c r="MW5" s="6"/>
      <c r="MX5" s="5"/>
      <c r="MY5" s="27"/>
      <c r="MZ5" s="33" t="s">
        <v>2</v>
      </c>
      <c r="NA5" s="25"/>
      <c r="ND5" s="6"/>
      <c r="NE5" s="5"/>
      <c r="NF5" s="27"/>
      <c r="NG5" s="33" t="s">
        <v>2</v>
      </c>
      <c r="NH5" s="25"/>
      <c r="NK5" s="6"/>
      <c r="NL5" s="5"/>
      <c r="NM5" s="27"/>
      <c r="NN5" s="33" t="s">
        <v>2</v>
      </c>
      <c r="NO5" s="25"/>
      <c r="NR5" s="6"/>
      <c r="NS5" s="5"/>
      <c r="NT5" s="27"/>
      <c r="NU5" s="33" t="s">
        <v>2</v>
      </c>
      <c r="NV5" s="25"/>
      <c r="NY5" s="6"/>
      <c r="NZ5" s="5"/>
      <c r="OA5" s="27"/>
      <c r="OB5" s="33" t="s">
        <v>2</v>
      </c>
      <c r="OC5" s="25"/>
      <c r="OF5" s="6"/>
      <c r="OG5" s="5"/>
      <c r="OH5" s="27"/>
      <c r="OI5" s="33" t="s">
        <v>2</v>
      </c>
      <c r="OJ5" s="25"/>
      <c r="OM5" s="6"/>
      <c r="ON5" s="5"/>
      <c r="OO5" s="27"/>
      <c r="OP5" s="33" t="s">
        <v>2</v>
      </c>
      <c r="OQ5" s="25"/>
      <c r="OT5" s="6"/>
      <c r="OU5" s="5"/>
      <c r="OV5" s="27"/>
      <c r="OW5" s="33" t="s">
        <v>2</v>
      </c>
      <c r="OX5" s="25"/>
      <c r="PA5" s="6"/>
      <c r="PB5" s="5"/>
      <c r="PC5" s="27"/>
      <c r="PD5" s="33" t="s">
        <v>2</v>
      </c>
      <c r="PE5" s="25"/>
      <c r="PH5" s="6"/>
      <c r="PI5" s="5"/>
      <c r="PJ5" s="27"/>
      <c r="PK5" s="33" t="s">
        <v>2</v>
      </c>
      <c r="PL5" s="25"/>
      <c r="PO5" s="6"/>
      <c r="PP5" s="5"/>
      <c r="PQ5" s="27"/>
      <c r="PR5" s="33" t="s">
        <v>2</v>
      </c>
      <c r="PS5" s="25"/>
      <c r="PV5" s="6"/>
      <c r="PW5" s="5"/>
      <c r="PX5" s="27"/>
      <c r="PY5" s="33" t="s">
        <v>2</v>
      </c>
      <c r="PZ5" s="25"/>
      <c r="QC5" s="6"/>
      <c r="QD5" s="5"/>
      <c r="QE5" s="27"/>
      <c r="QF5" s="33" t="s">
        <v>2</v>
      </c>
      <c r="QG5" s="25"/>
      <c r="QJ5" s="6"/>
      <c r="QK5" s="5"/>
      <c r="QL5" s="27"/>
      <c r="QM5" s="33" t="s">
        <v>2</v>
      </c>
      <c r="QN5" s="25"/>
      <c r="QQ5" s="6"/>
      <c r="QR5" s="5"/>
      <c r="QS5" s="27"/>
      <c r="QT5" s="33" t="s">
        <v>2</v>
      </c>
      <c r="QU5" s="25"/>
      <c r="QX5" s="6"/>
      <c r="QY5" s="5"/>
      <c r="QZ5" s="27"/>
      <c r="RA5" s="33" t="s">
        <v>2</v>
      </c>
      <c r="RB5" s="25"/>
      <c r="RE5" s="6"/>
      <c r="RF5" s="5"/>
      <c r="RG5" s="27"/>
      <c r="RH5" s="33" t="s">
        <v>2</v>
      </c>
      <c r="RI5" s="25"/>
      <c r="RL5" s="6"/>
      <c r="RM5" s="5"/>
      <c r="RN5" s="27"/>
      <c r="RO5" s="33" t="s">
        <v>2</v>
      </c>
      <c r="RP5" s="25"/>
      <c r="RS5" s="6"/>
      <c r="RT5" s="5"/>
      <c r="RU5" s="27"/>
      <c r="RV5" s="33" t="s">
        <v>2</v>
      </c>
      <c r="RW5" s="25"/>
      <c r="RZ5" s="6"/>
      <c r="SA5" s="5"/>
      <c r="SB5" s="27"/>
      <c r="SC5" s="33" t="s">
        <v>2</v>
      </c>
      <c r="SD5" s="25"/>
      <c r="SG5" s="6"/>
      <c r="SH5" s="5"/>
      <c r="SI5" s="27"/>
      <c r="SJ5" s="33" t="s">
        <v>2</v>
      </c>
      <c r="SK5" s="25"/>
      <c r="SN5" s="6"/>
      <c r="SO5" s="5"/>
      <c r="SP5" s="27"/>
      <c r="SQ5" s="33" t="s">
        <v>2</v>
      </c>
      <c r="SR5" s="25"/>
    </row>
    <row r="6" spans="1:512" customFormat="1" ht="16" customHeight="1" x14ac:dyDescent="0.2">
      <c r="A6" s="34">
        <v>46184</v>
      </c>
      <c r="B6" s="35">
        <v>0.875</v>
      </c>
      <c r="C6" s="79" t="s">
        <v>28</v>
      </c>
      <c r="D6" s="80" t="s">
        <v>29</v>
      </c>
      <c r="E6" s="3">
        <v>2</v>
      </c>
      <c r="F6" s="37" t="s">
        <v>4</v>
      </c>
      <c r="G6" s="4">
        <v>0</v>
      </c>
      <c r="H6" s="16">
        <v>1</v>
      </c>
      <c r="I6" s="32">
        <f>E6-G6</f>
        <v>2</v>
      </c>
      <c r="J6" s="38">
        <v>0</v>
      </c>
      <c r="K6" s="39" t="s">
        <v>4</v>
      </c>
      <c r="L6" s="40">
        <v>1</v>
      </c>
      <c r="M6" s="41"/>
      <c r="N6" s="42">
        <f>IF(OR($G6="",L6=""),"",IF(AND($E6=J6,$G6=L6),$H6*1.5,IF(AND($I6&gt;0,O6&gt;0),$H6,IF(AND($I6&lt;0,O6&lt;0),$H6,IF(AND($I6=0,O6=0),$H6,0)))))</f>
        <v>0</v>
      </c>
      <c r="O6" s="43">
        <f>J6-L6</f>
        <v>-1</v>
      </c>
      <c r="P6" s="32"/>
      <c r="Q6" s="38">
        <v>2</v>
      </c>
      <c r="R6" s="39" t="s">
        <v>4</v>
      </c>
      <c r="S6" s="40">
        <v>0</v>
      </c>
      <c r="T6" s="41"/>
      <c r="U6" s="42">
        <f>IF(OR($G6="",S6=""),"",IF(AND($E6=Q6,$G6=S6),$H6*1.5,IF(AND($I6&gt;0,V6&gt;0),$H6,IF(AND($I6&lt;0,V6&lt;0),$H6,IF(AND($I6=0,V6=0),$H6,0)))))</f>
        <v>1.5</v>
      </c>
      <c r="V6" s="43">
        <f>Q6-S6</f>
        <v>2</v>
      </c>
      <c r="X6" s="38">
        <v>2</v>
      </c>
      <c r="Y6" s="39" t="s">
        <v>4</v>
      </c>
      <c r="Z6" s="40">
        <v>0</v>
      </c>
      <c r="AA6" s="41"/>
      <c r="AB6" s="42">
        <f>IF(OR($G6="",Z6=""),"",IF(AND($E6=X6,$G6=Z6),$H6*1.5,IF(AND($I6&gt;0,AC6&gt;0),$H6,IF(AND($I6&lt;0,AC6&lt;0),$H6,IF(AND($I6=0,AC6=0),$H6,0)))))</f>
        <v>1.5</v>
      </c>
      <c r="AC6" s="43">
        <f>X6-Z6</f>
        <v>2</v>
      </c>
      <c r="AE6" s="38">
        <v>2</v>
      </c>
      <c r="AF6" s="39" t="s">
        <v>4</v>
      </c>
      <c r="AG6" s="40">
        <v>2</v>
      </c>
      <c r="AH6" s="41"/>
      <c r="AI6" s="42">
        <f>IF(OR($G6="",AG6=""),"",IF(AND($E6=AE6,$G6=AG6),$H6*1.5,IF(AND($I6&gt;0,AJ6&gt;0),$H6,IF(AND($I6&lt;0,AJ6&lt;0),$H6,IF(AND($I6=0,AJ6=0),$H6,0)))))</f>
        <v>0</v>
      </c>
      <c r="AJ6" s="43">
        <f>AE6-AG6</f>
        <v>0</v>
      </c>
      <c r="AL6" s="38">
        <v>2</v>
      </c>
      <c r="AM6" s="39" t="s">
        <v>4</v>
      </c>
      <c r="AN6" s="40">
        <v>1</v>
      </c>
      <c r="AO6" s="41"/>
      <c r="AP6" s="42">
        <f>IF(OR($G6="",AN6=""),"",IF(AND($E6=AL6,$G6=AN6),$H6*1.5,IF(AND($I6&gt;0,AQ6&gt;0),$H6,IF(AND($I6&lt;0,AQ6&lt;0),$H6,IF(AND($I6=0,AQ6=0),$H6,0)))))</f>
        <v>1</v>
      </c>
      <c r="AQ6" s="43">
        <f>AL6-AN6</f>
        <v>1</v>
      </c>
      <c r="AS6" s="38">
        <v>3</v>
      </c>
      <c r="AT6" s="39" t="s">
        <v>4</v>
      </c>
      <c r="AU6" s="40">
        <v>2</v>
      </c>
      <c r="AV6" s="41"/>
      <c r="AW6" s="42">
        <f>IF(OR($G6="",AU6=""),"",IF(AND($E6=AS6,$G6=AU6),$H6*1.5,IF(AND($I6&gt;0,AX6&gt;0),$H6,IF(AND($I6&lt;0,AX6&lt;0),$H6,IF(AND($I6=0,AX6=0),$H6,0)))))</f>
        <v>1</v>
      </c>
      <c r="AX6" s="43">
        <f>AS6-AU6</f>
        <v>1</v>
      </c>
      <c r="AZ6" s="86">
        <v>2</v>
      </c>
      <c r="BA6" s="39" t="s">
        <v>4</v>
      </c>
      <c r="BB6" s="40">
        <v>0</v>
      </c>
      <c r="BC6" s="41"/>
      <c r="BD6" s="42">
        <f>IF(OR($G6="",BB6=""),"",IF(AND($E6=AZ6,$G6=BB6),$H6*1.5,IF(AND($I6&gt;0,BE6&gt;0),$H6,IF(AND($I6&lt;0,BE6&lt;0),$H6,IF(AND($I6=0,BE6=0),$H6,0)))))</f>
        <v>1.5</v>
      </c>
      <c r="BE6" s="43">
        <f>AZ6-BB6</f>
        <v>2</v>
      </c>
      <c r="BG6" s="38">
        <v>1</v>
      </c>
      <c r="BH6" s="39" t="s">
        <v>4</v>
      </c>
      <c r="BI6" s="40">
        <v>0</v>
      </c>
      <c r="BJ6" s="41"/>
      <c r="BK6" s="42">
        <f>IF(OR($G6="",BI6=""),"",IF(AND($E6=BG6,$G6=BI6),$H6*1.5,IF(AND($I6&gt;0,BL6&gt;0),$H6,IF(AND($I6&lt;0,BL6&lt;0),$H6,IF(AND($I6=0,BL6=0),$H6,0)))))</f>
        <v>1</v>
      </c>
      <c r="BL6" s="43">
        <f>BG6-BI6</f>
        <v>1</v>
      </c>
      <c r="BN6" s="38">
        <v>4</v>
      </c>
      <c r="BO6" s="39" t="s">
        <v>4</v>
      </c>
      <c r="BP6" s="40">
        <v>1</v>
      </c>
      <c r="BQ6" s="41"/>
      <c r="BR6" s="42">
        <f>IF(OR($G6="",BP6=""),"",IF(AND($E6=BN6,$G6=BP6),$H6*1.5,IF(AND($I6&gt;0,BS6&gt;0),$H6,IF(AND($I6&lt;0,BS6&lt;0),$H6,IF(AND($I6=0,BS6=0),$H6,0)))))</f>
        <v>1</v>
      </c>
      <c r="BS6" s="43">
        <f>BN6-BP6</f>
        <v>3</v>
      </c>
      <c r="BU6" s="38">
        <v>2</v>
      </c>
      <c r="BV6" s="39" t="s">
        <v>4</v>
      </c>
      <c r="BW6" s="40">
        <v>0</v>
      </c>
      <c r="BX6" s="41"/>
      <c r="BY6" s="42">
        <f>IF(OR($G6="",BW6=""),"",IF(AND($E6=BU6,$G6=BW6),$H6*1.5,IF(AND($I6&gt;0,BZ6&gt;0),$H6,IF(AND($I6&lt;0,BZ6&lt;0),$H6,IF(AND($I6=0,BZ6=0),$H6,0)))))</f>
        <v>1.5</v>
      </c>
      <c r="BZ6" s="43">
        <f>BU6-BW6</f>
        <v>2</v>
      </c>
      <c r="CB6" s="38">
        <v>3</v>
      </c>
      <c r="CC6" s="39" t="s">
        <v>4</v>
      </c>
      <c r="CD6" s="40">
        <v>1</v>
      </c>
      <c r="CE6" s="41"/>
      <c r="CF6" s="42">
        <f>IF(OR($G6="",CD6=""),"",IF(AND($E6=CB6,$G6=CD6),$H6*1.5,IF(AND($I6&gt;0,CG6&gt;0),$H6,IF(AND($I6&lt;0,CG6&lt;0),$H6,IF(AND($I6=0,CG6=0),$H6,0)))))</f>
        <v>1</v>
      </c>
      <c r="CG6" s="43">
        <f>CB6-CD6</f>
        <v>2</v>
      </c>
      <c r="CI6" s="38">
        <v>2</v>
      </c>
      <c r="CJ6" s="39" t="s">
        <v>4</v>
      </c>
      <c r="CK6" s="40">
        <v>0</v>
      </c>
      <c r="CL6" s="41"/>
      <c r="CM6" s="42">
        <f>IF(OR($G6="",CK6=""),"",IF(AND($E6=CI6,$G6=CK6),$H6*1.5,IF(AND($I6&gt;0,CN6&gt;0),$H6,IF(AND($I6&lt;0,CN6&lt;0),$H6,IF(AND($I6=0,CN6=0),$H6,0)))))</f>
        <v>1.5</v>
      </c>
      <c r="CN6" s="43">
        <f>CI6-CK6</f>
        <v>2</v>
      </c>
      <c r="CP6" s="38">
        <v>3</v>
      </c>
      <c r="CQ6" s="39" t="s">
        <v>4</v>
      </c>
      <c r="CR6" s="40">
        <v>1</v>
      </c>
      <c r="CS6" s="41"/>
      <c r="CT6" s="42">
        <f>IF(OR($G6="",CR6=""),"",IF(AND($E6=CP6,$G6=CR6),$H6*1.5,IF(AND($I6&gt;0,CU6&gt;0),$H6,IF(AND($I6&lt;0,CU6&lt;0),$H6,IF(AND($I6=0,CU6=0),$H6,0)))))</f>
        <v>1</v>
      </c>
      <c r="CU6" s="43">
        <f>CP6-CR6</f>
        <v>2</v>
      </c>
      <c r="CW6" s="38">
        <v>1</v>
      </c>
      <c r="CX6" s="39" t="s">
        <v>4</v>
      </c>
      <c r="CY6" s="40">
        <v>0</v>
      </c>
      <c r="CZ6" s="41"/>
      <c r="DA6" s="42">
        <f>IF(OR($G6="",CY6=""),"",IF(AND($E6=CW6,$G6=CY6),$H6*1.5,IF(AND($I6&gt;0,DB6&gt;0),$H6,IF(AND($I6&lt;0,DB6&lt;0),$H6,IF(AND($I6=0,DB6=0),$H6,0)))))</f>
        <v>1</v>
      </c>
      <c r="DB6" s="43">
        <f>CW6-CY6</f>
        <v>1</v>
      </c>
      <c r="DD6" s="38">
        <v>1</v>
      </c>
      <c r="DE6" s="39" t="s">
        <v>4</v>
      </c>
      <c r="DF6" s="40">
        <v>1</v>
      </c>
      <c r="DG6" s="41"/>
      <c r="DH6" s="42">
        <f>IF(OR($G6="",DF6=""),"",IF(AND($E6=DD6,$G6=DF6),$H6*1.5,IF(AND($I6&gt;0,DI6&gt;0),$H6,IF(AND($I6&lt;0,DI6&lt;0),$H6,IF(AND($I6=0,DI6=0),$H6,0)))))</f>
        <v>0</v>
      </c>
      <c r="DI6" s="43">
        <f>DD6-DF6</f>
        <v>0</v>
      </c>
      <c r="DK6" s="38">
        <v>2</v>
      </c>
      <c r="DL6" s="39" t="s">
        <v>4</v>
      </c>
      <c r="DM6" s="40">
        <v>0</v>
      </c>
      <c r="DN6" s="41"/>
      <c r="DO6" s="42">
        <f>IF(OR($G6="",DM6=""),"",IF(AND($E6=DK6,$G6=DM6),$H6*1.5,IF(AND($I6&gt;0,DP6&gt;0),$H6,IF(AND($I6&lt;0,DP6&lt;0),$H6,IF(AND($I6=0,DP6=0),$H6,0)))))</f>
        <v>1.5</v>
      </c>
      <c r="DP6" s="43">
        <f>DK6-DM6</f>
        <v>2</v>
      </c>
      <c r="DR6" s="38">
        <v>2</v>
      </c>
      <c r="DS6" s="39" t="s">
        <v>4</v>
      </c>
      <c r="DT6" s="40">
        <v>0</v>
      </c>
      <c r="DU6" s="41"/>
      <c r="DV6" s="42">
        <f>IF(OR($G6="",DT6=""),"",IF(AND($E6=DR6,$G6=DT6),$H6*1.5,IF(AND($I6&gt;0,DW6&gt;0),$H6,IF(AND($I6&lt;0,DW6&lt;0),$H6,IF(AND($I6=0,DW6=0),$H6,0)))))</f>
        <v>1.5</v>
      </c>
      <c r="DW6" s="43">
        <f>DR6-DT6</f>
        <v>2</v>
      </c>
      <c r="DY6" s="38">
        <v>2</v>
      </c>
      <c r="DZ6" s="39" t="s">
        <v>4</v>
      </c>
      <c r="EA6" s="40">
        <v>0</v>
      </c>
      <c r="EB6" s="41"/>
      <c r="EC6" s="42">
        <f>IF(OR($G6="",EA6=""),"",IF(AND($E6=DY6,$G6=EA6),$H6*1.5,IF(AND($I6&gt;0,ED6&gt;0),$H6,IF(AND($I6&lt;0,ED6&lt;0),$H6,IF(AND($I6=0,ED6=0),$H6,0)))))</f>
        <v>1.5</v>
      </c>
      <c r="ED6" s="43">
        <f>DY6-EA6</f>
        <v>2</v>
      </c>
      <c r="EF6" s="38">
        <v>2</v>
      </c>
      <c r="EG6" s="39" t="s">
        <v>4</v>
      </c>
      <c r="EH6" s="40">
        <v>1</v>
      </c>
      <c r="EI6" s="41"/>
      <c r="EJ6" s="42">
        <f>IF(OR($G6="",EH6=""),"",IF(AND($E6=EF6,$G6=EH6),$H6*1.5,IF(AND($I6&gt;0,EK6&gt;0),$H6,IF(AND($I6&lt;0,EK6&lt;0),$H6,IF(AND($I6=0,EK6=0),$H6,0)))))</f>
        <v>1</v>
      </c>
      <c r="EK6" s="43">
        <f>EF6-EH6</f>
        <v>1</v>
      </c>
      <c r="EM6" s="38">
        <v>3</v>
      </c>
      <c r="EN6" s="39" t="s">
        <v>4</v>
      </c>
      <c r="EO6" s="40">
        <v>1</v>
      </c>
      <c r="EP6" s="41"/>
      <c r="EQ6" s="42">
        <f>IF(OR($G6="",EO6=""),"",IF(AND($E6=EM6,$G6=EO6),$H6*1.5,IF(AND($I6&gt;0,ER6&gt;0),$H6,IF(AND($I6&lt;0,ER6&lt;0),$H6,IF(AND($I6=0,ER6=0),$H6,0)))))</f>
        <v>1</v>
      </c>
      <c r="ER6" s="43">
        <f>EM6-EO6</f>
        <v>2</v>
      </c>
      <c r="ET6" s="38">
        <v>0</v>
      </c>
      <c r="EU6" s="39" t="s">
        <v>4</v>
      </c>
      <c r="EV6" s="40">
        <v>2</v>
      </c>
      <c r="EW6" s="41"/>
      <c r="EX6" s="42">
        <f>IF(OR($G6="",EV6=""),"",IF(AND($E6=ET6,$G6=EV6),$H6*1.5,IF(AND($I6&gt;0,EY6&gt;0),$H6,IF(AND($I6&lt;0,EY6&lt;0),$H6,IF(AND($I6=0,EY6=0),$H6,0)))))</f>
        <v>0</v>
      </c>
      <c r="EY6" s="43">
        <f>ET6-EV6</f>
        <v>-2</v>
      </c>
      <c r="FA6" s="38">
        <v>2</v>
      </c>
      <c r="FB6" s="39" t="s">
        <v>4</v>
      </c>
      <c r="FC6" s="40">
        <v>0</v>
      </c>
      <c r="FD6" s="41"/>
      <c r="FE6" s="42">
        <f>IF(OR($G6="",FC6=""),"",IF(AND($E6=FA6,$G6=FC6),$H6*1.5,IF(AND($I6&gt;0,FF6&gt;0),$H6,IF(AND($I6&lt;0,FF6&lt;0),$H6,IF(AND($I6=0,FF6=0),$H6,0)))))</f>
        <v>1.5</v>
      </c>
      <c r="FF6" s="43">
        <f>FA6-FC6</f>
        <v>2</v>
      </c>
      <c r="FH6" s="38">
        <v>2</v>
      </c>
      <c r="FI6" s="39" t="s">
        <v>4</v>
      </c>
      <c r="FJ6" s="40">
        <v>0</v>
      </c>
      <c r="FK6" s="41"/>
      <c r="FL6" s="42">
        <f>IF(OR($G6="",FJ6=""),"",IF(AND($E6=FH6,$G6=FJ6),$H6*1.5,IF(AND($I6&gt;0,FM6&gt;0),$H6,IF(AND($I6&lt;0,FM6&lt;0),$H6,IF(AND($I6=0,FM6=0),$H6,0)))))</f>
        <v>1.5</v>
      </c>
      <c r="FM6" s="43">
        <f>FH6-FJ6</f>
        <v>2</v>
      </c>
      <c r="FO6" s="38">
        <v>2</v>
      </c>
      <c r="FP6" s="39" t="s">
        <v>4</v>
      </c>
      <c r="FQ6" s="40">
        <v>1</v>
      </c>
      <c r="FR6" s="41"/>
      <c r="FS6" s="42">
        <f>IF(OR($G6="",FQ6=""),"",IF(AND($E6=FO6,$G6=FQ6),$H6*1.5,IF(AND($I6&gt;0,FT6&gt;0),$H6,IF(AND($I6&lt;0,FT6&lt;0),$H6,IF(AND($I6=0,FT6=0),$H6,0)))))</f>
        <v>1</v>
      </c>
      <c r="FT6" s="43">
        <f>FO6-FQ6</f>
        <v>1</v>
      </c>
      <c r="FV6" s="38">
        <v>1</v>
      </c>
      <c r="FW6" s="39" t="s">
        <v>4</v>
      </c>
      <c r="FX6" s="40">
        <v>1</v>
      </c>
      <c r="FY6" s="41"/>
      <c r="FZ6" s="42">
        <f>IF(OR($G6="",FX6=""),"",IF(AND($E6=FV6,$G6=FX6),$H6*1.5,IF(AND($I6&gt;0,GA6&gt;0),$H6,IF(AND($I6&lt;0,GA6&lt;0),$H6,IF(AND($I6=0,GA6=0),$H6,0)))))</f>
        <v>0</v>
      </c>
      <c r="GA6" s="43">
        <f>FV6-FX6</f>
        <v>0</v>
      </c>
      <c r="GC6" s="38">
        <v>2</v>
      </c>
      <c r="GD6" s="39" t="s">
        <v>4</v>
      </c>
      <c r="GE6" s="40">
        <v>0</v>
      </c>
      <c r="GF6" s="41"/>
      <c r="GG6" s="42">
        <f>IF(OR($G6="",GE6=""),"",IF(AND($E6=GC6,$G6=GE6),$H6*1.5,IF(AND($I6&gt;0,GH6&gt;0),$H6,IF(AND($I6&lt;0,GH6&lt;0),$H6,IF(AND($I6=0,GH6=0),$H6,0)))))</f>
        <v>1.5</v>
      </c>
      <c r="GH6" s="43">
        <f>GC6-GE6</f>
        <v>2</v>
      </c>
      <c r="GJ6" s="38">
        <v>2</v>
      </c>
      <c r="GK6" s="39" t="s">
        <v>4</v>
      </c>
      <c r="GL6" s="40">
        <v>0</v>
      </c>
      <c r="GM6" s="41"/>
      <c r="GN6" s="42">
        <f>IF(OR($G6="",GL6=""),"",IF(AND($E6=GJ6,$G6=GL6),$H6*1.5,IF(AND($I6&gt;0,GO6&gt;0),$H6,IF(AND($I6&lt;0,GO6&lt;0),$H6,IF(AND($I6=0,GO6=0),$H6,0)))))</f>
        <v>1.5</v>
      </c>
      <c r="GO6" s="43">
        <f>GJ6-GL6</f>
        <v>2</v>
      </c>
      <c r="GQ6" s="38">
        <v>2</v>
      </c>
      <c r="GR6" s="39" t="s">
        <v>4</v>
      </c>
      <c r="GS6" s="40">
        <v>1</v>
      </c>
      <c r="GT6" s="41"/>
      <c r="GU6" s="42">
        <f>IF(OR($G6="",GS6=""),"",IF(AND($E6=GQ6,$G6=GS6),$H6*1.5,IF(AND($I6&gt;0,GV6&gt;0),$H6,IF(AND($I6&lt;0,GV6&lt;0),$H6,IF(AND($I6=0,GV6=0),$H6,0)))))</f>
        <v>1</v>
      </c>
      <c r="GV6" s="43">
        <f>GQ6-GS6</f>
        <v>1</v>
      </c>
      <c r="GX6" s="38">
        <v>2</v>
      </c>
      <c r="GY6" s="39" t="s">
        <v>4</v>
      </c>
      <c r="GZ6" s="40">
        <v>0</v>
      </c>
      <c r="HA6" s="41"/>
      <c r="HB6" s="42">
        <f>IF(OR($G6="",GZ6=""),"",IF(AND($E6=GX6,$G6=GZ6),$H6*1.5,IF(AND($I6&gt;0,HC6&gt;0),$H6,IF(AND($I6&lt;0,HC6&lt;0),$H6,IF(AND($I6=0,HC6=0),$H6,0)))))</f>
        <v>1.5</v>
      </c>
      <c r="HC6" s="43">
        <f>GX6-GZ6</f>
        <v>2</v>
      </c>
      <c r="HE6" s="38">
        <v>2</v>
      </c>
      <c r="HF6" s="39" t="s">
        <v>4</v>
      </c>
      <c r="HG6" s="40">
        <v>0</v>
      </c>
      <c r="HH6" s="41"/>
      <c r="HI6" s="42">
        <f>IF(OR($G6="",HG6=""),"",IF(AND($E6=HE6,$G6=HG6),$H6*1.5,IF(AND($I6&gt;0,HJ6&gt;0),$H6,IF(AND($I6&lt;0,HJ6&lt;0),$H6,IF(AND($I6=0,HJ6=0),$H6,0)))))</f>
        <v>1.5</v>
      </c>
      <c r="HJ6" s="43">
        <f>HE6-HG6</f>
        <v>2</v>
      </c>
      <c r="HL6" s="38">
        <v>3</v>
      </c>
      <c r="HM6" s="39" t="s">
        <v>4</v>
      </c>
      <c r="HN6" s="40">
        <v>0</v>
      </c>
      <c r="HO6" s="41"/>
      <c r="HP6" s="42">
        <f>IF(OR($G6="",HN6=""),"",IF(AND($E6=HL6,$G6=HN6),$H6*1.5,IF(AND($I6&gt;0,HQ6&gt;0),$H6,IF(AND($I6&lt;0,HQ6&lt;0),$H6,IF(AND($I6=0,HQ6=0),$H6,0)))))</f>
        <v>1</v>
      </c>
      <c r="HQ6" s="43">
        <f>HL6-HN6</f>
        <v>3</v>
      </c>
      <c r="HS6" s="38">
        <v>2</v>
      </c>
      <c r="HT6" s="39" t="s">
        <v>4</v>
      </c>
      <c r="HU6" s="40">
        <v>1</v>
      </c>
      <c r="HV6" s="41"/>
      <c r="HW6" s="42">
        <f>IF(OR($G6="",HU6=""),"",IF(AND($E6=HS6,$G6=HU6),$H6*1.5,IF(AND($I6&gt;0,HX6&gt;0),$H6,IF(AND($I6&lt;0,HX6&lt;0),$H6,IF(AND($I6=0,HX6=0),$H6,0)))))</f>
        <v>1</v>
      </c>
      <c r="HX6" s="43">
        <f>HS6-HU6</f>
        <v>1</v>
      </c>
      <c r="HZ6" s="38">
        <v>2</v>
      </c>
      <c r="IA6" s="39" t="s">
        <v>4</v>
      </c>
      <c r="IB6" s="40">
        <v>1</v>
      </c>
      <c r="IC6" s="41"/>
      <c r="ID6" s="42">
        <f>IF(OR($G6="",IB6=""),"",IF(AND($E6=HZ6,$G6=IB6),$H6*1.5,IF(AND($I6&gt;0,IE6&gt;0),$H6,IF(AND($I6&lt;0,IE6&lt;0),$H6,IF(AND($I6=0,IE6=0),$H6,0)))))</f>
        <v>1</v>
      </c>
      <c r="IE6" s="43">
        <f>HZ6-IB6</f>
        <v>1</v>
      </c>
      <c r="IG6" s="38">
        <v>1</v>
      </c>
      <c r="IH6" s="39" t="s">
        <v>4</v>
      </c>
      <c r="II6" s="40">
        <v>3</v>
      </c>
      <c r="IJ6" s="41"/>
      <c r="IK6" s="42">
        <f>IF(OR($G6="",II6=""),"",IF(AND($E6=IG6,$G6=II6),$H6*1.5,IF(AND($I6&gt;0,IL6&gt;0),$H6,IF(AND($I6&lt;0,IL6&lt;0),$H6,IF(AND($I6=0,IL6=0),$H6,0)))))</f>
        <v>0</v>
      </c>
      <c r="IL6" s="43">
        <f>IG6-II6</f>
        <v>-2</v>
      </c>
      <c r="IN6" s="38">
        <v>2</v>
      </c>
      <c r="IO6" s="39" t="s">
        <v>4</v>
      </c>
      <c r="IP6" s="40">
        <v>0</v>
      </c>
      <c r="IQ6" s="41"/>
      <c r="IR6" s="42">
        <f>IF(OR($G6="",IP6=""),"",IF(AND($E6=IN6,$G6=IP6),$H6*1.5,IF(AND($I6&gt;0,IS6&gt;0),$H6,IF(AND($I6&lt;0,IS6&lt;0),$H6,IF(AND($I6=0,IS6=0),$H6,0)))))</f>
        <v>1.5</v>
      </c>
      <c r="IS6" s="43">
        <f>IN6-IP6</f>
        <v>2</v>
      </c>
      <c r="IU6" s="38">
        <v>2</v>
      </c>
      <c r="IV6" s="39" t="s">
        <v>4</v>
      </c>
      <c r="IW6" s="40">
        <v>0</v>
      </c>
      <c r="IX6" s="41"/>
      <c r="IY6" s="42">
        <f>IF(OR($G6="",IW6=""),"",IF(AND($E6=IU6,$G6=IW6),$H6*1.5,IF(AND($I6&gt;0,IZ6&gt;0),$H6,IF(AND($I6&lt;0,IZ6&lt;0),$H6,IF(AND($I6=0,IZ6=0),$H6,0)))))</f>
        <v>1.5</v>
      </c>
      <c r="IZ6" s="43">
        <f>IU6-IW6</f>
        <v>2</v>
      </c>
      <c r="JB6" s="38">
        <v>2</v>
      </c>
      <c r="JC6" s="39" t="s">
        <v>4</v>
      </c>
      <c r="JD6" s="40">
        <v>1</v>
      </c>
      <c r="JE6" s="41"/>
      <c r="JF6" s="42">
        <f>IF(OR($G6="",JD6=""),"",IF(AND($E6=JB6,$G6=JD6),$H6*1.5,IF(AND($I6&gt;0,JG6&gt;0),$H6,IF(AND($I6&lt;0,JG6&lt;0),$H6,IF(AND($I6=0,JG6=0),$H6,0)))))</f>
        <v>1</v>
      </c>
      <c r="JG6" s="43">
        <f>JB6-JD6</f>
        <v>1</v>
      </c>
      <c r="JI6" s="38">
        <v>2</v>
      </c>
      <c r="JJ6" s="39" t="s">
        <v>4</v>
      </c>
      <c r="JK6" s="40">
        <v>0</v>
      </c>
      <c r="JL6" s="41"/>
      <c r="JM6" s="42">
        <f>IF(OR($G6="",JK6=""),"",IF(AND($E6=JI6,$G6=JK6),$H6*1.5,IF(AND($I6&gt;0,JN6&gt;0),$H6,IF(AND($I6&lt;0,JN6&lt;0),$H6,IF(AND($I6=0,JN6=0),$H6,0)))))</f>
        <v>1.5</v>
      </c>
      <c r="JN6" s="43">
        <f>JI6-JK6</f>
        <v>2</v>
      </c>
      <c r="JP6" s="38">
        <v>2</v>
      </c>
      <c r="JQ6" s="39" t="s">
        <v>4</v>
      </c>
      <c r="JR6" s="40">
        <v>0</v>
      </c>
      <c r="JS6" s="41"/>
      <c r="JT6" s="42">
        <f>IF(OR($G6="",JR6=""),"",IF(AND($E6=JP6,$G6=JR6),$H6*1.5,IF(AND($I6&gt;0,JU6&gt;0),$H6,IF(AND($I6&lt;0,JU6&lt;0),$H6,IF(AND($I6=0,JU6=0),$H6,0)))))</f>
        <v>1.5</v>
      </c>
      <c r="JU6" s="43">
        <f>JP6-JR6</f>
        <v>2</v>
      </c>
      <c r="JW6" s="38">
        <v>2</v>
      </c>
      <c r="JX6" s="39" t="s">
        <v>4</v>
      </c>
      <c r="JY6" s="40">
        <v>1</v>
      </c>
      <c r="JZ6" s="41"/>
      <c r="KA6" s="42">
        <f>IF(OR($G6="",JY6=""),"",IF(AND($E6=JW6,$G6=JY6),$H6*1.5,IF(AND($I6&gt;0,KB6&gt;0),$H6,IF(AND($I6&lt;0,KB6&lt;0),$H6,IF(AND($I6=0,KB6=0),$H6,0)))))</f>
        <v>1</v>
      </c>
      <c r="KB6" s="43">
        <f>JW6-JY6</f>
        <v>1</v>
      </c>
      <c r="KD6" s="38">
        <v>2</v>
      </c>
      <c r="KE6" s="39" t="s">
        <v>4</v>
      </c>
      <c r="KF6" s="40">
        <v>0</v>
      </c>
      <c r="KG6" s="41"/>
      <c r="KH6" s="42">
        <f>IF(OR($G6="",KF6=""),"",IF(AND($E6=KD6,$G6=KF6),$H6*1.5,IF(AND($I6&gt;0,KI6&gt;0),$H6,IF(AND($I6&lt;0,KI6&lt;0),$H6,IF(AND($I6=0,KI6=0),$H6,0)))))</f>
        <v>1.5</v>
      </c>
      <c r="KI6" s="43">
        <f>KD6-KF6</f>
        <v>2</v>
      </c>
      <c r="KK6" s="38">
        <v>1</v>
      </c>
      <c r="KL6" s="39" t="s">
        <v>4</v>
      </c>
      <c r="KM6" s="40">
        <v>0</v>
      </c>
      <c r="KN6" s="41"/>
      <c r="KO6" s="42">
        <f>IF(OR($G6="",KM6=""),"",IF(AND($E6=KK6,$G6=KM6),$H6*1.5,IF(AND($I6&gt;0,KP6&gt;0),$H6,IF(AND($I6&lt;0,KP6&lt;0),$H6,IF(AND($I6=0,KP6=0),$H6,0)))))</f>
        <v>1</v>
      </c>
      <c r="KP6" s="43">
        <f>KK6-KM6</f>
        <v>1</v>
      </c>
      <c r="KR6" s="38">
        <v>3</v>
      </c>
      <c r="KS6" s="39" t="s">
        <v>4</v>
      </c>
      <c r="KT6" s="40">
        <v>1</v>
      </c>
      <c r="KU6" s="41"/>
      <c r="KV6" s="42">
        <f>IF(OR($G6="",KT6=""),"",IF(AND($E6=KR6,$G6=KT6),$H6*1.5,IF(AND($I6&gt;0,KW6&gt;0),$H6,IF(AND($I6&lt;0,KW6&lt;0),$H6,IF(AND($I6=0,KW6=0),$H6,0)))))</f>
        <v>1</v>
      </c>
      <c r="KW6" s="43">
        <f>KR6-KT6</f>
        <v>2</v>
      </c>
      <c r="KY6" s="38">
        <v>2</v>
      </c>
      <c r="KZ6" s="39" t="s">
        <v>4</v>
      </c>
      <c r="LA6" s="40">
        <v>1</v>
      </c>
      <c r="LB6" s="41"/>
      <c r="LC6" s="42">
        <f>IF(OR($G6="",LA6=""),"",IF(AND($E6=KY6,$G6=LA6),$H6*1.5,IF(AND($I6&gt;0,LD6&gt;0),$H6,IF(AND($I6&lt;0,LD6&lt;0),$H6,IF(AND($I6=0,LD6=0),$H6,0)))))</f>
        <v>1</v>
      </c>
      <c r="LD6" s="43">
        <f>KY6-LA6</f>
        <v>1</v>
      </c>
      <c r="LF6" s="38">
        <v>3</v>
      </c>
      <c r="LG6" s="39" t="s">
        <v>4</v>
      </c>
      <c r="LH6" s="40">
        <v>1</v>
      </c>
      <c r="LI6" s="41"/>
      <c r="LJ6" s="42">
        <f>IF(OR($G6="",LH6=""),"",IF(AND($E6=LF6,$G6=LH6),$H6*1.5,IF(AND($I6&gt;0,LK6&gt;0),$H6,IF(AND($I6&lt;0,LK6&lt;0),$H6,IF(AND($I6=0,LK6=0),$H6,0)))))</f>
        <v>1</v>
      </c>
      <c r="LK6" s="43">
        <f>LF6-LH6</f>
        <v>2</v>
      </c>
      <c r="LM6" s="38">
        <v>2</v>
      </c>
      <c r="LN6" s="39" t="s">
        <v>4</v>
      </c>
      <c r="LO6" s="40">
        <v>1</v>
      </c>
      <c r="LP6" s="41"/>
      <c r="LQ6" s="42">
        <f>IF(OR($G6="",LO6=""),"",IF(AND($E6=LM6,$G6=LO6),$H6*1.5,IF(AND($I6&gt;0,LR6&gt;0),$H6,IF(AND($I6&lt;0,LR6&lt;0),$H6,IF(AND($I6=0,LR6=0),$H6,0)))))</f>
        <v>1</v>
      </c>
      <c r="LR6" s="43">
        <f>LM6-LO6</f>
        <v>1</v>
      </c>
      <c r="LT6" s="38">
        <v>2</v>
      </c>
      <c r="LU6" s="39" t="s">
        <v>4</v>
      </c>
      <c r="LV6" s="40">
        <v>0</v>
      </c>
      <c r="LW6" s="41"/>
      <c r="LX6" s="42">
        <f>IF(OR($G6="",LV6=""),"",IF(AND($E6=LT6,$G6=LV6),$H6*1.5,IF(AND($I6&gt;0,LY6&gt;0),$H6,IF(AND($I6&lt;0,LY6&lt;0),$H6,IF(AND($I6=0,LY6=0),$H6,0)))))</f>
        <v>1.5</v>
      </c>
      <c r="LY6" s="43">
        <f>LT6-LV6</f>
        <v>2</v>
      </c>
      <c r="MA6" s="38">
        <v>3</v>
      </c>
      <c r="MB6" s="39" t="s">
        <v>4</v>
      </c>
      <c r="MC6" s="40">
        <v>1</v>
      </c>
      <c r="MD6" s="41"/>
      <c r="ME6" s="42">
        <f>IF(OR($G6="",MC6=""),"",IF(AND($E6=MA6,$G6=MC6),$H6*1.5,IF(AND($I6&gt;0,MF6&gt;0),$H6,IF(AND($I6&lt;0,MF6&lt;0),$H6,IF(AND($I6=0,MF6=0),$H6,0)))))</f>
        <v>1</v>
      </c>
      <c r="MF6" s="43">
        <f>MA6-MC6</f>
        <v>2</v>
      </c>
      <c r="MH6" s="38">
        <v>2</v>
      </c>
      <c r="MI6" s="39" t="s">
        <v>4</v>
      </c>
      <c r="MJ6" s="40">
        <v>0</v>
      </c>
      <c r="MK6" s="41"/>
      <c r="ML6" s="42">
        <f>IF(OR($G6="",MJ6=""),"",IF(AND($E6=MH6,$G6=MJ6),$H6*1.5,IF(AND($I6&gt;0,MM6&gt;0),$H6,IF(AND($I6&lt;0,MM6&lt;0),$H6,IF(AND($I6=0,MM6=0),$H6,0)))))</f>
        <v>1.5</v>
      </c>
      <c r="MM6" s="43">
        <f>MH6-MJ6</f>
        <v>2</v>
      </c>
      <c r="MO6" s="38">
        <v>3</v>
      </c>
      <c r="MP6" s="39" t="s">
        <v>4</v>
      </c>
      <c r="MQ6" s="40">
        <v>0</v>
      </c>
      <c r="MR6" s="41"/>
      <c r="MS6" s="42">
        <f>IF(OR($G6="",MQ6=""),"",IF(AND($E6=MO6,$G6=MQ6),$H6*1.5,IF(AND($I6&gt;0,MT6&gt;0),$H6,IF(AND($I6&lt;0,MT6&lt;0),$H6,IF(AND($I6=0,MT6=0),$H6,0)))))</f>
        <v>1</v>
      </c>
      <c r="MT6" s="43">
        <f>MO6-MQ6</f>
        <v>3</v>
      </c>
      <c r="MV6" s="38">
        <v>3</v>
      </c>
      <c r="MW6" s="39" t="s">
        <v>4</v>
      </c>
      <c r="MX6" s="40">
        <v>2</v>
      </c>
      <c r="MY6" s="41"/>
      <c r="MZ6" s="42">
        <f>IF(OR($G6="",MX6=""),"",IF(AND($E6=MV6,$G6=MX6),$H6*1.5,IF(AND($I6&gt;0,NA6&gt;0),$H6,IF(AND($I6&lt;0,NA6&lt;0),$H6,IF(AND($I6=0,NA6=0),$H6,0)))))</f>
        <v>1</v>
      </c>
      <c r="NA6" s="43">
        <f>MV6-MX6</f>
        <v>1</v>
      </c>
      <c r="NC6" s="38">
        <v>1</v>
      </c>
      <c r="ND6" s="39" t="s">
        <v>4</v>
      </c>
      <c r="NE6" s="40">
        <v>2</v>
      </c>
      <c r="NF6" s="41"/>
      <c r="NG6" s="42">
        <f>IF(OR($G6="",NE6=""),"",IF(AND($E6=NC6,$G6=NE6),$H6*1.5,IF(AND($I6&gt;0,NH6&gt;0),$H6,IF(AND($I6&lt;0,NH6&lt;0),$H6,IF(AND($I6=0,NH6=0),$H6,0)))))</f>
        <v>0</v>
      </c>
      <c r="NH6" s="43">
        <f>NC6-NE6</f>
        <v>-1</v>
      </c>
      <c r="NJ6" s="38">
        <v>1</v>
      </c>
      <c r="NK6" s="39" t="s">
        <v>4</v>
      </c>
      <c r="NL6" s="40">
        <v>1</v>
      </c>
      <c r="NM6" s="41"/>
      <c r="NN6" s="42">
        <f>IF(OR($G6="",NL6=""),"",IF(AND($E6=NJ6,$G6=NL6),$H6*1.5,IF(AND($I6&gt;0,NO6&gt;0),$H6,IF(AND($I6&lt;0,NO6&lt;0),$H6,IF(AND($I6=0,NO6=0),$H6,0)))))</f>
        <v>0</v>
      </c>
      <c r="NO6" s="43">
        <f>NJ6-NL6</f>
        <v>0</v>
      </c>
      <c r="NQ6" s="38">
        <v>1</v>
      </c>
      <c r="NR6" s="39" t="s">
        <v>4</v>
      </c>
      <c r="NS6" s="40">
        <v>0</v>
      </c>
      <c r="NT6" s="41"/>
      <c r="NU6" s="42">
        <f>IF(OR($G6="",NS6=""),"",IF(AND($E6=NQ6,$G6=NS6),$H6*1.5,IF(AND($I6&gt;0,NV6&gt;0),$H6,IF(AND($I6&lt;0,NV6&lt;0),$H6,IF(AND($I6=0,NV6=0),$H6,0)))))</f>
        <v>1</v>
      </c>
      <c r="NV6" s="43">
        <f>NQ6-NS6</f>
        <v>1</v>
      </c>
      <c r="NX6" s="38">
        <v>2</v>
      </c>
      <c r="NY6" s="39" t="s">
        <v>4</v>
      </c>
      <c r="NZ6" s="40">
        <v>1</v>
      </c>
      <c r="OA6" s="41"/>
      <c r="OB6" s="42">
        <f>IF(OR($G6="",NZ6=""),"",IF(AND($E6=NX6,$G6=NZ6),$H6*1.5,IF(AND($I6&gt;0,OC6&gt;0),$H6,IF(AND($I6&lt;0,OC6&lt;0),$H6,IF(AND($I6=0,OC6=0),$H6,0)))))</f>
        <v>1</v>
      </c>
      <c r="OC6" s="43">
        <f>NX6-NZ6</f>
        <v>1</v>
      </c>
      <c r="OE6" s="38">
        <v>2</v>
      </c>
      <c r="OF6" s="39" t="s">
        <v>4</v>
      </c>
      <c r="OG6" s="40">
        <v>1</v>
      </c>
      <c r="OH6" s="41"/>
      <c r="OI6" s="42">
        <f>IF(OR($G6="",OG6=""),"",IF(AND($E6=OE6,$G6=OG6),$H6*1.5,IF(AND($I6&gt;0,OJ6&gt;0),$H6,IF(AND($I6&lt;0,OJ6&lt;0),$H6,IF(AND($I6=0,OJ6=0),$H6,0)))))</f>
        <v>1</v>
      </c>
      <c r="OJ6" s="43">
        <f>OE6-OG6</f>
        <v>1</v>
      </c>
      <c r="OL6" s="38">
        <v>3</v>
      </c>
      <c r="OM6" s="39" t="s">
        <v>4</v>
      </c>
      <c r="ON6" s="40">
        <v>0</v>
      </c>
      <c r="OO6" s="41"/>
      <c r="OP6" s="42">
        <f>IF(OR($G6="",ON6=""),"",IF(AND($E6=OL6,$G6=ON6),$H6*1.5,IF(AND($I6&gt;0,OQ6&gt;0),$H6,IF(AND($I6&lt;0,OQ6&lt;0),$H6,IF(AND($I6=0,OQ6=0),$H6,0)))))</f>
        <v>1</v>
      </c>
      <c r="OQ6" s="43">
        <f>OL6-ON6</f>
        <v>3</v>
      </c>
      <c r="OS6" s="38">
        <v>2</v>
      </c>
      <c r="OT6" s="39" t="s">
        <v>4</v>
      </c>
      <c r="OU6" s="40">
        <v>1</v>
      </c>
      <c r="OV6" s="41"/>
      <c r="OW6" s="42">
        <f>IF(OR($G6="",OU6=""),"",IF(AND($E6=OS6,$G6=OU6),$H6*1.5,IF(AND($I6&gt;0,OX6&gt;0),$H6,IF(AND($I6&lt;0,OX6&lt;0),$H6,IF(AND($I6=0,OX6=0),$H6,0)))))</f>
        <v>1</v>
      </c>
      <c r="OX6" s="43">
        <f>OS6-OU6</f>
        <v>1</v>
      </c>
      <c r="OZ6" s="38">
        <v>1</v>
      </c>
      <c r="PA6" s="39" t="s">
        <v>4</v>
      </c>
      <c r="PB6" s="40">
        <v>0</v>
      </c>
      <c r="PC6" s="41"/>
      <c r="PD6" s="42">
        <f>IF(OR($G6="",PB6=""),"",IF(AND($E6=OZ6,$G6=PB6),$H6*1.5,IF(AND($I6&gt;0,PE6&gt;0),$H6,IF(AND($I6&lt;0,PE6&lt;0),$H6,IF(AND($I6=0,PE6=0),$H6,0)))))</f>
        <v>1</v>
      </c>
      <c r="PE6" s="43">
        <f>OZ6-PB6</f>
        <v>1</v>
      </c>
      <c r="PG6" s="38">
        <v>1</v>
      </c>
      <c r="PH6" s="39" t="s">
        <v>4</v>
      </c>
      <c r="PI6" s="40">
        <v>1</v>
      </c>
      <c r="PJ6" s="41"/>
      <c r="PK6" s="42">
        <f>IF(OR($G6="",PI6=""),"",IF(AND($E6=PG6,$G6=PI6),$H6*1.5,IF(AND($I6&gt;0,PL6&gt;0),$H6,IF(AND($I6&lt;0,PL6&lt;0),$H6,IF(AND($I6=0,PL6=0),$H6,0)))))</f>
        <v>0</v>
      </c>
      <c r="PL6" s="43">
        <f>PG6-PI6</f>
        <v>0</v>
      </c>
      <c r="PN6" s="38">
        <v>2</v>
      </c>
      <c r="PO6" s="39" t="s">
        <v>4</v>
      </c>
      <c r="PP6" s="40">
        <v>1</v>
      </c>
      <c r="PQ6" s="41"/>
      <c r="PR6" s="42">
        <f>IF(OR($G6="",PP6=""),"",IF(AND($E6=PN6,$G6=PP6),$H6*1.5,IF(AND($I6&gt;0,PS6&gt;0),$H6,IF(AND($I6&lt;0,PS6&lt;0),$H6,IF(AND($I6=0,PS6=0),$H6,0)))))</f>
        <v>1</v>
      </c>
      <c r="PS6" s="43">
        <f>PN6-PP6</f>
        <v>1</v>
      </c>
      <c r="PU6" s="38">
        <v>1</v>
      </c>
      <c r="PV6" s="39" t="s">
        <v>4</v>
      </c>
      <c r="PW6" s="40">
        <v>1</v>
      </c>
      <c r="PX6" s="41"/>
      <c r="PY6" s="42">
        <f>IF(OR($G6="",PW6=""),"",IF(AND($E6=PU6,$G6=PW6),$H6*1.5,IF(AND($I6&gt;0,PZ6&gt;0),$H6,IF(AND($I6&lt;0,PZ6&lt;0),$H6,IF(AND($I6=0,PZ6=0),$H6,0)))))</f>
        <v>0</v>
      </c>
      <c r="PZ6" s="43">
        <f>PU6-PW6</f>
        <v>0</v>
      </c>
      <c r="QB6" s="38">
        <v>1</v>
      </c>
      <c r="QC6" s="39" t="s">
        <v>4</v>
      </c>
      <c r="QD6" s="40">
        <v>2</v>
      </c>
      <c r="QE6" s="41"/>
      <c r="QF6" s="42">
        <f>IF(OR($G6="",QD6=""),"",IF(AND($E6=QB6,$G6=QD6),$H6*1.5,IF(AND($I6&gt;0,QG6&gt;0),$H6,IF(AND($I6&lt;0,QG6&lt;0),$H6,IF(AND($I6=0,QG6=0),$H6,0)))))</f>
        <v>0</v>
      </c>
      <c r="QG6" s="43">
        <f>QB6-QD6</f>
        <v>-1</v>
      </c>
      <c r="QI6" s="38">
        <v>1</v>
      </c>
      <c r="QJ6" s="39" t="s">
        <v>4</v>
      </c>
      <c r="QK6" s="40">
        <v>0</v>
      </c>
      <c r="QL6" s="41"/>
      <c r="QM6" s="42">
        <f>IF(OR($G6="",QK6=""),"",IF(AND($E6=QI6,$G6=QK6),$H6*1.5,IF(AND($I6&gt;0,QN6&gt;0),$H6,IF(AND($I6&lt;0,QN6&lt;0),$H6,IF(AND($I6=0,QN6=0),$H6,0)))))</f>
        <v>1</v>
      </c>
      <c r="QN6" s="43">
        <f>QI6-QK6</f>
        <v>1</v>
      </c>
      <c r="QP6" s="38">
        <v>2</v>
      </c>
      <c r="QQ6" s="39" t="s">
        <v>4</v>
      </c>
      <c r="QR6" s="40">
        <v>0</v>
      </c>
      <c r="QS6" s="41"/>
      <c r="QT6" s="42">
        <f>IF(OR($G6="",QR6=""),"",IF(AND($E6=QP6,$G6=QR6),$H6*1.5,IF(AND($I6&gt;0,QU6&gt;0),$H6,IF(AND($I6&lt;0,QU6&lt;0),$H6,IF(AND($I6=0,QU6=0),$H6,0)))))</f>
        <v>1.5</v>
      </c>
      <c r="QU6" s="43">
        <f>QP6-QR6</f>
        <v>2</v>
      </c>
      <c r="QW6" s="38">
        <v>2</v>
      </c>
      <c r="QX6" s="39" t="s">
        <v>4</v>
      </c>
      <c r="QY6" s="40">
        <v>0</v>
      </c>
      <c r="QZ6" s="41"/>
      <c r="RA6" s="42">
        <f>IF(OR($G6="",QY6=""),"",IF(AND($E6=QW6,$G6=QY6),$H6*1.5,IF(AND($I6&gt;0,RB6&gt;0),$H6,IF(AND($I6&lt;0,RB6&lt;0),$H6,IF(AND($I6=0,RB6=0),$H6,0)))))</f>
        <v>1.5</v>
      </c>
      <c r="RB6" s="43">
        <f>QW6-QY6</f>
        <v>2</v>
      </c>
      <c r="RD6" s="38">
        <v>2</v>
      </c>
      <c r="RE6" s="39" t="s">
        <v>4</v>
      </c>
      <c r="RF6" s="40">
        <v>0</v>
      </c>
      <c r="RG6" s="41"/>
      <c r="RH6" s="42">
        <f>IF(OR($G6="",RF6=""),"",IF(AND($E6=RD6,$G6=RF6),$H6*1.5,IF(AND($I6&gt;0,RI6&gt;0),$H6,IF(AND($I6&lt;0,RI6&lt;0),$H6,IF(AND($I6=0,RI6=0),$H6,0)))))</f>
        <v>1.5</v>
      </c>
      <c r="RI6" s="43">
        <f>RD6-RF6</f>
        <v>2</v>
      </c>
      <c r="RK6" s="38" t="s">
        <v>624</v>
      </c>
      <c r="RL6" s="39"/>
      <c r="RM6" s="40"/>
      <c r="RN6" s="41"/>
      <c r="RO6" s="42" t="str">
        <f>IF(OR($G6="",RM6=""),"",IF(AND($E6=RK6,$G6=RM6),$H6*1.5,IF(AND($I6&gt;0,RP6&gt;0),$H6,IF(AND($I6&lt;0,RP6&lt;0),$H6,IF(AND($I6=0,RP6=0),$H6,0)))))</f>
        <v/>
      </c>
      <c r="RP6" s="43" t="e">
        <f>RK6-RM6</f>
        <v>#VALUE!</v>
      </c>
      <c r="RR6" s="38" t="s">
        <v>624</v>
      </c>
      <c r="RS6" s="39"/>
      <c r="RT6" s="40"/>
      <c r="RU6" s="41"/>
      <c r="RV6" s="42" t="str">
        <f>IF(OR($G6="",RT6=""),"",IF(AND($E6=RR6,$G6=RT6),$H6*1.5,IF(AND($I6&gt;0,RW6&gt;0),$H6,IF(AND($I6&lt;0,RW6&lt;0),$H6,IF(AND($I6=0,RW6=0),$H6,0)))))</f>
        <v/>
      </c>
      <c r="RW6" s="43" t="e">
        <f>RR6-RT6</f>
        <v>#VALUE!</v>
      </c>
      <c r="RY6" s="38" t="s">
        <v>624</v>
      </c>
      <c r="RZ6" s="39"/>
      <c r="SA6" s="40"/>
      <c r="SB6" s="41"/>
      <c r="SC6" s="42" t="str">
        <f>IF(OR($G6="",SA6=""),"",IF(AND($E6=RY6,$G6=SA6),$H6*1.5,IF(AND($I6&gt;0,SD6&gt;0),$H6,IF(AND($I6&lt;0,SD6&lt;0),$H6,IF(AND($I6=0,SD6=0),$H6,0)))))</f>
        <v/>
      </c>
      <c r="SD6" s="43" t="e">
        <f>RY6-SA6</f>
        <v>#VALUE!</v>
      </c>
      <c r="SF6" s="38" t="s">
        <v>624</v>
      </c>
      <c r="SG6" s="39"/>
      <c r="SH6" s="40"/>
      <c r="SI6" s="41"/>
      <c r="SJ6" s="42" t="str">
        <f>IF(OR($G6="",SH6=""),"",IF(AND($E6=SF6,$G6=SH6),$H6*1.5,IF(AND($I6&gt;0,SK6&gt;0),$H6,IF(AND($I6&lt;0,SK6&lt;0),$H6,IF(AND($I6=0,SK6=0),$H6,0)))))</f>
        <v/>
      </c>
      <c r="SK6" s="43" t="e">
        <f>SF6-SH6</f>
        <v>#VALUE!</v>
      </c>
      <c r="SM6" s="38" t="s">
        <v>624</v>
      </c>
      <c r="SN6" s="39"/>
      <c r="SO6" s="40"/>
      <c r="SP6" s="41"/>
      <c r="SQ6" s="42" t="str">
        <f>IF(OR($G6="",SO6=""),"",IF(AND($E6=SM6,$G6=SO6),$H6*1.5,IF(AND($I6&gt;0,SR6&gt;0),$H6,IF(AND($I6&lt;0,SR6&lt;0),$H6,IF(AND($I6=0,SR6=0),$H6,0)))))</f>
        <v/>
      </c>
      <c r="SR6" s="43" t="e">
        <f>SM6-SO6</f>
        <v>#VALUE!</v>
      </c>
    </row>
    <row r="7" spans="1:512" customFormat="1" ht="16" customHeight="1" x14ac:dyDescent="0.2">
      <c r="A7" s="34">
        <v>46185</v>
      </c>
      <c r="B7" s="35">
        <v>0.16666666666666666</v>
      </c>
      <c r="C7" s="79" t="s">
        <v>30</v>
      </c>
      <c r="D7" s="80" t="s">
        <v>26</v>
      </c>
      <c r="E7" s="3">
        <v>2</v>
      </c>
      <c r="F7" s="37" t="s">
        <v>4</v>
      </c>
      <c r="G7" s="4">
        <v>1</v>
      </c>
      <c r="H7" s="16">
        <v>1.2</v>
      </c>
      <c r="I7" s="32">
        <f t="shared" ref="I7:I70" si="0">E7-G7</f>
        <v>1</v>
      </c>
      <c r="J7" s="38">
        <v>1</v>
      </c>
      <c r="K7" s="44" t="s">
        <v>4</v>
      </c>
      <c r="L7" s="40">
        <v>1</v>
      </c>
      <c r="M7" s="27"/>
      <c r="N7" s="42">
        <f t="shared" ref="N7:N70" si="1">IF(OR($G7="",L7=""),"",IF(AND($E7=J7,$G7=L7),$H7*1.5,IF(AND($I7&gt;0,O7&gt;0),$H7,IF(AND($I7&lt;0,O7&lt;0),$H7,IF(AND($I7=0,O7=0),$H7,0)))))</f>
        <v>0</v>
      </c>
      <c r="O7" s="43">
        <f t="shared" ref="O7:O70" si="2">J7-L7</f>
        <v>0</v>
      </c>
      <c r="P7" s="32"/>
      <c r="Q7" s="38">
        <v>2</v>
      </c>
      <c r="R7" s="44" t="s">
        <v>4</v>
      </c>
      <c r="S7" s="40">
        <v>2</v>
      </c>
      <c r="T7" s="27"/>
      <c r="U7" s="42">
        <f t="shared" ref="U7:U29" si="3">IF(OR($G7="",S7=""),"",IF(AND($E7=Q7,$G7=S7),$H7*1.5,IF(AND($I7&gt;0,V7&gt;0),$H7,IF(AND($I7&lt;0,V7&lt;0),$H7,IF(AND($I7=0,V7=0),$H7,0)))))</f>
        <v>0</v>
      </c>
      <c r="V7" s="43">
        <f t="shared" ref="V7:V29" si="4">Q7-S7</f>
        <v>0</v>
      </c>
      <c r="X7" s="38">
        <v>1</v>
      </c>
      <c r="Y7" s="44" t="s">
        <v>4</v>
      </c>
      <c r="Z7" s="40">
        <v>1</v>
      </c>
      <c r="AA7" s="27"/>
      <c r="AB7" s="42">
        <f t="shared" ref="AB7:AB29" si="5">IF(OR($G7="",Z7=""),"",IF(AND($E7=X7,$G7=Z7),$H7*1.5,IF(AND($I7&gt;0,AC7&gt;0),$H7,IF(AND($I7&lt;0,AC7&lt;0),$H7,IF(AND($I7=0,AC7=0),$H7,0)))))</f>
        <v>0</v>
      </c>
      <c r="AC7" s="43">
        <f t="shared" ref="AC7:AC29" si="6">X7-Z7</f>
        <v>0</v>
      </c>
      <c r="AE7" s="38">
        <v>1</v>
      </c>
      <c r="AF7" s="44" t="s">
        <v>4</v>
      </c>
      <c r="AG7" s="40">
        <v>2</v>
      </c>
      <c r="AH7" s="27"/>
      <c r="AI7" s="42">
        <f t="shared" ref="AI7:AI29" si="7">IF(OR($G7="",AG7=""),"",IF(AND($E7=AE7,$G7=AG7),$H7*1.5,IF(AND($I7&gt;0,AJ7&gt;0),$H7,IF(AND($I7&lt;0,AJ7&lt;0),$H7,IF(AND($I7=0,AJ7=0),$H7,0)))))</f>
        <v>0</v>
      </c>
      <c r="AJ7" s="43">
        <f t="shared" ref="AJ7:AJ29" si="8">AE7-AG7</f>
        <v>-1</v>
      </c>
      <c r="AL7" s="38">
        <v>1</v>
      </c>
      <c r="AM7" s="44" t="s">
        <v>4</v>
      </c>
      <c r="AN7" s="40">
        <v>1</v>
      </c>
      <c r="AO7" s="27"/>
      <c r="AP7" s="42">
        <f t="shared" ref="AP7:AP29" si="9">IF(OR($G7="",AN7=""),"",IF(AND($E7=AL7,$G7=AN7),$H7*1.5,IF(AND($I7&gt;0,AQ7&gt;0),$H7,IF(AND($I7&lt;0,AQ7&lt;0),$H7,IF(AND($I7=0,AQ7=0),$H7,0)))))</f>
        <v>0</v>
      </c>
      <c r="AQ7" s="43">
        <f t="shared" ref="AQ7:AQ29" si="10">AL7-AN7</f>
        <v>0</v>
      </c>
      <c r="AS7" s="38">
        <v>1</v>
      </c>
      <c r="AT7" s="44" t="s">
        <v>4</v>
      </c>
      <c r="AU7" s="40">
        <v>0</v>
      </c>
      <c r="AV7" s="27"/>
      <c r="AW7" s="42">
        <f t="shared" ref="AW7:AW29" si="11">IF(OR($G7="",AU7=""),"",IF(AND($E7=AS7,$G7=AU7),$H7*1.5,IF(AND($I7&gt;0,AX7&gt;0),$H7,IF(AND($I7&lt;0,AX7&lt;0),$H7,IF(AND($I7=0,AX7=0),$H7,0)))))</f>
        <v>1.2</v>
      </c>
      <c r="AX7" s="43">
        <f t="shared" ref="AX7:AX29" si="12">AS7-AU7</f>
        <v>1</v>
      </c>
      <c r="AZ7" s="86">
        <v>1</v>
      </c>
      <c r="BA7" s="44" t="s">
        <v>4</v>
      </c>
      <c r="BB7" s="40">
        <v>2</v>
      </c>
      <c r="BC7" s="27"/>
      <c r="BD7" s="42">
        <f t="shared" ref="BD7:BD29" si="13">IF(OR($G7="",BB7=""),"",IF(AND($E7=AZ7,$G7=BB7),$H7*1.5,IF(AND($I7&gt;0,BE7&gt;0),$H7,IF(AND($I7&lt;0,BE7&lt;0),$H7,IF(AND($I7=0,BE7=0),$H7,0)))))</f>
        <v>0</v>
      </c>
      <c r="BE7" s="43">
        <f t="shared" ref="BE7:BE29" si="14">AZ7-BB7</f>
        <v>-1</v>
      </c>
      <c r="BG7" s="38">
        <v>0</v>
      </c>
      <c r="BH7" s="44" t="s">
        <v>4</v>
      </c>
      <c r="BI7" s="40">
        <v>1</v>
      </c>
      <c r="BJ7" s="27"/>
      <c r="BK7" s="42">
        <f t="shared" ref="BK7:BK29" si="15">IF(OR($G7="",BI7=""),"",IF(AND($E7=BG7,$G7=BI7),$H7*1.5,IF(AND($I7&gt;0,BL7&gt;0),$H7,IF(AND($I7&lt;0,BL7&lt;0),$H7,IF(AND($I7=0,BL7=0),$H7,0)))))</f>
        <v>0</v>
      </c>
      <c r="BL7" s="43">
        <f t="shared" ref="BL7:BL29" si="16">BG7-BI7</f>
        <v>-1</v>
      </c>
      <c r="BN7" s="38">
        <v>1</v>
      </c>
      <c r="BO7" s="44" t="s">
        <v>4</v>
      </c>
      <c r="BP7" s="40">
        <v>1</v>
      </c>
      <c r="BQ7" s="27"/>
      <c r="BR7" s="42">
        <f t="shared" ref="BR7:BR29" si="17">IF(OR($G7="",BP7=""),"",IF(AND($E7=BN7,$G7=BP7),$H7*1.5,IF(AND($I7&gt;0,BS7&gt;0),$H7,IF(AND($I7&lt;0,BS7&lt;0),$H7,IF(AND($I7=0,BS7=0),$H7,0)))))</f>
        <v>0</v>
      </c>
      <c r="BS7" s="43">
        <f t="shared" ref="BS7:BS29" si="18">BN7-BP7</f>
        <v>0</v>
      </c>
      <c r="BU7" s="38">
        <v>2</v>
      </c>
      <c r="BV7" s="44" t="s">
        <v>4</v>
      </c>
      <c r="BW7" s="40">
        <v>0</v>
      </c>
      <c r="BX7" s="27"/>
      <c r="BY7" s="42">
        <f t="shared" ref="BY7:BY29" si="19">IF(OR($G7="",BW7=""),"",IF(AND($E7=BU7,$G7=BW7),$H7*1.5,IF(AND($I7&gt;0,BZ7&gt;0),$H7,IF(AND($I7&lt;0,BZ7&lt;0),$H7,IF(AND($I7=0,BZ7=0),$H7,0)))))</f>
        <v>1.2</v>
      </c>
      <c r="BZ7" s="43">
        <f t="shared" ref="BZ7:BZ29" si="20">BU7-BW7</f>
        <v>2</v>
      </c>
      <c r="CB7" s="38">
        <v>2</v>
      </c>
      <c r="CC7" s="44" t="s">
        <v>4</v>
      </c>
      <c r="CD7" s="40">
        <v>2</v>
      </c>
      <c r="CE7" s="27"/>
      <c r="CF7" s="42">
        <f t="shared" ref="CF7:CF29" si="21">IF(OR($G7="",CD7=""),"",IF(AND($E7=CB7,$G7=CD7),$H7*1.5,IF(AND($I7&gt;0,CG7&gt;0),$H7,IF(AND($I7&lt;0,CG7&lt;0),$H7,IF(AND($I7=0,CG7=0),$H7,0)))))</f>
        <v>0</v>
      </c>
      <c r="CG7" s="43">
        <f t="shared" ref="CG7:CG29" si="22">CB7-CD7</f>
        <v>0</v>
      </c>
      <c r="CI7" s="38">
        <v>0</v>
      </c>
      <c r="CJ7" s="44" t="s">
        <v>4</v>
      </c>
      <c r="CK7" s="40">
        <v>1</v>
      </c>
      <c r="CL7" s="27"/>
      <c r="CM7" s="42">
        <f t="shared" ref="CM7:CM29" si="23">IF(OR($G7="",CK7=""),"",IF(AND($E7=CI7,$G7=CK7),$H7*1.5,IF(AND($I7&gt;0,CN7&gt;0),$H7,IF(AND($I7&lt;0,CN7&lt;0),$H7,IF(AND($I7=0,CN7=0),$H7,0)))))</f>
        <v>0</v>
      </c>
      <c r="CN7" s="43">
        <f t="shared" ref="CN7:CN29" si="24">CI7-CK7</f>
        <v>-1</v>
      </c>
      <c r="CP7" s="38">
        <v>1</v>
      </c>
      <c r="CQ7" s="44" t="s">
        <v>4</v>
      </c>
      <c r="CR7" s="40">
        <v>1</v>
      </c>
      <c r="CS7" s="27"/>
      <c r="CT7" s="42">
        <f t="shared" ref="CT7:CT29" si="25">IF(OR($G7="",CR7=""),"",IF(AND($E7=CP7,$G7=CR7),$H7*1.5,IF(AND($I7&gt;0,CU7&gt;0),$H7,IF(AND($I7&lt;0,CU7&lt;0),$H7,IF(AND($I7=0,CU7=0),$H7,0)))))</f>
        <v>0</v>
      </c>
      <c r="CU7" s="43">
        <f t="shared" ref="CU7:CU29" si="26">CP7-CR7</f>
        <v>0</v>
      </c>
      <c r="CW7" s="38">
        <v>0</v>
      </c>
      <c r="CX7" s="44" t="s">
        <v>4</v>
      </c>
      <c r="CY7" s="40">
        <v>0</v>
      </c>
      <c r="CZ7" s="27"/>
      <c r="DA7" s="42">
        <f t="shared" ref="DA7:DA29" si="27">IF(OR($G7="",CY7=""),"",IF(AND($E7=CW7,$G7=CY7),$H7*1.5,IF(AND($I7&gt;0,DB7&gt;0),$H7,IF(AND($I7&lt;0,DB7&lt;0),$H7,IF(AND($I7=0,DB7=0),$H7,0)))))</f>
        <v>0</v>
      </c>
      <c r="DB7" s="43">
        <f t="shared" ref="DB7:DB29" si="28">CW7-CY7</f>
        <v>0</v>
      </c>
      <c r="DD7" s="38">
        <v>0</v>
      </c>
      <c r="DE7" s="44" t="s">
        <v>4</v>
      </c>
      <c r="DF7" s="40">
        <v>3</v>
      </c>
      <c r="DG7" s="27"/>
      <c r="DH7" s="42">
        <f t="shared" ref="DH7:DH29" si="29">IF(OR($G7="",DF7=""),"",IF(AND($E7=DD7,$G7=DF7),$H7*1.5,IF(AND($I7&gt;0,DI7&gt;0),$H7,IF(AND($I7&lt;0,DI7&lt;0),$H7,IF(AND($I7=0,DI7=0),$H7,0)))))</f>
        <v>0</v>
      </c>
      <c r="DI7" s="43">
        <f t="shared" ref="DI7:DI29" si="30">DD7-DF7</f>
        <v>-3</v>
      </c>
      <c r="DK7" s="38">
        <v>2</v>
      </c>
      <c r="DL7" s="44" t="s">
        <v>4</v>
      </c>
      <c r="DM7" s="40">
        <v>1</v>
      </c>
      <c r="DN7" s="27"/>
      <c r="DO7" s="42">
        <f t="shared" ref="DO7:DO29" si="31">IF(OR($G7="",DM7=""),"",IF(AND($E7=DK7,$G7=DM7),$H7*1.5,IF(AND($I7&gt;0,DP7&gt;0),$H7,IF(AND($I7&lt;0,DP7&lt;0),$H7,IF(AND($I7=0,DP7=0),$H7,0)))))</f>
        <v>1.7999999999999998</v>
      </c>
      <c r="DP7" s="43">
        <f t="shared" ref="DP7:DP29" si="32">DK7-DM7</f>
        <v>1</v>
      </c>
      <c r="DR7" s="38">
        <v>2</v>
      </c>
      <c r="DS7" s="44" t="s">
        <v>4</v>
      </c>
      <c r="DT7" s="40">
        <v>1</v>
      </c>
      <c r="DU7" s="27"/>
      <c r="DV7" s="42">
        <f t="shared" ref="DV7:DV29" si="33">IF(OR($G7="",DT7=""),"",IF(AND($E7=DR7,$G7=DT7),$H7*1.5,IF(AND($I7&gt;0,DW7&gt;0),$H7,IF(AND($I7&lt;0,DW7&lt;0),$H7,IF(AND($I7=0,DW7=0),$H7,0)))))</f>
        <v>1.7999999999999998</v>
      </c>
      <c r="DW7" s="43">
        <f t="shared" ref="DW7:DW29" si="34">DR7-DT7</f>
        <v>1</v>
      </c>
      <c r="DY7" s="38">
        <v>1</v>
      </c>
      <c r="DZ7" s="44" t="s">
        <v>4</v>
      </c>
      <c r="EA7" s="40">
        <v>1</v>
      </c>
      <c r="EB7" s="27"/>
      <c r="EC7" s="42">
        <f t="shared" ref="EC7:EC29" si="35">IF(OR($G7="",EA7=""),"",IF(AND($E7=DY7,$G7=EA7),$H7*1.5,IF(AND($I7&gt;0,ED7&gt;0),$H7,IF(AND($I7&lt;0,ED7&lt;0),$H7,IF(AND($I7=0,ED7=0),$H7,0)))))</f>
        <v>0</v>
      </c>
      <c r="ED7" s="43">
        <f t="shared" ref="ED7:ED29" si="36">DY7-EA7</f>
        <v>0</v>
      </c>
      <c r="EF7" s="38">
        <v>0</v>
      </c>
      <c r="EG7" s="44" t="s">
        <v>4</v>
      </c>
      <c r="EH7" s="40">
        <v>1</v>
      </c>
      <c r="EI7" s="27"/>
      <c r="EJ7" s="42">
        <f t="shared" ref="EJ7:EJ29" si="37">IF(OR($G7="",EH7=""),"",IF(AND($E7=EF7,$G7=EH7),$H7*1.5,IF(AND($I7&gt;0,EK7&gt;0),$H7,IF(AND($I7&lt;0,EK7&lt;0),$H7,IF(AND($I7=0,EK7=0),$H7,0)))))</f>
        <v>0</v>
      </c>
      <c r="EK7" s="43">
        <f t="shared" ref="EK7:EK29" si="38">EF7-EH7</f>
        <v>-1</v>
      </c>
      <c r="EM7" s="38">
        <v>1</v>
      </c>
      <c r="EN7" s="44" t="s">
        <v>4</v>
      </c>
      <c r="EO7" s="40">
        <v>1</v>
      </c>
      <c r="EP7" s="27"/>
      <c r="EQ7" s="42">
        <f t="shared" ref="EQ7:EQ29" si="39">IF(OR($G7="",EO7=""),"",IF(AND($E7=EM7,$G7=EO7),$H7*1.5,IF(AND($I7&gt;0,ER7&gt;0),$H7,IF(AND($I7&lt;0,ER7&lt;0),$H7,IF(AND($I7=0,ER7=0),$H7,0)))))</f>
        <v>0</v>
      </c>
      <c r="ER7" s="43">
        <f t="shared" ref="ER7:ER29" si="40">EM7-EO7</f>
        <v>0</v>
      </c>
      <c r="ET7" s="38">
        <v>1</v>
      </c>
      <c r="EU7" s="44" t="s">
        <v>4</v>
      </c>
      <c r="EV7" s="40">
        <v>1</v>
      </c>
      <c r="EW7" s="27"/>
      <c r="EX7" s="42">
        <f t="shared" ref="EX7:EX29" si="41">IF(OR($G7="",EV7=""),"",IF(AND($E7=ET7,$G7=EV7),$H7*1.5,IF(AND($I7&gt;0,EY7&gt;0),$H7,IF(AND($I7&lt;0,EY7&lt;0),$H7,IF(AND($I7=0,EY7=0),$H7,0)))))</f>
        <v>0</v>
      </c>
      <c r="EY7" s="43">
        <f t="shared" ref="EY7:EY29" si="42">ET7-EV7</f>
        <v>0</v>
      </c>
      <c r="FA7" s="38">
        <v>2</v>
      </c>
      <c r="FB7" s="44" t="s">
        <v>4</v>
      </c>
      <c r="FC7" s="40">
        <v>3</v>
      </c>
      <c r="FD7" s="27"/>
      <c r="FE7" s="42">
        <f t="shared" ref="FE7:FE29" si="43">IF(OR($G7="",FC7=""),"",IF(AND($E7=FA7,$G7=FC7),$H7*1.5,IF(AND($I7&gt;0,FF7&gt;0),$H7,IF(AND($I7&lt;0,FF7&lt;0),$H7,IF(AND($I7=0,FF7=0),$H7,0)))))</f>
        <v>0</v>
      </c>
      <c r="FF7" s="43">
        <f t="shared" ref="FF7:FF29" si="44">FA7-FC7</f>
        <v>-1</v>
      </c>
      <c r="FH7" s="38">
        <v>2</v>
      </c>
      <c r="FI7" s="44" t="s">
        <v>4</v>
      </c>
      <c r="FJ7" s="40">
        <v>1</v>
      </c>
      <c r="FK7" s="27"/>
      <c r="FL7" s="42">
        <f t="shared" ref="FL7:FL29" si="45">IF(OR($G7="",FJ7=""),"",IF(AND($E7=FH7,$G7=FJ7),$H7*1.5,IF(AND($I7&gt;0,FM7&gt;0),$H7,IF(AND($I7&lt;0,FM7&lt;0),$H7,IF(AND($I7=0,FM7=0),$H7,0)))))</f>
        <v>1.7999999999999998</v>
      </c>
      <c r="FM7" s="43">
        <f t="shared" ref="FM7:FM29" si="46">FH7-FJ7</f>
        <v>1</v>
      </c>
      <c r="FO7" s="38">
        <v>0</v>
      </c>
      <c r="FP7" s="44" t="s">
        <v>4</v>
      </c>
      <c r="FQ7" s="40">
        <v>1</v>
      </c>
      <c r="FR7" s="27"/>
      <c r="FS7" s="42">
        <f t="shared" ref="FS7:FS29" si="47">IF(OR($G7="",FQ7=""),"",IF(AND($E7=FO7,$G7=FQ7),$H7*1.5,IF(AND($I7&gt;0,FT7&gt;0),$H7,IF(AND($I7&lt;0,FT7&lt;0),$H7,IF(AND($I7=0,FT7=0),$H7,0)))))</f>
        <v>0</v>
      </c>
      <c r="FT7" s="43">
        <f t="shared" ref="FT7:FT29" si="48">FO7-FQ7</f>
        <v>-1</v>
      </c>
      <c r="FV7" s="38">
        <v>2</v>
      </c>
      <c r="FW7" s="44" t="s">
        <v>4</v>
      </c>
      <c r="FX7" s="40">
        <v>3</v>
      </c>
      <c r="FY7" s="27"/>
      <c r="FZ7" s="42">
        <f t="shared" ref="FZ7:FZ29" si="49">IF(OR($G7="",FX7=""),"",IF(AND($E7=FV7,$G7=FX7),$H7*1.5,IF(AND($I7&gt;0,GA7&gt;0),$H7,IF(AND($I7&lt;0,GA7&lt;0),$H7,IF(AND($I7=0,GA7=0),$H7,0)))))</f>
        <v>0</v>
      </c>
      <c r="GA7" s="43">
        <f t="shared" ref="GA7:GA29" si="50">FV7-FX7</f>
        <v>-1</v>
      </c>
      <c r="GC7" s="38">
        <v>1</v>
      </c>
      <c r="GD7" s="44" t="s">
        <v>4</v>
      </c>
      <c r="GE7" s="40">
        <v>1</v>
      </c>
      <c r="GF7" s="27"/>
      <c r="GG7" s="42">
        <f t="shared" ref="GG7:GG29" si="51">IF(OR($G7="",GE7=""),"",IF(AND($E7=GC7,$G7=GE7),$H7*1.5,IF(AND($I7&gt;0,GH7&gt;0),$H7,IF(AND($I7&lt;0,GH7&lt;0),$H7,IF(AND($I7=0,GH7=0),$H7,0)))))</f>
        <v>0</v>
      </c>
      <c r="GH7" s="43">
        <f t="shared" ref="GH7:GH29" si="52">GC7-GE7</f>
        <v>0</v>
      </c>
      <c r="GJ7" s="38">
        <v>1</v>
      </c>
      <c r="GK7" s="44" t="s">
        <v>4</v>
      </c>
      <c r="GL7" s="40">
        <v>1</v>
      </c>
      <c r="GM7" s="27"/>
      <c r="GN7" s="42">
        <f t="shared" ref="GN7:GN29" si="53">IF(OR($G7="",GL7=""),"",IF(AND($E7=GJ7,$G7=GL7),$H7*1.5,IF(AND($I7&gt;0,GO7&gt;0),$H7,IF(AND($I7&lt;0,GO7&lt;0),$H7,IF(AND($I7=0,GO7=0),$H7,0)))))</f>
        <v>0</v>
      </c>
      <c r="GO7" s="43">
        <f t="shared" ref="GO7:GO29" si="54">GJ7-GL7</f>
        <v>0</v>
      </c>
      <c r="GQ7" s="38">
        <v>1</v>
      </c>
      <c r="GR7" s="44" t="s">
        <v>4</v>
      </c>
      <c r="GS7" s="40">
        <v>1</v>
      </c>
      <c r="GT7" s="27"/>
      <c r="GU7" s="42">
        <f t="shared" ref="GU7:GU29" si="55">IF(OR($G7="",GS7=""),"",IF(AND($E7=GQ7,$G7=GS7),$H7*1.5,IF(AND($I7&gt;0,GV7&gt;0),$H7,IF(AND($I7&lt;0,GV7&lt;0),$H7,IF(AND($I7=0,GV7=0),$H7,0)))))</f>
        <v>0</v>
      </c>
      <c r="GV7" s="43">
        <f t="shared" ref="GV7:GV29" si="56">GQ7-GS7</f>
        <v>0</v>
      </c>
      <c r="GX7" s="38">
        <v>1</v>
      </c>
      <c r="GY7" s="44" t="s">
        <v>4</v>
      </c>
      <c r="GZ7" s="40">
        <v>1</v>
      </c>
      <c r="HA7" s="27"/>
      <c r="HB7" s="42">
        <f t="shared" ref="HB7:HB29" si="57">IF(OR($G7="",GZ7=""),"",IF(AND($E7=GX7,$G7=GZ7),$H7*1.5,IF(AND($I7&gt;0,HC7&gt;0),$H7,IF(AND($I7&lt;0,HC7&lt;0),$H7,IF(AND($I7=0,HC7=0),$H7,0)))))</f>
        <v>0</v>
      </c>
      <c r="HC7" s="43">
        <f t="shared" ref="HC7:HC29" si="58">GX7-GZ7</f>
        <v>0</v>
      </c>
      <c r="HE7" s="38">
        <v>0</v>
      </c>
      <c r="HF7" s="44" t="s">
        <v>4</v>
      </c>
      <c r="HG7" s="40">
        <v>1</v>
      </c>
      <c r="HH7" s="27"/>
      <c r="HI7" s="42">
        <f t="shared" ref="HI7:HI29" si="59">IF(OR($G7="",HG7=""),"",IF(AND($E7=HE7,$G7=HG7),$H7*1.5,IF(AND($I7&gt;0,HJ7&gt;0),$H7,IF(AND($I7&lt;0,HJ7&lt;0),$H7,IF(AND($I7=0,HJ7=0),$H7,0)))))</f>
        <v>0</v>
      </c>
      <c r="HJ7" s="43">
        <f t="shared" ref="HJ7:HJ29" si="60">HE7-HG7</f>
        <v>-1</v>
      </c>
      <c r="HL7" s="38">
        <v>0</v>
      </c>
      <c r="HM7" s="44" t="s">
        <v>4</v>
      </c>
      <c r="HN7" s="40">
        <v>0</v>
      </c>
      <c r="HO7" s="27"/>
      <c r="HP7" s="42">
        <f t="shared" ref="HP7:HP29" si="61">IF(OR($G7="",HN7=""),"",IF(AND($E7=HL7,$G7=HN7),$H7*1.5,IF(AND($I7&gt;0,HQ7&gt;0),$H7,IF(AND($I7&lt;0,HQ7&lt;0),$H7,IF(AND($I7=0,HQ7=0),$H7,0)))))</f>
        <v>0</v>
      </c>
      <c r="HQ7" s="43">
        <f t="shared" ref="HQ7:HQ29" si="62">HL7-HN7</f>
        <v>0</v>
      </c>
      <c r="HS7" s="38">
        <v>0</v>
      </c>
      <c r="HT7" s="44" t="s">
        <v>4</v>
      </c>
      <c r="HU7" s="40">
        <v>2</v>
      </c>
      <c r="HV7" s="27"/>
      <c r="HW7" s="42">
        <f t="shared" ref="HW7:HW29" si="63">IF(OR($G7="",HU7=""),"",IF(AND($E7=HS7,$G7=HU7),$H7*1.5,IF(AND($I7&gt;0,HX7&gt;0),$H7,IF(AND($I7&lt;0,HX7&lt;0),$H7,IF(AND($I7=0,HX7=0),$H7,0)))))</f>
        <v>0</v>
      </c>
      <c r="HX7" s="43">
        <f t="shared" ref="HX7:HX29" si="64">HS7-HU7</f>
        <v>-2</v>
      </c>
      <c r="HZ7" s="38">
        <v>0</v>
      </c>
      <c r="IA7" s="44" t="s">
        <v>4</v>
      </c>
      <c r="IB7" s="40">
        <v>2</v>
      </c>
      <c r="IC7" s="27"/>
      <c r="ID7" s="42">
        <f t="shared" ref="ID7:ID29" si="65">IF(OR($G7="",IB7=""),"",IF(AND($E7=HZ7,$G7=IB7),$H7*1.5,IF(AND($I7&gt;0,IE7&gt;0),$H7,IF(AND($I7&lt;0,IE7&lt;0),$H7,IF(AND($I7=0,IE7=0),$H7,0)))))</f>
        <v>0</v>
      </c>
      <c r="IE7" s="43">
        <f t="shared" ref="IE7:IE29" si="66">HZ7-IB7</f>
        <v>-2</v>
      </c>
      <c r="IG7" s="38">
        <v>3</v>
      </c>
      <c r="IH7" s="44" t="s">
        <v>4</v>
      </c>
      <c r="II7" s="40">
        <v>1</v>
      </c>
      <c r="IJ7" s="27"/>
      <c r="IK7" s="42">
        <f t="shared" ref="IK7:IK29" si="67">IF(OR($G7="",II7=""),"",IF(AND($E7=IG7,$G7=II7),$H7*1.5,IF(AND($I7&gt;0,IL7&gt;0),$H7,IF(AND($I7&lt;0,IL7&lt;0),$H7,IF(AND($I7=0,IL7=0),$H7,0)))))</f>
        <v>1.2</v>
      </c>
      <c r="IL7" s="43">
        <f t="shared" ref="IL7:IL29" si="68">IG7-II7</f>
        <v>2</v>
      </c>
      <c r="IN7" s="38">
        <v>0</v>
      </c>
      <c r="IO7" s="44" t="s">
        <v>4</v>
      </c>
      <c r="IP7" s="40">
        <v>1</v>
      </c>
      <c r="IQ7" s="27"/>
      <c r="IR7" s="42">
        <f t="shared" ref="IR7:IR29" si="69">IF(OR($G7="",IP7=""),"",IF(AND($E7=IN7,$G7=IP7),$H7*1.5,IF(AND($I7&gt;0,IS7&gt;0),$H7,IF(AND($I7&lt;0,IS7&lt;0),$H7,IF(AND($I7=0,IS7=0),$H7,0)))))</f>
        <v>0</v>
      </c>
      <c r="IS7" s="43">
        <f t="shared" ref="IS7:IS29" si="70">IN7-IP7</f>
        <v>-1</v>
      </c>
      <c r="IU7" s="38">
        <v>2</v>
      </c>
      <c r="IV7" s="44" t="s">
        <v>4</v>
      </c>
      <c r="IW7" s="40">
        <v>0</v>
      </c>
      <c r="IX7" s="27"/>
      <c r="IY7" s="42">
        <f t="shared" ref="IY7:IY29" si="71">IF(OR($G7="",IW7=""),"",IF(AND($E7=IU7,$G7=IW7),$H7*1.5,IF(AND($I7&gt;0,IZ7&gt;0),$H7,IF(AND($I7&lt;0,IZ7&lt;0),$H7,IF(AND($I7=0,IZ7=0),$H7,0)))))</f>
        <v>1.2</v>
      </c>
      <c r="IZ7" s="43">
        <f t="shared" ref="IZ7:IZ29" si="72">IU7-IW7</f>
        <v>2</v>
      </c>
      <c r="JB7" s="38">
        <v>2</v>
      </c>
      <c r="JC7" s="44" t="s">
        <v>4</v>
      </c>
      <c r="JD7" s="40">
        <v>2</v>
      </c>
      <c r="JE7" s="27"/>
      <c r="JF7" s="42">
        <f t="shared" ref="JF7:JF29" si="73">IF(OR($G7="",JD7=""),"",IF(AND($E7=JB7,$G7=JD7),$H7*1.5,IF(AND($I7&gt;0,JG7&gt;0),$H7,IF(AND($I7&lt;0,JG7&lt;0),$H7,IF(AND($I7=0,JG7=0),$H7,0)))))</f>
        <v>0</v>
      </c>
      <c r="JG7" s="43">
        <f t="shared" ref="JG7:JG29" si="74">JB7-JD7</f>
        <v>0</v>
      </c>
      <c r="JI7" s="38">
        <v>2</v>
      </c>
      <c r="JJ7" s="44" t="s">
        <v>4</v>
      </c>
      <c r="JK7" s="40">
        <v>2</v>
      </c>
      <c r="JL7" s="27"/>
      <c r="JM7" s="42">
        <f t="shared" ref="JM7:JM29" si="75">IF(OR($G7="",JK7=""),"",IF(AND($E7=JI7,$G7=JK7),$H7*1.5,IF(AND($I7&gt;0,JN7&gt;0),$H7,IF(AND($I7&lt;0,JN7&lt;0),$H7,IF(AND($I7=0,JN7=0),$H7,0)))))</f>
        <v>0</v>
      </c>
      <c r="JN7" s="43">
        <f t="shared" ref="JN7:JN29" si="76">JI7-JK7</f>
        <v>0</v>
      </c>
      <c r="JP7" s="38">
        <v>0</v>
      </c>
      <c r="JQ7" s="44" t="s">
        <v>4</v>
      </c>
      <c r="JR7" s="40">
        <v>0</v>
      </c>
      <c r="JS7" s="27"/>
      <c r="JT7" s="42">
        <f t="shared" ref="JT7:JT29" si="77">IF(OR($G7="",JR7=""),"",IF(AND($E7=JP7,$G7=JR7),$H7*1.5,IF(AND($I7&gt;0,JU7&gt;0),$H7,IF(AND($I7&lt;0,JU7&lt;0),$H7,IF(AND($I7=0,JU7=0),$H7,0)))))</f>
        <v>0</v>
      </c>
      <c r="JU7" s="43">
        <f t="shared" ref="JU7:JU29" si="78">JP7-JR7</f>
        <v>0</v>
      </c>
      <c r="JW7" s="38">
        <v>0</v>
      </c>
      <c r="JX7" s="44" t="s">
        <v>4</v>
      </c>
      <c r="JY7" s="40">
        <v>2</v>
      </c>
      <c r="JZ7" s="27"/>
      <c r="KA7" s="42">
        <f t="shared" ref="KA7:KA29" si="79">IF(OR($G7="",JY7=""),"",IF(AND($E7=JW7,$G7=JY7),$H7*1.5,IF(AND($I7&gt;0,KB7&gt;0),$H7,IF(AND($I7&lt;0,KB7&lt;0),$H7,IF(AND($I7=0,KB7=0),$H7,0)))))</f>
        <v>0</v>
      </c>
      <c r="KB7" s="43">
        <f t="shared" ref="KB7:KB29" si="80">JW7-JY7</f>
        <v>-2</v>
      </c>
      <c r="KD7" s="38">
        <v>1</v>
      </c>
      <c r="KE7" s="44" t="s">
        <v>4</v>
      </c>
      <c r="KF7" s="40">
        <v>2</v>
      </c>
      <c r="KG7" s="27"/>
      <c r="KH7" s="42">
        <f t="shared" ref="KH7:KH29" si="81">IF(OR($G7="",KF7=""),"",IF(AND($E7=KD7,$G7=KF7),$H7*1.5,IF(AND($I7&gt;0,KI7&gt;0),$H7,IF(AND($I7&lt;0,KI7&lt;0),$H7,IF(AND($I7=0,KI7=0),$H7,0)))))</f>
        <v>0</v>
      </c>
      <c r="KI7" s="43">
        <f t="shared" ref="KI7:KI29" si="82">KD7-KF7</f>
        <v>-1</v>
      </c>
      <c r="KK7" s="38">
        <v>1</v>
      </c>
      <c r="KL7" s="44" t="s">
        <v>4</v>
      </c>
      <c r="KM7" s="40">
        <v>0</v>
      </c>
      <c r="KN7" s="27"/>
      <c r="KO7" s="42">
        <f t="shared" ref="KO7:KO29" si="83">IF(OR($G7="",KM7=""),"",IF(AND($E7=KK7,$G7=KM7),$H7*1.5,IF(AND($I7&gt;0,KP7&gt;0),$H7,IF(AND($I7&lt;0,KP7&lt;0),$H7,IF(AND($I7=0,KP7=0),$H7,0)))))</f>
        <v>1.2</v>
      </c>
      <c r="KP7" s="43">
        <f t="shared" ref="KP7:KP29" si="84">KK7-KM7</f>
        <v>1</v>
      </c>
      <c r="KR7" s="38">
        <v>0</v>
      </c>
      <c r="KS7" s="44" t="s">
        <v>4</v>
      </c>
      <c r="KT7" s="40">
        <v>2</v>
      </c>
      <c r="KU7" s="27"/>
      <c r="KV7" s="42">
        <f t="shared" ref="KV7:KV29" si="85">IF(OR($G7="",KT7=""),"",IF(AND($E7=KR7,$G7=KT7),$H7*1.5,IF(AND($I7&gt;0,KW7&gt;0),$H7,IF(AND($I7&lt;0,KW7&lt;0),$H7,IF(AND($I7=0,KW7=0),$H7,0)))))</f>
        <v>0</v>
      </c>
      <c r="KW7" s="43">
        <f t="shared" ref="KW7:KW29" si="86">KR7-KT7</f>
        <v>-2</v>
      </c>
      <c r="KY7" s="38">
        <v>1</v>
      </c>
      <c r="KZ7" s="44" t="s">
        <v>4</v>
      </c>
      <c r="LA7" s="40">
        <v>2</v>
      </c>
      <c r="LB7" s="27"/>
      <c r="LC7" s="42">
        <f t="shared" ref="LC7:LC29" si="87">IF(OR($G7="",LA7=""),"",IF(AND($E7=KY7,$G7=LA7),$H7*1.5,IF(AND($I7&gt;0,LD7&gt;0),$H7,IF(AND($I7&lt;0,LD7&lt;0),$H7,IF(AND($I7=0,LD7=0),$H7,0)))))</f>
        <v>0</v>
      </c>
      <c r="LD7" s="43">
        <f t="shared" ref="LD7:LD29" si="88">KY7-LA7</f>
        <v>-1</v>
      </c>
      <c r="LF7" s="38">
        <v>1</v>
      </c>
      <c r="LG7" s="44" t="s">
        <v>4</v>
      </c>
      <c r="LH7" s="40">
        <v>2</v>
      </c>
      <c r="LI7" s="27"/>
      <c r="LJ7" s="42">
        <f t="shared" ref="LJ7:LJ29" si="89">IF(OR($G7="",LH7=""),"",IF(AND($E7=LF7,$G7=LH7),$H7*1.5,IF(AND($I7&gt;0,LK7&gt;0),$H7,IF(AND($I7&lt;0,LK7&lt;0),$H7,IF(AND($I7=0,LK7=0),$H7,0)))))</f>
        <v>0</v>
      </c>
      <c r="LK7" s="43">
        <f t="shared" ref="LK7:LK29" si="90">LF7-LH7</f>
        <v>-1</v>
      </c>
      <c r="LM7" s="38">
        <v>1</v>
      </c>
      <c r="LN7" s="44" t="s">
        <v>4</v>
      </c>
      <c r="LO7" s="40">
        <v>2</v>
      </c>
      <c r="LP7" s="27"/>
      <c r="LQ7" s="42">
        <f t="shared" ref="LQ7:LQ29" si="91">IF(OR($G7="",LO7=""),"",IF(AND($E7=LM7,$G7=LO7),$H7*1.5,IF(AND($I7&gt;0,LR7&gt;0),$H7,IF(AND($I7&lt;0,LR7&lt;0),$H7,IF(AND($I7=0,LR7=0),$H7,0)))))</f>
        <v>0</v>
      </c>
      <c r="LR7" s="43">
        <f t="shared" ref="LR7:LR29" si="92">LM7-LO7</f>
        <v>-1</v>
      </c>
      <c r="LT7" s="38">
        <v>1</v>
      </c>
      <c r="LU7" s="44" t="s">
        <v>4</v>
      </c>
      <c r="LV7" s="40">
        <v>1</v>
      </c>
      <c r="LW7" s="27"/>
      <c r="LX7" s="42">
        <f t="shared" ref="LX7:LX29" si="93">IF(OR($G7="",LV7=""),"",IF(AND($E7=LT7,$G7=LV7),$H7*1.5,IF(AND($I7&gt;0,LY7&gt;0),$H7,IF(AND($I7&lt;0,LY7&lt;0),$H7,IF(AND($I7=0,LY7=0),$H7,0)))))</f>
        <v>0</v>
      </c>
      <c r="LY7" s="43">
        <f t="shared" ref="LY7:LY29" si="94">LT7-LV7</f>
        <v>0</v>
      </c>
      <c r="MA7" s="38">
        <v>1</v>
      </c>
      <c r="MB7" s="44" t="s">
        <v>4</v>
      </c>
      <c r="MC7" s="40">
        <v>2</v>
      </c>
      <c r="MD7" s="27"/>
      <c r="ME7" s="42">
        <f t="shared" ref="ME7:ME29" si="95">IF(OR($G7="",MC7=""),"",IF(AND($E7=MA7,$G7=MC7),$H7*1.5,IF(AND($I7&gt;0,MF7&gt;0),$H7,IF(AND($I7&lt;0,MF7&lt;0),$H7,IF(AND($I7=0,MF7=0),$H7,0)))))</f>
        <v>0</v>
      </c>
      <c r="MF7" s="43">
        <f t="shared" ref="MF7:MF29" si="96">MA7-MC7</f>
        <v>-1</v>
      </c>
      <c r="MH7" s="38">
        <v>1</v>
      </c>
      <c r="MI7" s="44" t="s">
        <v>4</v>
      </c>
      <c r="MJ7" s="40">
        <v>3</v>
      </c>
      <c r="MK7" s="27"/>
      <c r="ML7" s="42">
        <f t="shared" ref="ML7:ML29" si="97">IF(OR($G7="",MJ7=""),"",IF(AND($E7=MH7,$G7=MJ7),$H7*1.5,IF(AND($I7&gt;0,MM7&gt;0),$H7,IF(AND($I7&lt;0,MM7&lt;0),$H7,IF(AND($I7=0,MM7=0),$H7,0)))))</f>
        <v>0</v>
      </c>
      <c r="MM7" s="43">
        <f t="shared" ref="MM7:MM29" si="98">MH7-MJ7</f>
        <v>-2</v>
      </c>
      <c r="MO7" s="38">
        <v>1</v>
      </c>
      <c r="MP7" s="44" t="s">
        <v>4</v>
      </c>
      <c r="MQ7" s="40">
        <v>1</v>
      </c>
      <c r="MR7" s="27"/>
      <c r="MS7" s="42">
        <f t="shared" ref="MS7:MS29" si="99">IF(OR($G7="",MQ7=""),"",IF(AND($E7=MO7,$G7=MQ7),$H7*1.5,IF(AND($I7&gt;0,MT7&gt;0),$H7,IF(AND($I7&lt;0,MT7&lt;0),$H7,IF(AND($I7=0,MT7=0),$H7,0)))))</f>
        <v>0</v>
      </c>
      <c r="MT7" s="43">
        <f t="shared" ref="MT7:MT29" si="100">MO7-MQ7</f>
        <v>0</v>
      </c>
      <c r="MV7" s="38">
        <v>1</v>
      </c>
      <c r="MW7" s="44" t="s">
        <v>4</v>
      </c>
      <c r="MX7" s="40">
        <v>1</v>
      </c>
      <c r="MY7" s="27"/>
      <c r="MZ7" s="42">
        <f t="shared" ref="MZ7:MZ29" si="101">IF(OR($G7="",MX7=""),"",IF(AND($E7=MV7,$G7=MX7),$H7*1.5,IF(AND($I7&gt;0,NA7&gt;0),$H7,IF(AND($I7&lt;0,NA7&lt;0),$H7,IF(AND($I7=0,NA7=0),$H7,0)))))</f>
        <v>0</v>
      </c>
      <c r="NA7" s="43">
        <f t="shared" ref="NA7:NA29" si="102">MV7-MX7</f>
        <v>0</v>
      </c>
      <c r="NC7" s="38">
        <v>0</v>
      </c>
      <c r="ND7" s="44" t="s">
        <v>4</v>
      </c>
      <c r="NE7" s="40">
        <v>1</v>
      </c>
      <c r="NF7" s="27"/>
      <c r="NG7" s="42">
        <f t="shared" ref="NG7:NG29" si="103">IF(OR($G7="",NE7=""),"",IF(AND($E7=NC7,$G7=NE7),$H7*1.5,IF(AND($I7&gt;0,NH7&gt;0),$H7,IF(AND($I7&lt;0,NH7&lt;0),$H7,IF(AND($I7=0,NH7=0),$H7,0)))))</f>
        <v>0</v>
      </c>
      <c r="NH7" s="43">
        <f t="shared" ref="NH7:NH29" si="104">NC7-NE7</f>
        <v>-1</v>
      </c>
      <c r="NJ7" s="38">
        <v>2</v>
      </c>
      <c r="NK7" s="44" t="s">
        <v>4</v>
      </c>
      <c r="NL7" s="40">
        <v>3</v>
      </c>
      <c r="NM7" s="27"/>
      <c r="NN7" s="42">
        <f t="shared" ref="NN7:NN29" si="105">IF(OR($G7="",NL7=""),"",IF(AND($E7=NJ7,$G7=NL7),$H7*1.5,IF(AND($I7&gt;0,NO7&gt;0),$H7,IF(AND($I7&lt;0,NO7&lt;0),$H7,IF(AND($I7=0,NO7=0),$H7,0)))))</f>
        <v>0</v>
      </c>
      <c r="NO7" s="43">
        <f t="shared" ref="NO7:NO29" si="106">NJ7-NL7</f>
        <v>-1</v>
      </c>
      <c r="NQ7" s="38">
        <v>0</v>
      </c>
      <c r="NR7" s="44" t="s">
        <v>4</v>
      </c>
      <c r="NS7" s="40">
        <v>0</v>
      </c>
      <c r="NT7" s="27"/>
      <c r="NU7" s="42">
        <f t="shared" ref="NU7:NU29" si="107">IF(OR($G7="",NS7=""),"",IF(AND($E7=NQ7,$G7=NS7),$H7*1.5,IF(AND($I7&gt;0,NV7&gt;0),$H7,IF(AND($I7&lt;0,NV7&lt;0),$H7,IF(AND($I7=0,NV7=0),$H7,0)))))</f>
        <v>0</v>
      </c>
      <c r="NV7" s="43">
        <f t="shared" ref="NV7:NV29" si="108">NQ7-NS7</f>
        <v>0</v>
      </c>
      <c r="NX7" s="38">
        <v>2</v>
      </c>
      <c r="NY7" s="44" t="s">
        <v>4</v>
      </c>
      <c r="NZ7" s="40">
        <v>2</v>
      </c>
      <c r="OA7" s="27"/>
      <c r="OB7" s="42">
        <f t="shared" ref="OB7:OB29" si="109">IF(OR($G7="",NZ7=""),"",IF(AND($E7=NX7,$G7=NZ7),$H7*1.5,IF(AND($I7&gt;0,OC7&gt;0),$H7,IF(AND($I7&lt;0,OC7&lt;0),$H7,IF(AND($I7=0,OC7=0),$H7,0)))))</f>
        <v>0</v>
      </c>
      <c r="OC7" s="43">
        <f t="shared" ref="OC7:OC29" si="110">NX7-NZ7</f>
        <v>0</v>
      </c>
      <c r="OE7" s="38">
        <v>2</v>
      </c>
      <c r="OF7" s="44" t="s">
        <v>4</v>
      </c>
      <c r="OG7" s="40">
        <v>3</v>
      </c>
      <c r="OH7" s="27"/>
      <c r="OI7" s="42">
        <f t="shared" ref="OI7:OI29" si="111">IF(OR($G7="",OG7=""),"",IF(AND($E7=OE7,$G7=OG7),$H7*1.5,IF(AND($I7&gt;0,OJ7&gt;0),$H7,IF(AND($I7&lt;0,OJ7&lt;0),$H7,IF(AND($I7=0,OJ7=0),$H7,0)))))</f>
        <v>0</v>
      </c>
      <c r="OJ7" s="43">
        <f t="shared" ref="OJ7:OJ29" si="112">OE7-OG7</f>
        <v>-1</v>
      </c>
      <c r="OL7" s="38">
        <v>2</v>
      </c>
      <c r="OM7" s="44" t="s">
        <v>4</v>
      </c>
      <c r="ON7" s="40">
        <v>1</v>
      </c>
      <c r="OO7" s="27"/>
      <c r="OP7" s="42">
        <f t="shared" ref="OP7:OP29" si="113">IF(OR($G7="",ON7=""),"",IF(AND($E7=OL7,$G7=ON7),$H7*1.5,IF(AND($I7&gt;0,OQ7&gt;0),$H7,IF(AND($I7&lt;0,OQ7&lt;0),$H7,IF(AND($I7=0,OQ7=0),$H7,0)))))</f>
        <v>1.7999999999999998</v>
      </c>
      <c r="OQ7" s="43">
        <f t="shared" ref="OQ7:OQ29" si="114">OL7-ON7</f>
        <v>1</v>
      </c>
      <c r="OS7" s="38">
        <v>1</v>
      </c>
      <c r="OT7" s="44" t="s">
        <v>4</v>
      </c>
      <c r="OU7" s="40">
        <v>1</v>
      </c>
      <c r="OV7" s="27"/>
      <c r="OW7" s="42">
        <f t="shared" ref="OW7:OW29" si="115">IF(OR($G7="",OU7=""),"",IF(AND($E7=OS7,$G7=OU7),$H7*1.5,IF(AND($I7&gt;0,OX7&gt;0),$H7,IF(AND($I7&lt;0,OX7&lt;0),$H7,IF(AND($I7=0,OX7=0),$H7,0)))))</f>
        <v>0</v>
      </c>
      <c r="OX7" s="43">
        <f t="shared" ref="OX7:OX29" si="116">OS7-OU7</f>
        <v>0</v>
      </c>
      <c r="OZ7" s="38">
        <v>1</v>
      </c>
      <c r="PA7" s="44" t="s">
        <v>4</v>
      </c>
      <c r="PB7" s="40">
        <v>1</v>
      </c>
      <c r="PC7" s="27"/>
      <c r="PD7" s="42">
        <f t="shared" ref="PD7:PD29" si="117">IF(OR($G7="",PB7=""),"",IF(AND($E7=OZ7,$G7=PB7),$H7*1.5,IF(AND($I7&gt;0,PE7&gt;0),$H7,IF(AND($I7&lt;0,PE7&lt;0),$H7,IF(AND($I7=0,PE7=0),$H7,0)))))</f>
        <v>0</v>
      </c>
      <c r="PE7" s="43">
        <f t="shared" ref="PE7:PE29" si="118">OZ7-PB7</f>
        <v>0</v>
      </c>
      <c r="PG7" s="38">
        <v>2</v>
      </c>
      <c r="PH7" s="44" t="s">
        <v>4</v>
      </c>
      <c r="PI7" s="40">
        <v>0</v>
      </c>
      <c r="PJ7" s="27"/>
      <c r="PK7" s="42">
        <f t="shared" ref="PK7:PK29" si="119">IF(OR($G7="",PI7=""),"",IF(AND($E7=PG7,$G7=PI7),$H7*1.5,IF(AND($I7&gt;0,PL7&gt;0),$H7,IF(AND($I7&lt;0,PL7&lt;0),$H7,IF(AND($I7=0,PL7=0),$H7,0)))))</f>
        <v>1.2</v>
      </c>
      <c r="PL7" s="43">
        <f t="shared" ref="PL7:PL29" si="120">PG7-PI7</f>
        <v>2</v>
      </c>
      <c r="PN7" s="38">
        <v>2</v>
      </c>
      <c r="PO7" s="44" t="s">
        <v>4</v>
      </c>
      <c r="PP7" s="40">
        <v>2</v>
      </c>
      <c r="PQ7" s="27"/>
      <c r="PR7" s="42">
        <f t="shared" ref="PR7:PR29" si="121">IF(OR($G7="",PP7=""),"",IF(AND($E7=PN7,$G7=PP7),$H7*1.5,IF(AND($I7&gt;0,PS7&gt;0),$H7,IF(AND($I7&lt;0,PS7&lt;0),$H7,IF(AND($I7=0,PS7=0),$H7,0)))))</f>
        <v>0</v>
      </c>
      <c r="PS7" s="43">
        <f t="shared" ref="PS7:PS29" si="122">PN7-PP7</f>
        <v>0</v>
      </c>
      <c r="PU7" s="38">
        <v>0</v>
      </c>
      <c r="PV7" s="44" t="s">
        <v>4</v>
      </c>
      <c r="PW7" s="40">
        <v>3</v>
      </c>
      <c r="PX7" s="27"/>
      <c r="PY7" s="42">
        <f t="shared" ref="PY7:PY29" si="123">IF(OR($G7="",PW7=""),"",IF(AND($E7=PU7,$G7=PW7),$H7*1.5,IF(AND($I7&gt;0,PZ7&gt;0),$H7,IF(AND($I7&lt;0,PZ7&lt;0),$H7,IF(AND($I7=0,PZ7=0),$H7,0)))))</f>
        <v>0</v>
      </c>
      <c r="PZ7" s="43">
        <f t="shared" ref="PZ7:PZ29" si="124">PU7-PW7</f>
        <v>-3</v>
      </c>
      <c r="QB7" s="38">
        <v>2</v>
      </c>
      <c r="QC7" s="44" t="s">
        <v>4</v>
      </c>
      <c r="QD7" s="40">
        <v>2</v>
      </c>
      <c r="QE7" s="27"/>
      <c r="QF7" s="42">
        <f t="shared" ref="QF7:QF29" si="125">IF(OR($G7="",QD7=""),"",IF(AND($E7=QB7,$G7=QD7),$H7*1.5,IF(AND($I7&gt;0,QG7&gt;0),$H7,IF(AND($I7&lt;0,QG7&lt;0),$H7,IF(AND($I7=0,QG7=0),$H7,0)))))</f>
        <v>0</v>
      </c>
      <c r="QG7" s="43">
        <f t="shared" ref="QG7:QG29" si="126">QB7-QD7</f>
        <v>0</v>
      </c>
      <c r="QI7" s="38">
        <v>0</v>
      </c>
      <c r="QJ7" s="44" t="s">
        <v>4</v>
      </c>
      <c r="QK7" s="40">
        <v>2</v>
      </c>
      <c r="QL7" s="27"/>
      <c r="QM7" s="42">
        <f t="shared" ref="QM7:QM29" si="127">IF(OR($G7="",QK7=""),"",IF(AND($E7=QI7,$G7=QK7),$H7*1.5,IF(AND($I7&gt;0,QN7&gt;0),$H7,IF(AND($I7&lt;0,QN7&lt;0),$H7,IF(AND($I7=0,QN7=0),$H7,0)))))</f>
        <v>0</v>
      </c>
      <c r="QN7" s="43">
        <f t="shared" ref="QN7:QN29" si="128">QI7-QK7</f>
        <v>-2</v>
      </c>
      <c r="QP7" s="38">
        <v>1</v>
      </c>
      <c r="QQ7" s="44" t="s">
        <v>4</v>
      </c>
      <c r="QR7" s="40">
        <v>0</v>
      </c>
      <c r="QS7" s="27"/>
      <c r="QT7" s="42">
        <f t="shared" ref="QT7:QT29" si="129">IF(OR($G7="",QR7=""),"",IF(AND($E7=QP7,$G7=QR7),$H7*1.5,IF(AND($I7&gt;0,QU7&gt;0),$H7,IF(AND($I7&lt;0,QU7&lt;0),$H7,IF(AND($I7=0,QU7=0),$H7,0)))))</f>
        <v>1.2</v>
      </c>
      <c r="QU7" s="43">
        <f t="shared" ref="QU7:QU29" si="130">QP7-QR7</f>
        <v>1</v>
      </c>
      <c r="QW7" s="38">
        <v>1</v>
      </c>
      <c r="QX7" s="44" t="s">
        <v>4</v>
      </c>
      <c r="QY7" s="40">
        <v>1</v>
      </c>
      <c r="QZ7" s="27"/>
      <c r="RA7" s="42">
        <f t="shared" ref="RA7:RA29" si="131">IF(OR($G7="",QY7=""),"",IF(AND($E7=QW7,$G7=QY7),$H7*1.5,IF(AND($I7&gt;0,RB7&gt;0),$H7,IF(AND($I7&lt;0,RB7&lt;0),$H7,IF(AND($I7=0,RB7=0),$H7,0)))))</f>
        <v>0</v>
      </c>
      <c r="RB7" s="43">
        <f t="shared" ref="RB7:RB29" si="132">QW7-QY7</f>
        <v>0</v>
      </c>
      <c r="RD7" s="38">
        <v>1</v>
      </c>
      <c r="RE7" s="44" t="s">
        <v>4</v>
      </c>
      <c r="RF7" s="40">
        <v>0</v>
      </c>
      <c r="RG7" s="27"/>
      <c r="RH7" s="42">
        <f t="shared" ref="RH7:RH29" si="133">IF(OR($G7="",RF7=""),"",IF(AND($E7=RD7,$G7=RF7),$H7*1.5,IF(AND($I7&gt;0,RI7&gt;0),$H7,IF(AND($I7&lt;0,RI7&lt;0),$H7,IF(AND($I7=0,RI7=0),$H7,0)))))</f>
        <v>1.2</v>
      </c>
      <c r="RI7" s="43">
        <f t="shared" ref="RI7:RI29" si="134">RD7-RF7</f>
        <v>1</v>
      </c>
      <c r="RK7" s="38">
        <v>1</v>
      </c>
      <c r="RL7" s="44" t="s">
        <v>4</v>
      </c>
      <c r="RM7" s="40">
        <v>1</v>
      </c>
      <c r="RN7" s="27"/>
      <c r="RO7" s="42">
        <f t="shared" ref="RO7:RO29" si="135">IF(OR($G7="",RM7=""),"",IF(AND($E7=RK7,$G7=RM7),$H7*1.5,IF(AND($I7&gt;0,RP7&gt;0),$H7,IF(AND($I7&lt;0,RP7&lt;0),$H7,IF(AND($I7=0,RP7=0),$H7,0)))))</f>
        <v>0</v>
      </c>
      <c r="RP7" s="43">
        <f t="shared" ref="RP7:RP29" si="136">RK7-RM7</f>
        <v>0</v>
      </c>
      <c r="RR7" s="38">
        <v>1</v>
      </c>
      <c r="RS7" s="44" t="s">
        <v>4</v>
      </c>
      <c r="RT7" s="40">
        <v>1</v>
      </c>
      <c r="RU7" s="27"/>
      <c r="RV7" s="42">
        <f t="shared" ref="RV7:RV29" si="137">IF(OR($G7="",RT7=""),"",IF(AND($E7=RR7,$G7=RT7),$H7*1.5,IF(AND($I7&gt;0,RW7&gt;0),$H7,IF(AND($I7&lt;0,RW7&lt;0),$H7,IF(AND($I7=0,RW7=0),$H7,0)))))</f>
        <v>0</v>
      </c>
      <c r="RW7" s="43">
        <f t="shared" ref="RW7:RW29" si="138">RR7-RT7</f>
        <v>0</v>
      </c>
      <c r="RY7" s="38">
        <v>1</v>
      </c>
      <c r="RZ7" s="44" t="s">
        <v>4</v>
      </c>
      <c r="SA7" s="40">
        <v>1</v>
      </c>
      <c r="SB7" s="27"/>
      <c r="SC7" s="42">
        <f t="shared" ref="SC7:SC29" si="139">IF(OR($G7="",SA7=""),"",IF(AND($E7=RY7,$G7=SA7),$H7*1.5,IF(AND($I7&gt;0,SD7&gt;0),$H7,IF(AND($I7&lt;0,SD7&lt;0),$H7,IF(AND($I7=0,SD7=0),$H7,0)))))</f>
        <v>0</v>
      </c>
      <c r="SD7" s="43">
        <f t="shared" ref="SD7:SD29" si="140">RY7-SA7</f>
        <v>0</v>
      </c>
      <c r="SF7" s="38">
        <v>1</v>
      </c>
      <c r="SG7" s="44" t="s">
        <v>4</v>
      </c>
      <c r="SH7" s="40">
        <v>1</v>
      </c>
      <c r="SI7" s="27"/>
      <c r="SJ7" s="42">
        <f t="shared" ref="SJ7:SJ29" si="141">IF(OR($G7="",SH7=""),"",IF(AND($E7=SF7,$G7=SH7),$H7*1.5,IF(AND($I7&gt;0,SK7&gt;0),$H7,IF(AND($I7&lt;0,SK7&lt;0),$H7,IF(AND($I7=0,SK7=0),$H7,0)))))</f>
        <v>0</v>
      </c>
      <c r="SK7" s="43">
        <f t="shared" ref="SK7:SK29" si="142">SF7-SH7</f>
        <v>0</v>
      </c>
      <c r="SM7" s="38">
        <v>0</v>
      </c>
      <c r="SN7" s="44" t="s">
        <v>4</v>
      </c>
      <c r="SO7" s="40">
        <v>2</v>
      </c>
      <c r="SP7" s="27"/>
      <c r="SQ7" s="42">
        <f t="shared" ref="SQ7:SQ29" si="143">IF(OR($G7="",SO7=""),"",IF(AND($E7=SM7,$G7=SO7),$H7*1.5,IF(AND($I7&gt;0,SR7&gt;0),$H7,IF(AND($I7&lt;0,SR7&lt;0),$H7,IF(AND($I7=0,SR7=0),$H7,0)))))</f>
        <v>0</v>
      </c>
      <c r="SR7" s="43">
        <f t="shared" ref="SR7:SR29" si="144">SM7-SO7</f>
        <v>-2</v>
      </c>
    </row>
    <row r="8" spans="1:512" customFormat="1" ht="16" customHeight="1" x14ac:dyDescent="0.2">
      <c r="A8" s="34">
        <v>46185</v>
      </c>
      <c r="B8" s="35">
        <v>0.875</v>
      </c>
      <c r="C8" s="51" t="s">
        <v>31</v>
      </c>
      <c r="D8" s="81" t="s">
        <v>315</v>
      </c>
      <c r="E8" s="3">
        <v>1</v>
      </c>
      <c r="F8" s="37" t="s">
        <v>4</v>
      </c>
      <c r="G8" s="4">
        <v>1</v>
      </c>
      <c r="H8" s="16">
        <v>1.2</v>
      </c>
      <c r="I8" s="32">
        <f t="shared" si="0"/>
        <v>0</v>
      </c>
      <c r="J8" s="38">
        <v>2</v>
      </c>
      <c r="K8" s="44" t="s">
        <v>4</v>
      </c>
      <c r="L8" s="40">
        <v>0</v>
      </c>
      <c r="M8" s="27"/>
      <c r="N8" s="42">
        <f t="shared" si="1"/>
        <v>0</v>
      </c>
      <c r="O8" s="43">
        <f t="shared" si="2"/>
        <v>2</v>
      </c>
      <c r="P8" s="32"/>
      <c r="Q8" s="38">
        <v>1</v>
      </c>
      <c r="R8" s="44" t="s">
        <v>4</v>
      </c>
      <c r="S8" s="40">
        <v>0</v>
      </c>
      <c r="T8" s="27"/>
      <c r="U8" s="42">
        <f t="shared" si="3"/>
        <v>0</v>
      </c>
      <c r="V8" s="43">
        <f t="shared" si="4"/>
        <v>1</v>
      </c>
      <c r="X8" s="38">
        <v>1</v>
      </c>
      <c r="Y8" s="44" t="s">
        <v>4</v>
      </c>
      <c r="Z8" s="40">
        <v>2</v>
      </c>
      <c r="AA8" s="27"/>
      <c r="AB8" s="42">
        <f t="shared" si="5"/>
        <v>0</v>
      </c>
      <c r="AC8" s="43">
        <f t="shared" si="6"/>
        <v>-1</v>
      </c>
      <c r="AE8" s="38">
        <v>0</v>
      </c>
      <c r="AF8" s="44" t="s">
        <v>4</v>
      </c>
      <c r="AG8" s="40">
        <v>2</v>
      </c>
      <c r="AH8" s="27"/>
      <c r="AI8" s="42">
        <f t="shared" si="7"/>
        <v>0</v>
      </c>
      <c r="AJ8" s="43">
        <f t="shared" si="8"/>
        <v>-2</v>
      </c>
      <c r="AL8" s="38">
        <v>2</v>
      </c>
      <c r="AM8" s="44" t="s">
        <v>4</v>
      </c>
      <c r="AN8" s="40">
        <v>1</v>
      </c>
      <c r="AO8" s="27"/>
      <c r="AP8" s="42">
        <f t="shared" si="9"/>
        <v>0</v>
      </c>
      <c r="AQ8" s="43">
        <f t="shared" si="10"/>
        <v>1</v>
      </c>
      <c r="AS8" s="38">
        <v>1</v>
      </c>
      <c r="AT8" s="44" t="s">
        <v>4</v>
      </c>
      <c r="AU8" s="40">
        <v>1</v>
      </c>
      <c r="AV8" s="27"/>
      <c r="AW8" s="42">
        <f t="shared" si="11"/>
        <v>1.7999999999999998</v>
      </c>
      <c r="AX8" s="43">
        <f t="shared" si="12"/>
        <v>0</v>
      </c>
      <c r="AZ8" s="86">
        <v>1</v>
      </c>
      <c r="BA8" s="44" t="s">
        <v>4</v>
      </c>
      <c r="BB8" s="40">
        <v>1</v>
      </c>
      <c r="BC8" s="27"/>
      <c r="BD8" s="42">
        <f t="shared" si="13"/>
        <v>1.7999999999999998</v>
      </c>
      <c r="BE8" s="43">
        <f t="shared" si="14"/>
        <v>0</v>
      </c>
      <c r="BG8" s="38">
        <v>2</v>
      </c>
      <c r="BH8" s="44" t="s">
        <v>4</v>
      </c>
      <c r="BI8" s="40">
        <v>0</v>
      </c>
      <c r="BJ8" s="27"/>
      <c r="BK8" s="42">
        <f t="shared" si="15"/>
        <v>0</v>
      </c>
      <c r="BL8" s="43">
        <f t="shared" si="16"/>
        <v>2</v>
      </c>
      <c r="BN8" s="38">
        <v>2</v>
      </c>
      <c r="BO8" s="44" t="s">
        <v>4</v>
      </c>
      <c r="BP8" s="40">
        <v>1</v>
      </c>
      <c r="BQ8" s="27"/>
      <c r="BR8" s="42">
        <f t="shared" si="17"/>
        <v>0</v>
      </c>
      <c r="BS8" s="43">
        <f t="shared" si="18"/>
        <v>1</v>
      </c>
      <c r="BU8" s="38">
        <v>1</v>
      </c>
      <c r="BV8" s="44" t="s">
        <v>4</v>
      </c>
      <c r="BW8" s="40">
        <v>2</v>
      </c>
      <c r="BX8" s="27"/>
      <c r="BY8" s="42">
        <f t="shared" si="19"/>
        <v>0</v>
      </c>
      <c r="BZ8" s="43">
        <f t="shared" si="20"/>
        <v>-1</v>
      </c>
      <c r="CB8" s="38">
        <v>1</v>
      </c>
      <c r="CC8" s="44" t="s">
        <v>4</v>
      </c>
      <c r="CD8" s="40">
        <v>2</v>
      </c>
      <c r="CE8" s="27"/>
      <c r="CF8" s="42">
        <f t="shared" si="21"/>
        <v>0</v>
      </c>
      <c r="CG8" s="43">
        <f t="shared" si="22"/>
        <v>-1</v>
      </c>
      <c r="CI8" s="38">
        <v>1</v>
      </c>
      <c r="CJ8" s="44" t="s">
        <v>4</v>
      </c>
      <c r="CK8" s="40">
        <v>1</v>
      </c>
      <c r="CL8" s="27"/>
      <c r="CM8" s="42">
        <f t="shared" si="23"/>
        <v>1.7999999999999998</v>
      </c>
      <c r="CN8" s="43">
        <f t="shared" si="24"/>
        <v>0</v>
      </c>
      <c r="CP8" s="38">
        <v>2</v>
      </c>
      <c r="CQ8" s="44" t="s">
        <v>4</v>
      </c>
      <c r="CR8" s="40">
        <v>1</v>
      </c>
      <c r="CS8" s="27"/>
      <c r="CT8" s="42">
        <f t="shared" si="25"/>
        <v>0</v>
      </c>
      <c r="CU8" s="43">
        <f t="shared" si="26"/>
        <v>1</v>
      </c>
      <c r="CW8" s="38">
        <v>1</v>
      </c>
      <c r="CX8" s="44" t="s">
        <v>4</v>
      </c>
      <c r="CY8" s="40">
        <v>2</v>
      </c>
      <c r="CZ8" s="27"/>
      <c r="DA8" s="42">
        <f t="shared" si="27"/>
        <v>0</v>
      </c>
      <c r="DB8" s="43">
        <f t="shared" si="28"/>
        <v>-1</v>
      </c>
      <c r="DD8" s="38">
        <v>1</v>
      </c>
      <c r="DE8" s="44" t="s">
        <v>4</v>
      </c>
      <c r="DF8" s="40">
        <v>0</v>
      </c>
      <c r="DG8" s="27"/>
      <c r="DH8" s="42">
        <f t="shared" si="29"/>
        <v>0</v>
      </c>
      <c r="DI8" s="43">
        <f t="shared" si="30"/>
        <v>1</v>
      </c>
      <c r="DK8" s="38">
        <v>0</v>
      </c>
      <c r="DL8" s="44" t="s">
        <v>4</v>
      </c>
      <c r="DM8" s="40">
        <v>2</v>
      </c>
      <c r="DN8" s="27"/>
      <c r="DO8" s="42">
        <f t="shared" si="31"/>
        <v>0</v>
      </c>
      <c r="DP8" s="43">
        <f t="shared" si="32"/>
        <v>-2</v>
      </c>
      <c r="DR8" s="38">
        <v>2</v>
      </c>
      <c r="DS8" s="44" t="s">
        <v>4</v>
      </c>
      <c r="DT8" s="40">
        <v>2</v>
      </c>
      <c r="DU8" s="27"/>
      <c r="DV8" s="42">
        <f t="shared" si="33"/>
        <v>1.2</v>
      </c>
      <c r="DW8" s="43">
        <f t="shared" si="34"/>
        <v>0</v>
      </c>
      <c r="DY8" s="38">
        <v>2</v>
      </c>
      <c r="DZ8" s="44" t="s">
        <v>4</v>
      </c>
      <c r="EA8" s="40">
        <v>1</v>
      </c>
      <c r="EB8" s="27"/>
      <c r="EC8" s="42">
        <f t="shared" si="35"/>
        <v>0</v>
      </c>
      <c r="ED8" s="43">
        <f t="shared" si="36"/>
        <v>1</v>
      </c>
      <c r="EF8" s="38">
        <v>1</v>
      </c>
      <c r="EG8" s="44" t="s">
        <v>4</v>
      </c>
      <c r="EH8" s="40">
        <v>1</v>
      </c>
      <c r="EI8" s="27"/>
      <c r="EJ8" s="42">
        <f t="shared" si="37"/>
        <v>1.7999999999999998</v>
      </c>
      <c r="EK8" s="43">
        <f t="shared" si="38"/>
        <v>0</v>
      </c>
      <c r="EM8" s="38">
        <v>2</v>
      </c>
      <c r="EN8" s="44" t="s">
        <v>4</v>
      </c>
      <c r="EO8" s="40">
        <v>1</v>
      </c>
      <c r="EP8" s="27"/>
      <c r="EQ8" s="42">
        <f t="shared" si="39"/>
        <v>0</v>
      </c>
      <c r="ER8" s="43">
        <f t="shared" si="40"/>
        <v>1</v>
      </c>
      <c r="ET8" s="38">
        <v>1</v>
      </c>
      <c r="EU8" s="44" t="s">
        <v>4</v>
      </c>
      <c r="EV8" s="40">
        <v>2</v>
      </c>
      <c r="EW8" s="27"/>
      <c r="EX8" s="42">
        <f t="shared" si="41"/>
        <v>0</v>
      </c>
      <c r="EY8" s="43">
        <f t="shared" si="42"/>
        <v>-1</v>
      </c>
      <c r="FA8" s="38">
        <v>2</v>
      </c>
      <c r="FB8" s="44" t="s">
        <v>4</v>
      </c>
      <c r="FC8" s="40">
        <v>1</v>
      </c>
      <c r="FD8" s="27"/>
      <c r="FE8" s="42">
        <f t="shared" si="43"/>
        <v>0</v>
      </c>
      <c r="FF8" s="43">
        <f t="shared" si="44"/>
        <v>1</v>
      </c>
      <c r="FH8" s="38">
        <v>2</v>
      </c>
      <c r="FI8" s="44" t="s">
        <v>4</v>
      </c>
      <c r="FJ8" s="40">
        <v>1</v>
      </c>
      <c r="FK8" s="27"/>
      <c r="FL8" s="42">
        <f t="shared" si="45"/>
        <v>0</v>
      </c>
      <c r="FM8" s="43">
        <f t="shared" si="46"/>
        <v>1</v>
      </c>
      <c r="FO8" s="38">
        <v>1</v>
      </c>
      <c r="FP8" s="44" t="s">
        <v>4</v>
      </c>
      <c r="FQ8" s="40">
        <v>1</v>
      </c>
      <c r="FR8" s="27"/>
      <c r="FS8" s="42">
        <f t="shared" si="47"/>
        <v>1.7999999999999998</v>
      </c>
      <c r="FT8" s="43">
        <f t="shared" si="48"/>
        <v>0</v>
      </c>
      <c r="FV8" s="38">
        <v>2</v>
      </c>
      <c r="FW8" s="44" t="s">
        <v>4</v>
      </c>
      <c r="FX8" s="40">
        <v>2</v>
      </c>
      <c r="FY8" s="27"/>
      <c r="FZ8" s="42">
        <f t="shared" si="49"/>
        <v>1.2</v>
      </c>
      <c r="GA8" s="43">
        <f t="shared" si="50"/>
        <v>0</v>
      </c>
      <c r="GC8" s="38">
        <v>1</v>
      </c>
      <c r="GD8" s="44" t="s">
        <v>4</v>
      </c>
      <c r="GE8" s="40">
        <v>1</v>
      </c>
      <c r="GF8" s="27"/>
      <c r="GG8" s="42">
        <f t="shared" si="51"/>
        <v>1.7999999999999998</v>
      </c>
      <c r="GH8" s="43">
        <f t="shared" si="52"/>
        <v>0</v>
      </c>
      <c r="GJ8" s="38">
        <v>1</v>
      </c>
      <c r="GK8" s="44" t="s">
        <v>4</v>
      </c>
      <c r="GL8" s="40">
        <v>1</v>
      </c>
      <c r="GM8" s="27"/>
      <c r="GN8" s="42">
        <f t="shared" si="53"/>
        <v>1.7999999999999998</v>
      </c>
      <c r="GO8" s="43">
        <f t="shared" si="54"/>
        <v>0</v>
      </c>
      <c r="GQ8" s="38">
        <v>2</v>
      </c>
      <c r="GR8" s="44" t="s">
        <v>4</v>
      </c>
      <c r="GS8" s="40">
        <v>1</v>
      </c>
      <c r="GT8" s="27"/>
      <c r="GU8" s="42">
        <f t="shared" si="55"/>
        <v>0</v>
      </c>
      <c r="GV8" s="43">
        <f t="shared" si="56"/>
        <v>1</v>
      </c>
      <c r="GX8" s="38">
        <v>1</v>
      </c>
      <c r="GY8" s="44" t="s">
        <v>4</v>
      </c>
      <c r="GZ8" s="40">
        <v>1</v>
      </c>
      <c r="HA8" s="27"/>
      <c r="HB8" s="42">
        <f t="shared" si="57"/>
        <v>1.7999999999999998</v>
      </c>
      <c r="HC8" s="43">
        <f t="shared" si="58"/>
        <v>0</v>
      </c>
      <c r="HE8" s="38">
        <v>2</v>
      </c>
      <c r="HF8" s="44" t="s">
        <v>4</v>
      </c>
      <c r="HG8" s="40">
        <v>1</v>
      </c>
      <c r="HH8" s="27"/>
      <c r="HI8" s="42">
        <f t="shared" si="59"/>
        <v>0</v>
      </c>
      <c r="HJ8" s="43">
        <f t="shared" si="60"/>
        <v>1</v>
      </c>
      <c r="HL8" s="38">
        <v>1</v>
      </c>
      <c r="HM8" s="44" t="s">
        <v>4</v>
      </c>
      <c r="HN8" s="40">
        <v>0</v>
      </c>
      <c r="HO8" s="27"/>
      <c r="HP8" s="42">
        <f t="shared" si="61"/>
        <v>0</v>
      </c>
      <c r="HQ8" s="43">
        <f t="shared" si="62"/>
        <v>1</v>
      </c>
      <c r="HS8" s="38">
        <v>2</v>
      </c>
      <c r="HT8" s="44" t="s">
        <v>4</v>
      </c>
      <c r="HU8" s="40">
        <v>0</v>
      </c>
      <c r="HV8" s="27"/>
      <c r="HW8" s="42">
        <f t="shared" si="63"/>
        <v>0</v>
      </c>
      <c r="HX8" s="43">
        <f t="shared" si="64"/>
        <v>2</v>
      </c>
      <c r="HZ8" s="38">
        <v>2</v>
      </c>
      <c r="IA8" s="44" t="s">
        <v>4</v>
      </c>
      <c r="IB8" s="40">
        <v>1</v>
      </c>
      <c r="IC8" s="27"/>
      <c r="ID8" s="42">
        <f t="shared" si="65"/>
        <v>0</v>
      </c>
      <c r="IE8" s="43">
        <f t="shared" si="66"/>
        <v>1</v>
      </c>
      <c r="IG8" s="38">
        <v>2</v>
      </c>
      <c r="IH8" s="44" t="s">
        <v>4</v>
      </c>
      <c r="II8" s="40">
        <v>4</v>
      </c>
      <c r="IJ8" s="27"/>
      <c r="IK8" s="42">
        <f t="shared" si="67"/>
        <v>0</v>
      </c>
      <c r="IL8" s="43">
        <f t="shared" si="68"/>
        <v>-2</v>
      </c>
      <c r="IN8" s="38">
        <v>1</v>
      </c>
      <c r="IO8" s="44" t="s">
        <v>4</v>
      </c>
      <c r="IP8" s="40">
        <v>1</v>
      </c>
      <c r="IQ8" s="27"/>
      <c r="IR8" s="42">
        <f t="shared" si="69"/>
        <v>1.7999999999999998</v>
      </c>
      <c r="IS8" s="43">
        <f t="shared" si="70"/>
        <v>0</v>
      </c>
      <c r="IU8" s="38">
        <v>0</v>
      </c>
      <c r="IV8" s="44" t="s">
        <v>4</v>
      </c>
      <c r="IW8" s="40">
        <v>2</v>
      </c>
      <c r="IX8" s="27"/>
      <c r="IY8" s="42">
        <f t="shared" si="71"/>
        <v>0</v>
      </c>
      <c r="IZ8" s="43">
        <f t="shared" si="72"/>
        <v>-2</v>
      </c>
      <c r="JB8" s="38">
        <v>1</v>
      </c>
      <c r="JC8" s="44" t="s">
        <v>4</v>
      </c>
      <c r="JD8" s="40">
        <v>2</v>
      </c>
      <c r="JE8" s="27"/>
      <c r="JF8" s="42">
        <f t="shared" si="73"/>
        <v>0</v>
      </c>
      <c r="JG8" s="43">
        <f t="shared" si="74"/>
        <v>-1</v>
      </c>
      <c r="JI8" s="38">
        <v>0</v>
      </c>
      <c r="JJ8" s="44" t="s">
        <v>4</v>
      </c>
      <c r="JK8" s="40">
        <v>1</v>
      </c>
      <c r="JL8" s="27"/>
      <c r="JM8" s="42">
        <f t="shared" si="75"/>
        <v>0</v>
      </c>
      <c r="JN8" s="43">
        <f t="shared" si="76"/>
        <v>-1</v>
      </c>
      <c r="JP8" s="38">
        <v>0</v>
      </c>
      <c r="JQ8" s="44" t="s">
        <v>4</v>
      </c>
      <c r="JR8" s="40">
        <v>1</v>
      </c>
      <c r="JS8" s="27"/>
      <c r="JT8" s="42">
        <f t="shared" si="77"/>
        <v>0</v>
      </c>
      <c r="JU8" s="43">
        <f t="shared" si="78"/>
        <v>-1</v>
      </c>
      <c r="JW8" s="38">
        <v>3</v>
      </c>
      <c r="JX8" s="44" t="s">
        <v>4</v>
      </c>
      <c r="JY8" s="40">
        <v>1</v>
      </c>
      <c r="JZ8" s="27"/>
      <c r="KA8" s="42">
        <f t="shared" si="79"/>
        <v>0</v>
      </c>
      <c r="KB8" s="43">
        <f t="shared" si="80"/>
        <v>2</v>
      </c>
      <c r="KD8" s="38">
        <v>2</v>
      </c>
      <c r="KE8" s="44" t="s">
        <v>4</v>
      </c>
      <c r="KF8" s="40">
        <v>1</v>
      </c>
      <c r="KG8" s="27"/>
      <c r="KH8" s="42">
        <f t="shared" si="81"/>
        <v>0</v>
      </c>
      <c r="KI8" s="43">
        <f t="shared" si="82"/>
        <v>1</v>
      </c>
      <c r="KK8" s="38">
        <v>1</v>
      </c>
      <c r="KL8" s="44" t="s">
        <v>4</v>
      </c>
      <c r="KM8" s="40">
        <v>0</v>
      </c>
      <c r="KN8" s="27"/>
      <c r="KO8" s="42">
        <f t="shared" si="83"/>
        <v>0</v>
      </c>
      <c r="KP8" s="43">
        <f t="shared" si="84"/>
        <v>1</v>
      </c>
      <c r="KR8" s="38">
        <v>1</v>
      </c>
      <c r="KS8" s="44" t="s">
        <v>4</v>
      </c>
      <c r="KT8" s="40">
        <v>1</v>
      </c>
      <c r="KU8" s="27"/>
      <c r="KV8" s="42">
        <f t="shared" si="85"/>
        <v>1.7999999999999998</v>
      </c>
      <c r="KW8" s="43">
        <f t="shared" si="86"/>
        <v>0</v>
      </c>
      <c r="KY8" s="38">
        <v>1</v>
      </c>
      <c r="KZ8" s="44" t="s">
        <v>4</v>
      </c>
      <c r="LA8" s="40">
        <v>2</v>
      </c>
      <c r="LB8" s="27"/>
      <c r="LC8" s="42">
        <f t="shared" si="87"/>
        <v>0</v>
      </c>
      <c r="LD8" s="43">
        <f t="shared" si="88"/>
        <v>-1</v>
      </c>
      <c r="LF8" s="38">
        <v>1</v>
      </c>
      <c r="LG8" s="44" t="s">
        <v>4</v>
      </c>
      <c r="LH8" s="40">
        <v>2</v>
      </c>
      <c r="LI8" s="27"/>
      <c r="LJ8" s="42">
        <f t="shared" si="89"/>
        <v>0</v>
      </c>
      <c r="LK8" s="43">
        <f t="shared" si="90"/>
        <v>-1</v>
      </c>
      <c r="LM8" s="38">
        <v>0</v>
      </c>
      <c r="LN8" s="44" t="s">
        <v>4</v>
      </c>
      <c r="LO8" s="40">
        <v>1</v>
      </c>
      <c r="LP8" s="27"/>
      <c r="LQ8" s="42">
        <f t="shared" si="91"/>
        <v>0</v>
      </c>
      <c r="LR8" s="43">
        <f t="shared" si="92"/>
        <v>-1</v>
      </c>
      <c r="LT8" s="38">
        <v>2</v>
      </c>
      <c r="LU8" s="44" t="s">
        <v>4</v>
      </c>
      <c r="LV8" s="40">
        <v>1</v>
      </c>
      <c r="LW8" s="27"/>
      <c r="LX8" s="42">
        <f t="shared" si="93"/>
        <v>0</v>
      </c>
      <c r="LY8" s="43">
        <f t="shared" si="94"/>
        <v>1</v>
      </c>
      <c r="MA8" s="38">
        <v>0</v>
      </c>
      <c r="MB8" s="44" t="s">
        <v>4</v>
      </c>
      <c r="MC8" s="40">
        <v>2</v>
      </c>
      <c r="MD8" s="27"/>
      <c r="ME8" s="42">
        <f t="shared" si="95"/>
        <v>0</v>
      </c>
      <c r="MF8" s="43">
        <f t="shared" si="96"/>
        <v>-2</v>
      </c>
      <c r="MH8" s="38">
        <v>1</v>
      </c>
      <c r="MI8" s="44" t="s">
        <v>4</v>
      </c>
      <c r="MJ8" s="40">
        <v>2</v>
      </c>
      <c r="MK8" s="27"/>
      <c r="ML8" s="42">
        <f t="shared" si="97"/>
        <v>0</v>
      </c>
      <c r="MM8" s="43">
        <f t="shared" si="98"/>
        <v>-1</v>
      </c>
      <c r="MO8" s="38">
        <v>2</v>
      </c>
      <c r="MP8" s="44" t="s">
        <v>4</v>
      </c>
      <c r="MQ8" s="40">
        <v>0</v>
      </c>
      <c r="MR8" s="27"/>
      <c r="MS8" s="42">
        <f t="shared" si="99"/>
        <v>0</v>
      </c>
      <c r="MT8" s="43">
        <f t="shared" si="100"/>
        <v>2</v>
      </c>
      <c r="MV8" s="38">
        <v>1</v>
      </c>
      <c r="MW8" s="44" t="s">
        <v>4</v>
      </c>
      <c r="MX8" s="40">
        <v>0</v>
      </c>
      <c r="MY8" s="27"/>
      <c r="MZ8" s="42">
        <f t="shared" si="101"/>
        <v>0</v>
      </c>
      <c r="NA8" s="43">
        <f t="shared" si="102"/>
        <v>1</v>
      </c>
      <c r="NC8" s="38">
        <v>1</v>
      </c>
      <c r="ND8" s="44" t="s">
        <v>4</v>
      </c>
      <c r="NE8" s="40">
        <v>1</v>
      </c>
      <c r="NF8" s="27"/>
      <c r="NG8" s="42">
        <f t="shared" si="103"/>
        <v>1.7999999999999998</v>
      </c>
      <c r="NH8" s="43">
        <f t="shared" si="104"/>
        <v>0</v>
      </c>
      <c r="NJ8" s="38">
        <v>1</v>
      </c>
      <c r="NK8" s="44" t="s">
        <v>4</v>
      </c>
      <c r="NL8" s="40">
        <v>2</v>
      </c>
      <c r="NM8" s="27"/>
      <c r="NN8" s="42">
        <f t="shared" si="105"/>
        <v>0</v>
      </c>
      <c r="NO8" s="43">
        <f t="shared" si="106"/>
        <v>-1</v>
      </c>
      <c r="NQ8" s="38">
        <v>0</v>
      </c>
      <c r="NR8" s="44" t="s">
        <v>4</v>
      </c>
      <c r="NS8" s="40">
        <v>2</v>
      </c>
      <c r="NT8" s="27"/>
      <c r="NU8" s="42">
        <f t="shared" si="107"/>
        <v>0</v>
      </c>
      <c r="NV8" s="43">
        <f t="shared" si="108"/>
        <v>-2</v>
      </c>
      <c r="NX8" s="38">
        <v>1</v>
      </c>
      <c r="NY8" s="44" t="s">
        <v>4</v>
      </c>
      <c r="NZ8" s="40">
        <v>2</v>
      </c>
      <c r="OA8" s="27"/>
      <c r="OB8" s="42">
        <f t="shared" si="109"/>
        <v>0</v>
      </c>
      <c r="OC8" s="43">
        <f t="shared" si="110"/>
        <v>-1</v>
      </c>
      <c r="OE8" s="38">
        <v>2</v>
      </c>
      <c r="OF8" s="44" t="s">
        <v>4</v>
      </c>
      <c r="OG8" s="40">
        <v>0</v>
      </c>
      <c r="OH8" s="27"/>
      <c r="OI8" s="42">
        <f t="shared" si="111"/>
        <v>0</v>
      </c>
      <c r="OJ8" s="43">
        <f t="shared" si="112"/>
        <v>2</v>
      </c>
      <c r="OL8" s="38">
        <v>1</v>
      </c>
      <c r="OM8" s="44" t="s">
        <v>4</v>
      </c>
      <c r="ON8" s="40">
        <v>1</v>
      </c>
      <c r="OO8" s="27"/>
      <c r="OP8" s="42">
        <f t="shared" si="113"/>
        <v>1.7999999999999998</v>
      </c>
      <c r="OQ8" s="43">
        <f t="shared" si="114"/>
        <v>0</v>
      </c>
      <c r="OS8" s="38">
        <v>3</v>
      </c>
      <c r="OT8" s="44" t="s">
        <v>4</v>
      </c>
      <c r="OU8" s="40">
        <v>1</v>
      </c>
      <c r="OV8" s="27"/>
      <c r="OW8" s="42">
        <f t="shared" si="115"/>
        <v>0</v>
      </c>
      <c r="OX8" s="43">
        <f t="shared" si="116"/>
        <v>2</v>
      </c>
      <c r="OZ8" s="38">
        <v>1</v>
      </c>
      <c r="PA8" s="44" t="s">
        <v>4</v>
      </c>
      <c r="PB8" s="40">
        <v>1</v>
      </c>
      <c r="PC8" s="27"/>
      <c r="PD8" s="42">
        <f t="shared" si="117"/>
        <v>1.7999999999999998</v>
      </c>
      <c r="PE8" s="43">
        <f t="shared" si="118"/>
        <v>0</v>
      </c>
      <c r="PG8" s="38">
        <v>0</v>
      </c>
      <c r="PH8" s="44" t="s">
        <v>4</v>
      </c>
      <c r="PI8" s="40">
        <v>1</v>
      </c>
      <c r="PJ8" s="27"/>
      <c r="PK8" s="42">
        <f t="shared" si="119"/>
        <v>0</v>
      </c>
      <c r="PL8" s="43">
        <f t="shared" si="120"/>
        <v>-1</v>
      </c>
      <c r="PN8" s="38">
        <v>2</v>
      </c>
      <c r="PO8" s="44" t="s">
        <v>4</v>
      </c>
      <c r="PP8" s="40">
        <v>1</v>
      </c>
      <c r="PQ8" s="27"/>
      <c r="PR8" s="42">
        <f t="shared" si="121"/>
        <v>0</v>
      </c>
      <c r="PS8" s="43">
        <f t="shared" si="122"/>
        <v>1</v>
      </c>
      <c r="PU8" s="38">
        <v>1</v>
      </c>
      <c r="PV8" s="44" t="s">
        <v>4</v>
      </c>
      <c r="PW8" s="40">
        <v>2</v>
      </c>
      <c r="PX8" s="27"/>
      <c r="PY8" s="42">
        <f t="shared" si="123"/>
        <v>0</v>
      </c>
      <c r="PZ8" s="43">
        <f t="shared" si="124"/>
        <v>-1</v>
      </c>
      <c r="QB8" s="38">
        <v>1</v>
      </c>
      <c r="QC8" s="44" t="s">
        <v>4</v>
      </c>
      <c r="QD8" s="40">
        <v>0</v>
      </c>
      <c r="QE8" s="27"/>
      <c r="QF8" s="42">
        <f t="shared" si="125"/>
        <v>0</v>
      </c>
      <c r="QG8" s="43">
        <f t="shared" si="126"/>
        <v>1</v>
      </c>
      <c r="QI8" s="38">
        <v>0</v>
      </c>
      <c r="QJ8" s="44" t="s">
        <v>4</v>
      </c>
      <c r="QK8" s="40">
        <v>1</v>
      </c>
      <c r="QL8" s="27"/>
      <c r="QM8" s="42">
        <f t="shared" si="127"/>
        <v>0</v>
      </c>
      <c r="QN8" s="43">
        <f t="shared" si="128"/>
        <v>-1</v>
      </c>
      <c r="QP8" s="38">
        <v>1</v>
      </c>
      <c r="QQ8" s="44" t="s">
        <v>4</v>
      </c>
      <c r="QR8" s="40">
        <v>2</v>
      </c>
      <c r="QS8" s="27"/>
      <c r="QT8" s="42">
        <f t="shared" si="129"/>
        <v>0</v>
      </c>
      <c r="QU8" s="43">
        <f t="shared" si="130"/>
        <v>-1</v>
      </c>
      <c r="QW8" s="38">
        <v>1</v>
      </c>
      <c r="QX8" s="44" t="s">
        <v>4</v>
      </c>
      <c r="QY8" s="40">
        <v>0</v>
      </c>
      <c r="QZ8" s="27"/>
      <c r="RA8" s="42">
        <f t="shared" si="131"/>
        <v>0</v>
      </c>
      <c r="RB8" s="43">
        <f t="shared" si="132"/>
        <v>1</v>
      </c>
      <c r="RD8" s="38">
        <v>3</v>
      </c>
      <c r="RE8" s="44" t="s">
        <v>4</v>
      </c>
      <c r="RF8" s="40">
        <v>1</v>
      </c>
      <c r="RG8" s="27"/>
      <c r="RH8" s="42">
        <f t="shared" si="133"/>
        <v>0</v>
      </c>
      <c r="RI8" s="43">
        <f t="shared" si="134"/>
        <v>2</v>
      </c>
      <c r="RK8" s="38">
        <v>2</v>
      </c>
      <c r="RL8" s="44" t="s">
        <v>4</v>
      </c>
      <c r="RM8" s="40">
        <v>1</v>
      </c>
      <c r="RN8" s="27"/>
      <c r="RO8" s="42">
        <f t="shared" si="135"/>
        <v>0</v>
      </c>
      <c r="RP8" s="43">
        <f t="shared" si="136"/>
        <v>1</v>
      </c>
      <c r="RR8" s="38">
        <v>2</v>
      </c>
      <c r="RS8" s="44" t="s">
        <v>4</v>
      </c>
      <c r="RT8" s="40">
        <v>0</v>
      </c>
      <c r="RU8" s="27"/>
      <c r="RV8" s="42">
        <f t="shared" si="137"/>
        <v>0</v>
      </c>
      <c r="RW8" s="43">
        <f t="shared" si="138"/>
        <v>2</v>
      </c>
      <c r="RY8" s="38">
        <v>2</v>
      </c>
      <c r="RZ8" s="44" t="s">
        <v>4</v>
      </c>
      <c r="SA8" s="40">
        <v>0</v>
      </c>
      <c r="SB8" s="27"/>
      <c r="SC8" s="42">
        <f t="shared" si="139"/>
        <v>0</v>
      </c>
      <c r="SD8" s="43">
        <f t="shared" si="140"/>
        <v>2</v>
      </c>
      <c r="SF8" s="38">
        <v>2</v>
      </c>
      <c r="SG8" s="44" t="s">
        <v>4</v>
      </c>
      <c r="SH8" s="40">
        <v>0</v>
      </c>
      <c r="SI8" s="27"/>
      <c r="SJ8" s="42">
        <f t="shared" si="141"/>
        <v>0</v>
      </c>
      <c r="SK8" s="43">
        <f t="shared" si="142"/>
        <v>2</v>
      </c>
      <c r="SM8" s="38">
        <v>2</v>
      </c>
      <c r="SN8" s="44" t="s">
        <v>4</v>
      </c>
      <c r="SO8" s="40">
        <v>3</v>
      </c>
      <c r="SP8" s="27"/>
      <c r="SQ8" s="42">
        <f t="shared" si="143"/>
        <v>0</v>
      </c>
      <c r="SR8" s="43">
        <f t="shared" si="144"/>
        <v>-1</v>
      </c>
    </row>
    <row r="9" spans="1:512" customFormat="1" ht="16" customHeight="1" x14ac:dyDescent="0.2">
      <c r="A9" s="34">
        <v>46186</v>
      </c>
      <c r="B9" s="35">
        <v>0.125</v>
      </c>
      <c r="C9" s="79" t="s">
        <v>32</v>
      </c>
      <c r="D9" s="80" t="s">
        <v>33</v>
      </c>
      <c r="E9" s="3">
        <v>4</v>
      </c>
      <c r="F9" s="37" t="s">
        <v>4</v>
      </c>
      <c r="G9" s="4">
        <v>1</v>
      </c>
      <c r="H9" s="45">
        <v>0.2</v>
      </c>
      <c r="I9" s="32">
        <f t="shared" si="0"/>
        <v>3</v>
      </c>
      <c r="J9" s="38">
        <v>2</v>
      </c>
      <c r="K9" s="44" t="s">
        <v>4</v>
      </c>
      <c r="L9" s="40">
        <v>0</v>
      </c>
      <c r="M9" s="27"/>
      <c r="N9" s="42">
        <f t="shared" si="1"/>
        <v>0.2</v>
      </c>
      <c r="O9" s="43">
        <f t="shared" si="2"/>
        <v>2</v>
      </c>
      <c r="P9" s="32"/>
      <c r="Q9" s="38">
        <v>0</v>
      </c>
      <c r="R9" s="44" t="s">
        <v>4</v>
      </c>
      <c r="S9" s="40">
        <v>10</v>
      </c>
      <c r="T9" s="27"/>
      <c r="U9" s="42">
        <f t="shared" si="3"/>
        <v>0</v>
      </c>
      <c r="V9" s="43">
        <f t="shared" si="4"/>
        <v>-10</v>
      </c>
      <c r="X9" s="38">
        <v>1</v>
      </c>
      <c r="Y9" s="44" t="s">
        <v>4</v>
      </c>
      <c r="Z9" s="40">
        <v>0</v>
      </c>
      <c r="AA9" s="27"/>
      <c r="AB9" s="42">
        <f t="shared" si="5"/>
        <v>0.2</v>
      </c>
      <c r="AC9" s="43">
        <f t="shared" si="6"/>
        <v>1</v>
      </c>
      <c r="AE9" s="38">
        <v>0</v>
      </c>
      <c r="AF9" s="44" t="s">
        <v>4</v>
      </c>
      <c r="AG9" s="40">
        <v>1</v>
      </c>
      <c r="AH9" s="27"/>
      <c r="AI9" s="42">
        <f t="shared" si="7"/>
        <v>0</v>
      </c>
      <c r="AJ9" s="43">
        <f t="shared" si="8"/>
        <v>-1</v>
      </c>
      <c r="AL9" s="38">
        <v>2</v>
      </c>
      <c r="AM9" s="44" t="s">
        <v>4</v>
      </c>
      <c r="AN9" s="40">
        <v>0</v>
      </c>
      <c r="AO9" s="27"/>
      <c r="AP9" s="42">
        <f t="shared" si="9"/>
        <v>0.2</v>
      </c>
      <c r="AQ9" s="43">
        <f t="shared" si="10"/>
        <v>2</v>
      </c>
      <c r="AS9" s="38">
        <v>0</v>
      </c>
      <c r="AT9" s="44" t="s">
        <v>4</v>
      </c>
      <c r="AU9" s="40">
        <v>1</v>
      </c>
      <c r="AV9" s="27"/>
      <c r="AW9" s="42">
        <f t="shared" si="11"/>
        <v>0</v>
      </c>
      <c r="AX9" s="43">
        <f t="shared" si="12"/>
        <v>-1</v>
      </c>
      <c r="AZ9" s="86">
        <v>0</v>
      </c>
      <c r="BA9" s="44" t="s">
        <v>4</v>
      </c>
      <c r="BB9" s="40">
        <v>4</v>
      </c>
      <c r="BC9" s="27"/>
      <c r="BD9" s="42">
        <f t="shared" si="13"/>
        <v>0</v>
      </c>
      <c r="BE9" s="43">
        <f t="shared" si="14"/>
        <v>-4</v>
      </c>
      <c r="BG9" s="38">
        <v>0</v>
      </c>
      <c r="BH9" s="44" t="s">
        <v>4</v>
      </c>
      <c r="BI9" s="40">
        <v>1</v>
      </c>
      <c r="BJ9" s="27"/>
      <c r="BK9" s="42">
        <f t="shared" si="15"/>
        <v>0</v>
      </c>
      <c r="BL9" s="43">
        <f t="shared" si="16"/>
        <v>-1</v>
      </c>
      <c r="BN9" s="38">
        <v>0</v>
      </c>
      <c r="BO9" s="44" t="s">
        <v>4</v>
      </c>
      <c r="BP9" s="40">
        <v>1</v>
      </c>
      <c r="BQ9" s="27"/>
      <c r="BR9" s="42">
        <f t="shared" si="17"/>
        <v>0</v>
      </c>
      <c r="BS9" s="43">
        <f t="shared" si="18"/>
        <v>-1</v>
      </c>
      <c r="BU9" s="38">
        <v>2</v>
      </c>
      <c r="BV9" s="44" t="s">
        <v>4</v>
      </c>
      <c r="BW9" s="40">
        <v>1</v>
      </c>
      <c r="BX9" s="27"/>
      <c r="BY9" s="42">
        <f t="shared" si="19"/>
        <v>0.2</v>
      </c>
      <c r="BZ9" s="43">
        <f t="shared" si="20"/>
        <v>1</v>
      </c>
      <c r="CB9" s="38">
        <v>3</v>
      </c>
      <c r="CC9" s="44" t="s">
        <v>4</v>
      </c>
      <c r="CD9" s="40">
        <v>2</v>
      </c>
      <c r="CE9" s="27"/>
      <c r="CF9" s="42">
        <f t="shared" si="21"/>
        <v>0.2</v>
      </c>
      <c r="CG9" s="43">
        <f t="shared" si="22"/>
        <v>1</v>
      </c>
      <c r="CI9" s="38">
        <v>1</v>
      </c>
      <c r="CJ9" s="44" t="s">
        <v>4</v>
      </c>
      <c r="CK9" s="40">
        <v>0</v>
      </c>
      <c r="CL9" s="27"/>
      <c r="CM9" s="42">
        <f t="shared" si="23"/>
        <v>0.2</v>
      </c>
      <c r="CN9" s="43">
        <f t="shared" si="24"/>
        <v>1</v>
      </c>
      <c r="CP9" s="38">
        <v>2</v>
      </c>
      <c r="CQ9" s="44" t="s">
        <v>4</v>
      </c>
      <c r="CR9" s="40">
        <v>0</v>
      </c>
      <c r="CS9" s="27"/>
      <c r="CT9" s="42">
        <f t="shared" si="25"/>
        <v>0.2</v>
      </c>
      <c r="CU9" s="43">
        <f t="shared" si="26"/>
        <v>2</v>
      </c>
      <c r="CW9" s="38">
        <v>1</v>
      </c>
      <c r="CX9" s="44" t="s">
        <v>4</v>
      </c>
      <c r="CY9" s="40">
        <v>1</v>
      </c>
      <c r="CZ9" s="27"/>
      <c r="DA9" s="42">
        <f t="shared" si="27"/>
        <v>0</v>
      </c>
      <c r="DB9" s="43">
        <f t="shared" si="28"/>
        <v>0</v>
      </c>
      <c r="DD9" s="38">
        <v>0</v>
      </c>
      <c r="DE9" s="44" t="s">
        <v>4</v>
      </c>
      <c r="DF9" s="40">
        <v>0</v>
      </c>
      <c r="DG9" s="27"/>
      <c r="DH9" s="42">
        <f t="shared" si="29"/>
        <v>0</v>
      </c>
      <c r="DI9" s="43">
        <f t="shared" si="30"/>
        <v>0</v>
      </c>
      <c r="DK9" s="38">
        <v>0</v>
      </c>
      <c r="DL9" s="44" t="s">
        <v>4</v>
      </c>
      <c r="DM9" s="40">
        <v>1</v>
      </c>
      <c r="DN9" s="27"/>
      <c r="DO9" s="42">
        <f t="shared" si="31"/>
        <v>0</v>
      </c>
      <c r="DP9" s="43">
        <f t="shared" si="32"/>
        <v>-1</v>
      </c>
      <c r="DR9" s="38">
        <v>2</v>
      </c>
      <c r="DS9" s="44" t="s">
        <v>4</v>
      </c>
      <c r="DT9" s="40">
        <v>0</v>
      </c>
      <c r="DU9" s="27"/>
      <c r="DV9" s="42">
        <f t="shared" si="33"/>
        <v>0.2</v>
      </c>
      <c r="DW9" s="43">
        <f t="shared" si="34"/>
        <v>2</v>
      </c>
      <c r="DY9" s="38">
        <v>0</v>
      </c>
      <c r="DZ9" s="44" t="s">
        <v>4</v>
      </c>
      <c r="EA9" s="40">
        <v>1</v>
      </c>
      <c r="EB9" s="27"/>
      <c r="EC9" s="42">
        <f t="shared" si="35"/>
        <v>0</v>
      </c>
      <c r="ED9" s="43">
        <f t="shared" si="36"/>
        <v>-1</v>
      </c>
      <c r="EF9" s="38">
        <v>1</v>
      </c>
      <c r="EG9" s="44" t="s">
        <v>4</v>
      </c>
      <c r="EH9" s="40">
        <v>2</v>
      </c>
      <c r="EI9" s="27"/>
      <c r="EJ9" s="42">
        <f t="shared" si="37"/>
        <v>0</v>
      </c>
      <c r="EK9" s="43">
        <f t="shared" si="38"/>
        <v>-1</v>
      </c>
      <c r="EM9" s="38">
        <v>3</v>
      </c>
      <c r="EN9" s="44" t="s">
        <v>4</v>
      </c>
      <c r="EO9" s="40">
        <v>2</v>
      </c>
      <c r="EP9" s="27"/>
      <c r="EQ9" s="42">
        <f t="shared" si="39"/>
        <v>0.2</v>
      </c>
      <c r="ER9" s="43">
        <f t="shared" si="40"/>
        <v>1</v>
      </c>
      <c r="ET9" s="38">
        <v>0</v>
      </c>
      <c r="EU9" s="44" t="s">
        <v>4</v>
      </c>
      <c r="EV9" s="40">
        <v>3</v>
      </c>
      <c r="EW9" s="27"/>
      <c r="EX9" s="42">
        <f t="shared" si="41"/>
        <v>0</v>
      </c>
      <c r="EY9" s="43">
        <f t="shared" si="42"/>
        <v>-3</v>
      </c>
      <c r="FA9" s="38">
        <v>2</v>
      </c>
      <c r="FB9" s="44" t="s">
        <v>4</v>
      </c>
      <c r="FC9" s="40">
        <v>1</v>
      </c>
      <c r="FD9" s="27"/>
      <c r="FE9" s="42">
        <f t="shared" si="43"/>
        <v>0.2</v>
      </c>
      <c r="FF9" s="43">
        <f t="shared" si="44"/>
        <v>1</v>
      </c>
      <c r="FH9" s="38">
        <v>1</v>
      </c>
      <c r="FI9" s="44" t="s">
        <v>4</v>
      </c>
      <c r="FJ9" s="40">
        <v>1</v>
      </c>
      <c r="FK9" s="27"/>
      <c r="FL9" s="42">
        <f t="shared" si="45"/>
        <v>0</v>
      </c>
      <c r="FM9" s="43">
        <f t="shared" si="46"/>
        <v>0</v>
      </c>
      <c r="FO9" s="38">
        <v>2</v>
      </c>
      <c r="FP9" s="44" t="s">
        <v>4</v>
      </c>
      <c r="FQ9" s="40">
        <v>0</v>
      </c>
      <c r="FR9" s="27"/>
      <c r="FS9" s="42">
        <f t="shared" si="47"/>
        <v>0.2</v>
      </c>
      <c r="FT9" s="43">
        <f t="shared" si="48"/>
        <v>2</v>
      </c>
      <c r="FV9" s="38">
        <v>1</v>
      </c>
      <c r="FW9" s="44" t="s">
        <v>4</v>
      </c>
      <c r="FX9" s="40">
        <v>0</v>
      </c>
      <c r="FY9" s="27"/>
      <c r="FZ9" s="42">
        <f t="shared" si="49"/>
        <v>0.2</v>
      </c>
      <c r="GA9" s="43">
        <f t="shared" si="50"/>
        <v>1</v>
      </c>
      <c r="GC9" s="38">
        <v>0</v>
      </c>
      <c r="GD9" s="44" t="s">
        <v>4</v>
      </c>
      <c r="GE9" s="40">
        <v>1</v>
      </c>
      <c r="GF9" s="27"/>
      <c r="GG9" s="42">
        <f t="shared" si="51"/>
        <v>0</v>
      </c>
      <c r="GH9" s="43">
        <f t="shared" si="52"/>
        <v>-1</v>
      </c>
      <c r="GJ9" s="38">
        <v>2</v>
      </c>
      <c r="GK9" s="44" t="s">
        <v>4</v>
      </c>
      <c r="GL9" s="40">
        <v>1</v>
      </c>
      <c r="GM9" s="27"/>
      <c r="GN9" s="42">
        <f t="shared" si="53"/>
        <v>0.2</v>
      </c>
      <c r="GO9" s="43">
        <f t="shared" si="54"/>
        <v>1</v>
      </c>
      <c r="GQ9" s="38">
        <v>2</v>
      </c>
      <c r="GR9" s="44" t="s">
        <v>4</v>
      </c>
      <c r="GS9" s="40">
        <v>1</v>
      </c>
      <c r="GT9" s="27"/>
      <c r="GU9" s="42">
        <f t="shared" si="55"/>
        <v>0.2</v>
      </c>
      <c r="GV9" s="43">
        <f t="shared" si="56"/>
        <v>1</v>
      </c>
      <c r="GX9" s="38">
        <v>1</v>
      </c>
      <c r="GY9" s="44" t="s">
        <v>4</v>
      </c>
      <c r="GZ9" s="40">
        <v>0</v>
      </c>
      <c r="HA9" s="27"/>
      <c r="HB9" s="42">
        <f t="shared" si="57"/>
        <v>0.2</v>
      </c>
      <c r="HC9" s="43">
        <f t="shared" si="58"/>
        <v>1</v>
      </c>
      <c r="HE9" s="38">
        <v>2</v>
      </c>
      <c r="HF9" s="44" t="s">
        <v>4</v>
      </c>
      <c r="HG9" s="40">
        <v>0</v>
      </c>
      <c r="HH9" s="27"/>
      <c r="HI9" s="42">
        <f t="shared" si="59"/>
        <v>0.2</v>
      </c>
      <c r="HJ9" s="43">
        <f t="shared" si="60"/>
        <v>2</v>
      </c>
      <c r="HL9" s="38">
        <v>0</v>
      </c>
      <c r="HM9" s="44" t="s">
        <v>4</v>
      </c>
      <c r="HN9" s="40">
        <v>1</v>
      </c>
      <c r="HO9" s="27"/>
      <c r="HP9" s="42">
        <f t="shared" si="61"/>
        <v>0</v>
      </c>
      <c r="HQ9" s="43">
        <f t="shared" si="62"/>
        <v>-1</v>
      </c>
      <c r="HS9" s="38">
        <v>1</v>
      </c>
      <c r="HT9" s="44" t="s">
        <v>4</v>
      </c>
      <c r="HU9" s="40">
        <v>1</v>
      </c>
      <c r="HV9" s="27"/>
      <c r="HW9" s="42">
        <f t="shared" si="63"/>
        <v>0</v>
      </c>
      <c r="HX9" s="43">
        <f t="shared" si="64"/>
        <v>0</v>
      </c>
      <c r="HZ9" s="38">
        <v>2</v>
      </c>
      <c r="IA9" s="44" t="s">
        <v>4</v>
      </c>
      <c r="IB9" s="40">
        <v>2</v>
      </c>
      <c r="IC9" s="27"/>
      <c r="ID9" s="42">
        <f t="shared" si="65"/>
        <v>0</v>
      </c>
      <c r="IE9" s="43">
        <f t="shared" si="66"/>
        <v>0</v>
      </c>
      <c r="IG9" s="38">
        <v>1</v>
      </c>
      <c r="IH9" s="44" t="s">
        <v>4</v>
      </c>
      <c r="II9" s="40">
        <v>0</v>
      </c>
      <c r="IJ9" s="27"/>
      <c r="IK9" s="42">
        <f t="shared" si="67"/>
        <v>0.2</v>
      </c>
      <c r="IL9" s="43">
        <f t="shared" si="68"/>
        <v>1</v>
      </c>
      <c r="IN9" s="38">
        <v>1</v>
      </c>
      <c r="IO9" s="44" t="s">
        <v>4</v>
      </c>
      <c r="IP9" s="40">
        <v>0</v>
      </c>
      <c r="IQ9" s="27"/>
      <c r="IR9" s="42">
        <f t="shared" si="69"/>
        <v>0.2</v>
      </c>
      <c r="IS9" s="43">
        <f t="shared" si="70"/>
        <v>1</v>
      </c>
      <c r="IU9" s="38">
        <v>0</v>
      </c>
      <c r="IV9" s="44" t="s">
        <v>4</v>
      </c>
      <c r="IW9" s="40">
        <v>2</v>
      </c>
      <c r="IX9" s="27"/>
      <c r="IY9" s="42">
        <f t="shared" si="71"/>
        <v>0</v>
      </c>
      <c r="IZ9" s="43">
        <f t="shared" si="72"/>
        <v>-2</v>
      </c>
      <c r="JB9" s="38">
        <v>1</v>
      </c>
      <c r="JC9" s="44" t="s">
        <v>4</v>
      </c>
      <c r="JD9" s="40">
        <v>1</v>
      </c>
      <c r="JE9" s="27"/>
      <c r="JF9" s="42">
        <f t="shared" si="73"/>
        <v>0</v>
      </c>
      <c r="JG9" s="43">
        <f t="shared" si="74"/>
        <v>0</v>
      </c>
      <c r="JI9" s="38">
        <v>0</v>
      </c>
      <c r="JJ9" s="44" t="s">
        <v>4</v>
      </c>
      <c r="JK9" s="40">
        <v>3</v>
      </c>
      <c r="JL9" s="27"/>
      <c r="JM9" s="42">
        <f t="shared" si="75"/>
        <v>0</v>
      </c>
      <c r="JN9" s="43">
        <f t="shared" si="76"/>
        <v>-3</v>
      </c>
      <c r="JP9" s="38">
        <v>3</v>
      </c>
      <c r="JQ9" s="44" t="s">
        <v>4</v>
      </c>
      <c r="JR9" s="40">
        <v>1</v>
      </c>
      <c r="JS9" s="27"/>
      <c r="JT9" s="42">
        <f t="shared" si="77"/>
        <v>0.2</v>
      </c>
      <c r="JU9" s="43">
        <f t="shared" si="78"/>
        <v>2</v>
      </c>
      <c r="JW9" s="38">
        <v>2</v>
      </c>
      <c r="JX9" s="44" t="s">
        <v>4</v>
      </c>
      <c r="JY9" s="40">
        <v>0</v>
      </c>
      <c r="JZ9" s="27"/>
      <c r="KA9" s="42">
        <f t="shared" si="79"/>
        <v>0.2</v>
      </c>
      <c r="KB9" s="43">
        <f t="shared" si="80"/>
        <v>2</v>
      </c>
      <c r="KD9" s="38">
        <v>2</v>
      </c>
      <c r="KE9" s="44" t="s">
        <v>4</v>
      </c>
      <c r="KF9" s="40">
        <v>0</v>
      </c>
      <c r="KG9" s="27"/>
      <c r="KH9" s="42">
        <f t="shared" si="81"/>
        <v>0.2</v>
      </c>
      <c r="KI9" s="43">
        <f t="shared" si="82"/>
        <v>2</v>
      </c>
      <c r="KK9" s="38">
        <v>0</v>
      </c>
      <c r="KL9" s="44" t="s">
        <v>4</v>
      </c>
      <c r="KM9" s="40">
        <v>1</v>
      </c>
      <c r="KN9" s="27"/>
      <c r="KO9" s="42">
        <f t="shared" si="83"/>
        <v>0</v>
      </c>
      <c r="KP9" s="43">
        <f t="shared" si="84"/>
        <v>-1</v>
      </c>
      <c r="KR9" s="38">
        <v>0</v>
      </c>
      <c r="KS9" s="44" t="s">
        <v>4</v>
      </c>
      <c r="KT9" s="40">
        <v>1</v>
      </c>
      <c r="KU9" s="27"/>
      <c r="KV9" s="42">
        <f t="shared" si="85"/>
        <v>0</v>
      </c>
      <c r="KW9" s="43">
        <f t="shared" si="86"/>
        <v>-1</v>
      </c>
      <c r="KY9" s="38">
        <v>1</v>
      </c>
      <c r="KZ9" s="44" t="s">
        <v>4</v>
      </c>
      <c r="LA9" s="40">
        <v>2</v>
      </c>
      <c r="LB9" s="27"/>
      <c r="LC9" s="42">
        <f t="shared" si="87"/>
        <v>0</v>
      </c>
      <c r="LD9" s="43">
        <f t="shared" si="88"/>
        <v>-1</v>
      </c>
      <c r="LF9" s="38">
        <v>1</v>
      </c>
      <c r="LG9" s="44" t="s">
        <v>4</v>
      </c>
      <c r="LH9" s="40">
        <v>1</v>
      </c>
      <c r="LI9" s="27"/>
      <c r="LJ9" s="42">
        <f t="shared" si="89"/>
        <v>0</v>
      </c>
      <c r="LK9" s="43">
        <f t="shared" si="90"/>
        <v>0</v>
      </c>
      <c r="LM9" s="38">
        <v>2</v>
      </c>
      <c r="LN9" s="44" t="s">
        <v>4</v>
      </c>
      <c r="LO9" s="40">
        <v>2</v>
      </c>
      <c r="LP9" s="27"/>
      <c r="LQ9" s="42">
        <f t="shared" si="91"/>
        <v>0</v>
      </c>
      <c r="LR9" s="43">
        <f t="shared" si="92"/>
        <v>0</v>
      </c>
      <c r="LT9" s="38">
        <v>2</v>
      </c>
      <c r="LU9" s="44" t="s">
        <v>4</v>
      </c>
      <c r="LV9" s="40">
        <v>0</v>
      </c>
      <c r="LW9" s="27"/>
      <c r="LX9" s="42">
        <f t="shared" si="93"/>
        <v>0.2</v>
      </c>
      <c r="LY9" s="43">
        <f t="shared" si="94"/>
        <v>2</v>
      </c>
      <c r="MA9" s="38">
        <v>2</v>
      </c>
      <c r="MB9" s="44" t="s">
        <v>4</v>
      </c>
      <c r="MC9" s="40">
        <v>0</v>
      </c>
      <c r="MD9" s="27"/>
      <c r="ME9" s="42">
        <f t="shared" si="95"/>
        <v>0.2</v>
      </c>
      <c r="MF9" s="43">
        <f t="shared" si="96"/>
        <v>2</v>
      </c>
      <c r="MH9" s="38">
        <v>2</v>
      </c>
      <c r="MI9" s="44" t="s">
        <v>4</v>
      </c>
      <c r="MJ9" s="40">
        <v>1</v>
      </c>
      <c r="MK9" s="27"/>
      <c r="ML9" s="42">
        <f t="shared" si="97"/>
        <v>0.2</v>
      </c>
      <c r="MM9" s="43">
        <f t="shared" si="98"/>
        <v>1</v>
      </c>
      <c r="MO9" s="38">
        <v>2</v>
      </c>
      <c r="MP9" s="44" t="s">
        <v>4</v>
      </c>
      <c r="MQ9" s="40">
        <v>1</v>
      </c>
      <c r="MR9" s="27"/>
      <c r="MS9" s="42">
        <f t="shared" si="99"/>
        <v>0.2</v>
      </c>
      <c r="MT9" s="43">
        <f t="shared" si="100"/>
        <v>1</v>
      </c>
      <c r="MV9" s="38">
        <v>1</v>
      </c>
      <c r="MW9" s="44" t="s">
        <v>4</v>
      </c>
      <c r="MX9" s="40">
        <v>2</v>
      </c>
      <c r="MY9" s="27"/>
      <c r="MZ9" s="42">
        <f t="shared" si="101"/>
        <v>0</v>
      </c>
      <c r="NA9" s="43">
        <f t="shared" si="102"/>
        <v>-1</v>
      </c>
      <c r="NC9" s="38">
        <v>0</v>
      </c>
      <c r="ND9" s="44" t="s">
        <v>4</v>
      </c>
      <c r="NE9" s="40">
        <v>5</v>
      </c>
      <c r="NF9" s="27"/>
      <c r="NG9" s="42">
        <f t="shared" si="103"/>
        <v>0</v>
      </c>
      <c r="NH9" s="43">
        <f t="shared" si="104"/>
        <v>-5</v>
      </c>
      <c r="NJ9" s="38">
        <v>3</v>
      </c>
      <c r="NK9" s="44" t="s">
        <v>4</v>
      </c>
      <c r="NL9" s="40">
        <v>1</v>
      </c>
      <c r="NM9" s="27"/>
      <c r="NN9" s="42">
        <f t="shared" si="105"/>
        <v>0.2</v>
      </c>
      <c r="NO9" s="43">
        <f t="shared" si="106"/>
        <v>2</v>
      </c>
      <c r="NQ9" s="38">
        <v>2</v>
      </c>
      <c r="NR9" s="44" t="s">
        <v>4</v>
      </c>
      <c r="NS9" s="40">
        <v>1</v>
      </c>
      <c r="NT9" s="27"/>
      <c r="NU9" s="42">
        <f t="shared" si="107"/>
        <v>0.2</v>
      </c>
      <c r="NV9" s="43">
        <f t="shared" si="108"/>
        <v>1</v>
      </c>
      <c r="NX9" s="38">
        <v>2</v>
      </c>
      <c r="NY9" s="44" t="s">
        <v>4</v>
      </c>
      <c r="NZ9" s="40">
        <v>1</v>
      </c>
      <c r="OA9" s="27"/>
      <c r="OB9" s="42">
        <f t="shared" si="109"/>
        <v>0.2</v>
      </c>
      <c r="OC9" s="43">
        <f t="shared" si="110"/>
        <v>1</v>
      </c>
      <c r="OE9" s="38">
        <v>1</v>
      </c>
      <c r="OF9" s="44" t="s">
        <v>4</v>
      </c>
      <c r="OG9" s="40">
        <v>2</v>
      </c>
      <c r="OH9" s="27"/>
      <c r="OI9" s="42">
        <f t="shared" si="111"/>
        <v>0</v>
      </c>
      <c r="OJ9" s="43">
        <f t="shared" si="112"/>
        <v>-1</v>
      </c>
      <c r="OL9" s="38">
        <v>3</v>
      </c>
      <c r="OM9" s="44" t="s">
        <v>4</v>
      </c>
      <c r="ON9" s="40">
        <v>1</v>
      </c>
      <c r="OO9" s="27"/>
      <c r="OP9" s="42">
        <f t="shared" si="113"/>
        <v>0.2</v>
      </c>
      <c r="OQ9" s="43">
        <f t="shared" si="114"/>
        <v>2</v>
      </c>
      <c r="OS9" s="38">
        <v>2</v>
      </c>
      <c r="OT9" s="44" t="s">
        <v>4</v>
      </c>
      <c r="OU9" s="40">
        <v>1</v>
      </c>
      <c r="OV9" s="27"/>
      <c r="OW9" s="42">
        <f t="shared" si="115"/>
        <v>0.2</v>
      </c>
      <c r="OX9" s="43">
        <f t="shared" si="116"/>
        <v>1</v>
      </c>
      <c r="OZ9" s="38">
        <v>1</v>
      </c>
      <c r="PA9" s="44" t="s">
        <v>4</v>
      </c>
      <c r="PB9" s="40">
        <v>1</v>
      </c>
      <c r="PC9" s="27"/>
      <c r="PD9" s="42">
        <f t="shared" si="117"/>
        <v>0</v>
      </c>
      <c r="PE9" s="43">
        <f t="shared" si="118"/>
        <v>0</v>
      </c>
      <c r="PG9" s="38">
        <v>1</v>
      </c>
      <c r="PH9" s="44" t="s">
        <v>4</v>
      </c>
      <c r="PI9" s="40">
        <v>1</v>
      </c>
      <c r="PJ9" s="27"/>
      <c r="PK9" s="42">
        <f t="shared" si="119"/>
        <v>0</v>
      </c>
      <c r="PL9" s="43">
        <f t="shared" si="120"/>
        <v>0</v>
      </c>
      <c r="PN9" s="38">
        <v>2</v>
      </c>
      <c r="PO9" s="44" t="s">
        <v>4</v>
      </c>
      <c r="PP9" s="40">
        <v>1</v>
      </c>
      <c r="PQ9" s="27"/>
      <c r="PR9" s="42">
        <f t="shared" si="121"/>
        <v>0.2</v>
      </c>
      <c r="PS9" s="43">
        <f t="shared" si="122"/>
        <v>1</v>
      </c>
      <c r="PU9" s="38">
        <v>1</v>
      </c>
      <c r="PV9" s="44" t="s">
        <v>4</v>
      </c>
      <c r="PW9" s="40">
        <v>2</v>
      </c>
      <c r="PX9" s="27"/>
      <c r="PY9" s="42">
        <f t="shared" si="123"/>
        <v>0</v>
      </c>
      <c r="PZ9" s="43">
        <f t="shared" si="124"/>
        <v>-1</v>
      </c>
      <c r="QB9" s="38">
        <v>3</v>
      </c>
      <c r="QC9" s="44" t="s">
        <v>4</v>
      </c>
      <c r="QD9" s="40">
        <v>1</v>
      </c>
      <c r="QE9" s="27"/>
      <c r="QF9" s="42">
        <f t="shared" si="125"/>
        <v>0.2</v>
      </c>
      <c r="QG9" s="43">
        <f t="shared" si="126"/>
        <v>2</v>
      </c>
      <c r="QI9" s="38">
        <v>0</v>
      </c>
      <c r="QJ9" s="44" t="s">
        <v>4</v>
      </c>
      <c r="QK9" s="40">
        <v>1</v>
      </c>
      <c r="QL9" s="27"/>
      <c r="QM9" s="42">
        <f t="shared" si="127"/>
        <v>0</v>
      </c>
      <c r="QN9" s="43">
        <f t="shared" si="128"/>
        <v>-1</v>
      </c>
      <c r="QP9" s="38">
        <v>1</v>
      </c>
      <c r="QQ9" s="44" t="s">
        <v>4</v>
      </c>
      <c r="QR9" s="40">
        <v>3</v>
      </c>
      <c r="QS9" s="27"/>
      <c r="QT9" s="42">
        <f t="shared" si="129"/>
        <v>0</v>
      </c>
      <c r="QU9" s="43">
        <f t="shared" si="130"/>
        <v>-2</v>
      </c>
      <c r="QW9" s="38">
        <v>2</v>
      </c>
      <c r="QX9" s="44" t="s">
        <v>4</v>
      </c>
      <c r="QY9" s="40">
        <v>1</v>
      </c>
      <c r="QZ9" s="27"/>
      <c r="RA9" s="42">
        <f t="shared" si="131"/>
        <v>0.2</v>
      </c>
      <c r="RB9" s="43">
        <f t="shared" si="132"/>
        <v>1</v>
      </c>
      <c r="RD9" s="38">
        <v>1</v>
      </c>
      <c r="RE9" s="44" t="s">
        <v>4</v>
      </c>
      <c r="RF9" s="40">
        <v>1</v>
      </c>
      <c r="RG9" s="27"/>
      <c r="RH9" s="42">
        <f t="shared" si="133"/>
        <v>0</v>
      </c>
      <c r="RI9" s="43">
        <f t="shared" si="134"/>
        <v>0</v>
      </c>
      <c r="RK9" s="38">
        <v>1</v>
      </c>
      <c r="RL9" s="44" t="s">
        <v>4</v>
      </c>
      <c r="RM9" s="40">
        <v>1</v>
      </c>
      <c r="RN9" s="27"/>
      <c r="RO9" s="42">
        <f t="shared" si="135"/>
        <v>0</v>
      </c>
      <c r="RP9" s="43">
        <f t="shared" si="136"/>
        <v>0</v>
      </c>
      <c r="RR9" s="38">
        <v>1</v>
      </c>
      <c r="RS9" s="44" t="s">
        <v>4</v>
      </c>
      <c r="RT9" s="40">
        <v>1</v>
      </c>
      <c r="RU9" s="27"/>
      <c r="RV9" s="42">
        <f t="shared" si="137"/>
        <v>0</v>
      </c>
      <c r="RW9" s="43">
        <f t="shared" si="138"/>
        <v>0</v>
      </c>
      <c r="RY9" s="38">
        <v>1</v>
      </c>
      <c r="RZ9" s="44" t="s">
        <v>4</v>
      </c>
      <c r="SA9" s="40">
        <v>1</v>
      </c>
      <c r="SB9" s="27"/>
      <c r="SC9" s="42">
        <f t="shared" si="139"/>
        <v>0</v>
      </c>
      <c r="SD9" s="43">
        <f t="shared" si="140"/>
        <v>0</v>
      </c>
      <c r="SF9" s="38">
        <v>1</v>
      </c>
      <c r="SG9" s="44" t="s">
        <v>4</v>
      </c>
      <c r="SH9" s="40">
        <v>1</v>
      </c>
      <c r="SI9" s="27"/>
      <c r="SJ9" s="42">
        <f t="shared" si="141"/>
        <v>0</v>
      </c>
      <c r="SK9" s="43">
        <f t="shared" si="142"/>
        <v>0</v>
      </c>
      <c r="SM9" s="38">
        <v>3</v>
      </c>
      <c r="SN9" s="44" t="s">
        <v>4</v>
      </c>
      <c r="SO9" s="40">
        <v>3</v>
      </c>
      <c r="SP9" s="27"/>
      <c r="SQ9" s="42">
        <f t="shared" si="143"/>
        <v>0</v>
      </c>
      <c r="SR9" s="43">
        <f t="shared" si="144"/>
        <v>0</v>
      </c>
    </row>
    <row r="10" spans="1:512" customFormat="1" ht="16" customHeight="1" x14ac:dyDescent="0.2">
      <c r="A10" s="34">
        <v>46186</v>
      </c>
      <c r="B10" s="35">
        <v>0.875</v>
      </c>
      <c r="C10" s="51" t="s">
        <v>34</v>
      </c>
      <c r="D10" s="81" t="s">
        <v>21</v>
      </c>
      <c r="E10" s="3">
        <v>1</v>
      </c>
      <c r="F10" s="37" t="s">
        <v>4</v>
      </c>
      <c r="G10" s="4">
        <v>1</v>
      </c>
      <c r="H10" s="16">
        <v>1.4</v>
      </c>
      <c r="I10" s="32">
        <f t="shared" si="0"/>
        <v>0</v>
      </c>
      <c r="J10" s="38">
        <v>0</v>
      </c>
      <c r="K10" s="44" t="s">
        <v>4</v>
      </c>
      <c r="L10" s="40">
        <v>2</v>
      </c>
      <c r="M10" s="27"/>
      <c r="N10" s="42">
        <f t="shared" si="1"/>
        <v>0</v>
      </c>
      <c r="O10" s="43">
        <f t="shared" si="2"/>
        <v>-2</v>
      </c>
      <c r="P10" s="32"/>
      <c r="Q10" s="38">
        <v>0</v>
      </c>
      <c r="R10" s="44" t="s">
        <v>4</v>
      </c>
      <c r="S10" s="40">
        <v>3</v>
      </c>
      <c r="T10" s="27"/>
      <c r="U10" s="42">
        <f t="shared" si="3"/>
        <v>0</v>
      </c>
      <c r="V10" s="43">
        <f t="shared" si="4"/>
        <v>-3</v>
      </c>
      <c r="X10" s="38">
        <v>0</v>
      </c>
      <c r="Y10" s="44" t="s">
        <v>4</v>
      </c>
      <c r="Z10" s="40">
        <v>3</v>
      </c>
      <c r="AA10" s="27"/>
      <c r="AB10" s="42">
        <f t="shared" si="5"/>
        <v>0</v>
      </c>
      <c r="AC10" s="43">
        <f t="shared" si="6"/>
        <v>-3</v>
      </c>
      <c r="AE10" s="38">
        <v>0</v>
      </c>
      <c r="AF10" s="44" t="s">
        <v>4</v>
      </c>
      <c r="AG10" s="40">
        <v>3</v>
      </c>
      <c r="AH10" s="27"/>
      <c r="AI10" s="42">
        <f t="shared" si="7"/>
        <v>0</v>
      </c>
      <c r="AJ10" s="43">
        <f t="shared" si="8"/>
        <v>-3</v>
      </c>
      <c r="AL10" s="38">
        <v>0</v>
      </c>
      <c r="AM10" s="44" t="s">
        <v>4</v>
      </c>
      <c r="AN10" s="40">
        <v>2</v>
      </c>
      <c r="AO10" s="27"/>
      <c r="AP10" s="42">
        <f t="shared" si="9"/>
        <v>0</v>
      </c>
      <c r="AQ10" s="43">
        <f t="shared" si="10"/>
        <v>-2</v>
      </c>
      <c r="AS10" s="38">
        <v>0</v>
      </c>
      <c r="AT10" s="44" t="s">
        <v>4</v>
      </c>
      <c r="AU10" s="40">
        <v>3</v>
      </c>
      <c r="AV10" s="27"/>
      <c r="AW10" s="42">
        <f t="shared" si="11"/>
        <v>0</v>
      </c>
      <c r="AX10" s="43">
        <f t="shared" si="12"/>
        <v>-3</v>
      </c>
      <c r="AZ10" s="86">
        <v>0</v>
      </c>
      <c r="BA10" s="44" t="s">
        <v>4</v>
      </c>
      <c r="BB10" s="40">
        <v>3</v>
      </c>
      <c r="BC10" s="27"/>
      <c r="BD10" s="42">
        <f t="shared" si="13"/>
        <v>0</v>
      </c>
      <c r="BE10" s="43">
        <f t="shared" si="14"/>
        <v>-3</v>
      </c>
      <c r="BG10" s="38">
        <v>0</v>
      </c>
      <c r="BH10" s="44" t="s">
        <v>4</v>
      </c>
      <c r="BI10" s="40">
        <v>2</v>
      </c>
      <c r="BJ10" s="27"/>
      <c r="BK10" s="42">
        <f t="shared" si="15"/>
        <v>0</v>
      </c>
      <c r="BL10" s="43">
        <f t="shared" si="16"/>
        <v>-2</v>
      </c>
      <c r="BN10" s="38">
        <v>0</v>
      </c>
      <c r="BO10" s="44" t="s">
        <v>4</v>
      </c>
      <c r="BP10" s="40">
        <v>4</v>
      </c>
      <c r="BQ10" s="27"/>
      <c r="BR10" s="42">
        <f t="shared" si="17"/>
        <v>0</v>
      </c>
      <c r="BS10" s="43">
        <f t="shared" si="18"/>
        <v>-4</v>
      </c>
      <c r="BU10" s="38">
        <v>0</v>
      </c>
      <c r="BV10" s="44" t="s">
        <v>4</v>
      </c>
      <c r="BW10" s="40">
        <v>3</v>
      </c>
      <c r="BX10" s="27"/>
      <c r="BY10" s="42">
        <f t="shared" si="19"/>
        <v>0</v>
      </c>
      <c r="BZ10" s="43">
        <f t="shared" si="20"/>
        <v>-3</v>
      </c>
      <c r="CB10" s="38">
        <v>0</v>
      </c>
      <c r="CC10" s="44" t="s">
        <v>4</v>
      </c>
      <c r="CD10" s="40">
        <v>2</v>
      </c>
      <c r="CE10" s="27"/>
      <c r="CF10" s="42">
        <f t="shared" si="21"/>
        <v>0</v>
      </c>
      <c r="CG10" s="43">
        <f t="shared" si="22"/>
        <v>-2</v>
      </c>
      <c r="CI10" s="38">
        <v>0</v>
      </c>
      <c r="CJ10" s="44" t="s">
        <v>4</v>
      </c>
      <c r="CK10" s="40">
        <v>2</v>
      </c>
      <c r="CL10" s="27"/>
      <c r="CM10" s="42">
        <f t="shared" si="23"/>
        <v>0</v>
      </c>
      <c r="CN10" s="43">
        <f t="shared" si="24"/>
        <v>-2</v>
      </c>
      <c r="CP10" s="38">
        <v>0</v>
      </c>
      <c r="CQ10" s="44" t="s">
        <v>4</v>
      </c>
      <c r="CR10" s="40">
        <v>3</v>
      </c>
      <c r="CS10" s="27"/>
      <c r="CT10" s="42">
        <f t="shared" si="25"/>
        <v>0</v>
      </c>
      <c r="CU10" s="43">
        <f t="shared" si="26"/>
        <v>-3</v>
      </c>
      <c r="CW10" s="38">
        <v>0</v>
      </c>
      <c r="CX10" s="44" t="s">
        <v>4</v>
      </c>
      <c r="CY10" s="40">
        <v>2</v>
      </c>
      <c r="CZ10" s="27"/>
      <c r="DA10" s="42">
        <f t="shared" si="27"/>
        <v>0</v>
      </c>
      <c r="DB10" s="43">
        <f t="shared" si="28"/>
        <v>-2</v>
      </c>
      <c r="DD10" s="38">
        <v>0</v>
      </c>
      <c r="DE10" s="44" t="s">
        <v>4</v>
      </c>
      <c r="DF10" s="40">
        <v>1</v>
      </c>
      <c r="DG10" s="27"/>
      <c r="DH10" s="42">
        <f t="shared" si="29"/>
        <v>0</v>
      </c>
      <c r="DI10" s="43">
        <f t="shared" si="30"/>
        <v>-1</v>
      </c>
      <c r="DK10" s="38">
        <v>0</v>
      </c>
      <c r="DL10" s="44" t="s">
        <v>4</v>
      </c>
      <c r="DM10" s="40">
        <v>3</v>
      </c>
      <c r="DN10" s="27"/>
      <c r="DO10" s="42">
        <f t="shared" si="31"/>
        <v>0</v>
      </c>
      <c r="DP10" s="43">
        <f t="shared" si="32"/>
        <v>-3</v>
      </c>
      <c r="DR10" s="38">
        <v>0</v>
      </c>
      <c r="DS10" s="44" t="s">
        <v>4</v>
      </c>
      <c r="DT10" s="40">
        <v>4</v>
      </c>
      <c r="DU10" s="27"/>
      <c r="DV10" s="42">
        <f t="shared" si="33"/>
        <v>0</v>
      </c>
      <c r="DW10" s="43">
        <f t="shared" si="34"/>
        <v>-4</v>
      </c>
      <c r="DY10" s="38">
        <v>0</v>
      </c>
      <c r="DZ10" s="44" t="s">
        <v>4</v>
      </c>
      <c r="EA10" s="40">
        <v>2</v>
      </c>
      <c r="EB10" s="27"/>
      <c r="EC10" s="42">
        <f t="shared" si="35"/>
        <v>0</v>
      </c>
      <c r="ED10" s="43">
        <f t="shared" si="36"/>
        <v>-2</v>
      </c>
      <c r="EF10" s="38">
        <v>0</v>
      </c>
      <c r="EG10" s="44" t="s">
        <v>4</v>
      </c>
      <c r="EH10" s="40">
        <v>2</v>
      </c>
      <c r="EI10" s="27"/>
      <c r="EJ10" s="42">
        <f t="shared" si="37"/>
        <v>0</v>
      </c>
      <c r="EK10" s="43">
        <f t="shared" si="38"/>
        <v>-2</v>
      </c>
      <c r="EM10" s="38">
        <v>1</v>
      </c>
      <c r="EN10" s="44" t="s">
        <v>4</v>
      </c>
      <c r="EO10" s="40">
        <v>4</v>
      </c>
      <c r="EP10" s="27"/>
      <c r="EQ10" s="42">
        <f t="shared" si="39"/>
        <v>0</v>
      </c>
      <c r="ER10" s="43">
        <f t="shared" si="40"/>
        <v>-3</v>
      </c>
      <c r="ET10" s="38">
        <v>2</v>
      </c>
      <c r="EU10" s="44" t="s">
        <v>4</v>
      </c>
      <c r="EV10" s="40">
        <v>3</v>
      </c>
      <c r="EW10" s="27"/>
      <c r="EX10" s="42">
        <f t="shared" si="41"/>
        <v>0</v>
      </c>
      <c r="EY10" s="43">
        <f t="shared" si="42"/>
        <v>-1</v>
      </c>
      <c r="FA10" s="38">
        <v>0</v>
      </c>
      <c r="FB10" s="44" t="s">
        <v>4</v>
      </c>
      <c r="FC10" s="40">
        <v>2</v>
      </c>
      <c r="FD10" s="27"/>
      <c r="FE10" s="42">
        <f t="shared" si="43"/>
        <v>0</v>
      </c>
      <c r="FF10" s="43">
        <f t="shared" si="44"/>
        <v>-2</v>
      </c>
      <c r="FH10" s="38">
        <v>0</v>
      </c>
      <c r="FI10" s="44" t="s">
        <v>4</v>
      </c>
      <c r="FJ10" s="40">
        <v>2</v>
      </c>
      <c r="FK10" s="27"/>
      <c r="FL10" s="42">
        <f t="shared" si="45"/>
        <v>0</v>
      </c>
      <c r="FM10" s="43">
        <f t="shared" si="46"/>
        <v>-2</v>
      </c>
      <c r="FO10" s="38">
        <v>0</v>
      </c>
      <c r="FP10" s="44" t="s">
        <v>4</v>
      </c>
      <c r="FQ10" s="40">
        <v>3</v>
      </c>
      <c r="FR10" s="27"/>
      <c r="FS10" s="42">
        <f t="shared" si="47"/>
        <v>0</v>
      </c>
      <c r="FT10" s="43">
        <f t="shared" si="48"/>
        <v>-3</v>
      </c>
      <c r="FV10" s="38">
        <v>1</v>
      </c>
      <c r="FW10" s="44" t="s">
        <v>4</v>
      </c>
      <c r="FX10" s="40">
        <v>3</v>
      </c>
      <c r="FY10" s="27"/>
      <c r="FZ10" s="42">
        <f t="shared" si="49"/>
        <v>0</v>
      </c>
      <c r="GA10" s="43">
        <f t="shared" si="50"/>
        <v>-2</v>
      </c>
      <c r="GC10" s="38">
        <v>0</v>
      </c>
      <c r="GD10" s="44" t="s">
        <v>4</v>
      </c>
      <c r="GE10" s="40">
        <v>2</v>
      </c>
      <c r="GF10" s="27"/>
      <c r="GG10" s="42">
        <f t="shared" si="51"/>
        <v>0</v>
      </c>
      <c r="GH10" s="43">
        <f t="shared" si="52"/>
        <v>-2</v>
      </c>
      <c r="GJ10" s="38">
        <v>1</v>
      </c>
      <c r="GK10" s="44" t="s">
        <v>4</v>
      </c>
      <c r="GL10" s="40">
        <v>2</v>
      </c>
      <c r="GM10" s="27"/>
      <c r="GN10" s="42">
        <f t="shared" si="53"/>
        <v>0</v>
      </c>
      <c r="GO10" s="43">
        <f t="shared" si="54"/>
        <v>-1</v>
      </c>
      <c r="GQ10" s="38">
        <v>0</v>
      </c>
      <c r="GR10" s="44" t="s">
        <v>4</v>
      </c>
      <c r="GS10" s="40">
        <v>2</v>
      </c>
      <c r="GT10" s="27"/>
      <c r="GU10" s="42">
        <f t="shared" si="55"/>
        <v>0</v>
      </c>
      <c r="GV10" s="43">
        <f t="shared" si="56"/>
        <v>-2</v>
      </c>
      <c r="GX10" s="38">
        <v>0</v>
      </c>
      <c r="GY10" s="44" t="s">
        <v>4</v>
      </c>
      <c r="GZ10" s="40">
        <v>3</v>
      </c>
      <c r="HA10" s="27"/>
      <c r="HB10" s="42">
        <f t="shared" si="57"/>
        <v>0</v>
      </c>
      <c r="HC10" s="43">
        <f t="shared" si="58"/>
        <v>-3</v>
      </c>
      <c r="HE10" s="38">
        <v>1</v>
      </c>
      <c r="HF10" s="44" t="s">
        <v>4</v>
      </c>
      <c r="HG10" s="40">
        <v>3</v>
      </c>
      <c r="HH10" s="27"/>
      <c r="HI10" s="42">
        <f t="shared" si="59"/>
        <v>0</v>
      </c>
      <c r="HJ10" s="43">
        <f t="shared" si="60"/>
        <v>-2</v>
      </c>
      <c r="HL10" s="38">
        <v>0</v>
      </c>
      <c r="HM10" s="44" t="s">
        <v>4</v>
      </c>
      <c r="HN10" s="40">
        <v>3</v>
      </c>
      <c r="HO10" s="27"/>
      <c r="HP10" s="42">
        <f t="shared" si="61"/>
        <v>0</v>
      </c>
      <c r="HQ10" s="43">
        <f t="shared" si="62"/>
        <v>-3</v>
      </c>
      <c r="HS10" s="38">
        <v>0</v>
      </c>
      <c r="HT10" s="44" t="s">
        <v>4</v>
      </c>
      <c r="HU10" s="40">
        <v>1</v>
      </c>
      <c r="HV10" s="27"/>
      <c r="HW10" s="42">
        <f t="shared" si="63"/>
        <v>0</v>
      </c>
      <c r="HX10" s="43">
        <f t="shared" si="64"/>
        <v>-1</v>
      </c>
      <c r="HZ10" s="38">
        <v>0</v>
      </c>
      <c r="IA10" s="44" t="s">
        <v>4</v>
      </c>
      <c r="IB10" s="40">
        <v>3</v>
      </c>
      <c r="IC10" s="27"/>
      <c r="ID10" s="42">
        <f t="shared" si="65"/>
        <v>0</v>
      </c>
      <c r="IE10" s="43">
        <f t="shared" si="66"/>
        <v>-3</v>
      </c>
      <c r="IG10" s="38">
        <v>0</v>
      </c>
      <c r="IH10" s="44" t="s">
        <v>4</v>
      </c>
      <c r="II10" s="40">
        <v>4</v>
      </c>
      <c r="IJ10" s="27"/>
      <c r="IK10" s="42">
        <f t="shared" si="67"/>
        <v>0</v>
      </c>
      <c r="IL10" s="43">
        <f t="shared" si="68"/>
        <v>-4</v>
      </c>
      <c r="IN10" s="38">
        <v>0</v>
      </c>
      <c r="IO10" s="44" t="s">
        <v>4</v>
      </c>
      <c r="IP10" s="40">
        <v>3</v>
      </c>
      <c r="IQ10" s="27"/>
      <c r="IR10" s="42">
        <f t="shared" si="69"/>
        <v>0</v>
      </c>
      <c r="IS10" s="43">
        <f t="shared" si="70"/>
        <v>-3</v>
      </c>
      <c r="IU10" s="38">
        <v>0</v>
      </c>
      <c r="IV10" s="44" t="s">
        <v>4</v>
      </c>
      <c r="IW10" s="40">
        <v>4</v>
      </c>
      <c r="IX10" s="27"/>
      <c r="IY10" s="42">
        <f t="shared" si="71"/>
        <v>0</v>
      </c>
      <c r="IZ10" s="43">
        <f t="shared" si="72"/>
        <v>-4</v>
      </c>
      <c r="JB10" s="38">
        <v>1</v>
      </c>
      <c r="JC10" s="44" t="s">
        <v>4</v>
      </c>
      <c r="JD10" s="40">
        <v>2</v>
      </c>
      <c r="JE10" s="27"/>
      <c r="JF10" s="42">
        <f t="shared" si="73"/>
        <v>0</v>
      </c>
      <c r="JG10" s="43">
        <f t="shared" si="74"/>
        <v>-1</v>
      </c>
      <c r="JI10" s="38">
        <v>1</v>
      </c>
      <c r="JJ10" s="44" t="s">
        <v>4</v>
      </c>
      <c r="JK10" s="40">
        <v>3</v>
      </c>
      <c r="JL10" s="27"/>
      <c r="JM10" s="42">
        <f t="shared" si="75"/>
        <v>0</v>
      </c>
      <c r="JN10" s="43">
        <f t="shared" si="76"/>
        <v>-2</v>
      </c>
      <c r="JP10" s="38">
        <v>0</v>
      </c>
      <c r="JQ10" s="44" t="s">
        <v>4</v>
      </c>
      <c r="JR10" s="40">
        <v>3</v>
      </c>
      <c r="JS10" s="27"/>
      <c r="JT10" s="42">
        <f t="shared" si="77"/>
        <v>0</v>
      </c>
      <c r="JU10" s="43">
        <f t="shared" si="78"/>
        <v>-3</v>
      </c>
      <c r="JW10" s="38">
        <v>1</v>
      </c>
      <c r="JX10" s="44" t="s">
        <v>4</v>
      </c>
      <c r="JY10" s="40">
        <v>1</v>
      </c>
      <c r="JZ10" s="27"/>
      <c r="KA10" s="42">
        <f t="shared" si="79"/>
        <v>2.0999999999999996</v>
      </c>
      <c r="KB10" s="43">
        <f t="shared" si="80"/>
        <v>0</v>
      </c>
      <c r="KD10" s="38">
        <v>0</v>
      </c>
      <c r="KE10" s="44" t="s">
        <v>4</v>
      </c>
      <c r="KF10" s="40">
        <v>2</v>
      </c>
      <c r="KG10" s="27"/>
      <c r="KH10" s="42">
        <f t="shared" si="81"/>
        <v>0</v>
      </c>
      <c r="KI10" s="43">
        <f t="shared" si="82"/>
        <v>-2</v>
      </c>
      <c r="KK10" s="38">
        <v>0</v>
      </c>
      <c r="KL10" s="44" t="s">
        <v>4</v>
      </c>
      <c r="KM10" s="40">
        <v>1</v>
      </c>
      <c r="KN10" s="27"/>
      <c r="KO10" s="42">
        <f t="shared" si="83"/>
        <v>0</v>
      </c>
      <c r="KP10" s="43">
        <f t="shared" si="84"/>
        <v>-1</v>
      </c>
      <c r="KR10" s="38">
        <v>0</v>
      </c>
      <c r="KS10" s="44" t="s">
        <v>4</v>
      </c>
      <c r="KT10" s="40">
        <v>1</v>
      </c>
      <c r="KU10" s="27"/>
      <c r="KV10" s="42">
        <f t="shared" si="85"/>
        <v>0</v>
      </c>
      <c r="KW10" s="43">
        <f t="shared" si="86"/>
        <v>-1</v>
      </c>
      <c r="KY10" s="38">
        <v>1</v>
      </c>
      <c r="KZ10" s="44" t="s">
        <v>4</v>
      </c>
      <c r="LA10" s="40">
        <v>2</v>
      </c>
      <c r="LB10" s="27"/>
      <c r="LC10" s="42">
        <f t="shared" si="87"/>
        <v>0</v>
      </c>
      <c r="LD10" s="43">
        <f t="shared" si="88"/>
        <v>-1</v>
      </c>
      <c r="LF10" s="38">
        <v>0</v>
      </c>
      <c r="LG10" s="44" t="s">
        <v>4</v>
      </c>
      <c r="LH10" s="40">
        <v>3</v>
      </c>
      <c r="LI10" s="27"/>
      <c r="LJ10" s="42">
        <f t="shared" si="89"/>
        <v>0</v>
      </c>
      <c r="LK10" s="43">
        <f t="shared" si="90"/>
        <v>-3</v>
      </c>
      <c r="LM10" s="38">
        <v>1</v>
      </c>
      <c r="LN10" s="44" t="s">
        <v>4</v>
      </c>
      <c r="LO10" s="40">
        <v>0</v>
      </c>
      <c r="LP10" s="27"/>
      <c r="LQ10" s="42">
        <f t="shared" si="91"/>
        <v>0</v>
      </c>
      <c r="LR10" s="43">
        <f t="shared" si="92"/>
        <v>1</v>
      </c>
      <c r="LT10" s="38">
        <v>0</v>
      </c>
      <c r="LU10" s="44" t="s">
        <v>4</v>
      </c>
      <c r="LV10" s="40">
        <v>2</v>
      </c>
      <c r="LW10" s="27"/>
      <c r="LX10" s="42">
        <f t="shared" si="93"/>
        <v>0</v>
      </c>
      <c r="LY10" s="43">
        <f t="shared" si="94"/>
        <v>-2</v>
      </c>
      <c r="MA10" s="38">
        <v>1</v>
      </c>
      <c r="MB10" s="44" t="s">
        <v>4</v>
      </c>
      <c r="MC10" s="40">
        <v>4</v>
      </c>
      <c r="MD10" s="27"/>
      <c r="ME10" s="42">
        <f t="shared" si="95"/>
        <v>0</v>
      </c>
      <c r="MF10" s="43">
        <f t="shared" si="96"/>
        <v>-3</v>
      </c>
      <c r="MH10" s="38">
        <v>0</v>
      </c>
      <c r="MI10" s="44" t="s">
        <v>4</v>
      </c>
      <c r="MJ10" s="40">
        <v>3</v>
      </c>
      <c r="MK10" s="27"/>
      <c r="ML10" s="42">
        <f t="shared" si="97"/>
        <v>0</v>
      </c>
      <c r="MM10" s="43">
        <f t="shared" si="98"/>
        <v>-3</v>
      </c>
      <c r="MO10" s="38">
        <v>0</v>
      </c>
      <c r="MP10" s="44" t="s">
        <v>4</v>
      </c>
      <c r="MQ10" s="40">
        <v>1</v>
      </c>
      <c r="MR10" s="27"/>
      <c r="MS10" s="42">
        <f t="shared" si="99"/>
        <v>0</v>
      </c>
      <c r="MT10" s="43">
        <f t="shared" si="100"/>
        <v>-1</v>
      </c>
      <c r="MV10" s="38">
        <v>0</v>
      </c>
      <c r="MW10" s="44" t="s">
        <v>4</v>
      </c>
      <c r="MX10" s="40">
        <v>3</v>
      </c>
      <c r="MY10" s="27"/>
      <c r="MZ10" s="42">
        <f t="shared" si="101"/>
        <v>0</v>
      </c>
      <c r="NA10" s="43">
        <f t="shared" si="102"/>
        <v>-3</v>
      </c>
      <c r="NC10" s="38">
        <v>2</v>
      </c>
      <c r="ND10" s="44" t="s">
        <v>4</v>
      </c>
      <c r="NE10" s="40">
        <v>2</v>
      </c>
      <c r="NF10" s="27"/>
      <c r="NG10" s="42">
        <f t="shared" si="103"/>
        <v>1.4</v>
      </c>
      <c r="NH10" s="43">
        <f t="shared" si="104"/>
        <v>0</v>
      </c>
      <c r="NJ10" s="38">
        <v>0</v>
      </c>
      <c r="NK10" s="44" t="s">
        <v>4</v>
      </c>
      <c r="NL10" s="40">
        <v>4</v>
      </c>
      <c r="NM10" s="27"/>
      <c r="NN10" s="42">
        <f t="shared" si="105"/>
        <v>0</v>
      </c>
      <c r="NO10" s="43">
        <f t="shared" si="106"/>
        <v>-4</v>
      </c>
      <c r="NQ10" s="38">
        <v>0</v>
      </c>
      <c r="NR10" s="44" t="s">
        <v>4</v>
      </c>
      <c r="NS10" s="40">
        <v>3</v>
      </c>
      <c r="NT10" s="27"/>
      <c r="NU10" s="42">
        <f t="shared" si="107"/>
        <v>0</v>
      </c>
      <c r="NV10" s="43">
        <f t="shared" si="108"/>
        <v>-3</v>
      </c>
      <c r="NX10" s="38">
        <v>0</v>
      </c>
      <c r="NY10" s="44" t="s">
        <v>4</v>
      </c>
      <c r="NZ10" s="40">
        <v>3</v>
      </c>
      <c r="OA10" s="27"/>
      <c r="OB10" s="42">
        <f t="shared" si="109"/>
        <v>0</v>
      </c>
      <c r="OC10" s="43">
        <f t="shared" si="110"/>
        <v>-3</v>
      </c>
      <c r="OE10" s="38">
        <v>1</v>
      </c>
      <c r="OF10" s="44" t="s">
        <v>4</v>
      </c>
      <c r="OG10" s="40">
        <v>2</v>
      </c>
      <c r="OH10" s="27"/>
      <c r="OI10" s="42">
        <f t="shared" si="111"/>
        <v>0</v>
      </c>
      <c r="OJ10" s="43">
        <f t="shared" si="112"/>
        <v>-1</v>
      </c>
      <c r="OL10" s="38">
        <v>0</v>
      </c>
      <c r="OM10" s="44" t="s">
        <v>4</v>
      </c>
      <c r="ON10" s="40">
        <v>3</v>
      </c>
      <c r="OO10" s="27"/>
      <c r="OP10" s="42">
        <f t="shared" si="113"/>
        <v>0</v>
      </c>
      <c r="OQ10" s="43">
        <f t="shared" si="114"/>
        <v>-3</v>
      </c>
      <c r="OS10" s="38">
        <v>1</v>
      </c>
      <c r="OT10" s="44" t="s">
        <v>4</v>
      </c>
      <c r="OU10" s="40">
        <v>2</v>
      </c>
      <c r="OV10" s="27"/>
      <c r="OW10" s="42">
        <f t="shared" si="115"/>
        <v>0</v>
      </c>
      <c r="OX10" s="43">
        <f t="shared" si="116"/>
        <v>-1</v>
      </c>
      <c r="OZ10" s="38">
        <v>0</v>
      </c>
      <c r="PA10" s="44" t="s">
        <v>4</v>
      </c>
      <c r="PB10" s="40">
        <v>3</v>
      </c>
      <c r="PC10" s="27"/>
      <c r="PD10" s="42">
        <f t="shared" si="117"/>
        <v>0</v>
      </c>
      <c r="PE10" s="43">
        <f t="shared" si="118"/>
        <v>-3</v>
      </c>
      <c r="PG10" s="38">
        <v>0</v>
      </c>
      <c r="PH10" s="44" t="s">
        <v>4</v>
      </c>
      <c r="PI10" s="40">
        <v>3</v>
      </c>
      <c r="PJ10" s="27"/>
      <c r="PK10" s="42">
        <f t="shared" si="119"/>
        <v>0</v>
      </c>
      <c r="PL10" s="43">
        <f t="shared" si="120"/>
        <v>-3</v>
      </c>
      <c r="PN10" s="38">
        <v>1</v>
      </c>
      <c r="PO10" s="44" t="s">
        <v>4</v>
      </c>
      <c r="PP10" s="40">
        <v>2</v>
      </c>
      <c r="PQ10" s="27"/>
      <c r="PR10" s="42">
        <f t="shared" si="121"/>
        <v>0</v>
      </c>
      <c r="PS10" s="43">
        <f t="shared" si="122"/>
        <v>-1</v>
      </c>
      <c r="PU10" s="38">
        <v>0</v>
      </c>
      <c r="PV10" s="44" t="s">
        <v>4</v>
      </c>
      <c r="PW10" s="40">
        <v>2</v>
      </c>
      <c r="PX10" s="27"/>
      <c r="PY10" s="42">
        <f t="shared" si="123"/>
        <v>0</v>
      </c>
      <c r="PZ10" s="43">
        <f t="shared" si="124"/>
        <v>-2</v>
      </c>
      <c r="QB10" s="38">
        <v>0</v>
      </c>
      <c r="QC10" s="44" t="s">
        <v>4</v>
      </c>
      <c r="QD10" s="40">
        <v>3</v>
      </c>
      <c r="QE10" s="27"/>
      <c r="QF10" s="42">
        <f t="shared" si="125"/>
        <v>0</v>
      </c>
      <c r="QG10" s="43">
        <f t="shared" si="126"/>
        <v>-3</v>
      </c>
      <c r="QI10" s="38">
        <v>0</v>
      </c>
      <c r="QJ10" s="44" t="s">
        <v>4</v>
      </c>
      <c r="QK10" s="40">
        <v>2</v>
      </c>
      <c r="QL10" s="27"/>
      <c r="QM10" s="42">
        <f t="shared" si="127"/>
        <v>0</v>
      </c>
      <c r="QN10" s="43">
        <f t="shared" si="128"/>
        <v>-2</v>
      </c>
      <c r="QP10" s="38">
        <v>0</v>
      </c>
      <c r="QQ10" s="44" t="s">
        <v>4</v>
      </c>
      <c r="QR10" s="40">
        <v>4</v>
      </c>
      <c r="QS10" s="27"/>
      <c r="QT10" s="42">
        <f t="shared" si="129"/>
        <v>0</v>
      </c>
      <c r="QU10" s="43">
        <f t="shared" si="130"/>
        <v>-4</v>
      </c>
      <c r="QW10" s="38">
        <v>0</v>
      </c>
      <c r="QX10" s="44" t="s">
        <v>4</v>
      </c>
      <c r="QY10" s="40">
        <v>2</v>
      </c>
      <c r="QZ10" s="27"/>
      <c r="RA10" s="42">
        <f t="shared" si="131"/>
        <v>0</v>
      </c>
      <c r="RB10" s="43">
        <f t="shared" si="132"/>
        <v>-2</v>
      </c>
      <c r="RD10" s="38">
        <v>0</v>
      </c>
      <c r="RE10" s="44" t="s">
        <v>4</v>
      </c>
      <c r="RF10" s="40">
        <v>1</v>
      </c>
      <c r="RG10" s="27"/>
      <c r="RH10" s="42">
        <f t="shared" si="133"/>
        <v>0</v>
      </c>
      <c r="RI10" s="43">
        <f t="shared" si="134"/>
        <v>-1</v>
      </c>
      <c r="RK10" s="38">
        <v>0</v>
      </c>
      <c r="RL10" s="44" t="s">
        <v>4</v>
      </c>
      <c r="RM10" s="40">
        <v>2</v>
      </c>
      <c r="RN10" s="27"/>
      <c r="RO10" s="42">
        <f t="shared" si="135"/>
        <v>0</v>
      </c>
      <c r="RP10" s="43">
        <f t="shared" si="136"/>
        <v>-2</v>
      </c>
      <c r="RR10" s="38">
        <v>0</v>
      </c>
      <c r="RS10" s="44" t="s">
        <v>4</v>
      </c>
      <c r="RT10" s="40">
        <v>2</v>
      </c>
      <c r="RU10" s="27"/>
      <c r="RV10" s="42">
        <f t="shared" si="137"/>
        <v>0</v>
      </c>
      <c r="RW10" s="43">
        <f t="shared" si="138"/>
        <v>-2</v>
      </c>
      <c r="RY10" s="38">
        <v>0</v>
      </c>
      <c r="RZ10" s="44" t="s">
        <v>4</v>
      </c>
      <c r="SA10" s="40">
        <v>2</v>
      </c>
      <c r="SB10" s="27"/>
      <c r="SC10" s="42">
        <f t="shared" si="139"/>
        <v>0</v>
      </c>
      <c r="SD10" s="43">
        <f t="shared" si="140"/>
        <v>-2</v>
      </c>
      <c r="SF10" s="38">
        <v>0</v>
      </c>
      <c r="SG10" s="44" t="s">
        <v>4</v>
      </c>
      <c r="SH10" s="40">
        <v>2</v>
      </c>
      <c r="SI10" s="27"/>
      <c r="SJ10" s="42">
        <f t="shared" si="141"/>
        <v>0</v>
      </c>
      <c r="SK10" s="43">
        <f t="shared" si="142"/>
        <v>-2</v>
      </c>
      <c r="SM10" s="38">
        <v>1</v>
      </c>
      <c r="SN10" s="44" t="s">
        <v>4</v>
      </c>
      <c r="SO10" s="40">
        <v>2</v>
      </c>
      <c r="SP10" s="27"/>
      <c r="SQ10" s="42">
        <f t="shared" si="143"/>
        <v>0</v>
      </c>
      <c r="SR10" s="43">
        <f t="shared" si="144"/>
        <v>-1</v>
      </c>
    </row>
    <row r="11" spans="1:512" customFormat="1" ht="16" customHeight="1" x14ac:dyDescent="0.2">
      <c r="A11" s="34">
        <v>46187</v>
      </c>
      <c r="B11" s="35">
        <v>0</v>
      </c>
      <c r="C11" s="79" t="s">
        <v>35</v>
      </c>
      <c r="D11" s="80" t="s">
        <v>36</v>
      </c>
      <c r="E11" s="3">
        <v>1</v>
      </c>
      <c r="F11" s="37" t="s">
        <v>4</v>
      </c>
      <c r="G11" s="4">
        <v>1</v>
      </c>
      <c r="H11" s="16">
        <v>1.6</v>
      </c>
      <c r="I11" s="32">
        <f t="shared" si="0"/>
        <v>0</v>
      </c>
      <c r="J11" s="38">
        <v>2</v>
      </c>
      <c r="K11" s="44" t="s">
        <v>4</v>
      </c>
      <c r="L11" s="40">
        <v>0</v>
      </c>
      <c r="M11" s="27"/>
      <c r="N11" s="42">
        <f t="shared" si="1"/>
        <v>0</v>
      </c>
      <c r="O11" s="43">
        <f t="shared" si="2"/>
        <v>2</v>
      </c>
      <c r="P11" s="32"/>
      <c r="Q11" s="38">
        <v>3</v>
      </c>
      <c r="R11" s="44" t="s">
        <v>4</v>
      </c>
      <c r="S11" s="40">
        <v>2</v>
      </c>
      <c r="T11" s="27"/>
      <c r="U11" s="42">
        <f t="shared" si="3"/>
        <v>0</v>
      </c>
      <c r="V11" s="43">
        <f t="shared" si="4"/>
        <v>1</v>
      </c>
      <c r="X11" s="38">
        <v>2</v>
      </c>
      <c r="Y11" s="44" t="s">
        <v>4</v>
      </c>
      <c r="Z11" s="40">
        <v>2</v>
      </c>
      <c r="AA11" s="27"/>
      <c r="AB11" s="42">
        <f t="shared" si="5"/>
        <v>1.6</v>
      </c>
      <c r="AC11" s="43">
        <f t="shared" si="6"/>
        <v>0</v>
      </c>
      <c r="AE11" s="38">
        <v>2</v>
      </c>
      <c r="AF11" s="44" t="s">
        <v>4</v>
      </c>
      <c r="AG11" s="40">
        <v>0</v>
      </c>
      <c r="AH11" s="27"/>
      <c r="AI11" s="42">
        <f t="shared" si="7"/>
        <v>0</v>
      </c>
      <c r="AJ11" s="43">
        <f t="shared" si="8"/>
        <v>2</v>
      </c>
      <c r="AL11" s="38">
        <v>3</v>
      </c>
      <c r="AM11" s="44" t="s">
        <v>4</v>
      </c>
      <c r="AN11" s="40">
        <v>1</v>
      </c>
      <c r="AO11" s="27"/>
      <c r="AP11" s="42">
        <f t="shared" si="9"/>
        <v>0</v>
      </c>
      <c r="AQ11" s="43">
        <f t="shared" si="10"/>
        <v>2</v>
      </c>
      <c r="AS11" s="38">
        <v>4</v>
      </c>
      <c r="AT11" s="44" t="s">
        <v>4</v>
      </c>
      <c r="AU11" s="40">
        <v>3</v>
      </c>
      <c r="AV11" s="27"/>
      <c r="AW11" s="42">
        <f t="shared" si="11"/>
        <v>0</v>
      </c>
      <c r="AX11" s="43">
        <f t="shared" si="12"/>
        <v>1</v>
      </c>
      <c r="AZ11" s="86">
        <v>2</v>
      </c>
      <c r="BA11" s="44" t="s">
        <v>4</v>
      </c>
      <c r="BB11" s="40">
        <v>0</v>
      </c>
      <c r="BC11" s="27"/>
      <c r="BD11" s="42">
        <f t="shared" si="13"/>
        <v>0</v>
      </c>
      <c r="BE11" s="43">
        <f t="shared" si="14"/>
        <v>2</v>
      </c>
      <c r="BG11" s="38">
        <v>2</v>
      </c>
      <c r="BH11" s="44" t="s">
        <v>4</v>
      </c>
      <c r="BI11" s="40">
        <v>1</v>
      </c>
      <c r="BJ11" s="27"/>
      <c r="BK11" s="42">
        <f t="shared" si="15"/>
        <v>0</v>
      </c>
      <c r="BL11" s="43">
        <f t="shared" si="16"/>
        <v>1</v>
      </c>
      <c r="BN11" s="38">
        <v>2</v>
      </c>
      <c r="BO11" s="44" t="s">
        <v>4</v>
      </c>
      <c r="BP11" s="40">
        <v>2</v>
      </c>
      <c r="BQ11" s="27"/>
      <c r="BR11" s="42">
        <f t="shared" si="17"/>
        <v>1.6</v>
      </c>
      <c r="BS11" s="43">
        <f t="shared" si="18"/>
        <v>0</v>
      </c>
      <c r="BU11" s="38">
        <v>3</v>
      </c>
      <c r="BV11" s="44" t="s">
        <v>4</v>
      </c>
      <c r="BW11" s="40">
        <v>1</v>
      </c>
      <c r="BX11" s="27"/>
      <c r="BY11" s="42">
        <f t="shared" si="19"/>
        <v>0</v>
      </c>
      <c r="BZ11" s="43">
        <f t="shared" si="20"/>
        <v>2</v>
      </c>
      <c r="CB11" s="38">
        <v>4</v>
      </c>
      <c r="CC11" s="44" t="s">
        <v>4</v>
      </c>
      <c r="CD11" s="40">
        <v>1</v>
      </c>
      <c r="CE11" s="27"/>
      <c r="CF11" s="42">
        <f t="shared" si="21"/>
        <v>0</v>
      </c>
      <c r="CG11" s="43">
        <f t="shared" si="22"/>
        <v>3</v>
      </c>
      <c r="CI11" s="38">
        <v>2</v>
      </c>
      <c r="CJ11" s="44" t="s">
        <v>4</v>
      </c>
      <c r="CK11" s="40">
        <v>0</v>
      </c>
      <c r="CL11" s="27"/>
      <c r="CM11" s="42">
        <f t="shared" si="23"/>
        <v>0</v>
      </c>
      <c r="CN11" s="43">
        <f t="shared" si="24"/>
        <v>2</v>
      </c>
      <c r="CP11" s="38">
        <v>2</v>
      </c>
      <c r="CQ11" s="44" t="s">
        <v>4</v>
      </c>
      <c r="CR11" s="40">
        <v>1</v>
      </c>
      <c r="CS11" s="27"/>
      <c r="CT11" s="42">
        <f t="shared" si="25"/>
        <v>0</v>
      </c>
      <c r="CU11" s="43">
        <f t="shared" si="26"/>
        <v>1</v>
      </c>
      <c r="CW11" s="38">
        <v>2</v>
      </c>
      <c r="CX11" s="44" t="s">
        <v>4</v>
      </c>
      <c r="CY11" s="40">
        <v>0</v>
      </c>
      <c r="CZ11" s="27"/>
      <c r="DA11" s="42">
        <f t="shared" si="27"/>
        <v>0</v>
      </c>
      <c r="DB11" s="43">
        <f t="shared" si="28"/>
        <v>2</v>
      </c>
      <c r="DD11" s="38">
        <v>2</v>
      </c>
      <c r="DE11" s="44" t="s">
        <v>4</v>
      </c>
      <c r="DF11" s="40">
        <v>0</v>
      </c>
      <c r="DG11" s="27"/>
      <c r="DH11" s="42">
        <f t="shared" si="29"/>
        <v>0</v>
      </c>
      <c r="DI11" s="43">
        <f t="shared" si="30"/>
        <v>2</v>
      </c>
      <c r="DK11" s="38">
        <v>1</v>
      </c>
      <c r="DL11" s="44" t="s">
        <v>4</v>
      </c>
      <c r="DM11" s="40">
        <v>0</v>
      </c>
      <c r="DN11" s="27"/>
      <c r="DO11" s="42">
        <f t="shared" si="31"/>
        <v>0</v>
      </c>
      <c r="DP11" s="43">
        <f t="shared" si="32"/>
        <v>1</v>
      </c>
      <c r="DR11" s="38">
        <v>1</v>
      </c>
      <c r="DS11" s="44" t="s">
        <v>4</v>
      </c>
      <c r="DT11" s="40">
        <v>2</v>
      </c>
      <c r="DU11" s="27"/>
      <c r="DV11" s="42">
        <f t="shared" si="33"/>
        <v>0</v>
      </c>
      <c r="DW11" s="43">
        <f t="shared" si="34"/>
        <v>-1</v>
      </c>
      <c r="DY11" s="38">
        <v>1</v>
      </c>
      <c r="DZ11" s="44" t="s">
        <v>4</v>
      </c>
      <c r="EA11" s="40">
        <v>1</v>
      </c>
      <c r="EB11" s="27"/>
      <c r="EC11" s="42">
        <f t="shared" si="35"/>
        <v>2.4000000000000004</v>
      </c>
      <c r="ED11" s="43">
        <f t="shared" si="36"/>
        <v>0</v>
      </c>
      <c r="EF11" s="38">
        <v>2</v>
      </c>
      <c r="EG11" s="44" t="s">
        <v>4</v>
      </c>
      <c r="EH11" s="40">
        <v>0</v>
      </c>
      <c r="EI11" s="27"/>
      <c r="EJ11" s="42">
        <f t="shared" si="37"/>
        <v>0</v>
      </c>
      <c r="EK11" s="43">
        <f t="shared" si="38"/>
        <v>2</v>
      </c>
      <c r="EM11" s="38">
        <v>2</v>
      </c>
      <c r="EN11" s="44" t="s">
        <v>4</v>
      </c>
      <c r="EO11" s="40">
        <v>1</v>
      </c>
      <c r="EP11" s="27"/>
      <c r="EQ11" s="42">
        <f t="shared" si="39"/>
        <v>0</v>
      </c>
      <c r="ER11" s="43">
        <f t="shared" si="40"/>
        <v>1</v>
      </c>
      <c r="ET11" s="38">
        <v>4</v>
      </c>
      <c r="EU11" s="44" t="s">
        <v>4</v>
      </c>
      <c r="EV11" s="40">
        <v>1</v>
      </c>
      <c r="EW11" s="27"/>
      <c r="EX11" s="42">
        <f t="shared" si="41"/>
        <v>0</v>
      </c>
      <c r="EY11" s="43">
        <f t="shared" si="42"/>
        <v>3</v>
      </c>
      <c r="FA11" s="38">
        <v>3</v>
      </c>
      <c r="FB11" s="44" t="s">
        <v>4</v>
      </c>
      <c r="FC11" s="40">
        <v>1</v>
      </c>
      <c r="FD11" s="27"/>
      <c r="FE11" s="42">
        <f t="shared" si="43"/>
        <v>0</v>
      </c>
      <c r="FF11" s="43">
        <f t="shared" si="44"/>
        <v>2</v>
      </c>
      <c r="FH11" s="38">
        <v>0</v>
      </c>
      <c r="FI11" s="44" t="s">
        <v>4</v>
      </c>
      <c r="FJ11" s="40">
        <v>1</v>
      </c>
      <c r="FK11" s="27"/>
      <c r="FL11" s="42">
        <f t="shared" si="45"/>
        <v>0</v>
      </c>
      <c r="FM11" s="43">
        <f t="shared" si="46"/>
        <v>-1</v>
      </c>
      <c r="FO11" s="38">
        <v>3</v>
      </c>
      <c r="FP11" s="44" t="s">
        <v>4</v>
      </c>
      <c r="FQ11" s="40">
        <v>1</v>
      </c>
      <c r="FR11" s="27"/>
      <c r="FS11" s="42">
        <f t="shared" si="47"/>
        <v>0</v>
      </c>
      <c r="FT11" s="43">
        <f t="shared" si="48"/>
        <v>2</v>
      </c>
      <c r="FV11" s="38">
        <v>1</v>
      </c>
      <c r="FW11" s="44" t="s">
        <v>4</v>
      </c>
      <c r="FX11" s="40">
        <v>1</v>
      </c>
      <c r="FY11" s="27"/>
      <c r="FZ11" s="42">
        <f t="shared" si="49"/>
        <v>2.4000000000000004</v>
      </c>
      <c r="GA11" s="43">
        <f t="shared" si="50"/>
        <v>0</v>
      </c>
      <c r="GC11" s="38">
        <v>1</v>
      </c>
      <c r="GD11" s="44" t="s">
        <v>4</v>
      </c>
      <c r="GE11" s="40">
        <v>1</v>
      </c>
      <c r="GF11" s="27"/>
      <c r="GG11" s="42">
        <f t="shared" si="51"/>
        <v>2.4000000000000004</v>
      </c>
      <c r="GH11" s="43">
        <f t="shared" si="52"/>
        <v>0</v>
      </c>
      <c r="GJ11" s="38">
        <v>2</v>
      </c>
      <c r="GK11" s="44" t="s">
        <v>4</v>
      </c>
      <c r="GL11" s="40">
        <v>0</v>
      </c>
      <c r="GM11" s="27"/>
      <c r="GN11" s="42">
        <f t="shared" si="53"/>
        <v>0</v>
      </c>
      <c r="GO11" s="43">
        <f t="shared" si="54"/>
        <v>2</v>
      </c>
      <c r="GQ11" s="38">
        <v>2</v>
      </c>
      <c r="GR11" s="44" t="s">
        <v>4</v>
      </c>
      <c r="GS11" s="40">
        <v>1</v>
      </c>
      <c r="GT11" s="27"/>
      <c r="GU11" s="42">
        <f t="shared" si="55"/>
        <v>0</v>
      </c>
      <c r="GV11" s="43">
        <f t="shared" si="56"/>
        <v>1</v>
      </c>
      <c r="GX11" s="38">
        <v>2</v>
      </c>
      <c r="GY11" s="44" t="s">
        <v>4</v>
      </c>
      <c r="GZ11" s="40">
        <v>2</v>
      </c>
      <c r="HA11" s="27"/>
      <c r="HB11" s="42">
        <f t="shared" si="57"/>
        <v>1.6</v>
      </c>
      <c r="HC11" s="43">
        <f t="shared" si="58"/>
        <v>0</v>
      </c>
      <c r="HE11" s="38">
        <v>0</v>
      </c>
      <c r="HF11" s="44" t="s">
        <v>4</v>
      </c>
      <c r="HG11" s="40">
        <v>2</v>
      </c>
      <c r="HH11" s="27"/>
      <c r="HI11" s="42">
        <f t="shared" si="59"/>
        <v>0</v>
      </c>
      <c r="HJ11" s="43">
        <f t="shared" si="60"/>
        <v>-2</v>
      </c>
      <c r="HL11" s="38">
        <v>2</v>
      </c>
      <c r="HM11" s="44" t="s">
        <v>4</v>
      </c>
      <c r="HN11" s="40">
        <v>1</v>
      </c>
      <c r="HO11" s="27"/>
      <c r="HP11" s="42">
        <f t="shared" si="61"/>
        <v>0</v>
      </c>
      <c r="HQ11" s="43">
        <f t="shared" si="62"/>
        <v>1</v>
      </c>
      <c r="HS11" s="38">
        <v>2</v>
      </c>
      <c r="HT11" s="44" t="s">
        <v>4</v>
      </c>
      <c r="HU11" s="40">
        <v>0</v>
      </c>
      <c r="HV11" s="27"/>
      <c r="HW11" s="42">
        <f t="shared" si="63"/>
        <v>0</v>
      </c>
      <c r="HX11" s="43">
        <f t="shared" si="64"/>
        <v>2</v>
      </c>
      <c r="HZ11" s="38">
        <v>3</v>
      </c>
      <c r="IA11" s="44" t="s">
        <v>4</v>
      </c>
      <c r="IB11" s="40">
        <v>1</v>
      </c>
      <c r="IC11" s="27"/>
      <c r="ID11" s="42">
        <f t="shared" si="65"/>
        <v>0</v>
      </c>
      <c r="IE11" s="43">
        <f t="shared" si="66"/>
        <v>2</v>
      </c>
      <c r="IG11" s="38">
        <v>2</v>
      </c>
      <c r="IH11" s="44" t="s">
        <v>4</v>
      </c>
      <c r="II11" s="40">
        <v>3</v>
      </c>
      <c r="IJ11" s="27"/>
      <c r="IK11" s="42">
        <f t="shared" si="67"/>
        <v>0</v>
      </c>
      <c r="IL11" s="43">
        <f t="shared" si="68"/>
        <v>-1</v>
      </c>
      <c r="IN11" s="38">
        <v>2</v>
      </c>
      <c r="IO11" s="44" t="s">
        <v>4</v>
      </c>
      <c r="IP11" s="40">
        <v>1</v>
      </c>
      <c r="IQ11" s="27"/>
      <c r="IR11" s="42">
        <f t="shared" si="69"/>
        <v>0</v>
      </c>
      <c r="IS11" s="43">
        <f t="shared" si="70"/>
        <v>1</v>
      </c>
      <c r="IU11" s="38">
        <v>2</v>
      </c>
      <c r="IV11" s="44" t="s">
        <v>4</v>
      </c>
      <c r="IW11" s="40">
        <v>0</v>
      </c>
      <c r="IX11" s="27"/>
      <c r="IY11" s="42">
        <f t="shared" si="71"/>
        <v>0</v>
      </c>
      <c r="IZ11" s="43">
        <f t="shared" si="72"/>
        <v>2</v>
      </c>
      <c r="JB11" s="38">
        <v>2</v>
      </c>
      <c r="JC11" s="44" t="s">
        <v>4</v>
      </c>
      <c r="JD11" s="40">
        <v>2</v>
      </c>
      <c r="JE11" s="27"/>
      <c r="JF11" s="42">
        <f t="shared" si="73"/>
        <v>1.6</v>
      </c>
      <c r="JG11" s="43">
        <f t="shared" si="74"/>
        <v>0</v>
      </c>
      <c r="JI11" s="38">
        <v>2</v>
      </c>
      <c r="JJ11" s="44" t="s">
        <v>4</v>
      </c>
      <c r="JK11" s="40">
        <v>3</v>
      </c>
      <c r="JL11" s="27"/>
      <c r="JM11" s="42">
        <f t="shared" si="75"/>
        <v>0</v>
      </c>
      <c r="JN11" s="43">
        <f t="shared" si="76"/>
        <v>-1</v>
      </c>
      <c r="JP11" s="38">
        <v>1</v>
      </c>
      <c r="JQ11" s="44" t="s">
        <v>4</v>
      </c>
      <c r="JR11" s="40">
        <v>1</v>
      </c>
      <c r="JS11" s="27"/>
      <c r="JT11" s="42">
        <f t="shared" si="77"/>
        <v>2.4000000000000004</v>
      </c>
      <c r="JU11" s="43">
        <f t="shared" si="78"/>
        <v>0</v>
      </c>
      <c r="JW11" s="38">
        <v>3</v>
      </c>
      <c r="JX11" s="44" t="s">
        <v>4</v>
      </c>
      <c r="JY11" s="40">
        <v>0</v>
      </c>
      <c r="JZ11" s="27"/>
      <c r="KA11" s="42">
        <f t="shared" si="79"/>
        <v>0</v>
      </c>
      <c r="KB11" s="43">
        <f t="shared" si="80"/>
        <v>3</v>
      </c>
      <c r="KD11" s="38">
        <v>4</v>
      </c>
      <c r="KE11" s="44" t="s">
        <v>4</v>
      </c>
      <c r="KF11" s="40">
        <v>2</v>
      </c>
      <c r="KG11" s="27"/>
      <c r="KH11" s="42">
        <f t="shared" si="81"/>
        <v>0</v>
      </c>
      <c r="KI11" s="43">
        <f t="shared" si="82"/>
        <v>2</v>
      </c>
      <c r="KK11" s="38">
        <v>2</v>
      </c>
      <c r="KL11" s="44" t="s">
        <v>4</v>
      </c>
      <c r="KM11" s="40">
        <v>0</v>
      </c>
      <c r="KN11" s="27"/>
      <c r="KO11" s="42">
        <f t="shared" si="83"/>
        <v>0</v>
      </c>
      <c r="KP11" s="43">
        <f t="shared" si="84"/>
        <v>2</v>
      </c>
      <c r="KR11" s="38">
        <v>2</v>
      </c>
      <c r="KS11" s="44" t="s">
        <v>4</v>
      </c>
      <c r="KT11" s="40">
        <v>1</v>
      </c>
      <c r="KU11" s="27"/>
      <c r="KV11" s="42">
        <f t="shared" si="85"/>
        <v>0</v>
      </c>
      <c r="KW11" s="43">
        <f t="shared" si="86"/>
        <v>1</v>
      </c>
      <c r="KY11" s="38">
        <v>2</v>
      </c>
      <c r="KZ11" s="44" t="s">
        <v>4</v>
      </c>
      <c r="LA11" s="40">
        <v>1</v>
      </c>
      <c r="LB11" s="27"/>
      <c r="LC11" s="42">
        <f t="shared" si="87"/>
        <v>0</v>
      </c>
      <c r="LD11" s="43">
        <f t="shared" si="88"/>
        <v>1</v>
      </c>
      <c r="LF11" s="38">
        <v>2</v>
      </c>
      <c r="LG11" s="44" t="s">
        <v>4</v>
      </c>
      <c r="LH11" s="40">
        <v>3</v>
      </c>
      <c r="LI11" s="27"/>
      <c r="LJ11" s="42">
        <f t="shared" si="89"/>
        <v>0</v>
      </c>
      <c r="LK11" s="43">
        <f t="shared" si="90"/>
        <v>-1</v>
      </c>
      <c r="LM11" s="38">
        <v>3</v>
      </c>
      <c r="LN11" s="44" t="s">
        <v>4</v>
      </c>
      <c r="LO11" s="40">
        <v>1</v>
      </c>
      <c r="LP11" s="27"/>
      <c r="LQ11" s="42">
        <f t="shared" si="91"/>
        <v>0</v>
      </c>
      <c r="LR11" s="43">
        <f t="shared" si="92"/>
        <v>2</v>
      </c>
      <c r="LT11" s="38">
        <v>2</v>
      </c>
      <c r="LU11" s="44" t="s">
        <v>4</v>
      </c>
      <c r="LV11" s="40">
        <v>0</v>
      </c>
      <c r="LW11" s="27"/>
      <c r="LX11" s="42">
        <f t="shared" si="93"/>
        <v>0</v>
      </c>
      <c r="LY11" s="43">
        <f t="shared" si="94"/>
        <v>2</v>
      </c>
      <c r="MA11" s="38">
        <v>7</v>
      </c>
      <c r="MB11" s="44" t="s">
        <v>4</v>
      </c>
      <c r="MC11" s="40">
        <v>0</v>
      </c>
      <c r="MD11" s="27"/>
      <c r="ME11" s="42">
        <f t="shared" si="95"/>
        <v>0</v>
      </c>
      <c r="MF11" s="43">
        <f t="shared" si="96"/>
        <v>7</v>
      </c>
      <c r="MH11" s="38">
        <v>3</v>
      </c>
      <c r="MI11" s="44" t="s">
        <v>4</v>
      </c>
      <c r="MJ11" s="40">
        <v>1</v>
      </c>
      <c r="MK11" s="27"/>
      <c r="ML11" s="42">
        <f t="shared" si="97"/>
        <v>0</v>
      </c>
      <c r="MM11" s="43">
        <f t="shared" si="98"/>
        <v>2</v>
      </c>
      <c r="MO11" s="38">
        <v>2</v>
      </c>
      <c r="MP11" s="44" t="s">
        <v>4</v>
      </c>
      <c r="MQ11" s="40">
        <v>1</v>
      </c>
      <c r="MR11" s="27"/>
      <c r="MS11" s="42">
        <f t="shared" si="99"/>
        <v>0</v>
      </c>
      <c r="MT11" s="43">
        <f t="shared" si="100"/>
        <v>1</v>
      </c>
      <c r="MV11" s="38">
        <v>3</v>
      </c>
      <c r="MW11" s="44" t="s">
        <v>4</v>
      </c>
      <c r="MX11" s="40">
        <v>2</v>
      </c>
      <c r="MY11" s="27"/>
      <c r="MZ11" s="42">
        <f t="shared" si="101"/>
        <v>0</v>
      </c>
      <c r="NA11" s="43">
        <f t="shared" si="102"/>
        <v>1</v>
      </c>
      <c r="NC11" s="38">
        <v>3</v>
      </c>
      <c r="ND11" s="44" t="s">
        <v>4</v>
      </c>
      <c r="NE11" s="40">
        <v>0</v>
      </c>
      <c r="NF11" s="27"/>
      <c r="NG11" s="42">
        <f t="shared" si="103"/>
        <v>0</v>
      </c>
      <c r="NH11" s="43">
        <f t="shared" si="104"/>
        <v>3</v>
      </c>
      <c r="NJ11" s="38">
        <v>2</v>
      </c>
      <c r="NK11" s="44" t="s">
        <v>4</v>
      </c>
      <c r="NL11" s="40">
        <v>1</v>
      </c>
      <c r="NM11" s="27"/>
      <c r="NN11" s="42">
        <f t="shared" si="105"/>
        <v>0</v>
      </c>
      <c r="NO11" s="43">
        <f t="shared" si="106"/>
        <v>1</v>
      </c>
      <c r="NQ11" s="38">
        <v>4</v>
      </c>
      <c r="NR11" s="44" t="s">
        <v>4</v>
      </c>
      <c r="NS11" s="40">
        <v>0</v>
      </c>
      <c r="NT11" s="27"/>
      <c r="NU11" s="42">
        <f t="shared" si="107"/>
        <v>0</v>
      </c>
      <c r="NV11" s="43">
        <f t="shared" si="108"/>
        <v>4</v>
      </c>
      <c r="NX11" s="38">
        <v>3</v>
      </c>
      <c r="NY11" s="44" t="s">
        <v>4</v>
      </c>
      <c r="NZ11" s="40">
        <v>1</v>
      </c>
      <c r="OA11" s="27"/>
      <c r="OB11" s="42">
        <f t="shared" si="109"/>
        <v>0</v>
      </c>
      <c r="OC11" s="43">
        <f t="shared" si="110"/>
        <v>2</v>
      </c>
      <c r="OE11" s="38">
        <v>6</v>
      </c>
      <c r="OF11" s="44" t="s">
        <v>4</v>
      </c>
      <c r="OG11" s="40">
        <v>0</v>
      </c>
      <c r="OH11" s="27"/>
      <c r="OI11" s="42">
        <f t="shared" si="111"/>
        <v>0</v>
      </c>
      <c r="OJ11" s="43">
        <f t="shared" si="112"/>
        <v>6</v>
      </c>
      <c r="OL11" s="38">
        <v>2</v>
      </c>
      <c r="OM11" s="44" t="s">
        <v>4</v>
      </c>
      <c r="ON11" s="40">
        <v>1</v>
      </c>
      <c r="OO11" s="27"/>
      <c r="OP11" s="42">
        <f t="shared" si="113"/>
        <v>0</v>
      </c>
      <c r="OQ11" s="43">
        <f t="shared" si="114"/>
        <v>1</v>
      </c>
      <c r="OS11" s="38">
        <v>2</v>
      </c>
      <c r="OT11" s="44" t="s">
        <v>4</v>
      </c>
      <c r="OU11" s="40">
        <v>0</v>
      </c>
      <c r="OV11" s="27"/>
      <c r="OW11" s="42">
        <f t="shared" si="115"/>
        <v>0</v>
      </c>
      <c r="OX11" s="43">
        <f t="shared" si="116"/>
        <v>2</v>
      </c>
      <c r="OZ11" s="38">
        <v>2</v>
      </c>
      <c r="PA11" s="44" t="s">
        <v>4</v>
      </c>
      <c r="PB11" s="40">
        <v>1</v>
      </c>
      <c r="PC11" s="27"/>
      <c r="PD11" s="42">
        <f t="shared" si="117"/>
        <v>0</v>
      </c>
      <c r="PE11" s="43">
        <f t="shared" si="118"/>
        <v>1</v>
      </c>
      <c r="PG11" s="38">
        <v>1</v>
      </c>
      <c r="PH11" s="44" t="s">
        <v>4</v>
      </c>
      <c r="PI11" s="40">
        <v>0</v>
      </c>
      <c r="PJ11" s="27"/>
      <c r="PK11" s="42">
        <f t="shared" si="119"/>
        <v>0</v>
      </c>
      <c r="PL11" s="43">
        <f t="shared" si="120"/>
        <v>1</v>
      </c>
      <c r="PN11" s="38">
        <v>1</v>
      </c>
      <c r="PO11" s="44" t="s">
        <v>4</v>
      </c>
      <c r="PP11" s="40">
        <v>1</v>
      </c>
      <c r="PQ11" s="27"/>
      <c r="PR11" s="42">
        <f t="shared" si="121"/>
        <v>2.4000000000000004</v>
      </c>
      <c r="PS11" s="43">
        <f t="shared" si="122"/>
        <v>0</v>
      </c>
      <c r="PU11" s="38">
        <v>2</v>
      </c>
      <c r="PV11" s="44" t="s">
        <v>4</v>
      </c>
      <c r="PW11" s="40">
        <v>2</v>
      </c>
      <c r="PX11" s="27"/>
      <c r="PY11" s="42">
        <f t="shared" si="123"/>
        <v>1.6</v>
      </c>
      <c r="PZ11" s="43">
        <f t="shared" si="124"/>
        <v>0</v>
      </c>
      <c r="QB11" s="38">
        <v>3</v>
      </c>
      <c r="QC11" s="44" t="s">
        <v>4</v>
      </c>
      <c r="QD11" s="40">
        <v>1</v>
      </c>
      <c r="QE11" s="27"/>
      <c r="QF11" s="42">
        <f t="shared" si="125"/>
        <v>0</v>
      </c>
      <c r="QG11" s="43">
        <f t="shared" si="126"/>
        <v>2</v>
      </c>
      <c r="QI11" s="38">
        <v>1</v>
      </c>
      <c r="QJ11" s="44" t="s">
        <v>4</v>
      </c>
      <c r="QK11" s="40">
        <v>2</v>
      </c>
      <c r="QL11" s="27"/>
      <c r="QM11" s="42">
        <f t="shared" si="127"/>
        <v>0</v>
      </c>
      <c r="QN11" s="43">
        <f t="shared" si="128"/>
        <v>-1</v>
      </c>
      <c r="QP11" s="38">
        <v>5</v>
      </c>
      <c r="QQ11" s="44" t="s">
        <v>4</v>
      </c>
      <c r="QR11" s="40">
        <v>0</v>
      </c>
      <c r="QS11" s="27"/>
      <c r="QT11" s="42">
        <f t="shared" si="129"/>
        <v>0</v>
      </c>
      <c r="QU11" s="43">
        <f t="shared" si="130"/>
        <v>5</v>
      </c>
      <c r="QW11" s="38">
        <v>3</v>
      </c>
      <c r="QX11" s="44" t="s">
        <v>4</v>
      </c>
      <c r="QY11" s="40">
        <v>0</v>
      </c>
      <c r="QZ11" s="27"/>
      <c r="RA11" s="42">
        <f t="shared" si="131"/>
        <v>0</v>
      </c>
      <c r="RB11" s="43">
        <f t="shared" si="132"/>
        <v>3</v>
      </c>
      <c r="RD11" s="38">
        <v>2</v>
      </c>
      <c r="RE11" s="44" t="s">
        <v>4</v>
      </c>
      <c r="RF11" s="40">
        <v>3</v>
      </c>
      <c r="RG11" s="27"/>
      <c r="RH11" s="42">
        <f t="shared" si="133"/>
        <v>0</v>
      </c>
      <c r="RI11" s="43">
        <f t="shared" si="134"/>
        <v>-1</v>
      </c>
      <c r="RK11" s="38">
        <v>1</v>
      </c>
      <c r="RL11" s="44" t="s">
        <v>4</v>
      </c>
      <c r="RM11" s="40">
        <v>3</v>
      </c>
      <c r="RN11" s="27"/>
      <c r="RO11" s="42">
        <f t="shared" si="135"/>
        <v>0</v>
      </c>
      <c r="RP11" s="43">
        <f t="shared" si="136"/>
        <v>-2</v>
      </c>
      <c r="RR11" s="38">
        <v>4</v>
      </c>
      <c r="RS11" s="44" t="s">
        <v>4</v>
      </c>
      <c r="RT11" s="40">
        <v>1</v>
      </c>
      <c r="RU11" s="27"/>
      <c r="RV11" s="42">
        <f t="shared" si="137"/>
        <v>0</v>
      </c>
      <c r="RW11" s="43">
        <f t="shared" si="138"/>
        <v>3</v>
      </c>
      <c r="RY11" s="38">
        <v>4</v>
      </c>
      <c r="RZ11" s="44" t="s">
        <v>4</v>
      </c>
      <c r="SA11" s="40">
        <v>1</v>
      </c>
      <c r="SB11" s="27"/>
      <c r="SC11" s="42">
        <f t="shared" si="139"/>
        <v>0</v>
      </c>
      <c r="SD11" s="43">
        <f t="shared" si="140"/>
        <v>3</v>
      </c>
      <c r="SF11" s="38">
        <v>4</v>
      </c>
      <c r="SG11" s="44" t="s">
        <v>4</v>
      </c>
      <c r="SH11" s="40">
        <v>1</v>
      </c>
      <c r="SI11" s="27"/>
      <c r="SJ11" s="42">
        <f t="shared" si="141"/>
        <v>0</v>
      </c>
      <c r="SK11" s="43">
        <f t="shared" si="142"/>
        <v>3</v>
      </c>
      <c r="SM11" s="38">
        <v>5</v>
      </c>
      <c r="SN11" s="44" t="s">
        <v>4</v>
      </c>
      <c r="SO11" s="40">
        <v>0</v>
      </c>
      <c r="SP11" s="27"/>
      <c r="SQ11" s="42">
        <f t="shared" si="143"/>
        <v>0</v>
      </c>
      <c r="SR11" s="43">
        <f t="shared" si="144"/>
        <v>5</v>
      </c>
    </row>
    <row r="12" spans="1:512" customFormat="1" ht="16" customHeight="1" x14ac:dyDescent="0.2">
      <c r="A12" s="34">
        <v>46187</v>
      </c>
      <c r="B12" s="35">
        <v>0.125</v>
      </c>
      <c r="C12" s="79" t="s">
        <v>37</v>
      </c>
      <c r="D12" s="80" t="s">
        <v>20</v>
      </c>
      <c r="E12" s="3">
        <v>0</v>
      </c>
      <c r="F12" s="37" t="s">
        <v>4</v>
      </c>
      <c r="G12" s="4">
        <v>1</v>
      </c>
      <c r="H12" s="16">
        <v>1.6</v>
      </c>
      <c r="I12" s="32">
        <f t="shared" si="0"/>
        <v>-1</v>
      </c>
      <c r="J12" s="38">
        <v>0</v>
      </c>
      <c r="K12" s="44" t="s">
        <v>4</v>
      </c>
      <c r="L12" s="40">
        <v>4</v>
      </c>
      <c r="M12" s="27"/>
      <c r="N12" s="42">
        <f t="shared" si="1"/>
        <v>1.6</v>
      </c>
      <c r="O12" s="43">
        <f t="shared" si="2"/>
        <v>-4</v>
      </c>
      <c r="P12" s="32"/>
      <c r="Q12" s="38">
        <v>0</v>
      </c>
      <c r="R12" s="44" t="s">
        <v>4</v>
      </c>
      <c r="S12" s="40">
        <v>1</v>
      </c>
      <c r="T12" s="27"/>
      <c r="U12" s="42">
        <f t="shared" si="3"/>
        <v>2.4000000000000004</v>
      </c>
      <c r="V12" s="43">
        <f t="shared" si="4"/>
        <v>-1</v>
      </c>
      <c r="X12" s="38">
        <v>1</v>
      </c>
      <c r="Y12" s="44" t="s">
        <v>4</v>
      </c>
      <c r="Z12" s="40">
        <v>2</v>
      </c>
      <c r="AA12" s="27"/>
      <c r="AB12" s="42">
        <f t="shared" si="5"/>
        <v>1.6</v>
      </c>
      <c r="AC12" s="43">
        <f t="shared" si="6"/>
        <v>-1</v>
      </c>
      <c r="AE12" s="38">
        <v>0</v>
      </c>
      <c r="AF12" s="44" t="s">
        <v>4</v>
      </c>
      <c r="AG12" s="40">
        <v>3</v>
      </c>
      <c r="AH12" s="27"/>
      <c r="AI12" s="42">
        <f t="shared" si="7"/>
        <v>1.6</v>
      </c>
      <c r="AJ12" s="43">
        <f t="shared" si="8"/>
        <v>-3</v>
      </c>
      <c r="AL12" s="38">
        <v>0</v>
      </c>
      <c r="AM12" s="44" t="s">
        <v>4</v>
      </c>
      <c r="AN12" s="40">
        <v>2</v>
      </c>
      <c r="AO12" s="27"/>
      <c r="AP12" s="42">
        <f t="shared" si="9"/>
        <v>1.6</v>
      </c>
      <c r="AQ12" s="43">
        <f t="shared" si="10"/>
        <v>-2</v>
      </c>
      <c r="AS12" s="38">
        <v>0</v>
      </c>
      <c r="AT12" s="44" t="s">
        <v>4</v>
      </c>
      <c r="AU12" s="40">
        <v>3</v>
      </c>
      <c r="AV12" s="27"/>
      <c r="AW12" s="42">
        <f t="shared" si="11"/>
        <v>1.6</v>
      </c>
      <c r="AX12" s="43">
        <f t="shared" si="12"/>
        <v>-3</v>
      </c>
      <c r="AZ12" s="86">
        <v>0</v>
      </c>
      <c r="BA12" s="44" t="s">
        <v>4</v>
      </c>
      <c r="BB12" s="40">
        <v>1</v>
      </c>
      <c r="BC12" s="27"/>
      <c r="BD12" s="42">
        <f t="shared" si="13"/>
        <v>2.4000000000000004</v>
      </c>
      <c r="BE12" s="43">
        <f t="shared" si="14"/>
        <v>-1</v>
      </c>
      <c r="BG12" s="38">
        <v>0</v>
      </c>
      <c r="BH12" s="44" t="s">
        <v>4</v>
      </c>
      <c r="BI12" s="40">
        <v>3</v>
      </c>
      <c r="BJ12" s="27"/>
      <c r="BK12" s="42">
        <f t="shared" si="15"/>
        <v>1.6</v>
      </c>
      <c r="BL12" s="43">
        <f t="shared" si="16"/>
        <v>-3</v>
      </c>
      <c r="BN12" s="38">
        <v>1</v>
      </c>
      <c r="BO12" s="44" t="s">
        <v>4</v>
      </c>
      <c r="BP12" s="40">
        <v>3</v>
      </c>
      <c r="BQ12" s="27"/>
      <c r="BR12" s="42">
        <f t="shared" si="17"/>
        <v>1.6</v>
      </c>
      <c r="BS12" s="43">
        <f t="shared" si="18"/>
        <v>-2</v>
      </c>
      <c r="BU12" s="38">
        <v>0</v>
      </c>
      <c r="BV12" s="44" t="s">
        <v>4</v>
      </c>
      <c r="BW12" s="40">
        <v>2</v>
      </c>
      <c r="BX12" s="27"/>
      <c r="BY12" s="42">
        <f t="shared" si="19"/>
        <v>1.6</v>
      </c>
      <c r="BZ12" s="43">
        <f t="shared" si="20"/>
        <v>-2</v>
      </c>
      <c r="CB12" s="38">
        <v>1</v>
      </c>
      <c r="CC12" s="44" t="s">
        <v>4</v>
      </c>
      <c r="CD12" s="40">
        <v>2</v>
      </c>
      <c r="CE12" s="27"/>
      <c r="CF12" s="42">
        <f t="shared" si="21"/>
        <v>1.6</v>
      </c>
      <c r="CG12" s="43">
        <f t="shared" si="22"/>
        <v>-1</v>
      </c>
      <c r="CI12" s="38">
        <v>0</v>
      </c>
      <c r="CJ12" s="44" t="s">
        <v>4</v>
      </c>
      <c r="CK12" s="40">
        <v>1</v>
      </c>
      <c r="CL12" s="27"/>
      <c r="CM12" s="42">
        <f t="shared" si="23"/>
        <v>2.4000000000000004</v>
      </c>
      <c r="CN12" s="43">
        <f t="shared" si="24"/>
        <v>-1</v>
      </c>
      <c r="CP12" s="38">
        <v>3</v>
      </c>
      <c r="CQ12" s="44" t="s">
        <v>4</v>
      </c>
      <c r="CR12" s="40">
        <v>1</v>
      </c>
      <c r="CS12" s="27"/>
      <c r="CT12" s="42">
        <f t="shared" si="25"/>
        <v>0</v>
      </c>
      <c r="CU12" s="43">
        <f t="shared" si="26"/>
        <v>2</v>
      </c>
      <c r="CW12" s="38">
        <v>0</v>
      </c>
      <c r="CX12" s="44" t="s">
        <v>4</v>
      </c>
      <c r="CY12" s="40">
        <v>1</v>
      </c>
      <c r="CZ12" s="27"/>
      <c r="DA12" s="42">
        <f t="shared" si="27"/>
        <v>2.4000000000000004</v>
      </c>
      <c r="DB12" s="43">
        <f t="shared" si="28"/>
        <v>-1</v>
      </c>
      <c r="DD12" s="38">
        <v>0</v>
      </c>
      <c r="DE12" s="44" t="s">
        <v>4</v>
      </c>
      <c r="DF12" s="40">
        <v>3</v>
      </c>
      <c r="DG12" s="27"/>
      <c r="DH12" s="42">
        <f t="shared" si="29"/>
        <v>1.6</v>
      </c>
      <c r="DI12" s="43">
        <f t="shared" si="30"/>
        <v>-3</v>
      </c>
      <c r="DK12" s="38">
        <v>0</v>
      </c>
      <c r="DL12" s="44" t="s">
        <v>4</v>
      </c>
      <c r="DM12" s="40">
        <v>2</v>
      </c>
      <c r="DN12" s="27"/>
      <c r="DO12" s="42">
        <f t="shared" si="31"/>
        <v>1.6</v>
      </c>
      <c r="DP12" s="43">
        <f t="shared" si="32"/>
        <v>-2</v>
      </c>
      <c r="DR12" s="38">
        <v>1</v>
      </c>
      <c r="DS12" s="44" t="s">
        <v>4</v>
      </c>
      <c r="DT12" s="40">
        <v>3</v>
      </c>
      <c r="DU12" s="27"/>
      <c r="DV12" s="42">
        <f t="shared" si="33"/>
        <v>1.6</v>
      </c>
      <c r="DW12" s="43">
        <f t="shared" si="34"/>
        <v>-2</v>
      </c>
      <c r="DY12" s="38">
        <v>0</v>
      </c>
      <c r="DZ12" s="44" t="s">
        <v>4</v>
      </c>
      <c r="EA12" s="40">
        <v>2</v>
      </c>
      <c r="EB12" s="27"/>
      <c r="EC12" s="42">
        <f t="shared" si="35"/>
        <v>1.6</v>
      </c>
      <c r="ED12" s="43">
        <f t="shared" si="36"/>
        <v>-2</v>
      </c>
      <c r="EF12" s="38">
        <v>1</v>
      </c>
      <c r="EG12" s="44" t="s">
        <v>4</v>
      </c>
      <c r="EH12" s="40">
        <v>1</v>
      </c>
      <c r="EI12" s="27"/>
      <c r="EJ12" s="42">
        <f t="shared" si="37"/>
        <v>0</v>
      </c>
      <c r="EK12" s="43">
        <f t="shared" si="38"/>
        <v>0</v>
      </c>
      <c r="EM12" s="38">
        <v>1</v>
      </c>
      <c r="EN12" s="44" t="s">
        <v>4</v>
      </c>
      <c r="EO12" s="40">
        <v>3</v>
      </c>
      <c r="EP12" s="27"/>
      <c r="EQ12" s="42">
        <f t="shared" si="39"/>
        <v>1.6</v>
      </c>
      <c r="ER12" s="43">
        <f t="shared" si="40"/>
        <v>-2</v>
      </c>
      <c r="ET12" s="38">
        <v>1</v>
      </c>
      <c r="EU12" s="44" t="s">
        <v>4</v>
      </c>
      <c r="EV12" s="40">
        <v>2</v>
      </c>
      <c r="EW12" s="27"/>
      <c r="EX12" s="42">
        <f t="shared" si="41"/>
        <v>1.6</v>
      </c>
      <c r="EY12" s="43">
        <f t="shared" si="42"/>
        <v>-1</v>
      </c>
      <c r="FA12" s="38">
        <v>0</v>
      </c>
      <c r="FB12" s="44" t="s">
        <v>4</v>
      </c>
      <c r="FC12" s="40">
        <v>2</v>
      </c>
      <c r="FD12" s="27"/>
      <c r="FE12" s="42">
        <f t="shared" si="43"/>
        <v>1.6</v>
      </c>
      <c r="FF12" s="43">
        <f t="shared" si="44"/>
        <v>-2</v>
      </c>
      <c r="FH12" s="38">
        <v>0</v>
      </c>
      <c r="FI12" s="44" t="s">
        <v>4</v>
      </c>
      <c r="FJ12" s="40">
        <v>2</v>
      </c>
      <c r="FK12" s="27"/>
      <c r="FL12" s="42">
        <f t="shared" si="45"/>
        <v>1.6</v>
      </c>
      <c r="FM12" s="43">
        <f t="shared" si="46"/>
        <v>-2</v>
      </c>
      <c r="FO12" s="38">
        <v>0</v>
      </c>
      <c r="FP12" s="44" t="s">
        <v>4</v>
      </c>
      <c r="FQ12" s="40">
        <v>1</v>
      </c>
      <c r="FR12" s="27"/>
      <c r="FS12" s="42">
        <f t="shared" si="47"/>
        <v>2.4000000000000004</v>
      </c>
      <c r="FT12" s="43">
        <f t="shared" si="48"/>
        <v>-1</v>
      </c>
      <c r="FV12" s="38">
        <v>0</v>
      </c>
      <c r="FW12" s="44" t="s">
        <v>4</v>
      </c>
      <c r="FX12" s="40">
        <v>2</v>
      </c>
      <c r="FY12" s="27"/>
      <c r="FZ12" s="42">
        <f t="shared" si="49"/>
        <v>1.6</v>
      </c>
      <c r="GA12" s="43">
        <f t="shared" si="50"/>
        <v>-2</v>
      </c>
      <c r="GC12" s="38">
        <v>0</v>
      </c>
      <c r="GD12" s="44" t="s">
        <v>4</v>
      </c>
      <c r="GE12" s="40">
        <v>4</v>
      </c>
      <c r="GF12" s="27"/>
      <c r="GG12" s="42">
        <f t="shared" si="51"/>
        <v>1.6</v>
      </c>
      <c r="GH12" s="43">
        <f t="shared" si="52"/>
        <v>-4</v>
      </c>
      <c r="GJ12" s="38">
        <v>0</v>
      </c>
      <c r="GK12" s="44" t="s">
        <v>4</v>
      </c>
      <c r="GL12" s="40">
        <v>2</v>
      </c>
      <c r="GM12" s="27"/>
      <c r="GN12" s="42">
        <f t="shared" si="53"/>
        <v>1.6</v>
      </c>
      <c r="GO12" s="43">
        <f t="shared" si="54"/>
        <v>-2</v>
      </c>
      <c r="GQ12" s="38">
        <v>0</v>
      </c>
      <c r="GR12" s="44" t="s">
        <v>4</v>
      </c>
      <c r="GS12" s="40">
        <v>2</v>
      </c>
      <c r="GT12" s="27"/>
      <c r="GU12" s="42">
        <f t="shared" si="55"/>
        <v>1.6</v>
      </c>
      <c r="GV12" s="43">
        <f t="shared" si="56"/>
        <v>-2</v>
      </c>
      <c r="GX12" s="38">
        <v>0</v>
      </c>
      <c r="GY12" s="44" t="s">
        <v>4</v>
      </c>
      <c r="GZ12" s="40">
        <v>2</v>
      </c>
      <c r="HA12" s="27"/>
      <c r="HB12" s="42">
        <f t="shared" si="57"/>
        <v>1.6</v>
      </c>
      <c r="HC12" s="43">
        <f t="shared" si="58"/>
        <v>-2</v>
      </c>
      <c r="HE12" s="38">
        <v>1</v>
      </c>
      <c r="HF12" s="44" t="s">
        <v>4</v>
      </c>
      <c r="HG12" s="40">
        <v>1</v>
      </c>
      <c r="HH12" s="27"/>
      <c r="HI12" s="42">
        <f t="shared" si="59"/>
        <v>0</v>
      </c>
      <c r="HJ12" s="43">
        <f t="shared" si="60"/>
        <v>0</v>
      </c>
      <c r="HL12" s="38">
        <v>0</v>
      </c>
      <c r="HM12" s="44" t="s">
        <v>4</v>
      </c>
      <c r="HN12" s="40">
        <v>2</v>
      </c>
      <c r="HO12" s="27"/>
      <c r="HP12" s="42">
        <f t="shared" si="61"/>
        <v>1.6</v>
      </c>
      <c r="HQ12" s="43">
        <f t="shared" si="62"/>
        <v>-2</v>
      </c>
      <c r="HS12" s="38">
        <v>1</v>
      </c>
      <c r="HT12" s="44" t="s">
        <v>4</v>
      </c>
      <c r="HU12" s="40">
        <v>1</v>
      </c>
      <c r="HV12" s="27"/>
      <c r="HW12" s="42">
        <f t="shared" si="63"/>
        <v>0</v>
      </c>
      <c r="HX12" s="43">
        <f t="shared" si="64"/>
        <v>0</v>
      </c>
      <c r="HZ12" s="38">
        <v>0</v>
      </c>
      <c r="IA12" s="44" t="s">
        <v>4</v>
      </c>
      <c r="IB12" s="40">
        <v>3</v>
      </c>
      <c r="IC12" s="27"/>
      <c r="ID12" s="42">
        <f t="shared" si="65"/>
        <v>1.6</v>
      </c>
      <c r="IE12" s="43">
        <f t="shared" si="66"/>
        <v>-3</v>
      </c>
      <c r="IG12" s="38">
        <v>4</v>
      </c>
      <c r="IH12" s="44" t="s">
        <v>4</v>
      </c>
      <c r="II12" s="40">
        <v>4</v>
      </c>
      <c r="IJ12" s="27"/>
      <c r="IK12" s="42">
        <f t="shared" si="67"/>
        <v>0</v>
      </c>
      <c r="IL12" s="43">
        <f t="shared" si="68"/>
        <v>0</v>
      </c>
      <c r="IN12" s="38">
        <v>0</v>
      </c>
      <c r="IO12" s="44" t="s">
        <v>4</v>
      </c>
      <c r="IP12" s="40">
        <v>2</v>
      </c>
      <c r="IQ12" s="27"/>
      <c r="IR12" s="42">
        <f t="shared" si="69"/>
        <v>1.6</v>
      </c>
      <c r="IS12" s="43">
        <f t="shared" si="70"/>
        <v>-2</v>
      </c>
      <c r="IU12" s="38">
        <v>0</v>
      </c>
      <c r="IV12" s="44" t="s">
        <v>4</v>
      </c>
      <c r="IW12" s="40">
        <v>2</v>
      </c>
      <c r="IX12" s="27"/>
      <c r="IY12" s="42">
        <f t="shared" si="71"/>
        <v>1.6</v>
      </c>
      <c r="IZ12" s="43">
        <f t="shared" si="72"/>
        <v>-2</v>
      </c>
      <c r="JB12" s="38">
        <v>0</v>
      </c>
      <c r="JC12" s="44" t="s">
        <v>4</v>
      </c>
      <c r="JD12" s="40">
        <v>2</v>
      </c>
      <c r="JE12" s="27"/>
      <c r="JF12" s="42">
        <f t="shared" si="73"/>
        <v>1.6</v>
      </c>
      <c r="JG12" s="43">
        <f t="shared" si="74"/>
        <v>-2</v>
      </c>
      <c r="JI12" s="38">
        <v>0</v>
      </c>
      <c r="JJ12" s="44" t="s">
        <v>4</v>
      </c>
      <c r="JK12" s="40">
        <v>2</v>
      </c>
      <c r="JL12" s="27"/>
      <c r="JM12" s="42">
        <f t="shared" si="75"/>
        <v>1.6</v>
      </c>
      <c r="JN12" s="43">
        <f t="shared" si="76"/>
        <v>-2</v>
      </c>
      <c r="JP12" s="38">
        <v>0</v>
      </c>
      <c r="JQ12" s="44" t="s">
        <v>4</v>
      </c>
      <c r="JR12" s="40">
        <v>2</v>
      </c>
      <c r="JS12" s="27"/>
      <c r="JT12" s="42">
        <f t="shared" si="77"/>
        <v>1.6</v>
      </c>
      <c r="JU12" s="43">
        <f t="shared" si="78"/>
        <v>-2</v>
      </c>
      <c r="JW12" s="38">
        <v>0</v>
      </c>
      <c r="JX12" s="44" t="s">
        <v>4</v>
      </c>
      <c r="JY12" s="40">
        <v>2</v>
      </c>
      <c r="JZ12" s="27"/>
      <c r="KA12" s="42">
        <f t="shared" si="79"/>
        <v>1.6</v>
      </c>
      <c r="KB12" s="43">
        <f t="shared" si="80"/>
        <v>-2</v>
      </c>
      <c r="KD12" s="38">
        <v>2</v>
      </c>
      <c r="KE12" s="44" t="s">
        <v>4</v>
      </c>
      <c r="KF12" s="40">
        <v>3</v>
      </c>
      <c r="KG12" s="27"/>
      <c r="KH12" s="42">
        <f t="shared" si="81"/>
        <v>1.6</v>
      </c>
      <c r="KI12" s="43">
        <f t="shared" si="82"/>
        <v>-1</v>
      </c>
      <c r="KK12" s="38">
        <v>1</v>
      </c>
      <c r="KL12" s="44" t="s">
        <v>4</v>
      </c>
      <c r="KM12" s="40">
        <v>1</v>
      </c>
      <c r="KN12" s="27"/>
      <c r="KO12" s="42">
        <f t="shared" si="83"/>
        <v>0</v>
      </c>
      <c r="KP12" s="43">
        <f t="shared" si="84"/>
        <v>0</v>
      </c>
      <c r="KR12" s="38">
        <v>0</v>
      </c>
      <c r="KS12" s="44" t="s">
        <v>4</v>
      </c>
      <c r="KT12" s="40">
        <v>1</v>
      </c>
      <c r="KU12" s="27"/>
      <c r="KV12" s="42">
        <f t="shared" si="85"/>
        <v>2.4000000000000004</v>
      </c>
      <c r="KW12" s="43">
        <f t="shared" si="86"/>
        <v>-1</v>
      </c>
      <c r="KY12" s="38">
        <v>1</v>
      </c>
      <c r="KZ12" s="44" t="s">
        <v>4</v>
      </c>
      <c r="LA12" s="40">
        <v>2</v>
      </c>
      <c r="LB12" s="27"/>
      <c r="LC12" s="42">
        <f t="shared" si="87"/>
        <v>1.6</v>
      </c>
      <c r="LD12" s="43">
        <f t="shared" si="88"/>
        <v>-1</v>
      </c>
      <c r="LF12" s="38">
        <v>1</v>
      </c>
      <c r="LG12" s="44" t="s">
        <v>4</v>
      </c>
      <c r="LH12" s="40">
        <v>2</v>
      </c>
      <c r="LI12" s="27"/>
      <c r="LJ12" s="42">
        <f t="shared" si="89"/>
        <v>1.6</v>
      </c>
      <c r="LK12" s="43">
        <f t="shared" si="90"/>
        <v>-1</v>
      </c>
      <c r="LM12" s="38">
        <v>0</v>
      </c>
      <c r="LN12" s="44" t="s">
        <v>4</v>
      </c>
      <c r="LO12" s="40">
        <v>2</v>
      </c>
      <c r="LP12" s="27"/>
      <c r="LQ12" s="42">
        <f t="shared" si="91"/>
        <v>1.6</v>
      </c>
      <c r="LR12" s="43">
        <f t="shared" si="92"/>
        <v>-2</v>
      </c>
      <c r="LT12" s="38">
        <v>0</v>
      </c>
      <c r="LU12" s="44" t="s">
        <v>4</v>
      </c>
      <c r="LV12" s="40">
        <v>2</v>
      </c>
      <c r="LW12" s="27"/>
      <c r="LX12" s="42">
        <f t="shared" si="93"/>
        <v>1.6</v>
      </c>
      <c r="LY12" s="43">
        <f t="shared" si="94"/>
        <v>-2</v>
      </c>
      <c r="MA12" s="38">
        <v>0</v>
      </c>
      <c r="MB12" s="44" t="s">
        <v>4</v>
      </c>
      <c r="MC12" s="40">
        <v>3</v>
      </c>
      <c r="MD12" s="27"/>
      <c r="ME12" s="42">
        <f t="shared" si="95"/>
        <v>1.6</v>
      </c>
      <c r="MF12" s="43">
        <f t="shared" si="96"/>
        <v>-3</v>
      </c>
      <c r="MH12" s="38">
        <v>1</v>
      </c>
      <c r="MI12" s="44" t="s">
        <v>4</v>
      </c>
      <c r="MJ12" s="40">
        <v>2</v>
      </c>
      <c r="MK12" s="27"/>
      <c r="ML12" s="42">
        <f t="shared" si="97"/>
        <v>1.6</v>
      </c>
      <c r="MM12" s="43">
        <f t="shared" si="98"/>
        <v>-1</v>
      </c>
      <c r="MO12" s="38">
        <v>0</v>
      </c>
      <c r="MP12" s="44" t="s">
        <v>4</v>
      </c>
      <c r="MQ12" s="40">
        <v>0</v>
      </c>
      <c r="MR12" s="27"/>
      <c r="MS12" s="42">
        <f t="shared" si="99"/>
        <v>0</v>
      </c>
      <c r="MT12" s="43">
        <f t="shared" si="100"/>
        <v>0</v>
      </c>
      <c r="MV12" s="38">
        <v>0</v>
      </c>
      <c r="MW12" s="44" t="s">
        <v>4</v>
      </c>
      <c r="MX12" s="40">
        <v>2</v>
      </c>
      <c r="MY12" s="27"/>
      <c r="MZ12" s="42">
        <f t="shared" si="101"/>
        <v>1.6</v>
      </c>
      <c r="NA12" s="43">
        <f t="shared" si="102"/>
        <v>-2</v>
      </c>
      <c r="NC12" s="38">
        <v>2</v>
      </c>
      <c r="ND12" s="44" t="s">
        <v>4</v>
      </c>
      <c r="NE12" s="40">
        <v>1</v>
      </c>
      <c r="NF12" s="27"/>
      <c r="NG12" s="42">
        <f t="shared" si="103"/>
        <v>0</v>
      </c>
      <c r="NH12" s="43">
        <f t="shared" si="104"/>
        <v>1</v>
      </c>
      <c r="NJ12" s="38">
        <v>3</v>
      </c>
      <c r="NK12" s="44" t="s">
        <v>4</v>
      </c>
      <c r="NL12" s="40">
        <v>0</v>
      </c>
      <c r="NM12" s="27"/>
      <c r="NN12" s="42">
        <f t="shared" si="105"/>
        <v>0</v>
      </c>
      <c r="NO12" s="43">
        <f t="shared" si="106"/>
        <v>3</v>
      </c>
      <c r="NQ12" s="38">
        <v>0</v>
      </c>
      <c r="NR12" s="44" t="s">
        <v>4</v>
      </c>
      <c r="NS12" s="40">
        <v>3</v>
      </c>
      <c r="NT12" s="27"/>
      <c r="NU12" s="42">
        <f t="shared" si="107"/>
        <v>1.6</v>
      </c>
      <c r="NV12" s="43">
        <f t="shared" si="108"/>
        <v>-3</v>
      </c>
      <c r="NX12" s="38">
        <v>0</v>
      </c>
      <c r="NY12" s="44" t="s">
        <v>4</v>
      </c>
      <c r="NZ12" s="40">
        <v>2</v>
      </c>
      <c r="OA12" s="27"/>
      <c r="OB12" s="42">
        <f t="shared" si="109"/>
        <v>1.6</v>
      </c>
      <c r="OC12" s="43">
        <f t="shared" si="110"/>
        <v>-2</v>
      </c>
      <c r="OE12" s="38">
        <v>0</v>
      </c>
      <c r="OF12" s="44" t="s">
        <v>4</v>
      </c>
      <c r="OG12" s="40">
        <v>3</v>
      </c>
      <c r="OH12" s="27"/>
      <c r="OI12" s="42">
        <f t="shared" si="111"/>
        <v>1.6</v>
      </c>
      <c r="OJ12" s="43">
        <f t="shared" si="112"/>
        <v>-3</v>
      </c>
      <c r="OL12" s="38">
        <v>0</v>
      </c>
      <c r="OM12" s="44" t="s">
        <v>4</v>
      </c>
      <c r="ON12" s="40">
        <v>2</v>
      </c>
      <c r="OO12" s="27"/>
      <c r="OP12" s="42">
        <f t="shared" si="113"/>
        <v>1.6</v>
      </c>
      <c r="OQ12" s="43">
        <f t="shared" si="114"/>
        <v>-2</v>
      </c>
      <c r="OS12" s="38">
        <v>0</v>
      </c>
      <c r="OT12" s="44" t="s">
        <v>4</v>
      </c>
      <c r="OU12" s="40">
        <v>1</v>
      </c>
      <c r="OV12" s="27"/>
      <c r="OW12" s="42">
        <f t="shared" si="115"/>
        <v>2.4000000000000004</v>
      </c>
      <c r="OX12" s="43">
        <f t="shared" si="116"/>
        <v>-1</v>
      </c>
      <c r="OZ12" s="38">
        <v>0</v>
      </c>
      <c r="PA12" s="44" t="s">
        <v>4</v>
      </c>
      <c r="PB12" s="40">
        <v>4</v>
      </c>
      <c r="PC12" s="27"/>
      <c r="PD12" s="42">
        <f t="shared" si="117"/>
        <v>1.6</v>
      </c>
      <c r="PE12" s="43">
        <f t="shared" si="118"/>
        <v>-4</v>
      </c>
      <c r="PG12" s="38">
        <v>0</v>
      </c>
      <c r="PH12" s="44" t="s">
        <v>4</v>
      </c>
      <c r="PI12" s="40">
        <v>2</v>
      </c>
      <c r="PJ12" s="27"/>
      <c r="PK12" s="42">
        <f t="shared" si="119"/>
        <v>1.6</v>
      </c>
      <c r="PL12" s="43">
        <f t="shared" si="120"/>
        <v>-2</v>
      </c>
      <c r="PN12" s="38">
        <v>1</v>
      </c>
      <c r="PO12" s="44" t="s">
        <v>4</v>
      </c>
      <c r="PP12" s="40">
        <v>2</v>
      </c>
      <c r="PQ12" s="27"/>
      <c r="PR12" s="42">
        <f t="shared" si="121"/>
        <v>1.6</v>
      </c>
      <c r="PS12" s="43">
        <f t="shared" si="122"/>
        <v>-1</v>
      </c>
      <c r="PU12" s="38">
        <v>1</v>
      </c>
      <c r="PV12" s="44" t="s">
        <v>4</v>
      </c>
      <c r="PW12" s="40">
        <v>3</v>
      </c>
      <c r="PX12" s="27"/>
      <c r="PY12" s="42">
        <f t="shared" si="123"/>
        <v>1.6</v>
      </c>
      <c r="PZ12" s="43">
        <f t="shared" si="124"/>
        <v>-2</v>
      </c>
      <c r="QB12" s="38">
        <v>0</v>
      </c>
      <c r="QC12" s="44" t="s">
        <v>4</v>
      </c>
      <c r="QD12" s="40">
        <v>2</v>
      </c>
      <c r="QE12" s="27"/>
      <c r="QF12" s="42">
        <f t="shared" si="125"/>
        <v>1.6</v>
      </c>
      <c r="QG12" s="43">
        <f t="shared" si="126"/>
        <v>-2</v>
      </c>
      <c r="QI12" s="38">
        <v>0</v>
      </c>
      <c r="QJ12" s="44" t="s">
        <v>4</v>
      </c>
      <c r="QK12" s="40">
        <v>3</v>
      </c>
      <c r="QL12" s="27"/>
      <c r="QM12" s="42">
        <f t="shared" si="127"/>
        <v>1.6</v>
      </c>
      <c r="QN12" s="43">
        <f t="shared" si="128"/>
        <v>-3</v>
      </c>
      <c r="QP12" s="38">
        <v>0</v>
      </c>
      <c r="QQ12" s="44" t="s">
        <v>4</v>
      </c>
      <c r="QR12" s="40">
        <v>2</v>
      </c>
      <c r="QS12" s="27"/>
      <c r="QT12" s="42">
        <f t="shared" si="129"/>
        <v>1.6</v>
      </c>
      <c r="QU12" s="43">
        <f t="shared" si="130"/>
        <v>-2</v>
      </c>
      <c r="QW12" s="38">
        <v>1</v>
      </c>
      <c r="QX12" s="44" t="s">
        <v>4</v>
      </c>
      <c r="QY12" s="40">
        <v>1</v>
      </c>
      <c r="QZ12" s="27"/>
      <c r="RA12" s="42">
        <f t="shared" si="131"/>
        <v>0</v>
      </c>
      <c r="RB12" s="43">
        <f t="shared" si="132"/>
        <v>0</v>
      </c>
      <c r="RD12" s="38">
        <v>0</v>
      </c>
      <c r="RE12" s="44" t="s">
        <v>4</v>
      </c>
      <c r="RF12" s="40">
        <v>5</v>
      </c>
      <c r="RG12" s="27"/>
      <c r="RH12" s="42">
        <f t="shared" si="133"/>
        <v>1.6</v>
      </c>
      <c r="RI12" s="43">
        <f t="shared" si="134"/>
        <v>-5</v>
      </c>
      <c r="RK12" s="38">
        <v>0</v>
      </c>
      <c r="RL12" s="44" t="s">
        <v>4</v>
      </c>
      <c r="RM12" s="40">
        <v>1</v>
      </c>
      <c r="RN12" s="27"/>
      <c r="RO12" s="42">
        <f t="shared" si="135"/>
        <v>2.4000000000000004</v>
      </c>
      <c r="RP12" s="43">
        <f t="shared" si="136"/>
        <v>-1</v>
      </c>
      <c r="RR12" s="38">
        <v>0</v>
      </c>
      <c r="RS12" s="44" t="s">
        <v>4</v>
      </c>
      <c r="RT12" s="40">
        <v>2</v>
      </c>
      <c r="RU12" s="27"/>
      <c r="RV12" s="42">
        <f t="shared" si="137"/>
        <v>1.6</v>
      </c>
      <c r="RW12" s="43">
        <f t="shared" si="138"/>
        <v>-2</v>
      </c>
      <c r="RY12" s="38">
        <v>0</v>
      </c>
      <c r="RZ12" s="44" t="s">
        <v>4</v>
      </c>
      <c r="SA12" s="40">
        <v>2</v>
      </c>
      <c r="SB12" s="27"/>
      <c r="SC12" s="42">
        <f t="shared" si="139"/>
        <v>1.6</v>
      </c>
      <c r="SD12" s="43">
        <f t="shared" si="140"/>
        <v>-2</v>
      </c>
      <c r="SF12" s="38">
        <v>0</v>
      </c>
      <c r="SG12" s="44" t="s">
        <v>4</v>
      </c>
      <c r="SH12" s="40">
        <v>2</v>
      </c>
      <c r="SI12" s="27"/>
      <c r="SJ12" s="42">
        <f t="shared" si="141"/>
        <v>1.6</v>
      </c>
      <c r="SK12" s="43">
        <f t="shared" si="142"/>
        <v>-2</v>
      </c>
      <c r="SM12" s="38">
        <v>1</v>
      </c>
      <c r="SN12" s="44" t="s">
        <v>4</v>
      </c>
      <c r="SO12" s="40">
        <v>3</v>
      </c>
      <c r="SP12" s="27"/>
      <c r="SQ12" s="42">
        <f t="shared" si="143"/>
        <v>1.6</v>
      </c>
      <c r="SR12" s="43">
        <f t="shared" si="144"/>
        <v>-2</v>
      </c>
    </row>
    <row r="13" spans="1:512" customFormat="1" ht="16" customHeight="1" x14ac:dyDescent="0.2">
      <c r="A13" s="34">
        <v>46187</v>
      </c>
      <c r="B13" s="35">
        <v>0.25</v>
      </c>
      <c r="C13" s="79" t="s">
        <v>38</v>
      </c>
      <c r="D13" s="80" t="s">
        <v>25</v>
      </c>
      <c r="E13" s="3">
        <v>2</v>
      </c>
      <c r="F13" s="37" t="s">
        <v>4</v>
      </c>
      <c r="G13" s="4">
        <v>0</v>
      </c>
      <c r="H13" s="16">
        <v>1.6</v>
      </c>
      <c r="I13" s="32">
        <f t="shared" si="0"/>
        <v>2</v>
      </c>
      <c r="J13" s="38">
        <v>1</v>
      </c>
      <c r="K13" s="44" t="s">
        <v>4</v>
      </c>
      <c r="L13" s="40">
        <v>2</v>
      </c>
      <c r="M13" s="27"/>
      <c r="N13" s="42">
        <f t="shared" si="1"/>
        <v>0</v>
      </c>
      <c r="O13" s="43">
        <f t="shared" si="2"/>
        <v>-1</v>
      </c>
      <c r="P13" s="32"/>
      <c r="Q13" s="38">
        <v>1</v>
      </c>
      <c r="R13" s="44" t="s">
        <v>4</v>
      </c>
      <c r="S13" s="40">
        <v>3</v>
      </c>
      <c r="T13" s="27"/>
      <c r="U13" s="42">
        <f t="shared" si="3"/>
        <v>0</v>
      </c>
      <c r="V13" s="43">
        <f t="shared" si="4"/>
        <v>-2</v>
      </c>
      <c r="X13" s="38">
        <v>0</v>
      </c>
      <c r="Y13" s="44" t="s">
        <v>4</v>
      </c>
      <c r="Z13" s="40">
        <v>1</v>
      </c>
      <c r="AA13" s="27"/>
      <c r="AB13" s="42">
        <f t="shared" si="5"/>
        <v>0</v>
      </c>
      <c r="AC13" s="43">
        <f t="shared" si="6"/>
        <v>-1</v>
      </c>
      <c r="AE13" s="38">
        <v>1</v>
      </c>
      <c r="AF13" s="44" t="s">
        <v>4</v>
      </c>
      <c r="AG13" s="40">
        <v>1</v>
      </c>
      <c r="AH13" s="27"/>
      <c r="AI13" s="42">
        <f t="shared" si="7"/>
        <v>0</v>
      </c>
      <c r="AJ13" s="43">
        <f t="shared" si="8"/>
        <v>0</v>
      </c>
      <c r="AL13" s="38">
        <v>1</v>
      </c>
      <c r="AM13" s="44" t="s">
        <v>4</v>
      </c>
      <c r="AN13" s="40">
        <v>2</v>
      </c>
      <c r="AO13" s="27"/>
      <c r="AP13" s="42">
        <f t="shared" si="9"/>
        <v>0</v>
      </c>
      <c r="AQ13" s="43">
        <f t="shared" si="10"/>
        <v>-1</v>
      </c>
      <c r="AS13" s="38">
        <v>0</v>
      </c>
      <c r="AT13" s="44" t="s">
        <v>4</v>
      </c>
      <c r="AU13" s="40">
        <v>2</v>
      </c>
      <c r="AV13" s="27"/>
      <c r="AW13" s="42">
        <f t="shared" si="11"/>
        <v>0</v>
      </c>
      <c r="AX13" s="43">
        <f t="shared" si="12"/>
        <v>-2</v>
      </c>
      <c r="AZ13" s="86">
        <v>1</v>
      </c>
      <c r="BA13" s="44" t="s">
        <v>4</v>
      </c>
      <c r="BB13" s="40">
        <v>1</v>
      </c>
      <c r="BC13" s="27"/>
      <c r="BD13" s="42">
        <f t="shared" si="13"/>
        <v>0</v>
      </c>
      <c r="BE13" s="43">
        <f t="shared" si="14"/>
        <v>0</v>
      </c>
      <c r="BG13" s="38">
        <v>1</v>
      </c>
      <c r="BH13" s="44" t="s">
        <v>4</v>
      </c>
      <c r="BI13" s="40">
        <v>1</v>
      </c>
      <c r="BJ13" s="27"/>
      <c r="BK13" s="42">
        <f t="shared" si="15"/>
        <v>0</v>
      </c>
      <c r="BL13" s="43">
        <f t="shared" si="16"/>
        <v>0</v>
      </c>
      <c r="BN13" s="38">
        <v>1</v>
      </c>
      <c r="BO13" s="44" t="s">
        <v>4</v>
      </c>
      <c r="BP13" s="40">
        <v>3</v>
      </c>
      <c r="BQ13" s="27"/>
      <c r="BR13" s="42">
        <f t="shared" si="17"/>
        <v>0</v>
      </c>
      <c r="BS13" s="43">
        <f t="shared" si="18"/>
        <v>-2</v>
      </c>
      <c r="BU13" s="38">
        <v>1</v>
      </c>
      <c r="BV13" s="44" t="s">
        <v>4</v>
      </c>
      <c r="BW13" s="40">
        <v>0</v>
      </c>
      <c r="BX13" s="27"/>
      <c r="BY13" s="42">
        <f t="shared" si="19"/>
        <v>1.6</v>
      </c>
      <c r="BZ13" s="43">
        <f t="shared" si="20"/>
        <v>1</v>
      </c>
      <c r="CB13" s="38">
        <v>1</v>
      </c>
      <c r="CC13" s="44" t="s">
        <v>4</v>
      </c>
      <c r="CD13" s="40">
        <v>3</v>
      </c>
      <c r="CE13" s="27"/>
      <c r="CF13" s="42">
        <f t="shared" si="21"/>
        <v>0</v>
      </c>
      <c r="CG13" s="43">
        <f t="shared" si="22"/>
        <v>-2</v>
      </c>
      <c r="CI13" s="38">
        <v>1</v>
      </c>
      <c r="CJ13" s="44" t="s">
        <v>4</v>
      </c>
      <c r="CK13" s="40">
        <v>2</v>
      </c>
      <c r="CL13" s="27"/>
      <c r="CM13" s="42">
        <f t="shared" si="23"/>
        <v>0</v>
      </c>
      <c r="CN13" s="43">
        <f t="shared" si="24"/>
        <v>-1</v>
      </c>
      <c r="CP13" s="38">
        <v>1</v>
      </c>
      <c r="CQ13" s="44" t="s">
        <v>4</v>
      </c>
      <c r="CR13" s="40">
        <v>2</v>
      </c>
      <c r="CS13" s="27"/>
      <c r="CT13" s="42">
        <f t="shared" si="25"/>
        <v>0</v>
      </c>
      <c r="CU13" s="43">
        <f t="shared" si="26"/>
        <v>-1</v>
      </c>
      <c r="CW13" s="38">
        <v>1</v>
      </c>
      <c r="CX13" s="44" t="s">
        <v>4</v>
      </c>
      <c r="CY13" s="40">
        <v>2</v>
      </c>
      <c r="CZ13" s="27"/>
      <c r="DA13" s="42">
        <f t="shared" si="27"/>
        <v>0</v>
      </c>
      <c r="DB13" s="43">
        <f t="shared" si="28"/>
        <v>-1</v>
      </c>
      <c r="DD13" s="38">
        <v>1</v>
      </c>
      <c r="DE13" s="44" t="s">
        <v>4</v>
      </c>
      <c r="DF13" s="40">
        <v>1</v>
      </c>
      <c r="DG13" s="27"/>
      <c r="DH13" s="42">
        <f t="shared" si="29"/>
        <v>0</v>
      </c>
      <c r="DI13" s="43">
        <f t="shared" si="30"/>
        <v>0</v>
      </c>
      <c r="DK13" s="38">
        <v>1</v>
      </c>
      <c r="DL13" s="44" t="s">
        <v>4</v>
      </c>
      <c r="DM13" s="40">
        <v>1</v>
      </c>
      <c r="DN13" s="27"/>
      <c r="DO13" s="42">
        <f t="shared" si="31"/>
        <v>0</v>
      </c>
      <c r="DP13" s="43">
        <f t="shared" si="32"/>
        <v>0</v>
      </c>
      <c r="DR13" s="38">
        <v>0</v>
      </c>
      <c r="DS13" s="44" t="s">
        <v>4</v>
      </c>
      <c r="DT13" s="40">
        <v>1</v>
      </c>
      <c r="DU13" s="27"/>
      <c r="DV13" s="42">
        <f t="shared" si="33"/>
        <v>0</v>
      </c>
      <c r="DW13" s="43">
        <f t="shared" si="34"/>
        <v>-1</v>
      </c>
      <c r="DY13" s="38">
        <v>1</v>
      </c>
      <c r="DZ13" s="44" t="s">
        <v>4</v>
      </c>
      <c r="EA13" s="40">
        <v>1</v>
      </c>
      <c r="EB13" s="27"/>
      <c r="EC13" s="42">
        <f t="shared" si="35"/>
        <v>0</v>
      </c>
      <c r="ED13" s="43">
        <f t="shared" si="36"/>
        <v>0</v>
      </c>
      <c r="EF13" s="38">
        <v>1</v>
      </c>
      <c r="EG13" s="44" t="s">
        <v>4</v>
      </c>
      <c r="EH13" s="40">
        <v>2</v>
      </c>
      <c r="EI13" s="27"/>
      <c r="EJ13" s="42">
        <f t="shared" si="37"/>
        <v>0</v>
      </c>
      <c r="EK13" s="43">
        <f t="shared" si="38"/>
        <v>-1</v>
      </c>
      <c r="EM13" s="38">
        <v>1</v>
      </c>
      <c r="EN13" s="44" t="s">
        <v>4</v>
      </c>
      <c r="EO13" s="40">
        <v>4</v>
      </c>
      <c r="EP13" s="27"/>
      <c r="EQ13" s="42">
        <f t="shared" si="39"/>
        <v>0</v>
      </c>
      <c r="ER13" s="43">
        <f t="shared" si="40"/>
        <v>-3</v>
      </c>
      <c r="ET13" s="38">
        <v>0</v>
      </c>
      <c r="EU13" s="44" t="s">
        <v>4</v>
      </c>
      <c r="EV13" s="40">
        <v>2</v>
      </c>
      <c r="EW13" s="27"/>
      <c r="EX13" s="42">
        <f t="shared" si="41"/>
        <v>0</v>
      </c>
      <c r="EY13" s="43">
        <f t="shared" si="42"/>
        <v>-2</v>
      </c>
      <c r="FA13" s="38">
        <v>1</v>
      </c>
      <c r="FB13" s="44" t="s">
        <v>4</v>
      </c>
      <c r="FC13" s="40">
        <v>2</v>
      </c>
      <c r="FD13" s="27"/>
      <c r="FE13" s="42">
        <f t="shared" si="43"/>
        <v>0</v>
      </c>
      <c r="FF13" s="43">
        <f t="shared" si="44"/>
        <v>-1</v>
      </c>
      <c r="FH13" s="38">
        <v>1</v>
      </c>
      <c r="FI13" s="44" t="s">
        <v>4</v>
      </c>
      <c r="FJ13" s="40">
        <v>1</v>
      </c>
      <c r="FK13" s="27"/>
      <c r="FL13" s="42">
        <f t="shared" si="45"/>
        <v>0</v>
      </c>
      <c r="FM13" s="43">
        <f t="shared" si="46"/>
        <v>0</v>
      </c>
      <c r="FO13" s="38">
        <v>1</v>
      </c>
      <c r="FP13" s="44" t="s">
        <v>4</v>
      </c>
      <c r="FQ13" s="40">
        <v>2</v>
      </c>
      <c r="FR13" s="27"/>
      <c r="FS13" s="42">
        <f t="shared" si="47"/>
        <v>0</v>
      </c>
      <c r="FT13" s="43">
        <f t="shared" si="48"/>
        <v>-1</v>
      </c>
      <c r="FV13" s="38">
        <v>1</v>
      </c>
      <c r="FW13" s="44" t="s">
        <v>4</v>
      </c>
      <c r="FX13" s="40">
        <v>2</v>
      </c>
      <c r="FY13" s="27"/>
      <c r="FZ13" s="42">
        <f t="shared" si="49"/>
        <v>0</v>
      </c>
      <c r="GA13" s="43">
        <f t="shared" si="50"/>
        <v>-1</v>
      </c>
      <c r="GC13" s="38">
        <v>2</v>
      </c>
      <c r="GD13" s="44" t="s">
        <v>4</v>
      </c>
      <c r="GE13" s="40">
        <v>1</v>
      </c>
      <c r="GF13" s="27"/>
      <c r="GG13" s="42">
        <f t="shared" si="51"/>
        <v>1.6</v>
      </c>
      <c r="GH13" s="43">
        <f t="shared" si="52"/>
        <v>1</v>
      </c>
      <c r="GJ13" s="38">
        <v>1</v>
      </c>
      <c r="GK13" s="44" t="s">
        <v>4</v>
      </c>
      <c r="GL13" s="40">
        <v>1</v>
      </c>
      <c r="GM13" s="27"/>
      <c r="GN13" s="42">
        <f t="shared" si="53"/>
        <v>0</v>
      </c>
      <c r="GO13" s="43">
        <f t="shared" si="54"/>
        <v>0</v>
      </c>
      <c r="GQ13" s="38">
        <v>1</v>
      </c>
      <c r="GR13" s="44" t="s">
        <v>4</v>
      </c>
      <c r="GS13" s="40">
        <v>1</v>
      </c>
      <c r="GT13" s="27"/>
      <c r="GU13" s="42">
        <f t="shared" si="55"/>
        <v>0</v>
      </c>
      <c r="GV13" s="43">
        <f t="shared" si="56"/>
        <v>0</v>
      </c>
      <c r="GX13" s="38">
        <v>1</v>
      </c>
      <c r="GY13" s="44" t="s">
        <v>4</v>
      </c>
      <c r="GZ13" s="40">
        <v>3</v>
      </c>
      <c r="HA13" s="27"/>
      <c r="HB13" s="42">
        <f t="shared" si="57"/>
        <v>0</v>
      </c>
      <c r="HC13" s="43">
        <f t="shared" si="58"/>
        <v>-2</v>
      </c>
      <c r="HE13" s="38">
        <v>0</v>
      </c>
      <c r="HF13" s="44" t="s">
        <v>4</v>
      </c>
      <c r="HG13" s="40">
        <v>3</v>
      </c>
      <c r="HH13" s="27"/>
      <c r="HI13" s="42">
        <f t="shared" si="59"/>
        <v>0</v>
      </c>
      <c r="HJ13" s="43">
        <f t="shared" si="60"/>
        <v>-3</v>
      </c>
      <c r="HL13" s="38">
        <v>0</v>
      </c>
      <c r="HM13" s="44" t="s">
        <v>4</v>
      </c>
      <c r="HN13" s="40">
        <v>3</v>
      </c>
      <c r="HO13" s="27"/>
      <c r="HP13" s="42">
        <f t="shared" si="61"/>
        <v>0</v>
      </c>
      <c r="HQ13" s="43">
        <f t="shared" si="62"/>
        <v>-3</v>
      </c>
      <c r="HS13" s="38">
        <v>1</v>
      </c>
      <c r="HT13" s="44" t="s">
        <v>4</v>
      </c>
      <c r="HU13" s="40">
        <v>2</v>
      </c>
      <c r="HV13" s="27"/>
      <c r="HW13" s="42">
        <f t="shared" si="63"/>
        <v>0</v>
      </c>
      <c r="HX13" s="43">
        <f t="shared" si="64"/>
        <v>-1</v>
      </c>
      <c r="HZ13" s="38">
        <v>1</v>
      </c>
      <c r="IA13" s="44" t="s">
        <v>4</v>
      </c>
      <c r="IB13" s="40">
        <v>3</v>
      </c>
      <c r="IC13" s="27"/>
      <c r="ID13" s="42">
        <f t="shared" si="65"/>
        <v>0</v>
      </c>
      <c r="IE13" s="43">
        <f t="shared" si="66"/>
        <v>-2</v>
      </c>
      <c r="IG13" s="38">
        <v>1</v>
      </c>
      <c r="IH13" s="44" t="s">
        <v>4</v>
      </c>
      <c r="II13" s="40">
        <v>4</v>
      </c>
      <c r="IJ13" s="27"/>
      <c r="IK13" s="42">
        <f t="shared" si="67"/>
        <v>0</v>
      </c>
      <c r="IL13" s="43">
        <f t="shared" si="68"/>
        <v>-3</v>
      </c>
      <c r="IN13" s="38">
        <v>0</v>
      </c>
      <c r="IO13" s="44" t="s">
        <v>4</v>
      </c>
      <c r="IP13" s="40">
        <v>4</v>
      </c>
      <c r="IQ13" s="27"/>
      <c r="IR13" s="42">
        <f t="shared" si="69"/>
        <v>0</v>
      </c>
      <c r="IS13" s="43">
        <f t="shared" si="70"/>
        <v>-4</v>
      </c>
      <c r="IU13" s="38">
        <v>2</v>
      </c>
      <c r="IV13" s="44" t="s">
        <v>4</v>
      </c>
      <c r="IW13" s="40">
        <v>0</v>
      </c>
      <c r="IX13" s="27"/>
      <c r="IY13" s="42">
        <f t="shared" si="71"/>
        <v>2.4000000000000004</v>
      </c>
      <c r="IZ13" s="43">
        <f t="shared" si="72"/>
        <v>2</v>
      </c>
      <c r="JB13" s="38">
        <v>1</v>
      </c>
      <c r="JC13" s="44" t="s">
        <v>4</v>
      </c>
      <c r="JD13" s="40">
        <v>1</v>
      </c>
      <c r="JE13" s="27"/>
      <c r="JF13" s="42">
        <f t="shared" si="73"/>
        <v>0</v>
      </c>
      <c r="JG13" s="43">
        <f t="shared" si="74"/>
        <v>0</v>
      </c>
      <c r="JI13" s="38">
        <v>1</v>
      </c>
      <c r="JJ13" s="44" t="s">
        <v>4</v>
      </c>
      <c r="JK13" s="40">
        <v>3</v>
      </c>
      <c r="JL13" s="27"/>
      <c r="JM13" s="42">
        <f t="shared" si="75"/>
        <v>0</v>
      </c>
      <c r="JN13" s="43">
        <f t="shared" si="76"/>
        <v>-2</v>
      </c>
      <c r="JP13" s="38">
        <v>1</v>
      </c>
      <c r="JQ13" s="44" t="s">
        <v>4</v>
      </c>
      <c r="JR13" s="40">
        <v>4</v>
      </c>
      <c r="JS13" s="27"/>
      <c r="JT13" s="42">
        <f t="shared" si="77"/>
        <v>0</v>
      </c>
      <c r="JU13" s="43">
        <f t="shared" si="78"/>
        <v>-3</v>
      </c>
      <c r="JW13" s="38">
        <v>2</v>
      </c>
      <c r="JX13" s="44" t="s">
        <v>4</v>
      </c>
      <c r="JY13" s="40">
        <v>3</v>
      </c>
      <c r="JZ13" s="27"/>
      <c r="KA13" s="42">
        <f t="shared" si="79"/>
        <v>0</v>
      </c>
      <c r="KB13" s="43">
        <f t="shared" si="80"/>
        <v>-1</v>
      </c>
      <c r="KD13" s="38">
        <v>2</v>
      </c>
      <c r="KE13" s="44" t="s">
        <v>4</v>
      </c>
      <c r="KF13" s="40">
        <v>1</v>
      </c>
      <c r="KG13" s="27"/>
      <c r="KH13" s="42">
        <f t="shared" si="81"/>
        <v>1.6</v>
      </c>
      <c r="KI13" s="43">
        <f t="shared" si="82"/>
        <v>1</v>
      </c>
      <c r="KK13" s="38">
        <v>0</v>
      </c>
      <c r="KL13" s="44" t="s">
        <v>4</v>
      </c>
      <c r="KM13" s="40">
        <v>1</v>
      </c>
      <c r="KN13" s="27"/>
      <c r="KO13" s="42">
        <f t="shared" si="83"/>
        <v>0</v>
      </c>
      <c r="KP13" s="43">
        <f t="shared" si="84"/>
        <v>-1</v>
      </c>
      <c r="KR13" s="38">
        <v>0</v>
      </c>
      <c r="KS13" s="44" t="s">
        <v>4</v>
      </c>
      <c r="KT13" s="40">
        <v>3</v>
      </c>
      <c r="KU13" s="27"/>
      <c r="KV13" s="42">
        <f t="shared" si="85"/>
        <v>0</v>
      </c>
      <c r="KW13" s="43">
        <f t="shared" si="86"/>
        <v>-3</v>
      </c>
      <c r="KY13" s="38">
        <v>1</v>
      </c>
      <c r="KZ13" s="44" t="s">
        <v>4</v>
      </c>
      <c r="LA13" s="40">
        <v>2</v>
      </c>
      <c r="LB13" s="27"/>
      <c r="LC13" s="42">
        <f t="shared" si="87"/>
        <v>0</v>
      </c>
      <c r="LD13" s="43">
        <f t="shared" si="88"/>
        <v>-1</v>
      </c>
      <c r="LF13" s="38">
        <v>1</v>
      </c>
      <c r="LG13" s="44" t="s">
        <v>4</v>
      </c>
      <c r="LH13" s="40">
        <v>3</v>
      </c>
      <c r="LI13" s="27"/>
      <c r="LJ13" s="42">
        <f t="shared" si="89"/>
        <v>0</v>
      </c>
      <c r="LK13" s="43">
        <f t="shared" si="90"/>
        <v>-2</v>
      </c>
      <c r="LM13" s="38">
        <v>3</v>
      </c>
      <c r="LN13" s="44" t="s">
        <v>4</v>
      </c>
      <c r="LO13" s="40">
        <v>2</v>
      </c>
      <c r="LP13" s="27"/>
      <c r="LQ13" s="42">
        <f t="shared" si="91"/>
        <v>1.6</v>
      </c>
      <c r="LR13" s="43">
        <f t="shared" si="92"/>
        <v>1</v>
      </c>
      <c r="LT13" s="38">
        <v>1</v>
      </c>
      <c r="LU13" s="44" t="s">
        <v>4</v>
      </c>
      <c r="LV13" s="40">
        <v>2</v>
      </c>
      <c r="LW13" s="27"/>
      <c r="LX13" s="42">
        <f t="shared" si="93"/>
        <v>0</v>
      </c>
      <c r="LY13" s="43">
        <f t="shared" si="94"/>
        <v>-1</v>
      </c>
      <c r="MA13" s="38">
        <v>1</v>
      </c>
      <c r="MB13" s="44" t="s">
        <v>4</v>
      </c>
      <c r="MC13" s="40">
        <v>1</v>
      </c>
      <c r="MD13" s="27"/>
      <c r="ME13" s="42">
        <f t="shared" si="95"/>
        <v>0</v>
      </c>
      <c r="MF13" s="43">
        <f t="shared" si="96"/>
        <v>0</v>
      </c>
      <c r="MH13" s="38">
        <v>2</v>
      </c>
      <c r="MI13" s="44" t="s">
        <v>4</v>
      </c>
      <c r="MJ13" s="40">
        <v>2</v>
      </c>
      <c r="MK13" s="27"/>
      <c r="ML13" s="42">
        <f t="shared" si="97"/>
        <v>0</v>
      </c>
      <c r="MM13" s="43">
        <f t="shared" si="98"/>
        <v>0</v>
      </c>
      <c r="MO13" s="38">
        <v>0</v>
      </c>
      <c r="MP13" s="44" t="s">
        <v>4</v>
      </c>
      <c r="MQ13" s="40">
        <v>1</v>
      </c>
      <c r="MR13" s="27"/>
      <c r="MS13" s="42">
        <f t="shared" si="99"/>
        <v>0</v>
      </c>
      <c r="MT13" s="43">
        <f t="shared" si="100"/>
        <v>-1</v>
      </c>
      <c r="MV13" s="38">
        <v>0</v>
      </c>
      <c r="MW13" s="44" t="s">
        <v>4</v>
      </c>
      <c r="MX13" s="40">
        <v>3</v>
      </c>
      <c r="MY13" s="27"/>
      <c r="MZ13" s="42">
        <f t="shared" si="101"/>
        <v>0</v>
      </c>
      <c r="NA13" s="43">
        <f t="shared" si="102"/>
        <v>-3</v>
      </c>
      <c r="NC13" s="38">
        <v>1</v>
      </c>
      <c r="ND13" s="44" t="s">
        <v>4</v>
      </c>
      <c r="NE13" s="40">
        <v>3</v>
      </c>
      <c r="NF13" s="27"/>
      <c r="NG13" s="42">
        <f t="shared" si="103"/>
        <v>0</v>
      </c>
      <c r="NH13" s="43">
        <f t="shared" si="104"/>
        <v>-2</v>
      </c>
      <c r="NJ13" s="38">
        <v>0</v>
      </c>
      <c r="NK13" s="44" t="s">
        <v>4</v>
      </c>
      <c r="NL13" s="40">
        <v>3</v>
      </c>
      <c r="NM13" s="27"/>
      <c r="NN13" s="42">
        <f t="shared" si="105"/>
        <v>0</v>
      </c>
      <c r="NO13" s="43">
        <f t="shared" si="106"/>
        <v>-3</v>
      </c>
      <c r="NQ13" s="38">
        <v>1</v>
      </c>
      <c r="NR13" s="44" t="s">
        <v>4</v>
      </c>
      <c r="NS13" s="40">
        <v>3</v>
      </c>
      <c r="NT13" s="27"/>
      <c r="NU13" s="42">
        <f t="shared" si="107"/>
        <v>0</v>
      </c>
      <c r="NV13" s="43">
        <f t="shared" si="108"/>
        <v>-2</v>
      </c>
      <c r="NX13" s="38">
        <v>1</v>
      </c>
      <c r="NY13" s="44" t="s">
        <v>4</v>
      </c>
      <c r="NZ13" s="40">
        <v>2</v>
      </c>
      <c r="OA13" s="27"/>
      <c r="OB13" s="42">
        <f t="shared" si="109"/>
        <v>0</v>
      </c>
      <c r="OC13" s="43">
        <f t="shared" si="110"/>
        <v>-1</v>
      </c>
      <c r="OE13" s="38">
        <v>1</v>
      </c>
      <c r="OF13" s="44" t="s">
        <v>4</v>
      </c>
      <c r="OG13" s="40">
        <v>2</v>
      </c>
      <c r="OH13" s="27"/>
      <c r="OI13" s="42">
        <f t="shared" si="111"/>
        <v>0</v>
      </c>
      <c r="OJ13" s="43">
        <f t="shared" si="112"/>
        <v>-1</v>
      </c>
      <c r="OL13" s="38">
        <v>2</v>
      </c>
      <c r="OM13" s="44" t="s">
        <v>4</v>
      </c>
      <c r="ON13" s="40">
        <v>2</v>
      </c>
      <c r="OO13" s="27"/>
      <c r="OP13" s="42">
        <f t="shared" si="113"/>
        <v>0</v>
      </c>
      <c r="OQ13" s="43">
        <f t="shared" si="114"/>
        <v>0</v>
      </c>
      <c r="OS13" s="38">
        <v>0</v>
      </c>
      <c r="OT13" s="44" t="s">
        <v>4</v>
      </c>
      <c r="OU13" s="40">
        <v>1</v>
      </c>
      <c r="OV13" s="27"/>
      <c r="OW13" s="42">
        <f t="shared" si="115"/>
        <v>0</v>
      </c>
      <c r="OX13" s="43">
        <f t="shared" si="116"/>
        <v>-1</v>
      </c>
      <c r="OZ13" s="38">
        <v>1</v>
      </c>
      <c r="PA13" s="44" t="s">
        <v>4</v>
      </c>
      <c r="PB13" s="40">
        <v>2</v>
      </c>
      <c r="PC13" s="27"/>
      <c r="PD13" s="42">
        <f t="shared" si="117"/>
        <v>0</v>
      </c>
      <c r="PE13" s="43">
        <f t="shared" si="118"/>
        <v>-1</v>
      </c>
      <c r="PG13" s="38">
        <v>1</v>
      </c>
      <c r="PH13" s="44" t="s">
        <v>4</v>
      </c>
      <c r="PI13" s="40">
        <v>2</v>
      </c>
      <c r="PJ13" s="27"/>
      <c r="PK13" s="42">
        <f t="shared" si="119"/>
        <v>0</v>
      </c>
      <c r="PL13" s="43">
        <f t="shared" si="120"/>
        <v>-1</v>
      </c>
      <c r="PN13" s="38">
        <v>1</v>
      </c>
      <c r="PO13" s="44" t="s">
        <v>4</v>
      </c>
      <c r="PP13" s="40">
        <v>2</v>
      </c>
      <c r="PQ13" s="27"/>
      <c r="PR13" s="42">
        <f t="shared" si="121"/>
        <v>0</v>
      </c>
      <c r="PS13" s="43">
        <f t="shared" si="122"/>
        <v>-1</v>
      </c>
      <c r="PU13" s="38">
        <v>0</v>
      </c>
      <c r="PV13" s="44" t="s">
        <v>4</v>
      </c>
      <c r="PW13" s="40">
        <v>3</v>
      </c>
      <c r="PX13" s="27"/>
      <c r="PY13" s="42">
        <f t="shared" si="123"/>
        <v>0</v>
      </c>
      <c r="PZ13" s="43">
        <f t="shared" si="124"/>
        <v>-3</v>
      </c>
      <c r="QB13" s="38">
        <v>1</v>
      </c>
      <c r="QC13" s="44" t="s">
        <v>4</v>
      </c>
      <c r="QD13" s="40">
        <v>2</v>
      </c>
      <c r="QE13" s="27"/>
      <c r="QF13" s="42">
        <f t="shared" si="125"/>
        <v>0</v>
      </c>
      <c r="QG13" s="43">
        <f t="shared" si="126"/>
        <v>-1</v>
      </c>
      <c r="QI13" s="38">
        <v>0</v>
      </c>
      <c r="QJ13" s="44" t="s">
        <v>4</v>
      </c>
      <c r="QK13" s="40">
        <v>1</v>
      </c>
      <c r="QL13" s="27"/>
      <c r="QM13" s="42">
        <f t="shared" si="127"/>
        <v>0</v>
      </c>
      <c r="QN13" s="43">
        <f t="shared" si="128"/>
        <v>-1</v>
      </c>
      <c r="QP13" s="38">
        <v>1</v>
      </c>
      <c r="QQ13" s="44" t="s">
        <v>4</v>
      </c>
      <c r="QR13" s="40">
        <v>3</v>
      </c>
      <c r="QS13" s="27"/>
      <c r="QT13" s="42">
        <f t="shared" si="129"/>
        <v>0</v>
      </c>
      <c r="QU13" s="43">
        <f t="shared" si="130"/>
        <v>-2</v>
      </c>
      <c r="QW13" s="38">
        <v>1</v>
      </c>
      <c r="QX13" s="44" t="s">
        <v>4</v>
      </c>
      <c r="QY13" s="40">
        <v>2</v>
      </c>
      <c r="QZ13" s="27"/>
      <c r="RA13" s="42">
        <f t="shared" si="131"/>
        <v>0</v>
      </c>
      <c r="RB13" s="43">
        <f t="shared" si="132"/>
        <v>-1</v>
      </c>
      <c r="RD13" s="38">
        <v>1</v>
      </c>
      <c r="RE13" s="44" t="s">
        <v>4</v>
      </c>
      <c r="RF13" s="40">
        <v>1</v>
      </c>
      <c r="RG13" s="27"/>
      <c r="RH13" s="42">
        <f t="shared" si="133"/>
        <v>0</v>
      </c>
      <c r="RI13" s="43">
        <f t="shared" si="134"/>
        <v>0</v>
      </c>
      <c r="RK13" s="38">
        <v>1</v>
      </c>
      <c r="RL13" s="44" t="s">
        <v>4</v>
      </c>
      <c r="RM13" s="40">
        <v>1</v>
      </c>
      <c r="RN13" s="27"/>
      <c r="RO13" s="42">
        <f t="shared" si="135"/>
        <v>0</v>
      </c>
      <c r="RP13" s="43">
        <f t="shared" si="136"/>
        <v>0</v>
      </c>
      <c r="RR13" s="38">
        <v>1</v>
      </c>
      <c r="RS13" s="44" t="s">
        <v>4</v>
      </c>
      <c r="RT13" s="40">
        <v>1</v>
      </c>
      <c r="RU13" s="27"/>
      <c r="RV13" s="42">
        <f t="shared" si="137"/>
        <v>0</v>
      </c>
      <c r="RW13" s="43">
        <f t="shared" si="138"/>
        <v>0</v>
      </c>
      <c r="RY13" s="38">
        <v>1</v>
      </c>
      <c r="RZ13" s="44" t="s">
        <v>4</v>
      </c>
      <c r="SA13" s="40">
        <v>1</v>
      </c>
      <c r="SB13" s="27"/>
      <c r="SC13" s="42">
        <f t="shared" si="139"/>
        <v>0</v>
      </c>
      <c r="SD13" s="43">
        <f t="shared" si="140"/>
        <v>0</v>
      </c>
      <c r="SF13" s="38">
        <v>1</v>
      </c>
      <c r="SG13" s="44" t="s">
        <v>4</v>
      </c>
      <c r="SH13" s="40">
        <v>1</v>
      </c>
      <c r="SI13" s="27"/>
      <c r="SJ13" s="42">
        <f t="shared" si="141"/>
        <v>0</v>
      </c>
      <c r="SK13" s="43">
        <f t="shared" si="142"/>
        <v>0</v>
      </c>
      <c r="SM13" s="38">
        <v>2</v>
      </c>
      <c r="SN13" s="44" t="s">
        <v>4</v>
      </c>
      <c r="SO13" s="40">
        <v>4</v>
      </c>
      <c r="SP13" s="27"/>
      <c r="SQ13" s="42">
        <f t="shared" si="143"/>
        <v>0</v>
      </c>
      <c r="SR13" s="43">
        <f t="shared" si="144"/>
        <v>-2</v>
      </c>
    </row>
    <row r="14" spans="1:512" customFormat="1" ht="16" customHeight="1" x14ac:dyDescent="0.2">
      <c r="A14" s="34">
        <v>46187</v>
      </c>
      <c r="B14" s="35">
        <v>0.79166666666666663</v>
      </c>
      <c r="C14" s="79" t="s">
        <v>5</v>
      </c>
      <c r="D14" s="81" t="s">
        <v>39</v>
      </c>
      <c r="E14" s="3">
        <v>7</v>
      </c>
      <c r="F14" s="37" t="s">
        <v>4</v>
      </c>
      <c r="G14" s="4">
        <v>1</v>
      </c>
      <c r="H14" s="16">
        <v>1.6</v>
      </c>
      <c r="I14" s="32">
        <f t="shared" si="0"/>
        <v>6</v>
      </c>
      <c r="J14" s="38">
        <v>5</v>
      </c>
      <c r="K14" s="44" t="s">
        <v>4</v>
      </c>
      <c r="L14" s="40">
        <v>0</v>
      </c>
      <c r="M14" s="27"/>
      <c r="N14" s="42">
        <f t="shared" si="1"/>
        <v>1.6</v>
      </c>
      <c r="O14" s="43">
        <f t="shared" si="2"/>
        <v>5</v>
      </c>
      <c r="P14" s="32"/>
      <c r="Q14" s="38">
        <v>4</v>
      </c>
      <c r="R14" s="44" t="s">
        <v>4</v>
      </c>
      <c r="S14" s="40">
        <v>0</v>
      </c>
      <c r="T14" s="27"/>
      <c r="U14" s="42">
        <f t="shared" si="3"/>
        <v>1.6</v>
      </c>
      <c r="V14" s="43">
        <f t="shared" si="4"/>
        <v>4</v>
      </c>
      <c r="X14" s="38">
        <v>4</v>
      </c>
      <c r="Y14" s="44" t="s">
        <v>4</v>
      </c>
      <c r="Z14" s="40">
        <v>0</v>
      </c>
      <c r="AA14" s="27"/>
      <c r="AB14" s="42">
        <f t="shared" si="5"/>
        <v>1.6</v>
      </c>
      <c r="AC14" s="43">
        <f t="shared" si="6"/>
        <v>4</v>
      </c>
      <c r="AE14" s="38">
        <v>4</v>
      </c>
      <c r="AF14" s="44" t="s">
        <v>4</v>
      </c>
      <c r="AG14" s="40">
        <v>0</v>
      </c>
      <c r="AH14" s="27"/>
      <c r="AI14" s="42">
        <f t="shared" si="7"/>
        <v>1.6</v>
      </c>
      <c r="AJ14" s="43">
        <f t="shared" si="8"/>
        <v>4</v>
      </c>
      <c r="AL14" s="38">
        <v>4</v>
      </c>
      <c r="AM14" s="44" t="s">
        <v>4</v>
      </c>
      <c r="AN14" s="40">
        <v>0</v>
      </c>
      <c r="AO14" s="27"/>
      <c r="AP14" s="42">
        <f t="shared" si="9"/>
        <v>1.6</v>
      </c>
      <c r="AQ14" s="43">
        <f t="shared" si="10"/>
        <v>4</v>
      </c>
      <c r="AS14" s="38">
        <v>3</v>
      </c>
      <c r="AT14" s="44" t="s">
        <v>4</v>
      </c>
      <c r="AU14" s="40">
        <v>1</v>
      </c>
      <c r="AV14" s="27"/>
      <c r="AW14" s="42">
        <f t="shared" si="11"/>
        <v>1.6</v>
      </c>
      <c r="AX14" s="43">
        <f t="shared" si="12"/>
        <v>2</v>
      </c>
      <c r="AZ14" s="86">
        <v>4</v>
      </c>
      <c r="BA14" s="44" t="s">
        <v>4</v>
      </c>
      <c r="BB14" s="40">
        <v>0</v>
      </c>
      <c r="BC14" s="27"/>
      <c r="BD14" s="42">
        <f t="shared" si="13"/>
        <v>1.6</v>
      </c>
      <c r="BE14" s="43">
        <f t="shared" si="14"/>
        <v>4</v>
      </c>
      <c r="BG14" s="38">
        <v>2</v>
      </c>
      <c r="BH14" s="44" t="s">
        <v>4</v>
      </c>
      <c r="BI14" s="40">
        <v>0</v>
      </c>
      <c r="BJ14" s="27"/>
      <c r="BK14" s="42">
        <f t="shared" si="15"/>
        <v>1.6</v>
      </c>
      <c r="BL14" s="43">
        <f t="shared" si="16"/>
        <v>2</v>
      </c>
      <c r="BN14" s="38">
        <v>4</v>
      </c>
      <c r="BO14" s="44" t="s">
        <v>4</v>
      </c>
      <c r="BP14" s="40">
        <v>1</v>
      </c>
      <c r="BQ14" s="27"/>
      <c r="BR14" s="42">
        <f t="shared" si="17"/>
        <v>1.6</v>
      </c>
      <c r="BS14" s="43">
        <f t="shared" si="18"/>
        <v>3</v>
      </c>
      <c r="BU14" s="38">
        <v>4</v>
      </c>
      <c r="BV14" s="44" t="s">
        <v>4</v>
      </c>
      <c r="BW14" s="40">
        <v>0</v>
      </c>
      <c r="BX14" s="27"/>
      <c r="BY14" s="42">
        <f t="shared" si="19"/>
        <v>1.6</v>
      </c>
      <c r="BZ14" s="43">
        <f t="shared" si="20"/>
        <v>4</v>
      </c>
      <c r="CB14" s="38">
        <v>3</v>
      </c>
      <c r="CC14" s="44" t="s">
        <v>4</v>
      </c>
      <c r="CD14" s="40">
        <v>0</v>
      </c>
      <c r="CE14" s="27"/>
      <c r="CF14" s="42">
        <f t="shared" si="21"/>
        <v>1.6</v>
      </c>
      <c r="CG14" s="43">
        <f t="shared" si="22"/>
        <v>3</v>
      </c>
      <c r="CI14" s="38">
        <v>2</v>
      </c>
      <c r="CJ14" s="44" t="s">
        <v>4</v>
      </c>
      <c r="CK14" s="40">
        <v>0</v>
      </c>
      <c r="CL14" s="27"/>
      <c r="CM14" s="42">
        <f t="shared" si="23"/>
        <v>1.6</v>
      </c>
      <c r="CN14" s="43">
        <f t="shared" si="24"/>
        <v>2</v>
      </c>
      <c r="CP14" s="38">
        <v>4</v>
      </c>
      <c r="CQ14" s="44" t="s">
        <v>4</v>
      </c>
      <c r="CR14" s="40">
        <v>0</v>
      </c>
      <c r="CS14" s="27"/>
      <c r="CT14" s="42">
        <f t="shared" si="25"/>
        <v>1.6</v>
      </c>
      <c r="CU14" s="43">
        <f t="shared" si="26"/>
        <v>4</v>
      </c>
      <c r="CW14" s="38">
        <v>3</v>
      </c>
      <c r="CX14" s="44" t="s">
        <v>4</v>
      </c>
      <c r="CY14" s="40">
        <v>0</v>
      </c>
      <c r="CZ14" s="27"/>
      <c r="DA14" s="42">
        <f t="shared" si="27"/>
        <v>1.6</v>
      </c>
      <c r="DB14" s="43">
        <f t="shared" si="28"/>
        <v>3</v>
      </c>
      <c r="DD14" s="38">
        <v>2</v>
      </c>
      <c r="DE14" s="44" t="s">
        <v>4</v>
      </c>
      <c r="DF14" s="40">
        <v>0</v>
      </c>
      <c r="DG14" s="27"/>
      <c r="DH14" s="42">
        <f t="shared" si="29"/>
        <v>1.6</v>
      </c>
      <c r="DI14" s="43">
        <f t="shared" si="30"/>
        <v>2</v>
      </c>
      <c r="DK14" s="38">
        <v>4</v>
      </c>
      <c r="DL14" s="44" t="s">
        <v>4</v>
      </c>
      <c r="DM14" s="40">
        <v>0</v>
      </c>
      <c r="DN14" s="27"/>
      <c r="DO14" s="42">
        <f t="shared" si="31"/>
        <v>1.6</v>
      </c>
      <c r="DP14" s="43">
        <f t="shared" si="32"/>
        <v>4</v>
      </c>
      <c r="DR14" s="38">
        <v>3</v>
      </c>
      <c r="DS14" s="44" t="s">
        <v>4</v>
      </c>
      <c r="DT14" s="40">
        <v>0</v>
      </c>
      <c r="DU14" s="27"/>
      <c r="DV14" s="42">
        <f t="shared" si="33"/>
        <v>1.6</v>
      </c>
      <c r="DW14" s="43">
        <f t="shared" si="34"/>
        <v>3</v>
      </c>
      <c r="DY14" s="38">
        <v>3</v>
      </c>
      <c r="DZ14" s="44" t="s">
        <v>4</v>
      </c>
      <c r="EA14" s="40">
        <v>1</v>
      </c>
      <c r="EB14" s="27"/>
      <c r="EC14" s="42">
        <f t="shared" si="35"/>
        <v>1.6</v>
      </c>
      <c r="ED14" s="43">
        <f t="shared" si="36"/>
        <v>2</v>
      </c>
      <c r="EF14" s="38">
        <v>3</v>
      </c>
      <c r="EG14" s="44" t="s">
        <v>4</v>
      </c>
      <c r="EH14" s="40">
        <v>1</v>
      </c>
      <c r="EI14" s="27"/>
      <c r="EJ14" s="42">
        <f t="shared" si="37"/>
        <v>1.6</v>
      </c>
      <c r="EK14" s="43">
        <f t="shared" si="38"/>
        <v>2</v>
      </c>
      <c r="EM14" s="38">
        <v>4</v>
      </c>
      <c r="EN14" s="44" t="s">
        <v>4</v>
      </c>
      <c r="EO14" s="40">
        <v>1</v>
      </c>
      <c r="EP14" s="27"/>
      <c r="EQ14" s="42">
        <f t="shared" si="39"/>
        <v>1.6</v>
      </c>
      <c r="ER14" s="43">
        <f t="shared" si="40"/>
        <v>3</v>
      </c>
      <c r="ET14" s="38">
        <v>4</v>
      </c>
      <c r="EU14" s="44" t="s">
        <v>4</v>
      </c>
      <c r="EV14" s="40">
        <v>0</v>
      </c>
      <c r="EW14" s="27"/>
      <c r="EX14" s="42">
        <f t="shared" si="41"/>
        <v>1.6</v>
      </c>
      <c r="EY14" s="43">
        <f t="shared" si="42"/>
        <v>4</v>
      </c>
      <c r="FA14" s="38">
        <v>4</v>
      </c>
      <c r="FB14" s="44" t="s">
        <v>4</v>
      </c>
      <c r="FC14" s="40">
        <v>0</v>
      </c>
      <c r="FD14" s="27"/>
      <c r="FE14" s="42">
        <f t="shared" si="43"/>
        <v>1.6</v>
      </c>
      <c r="FF14" s="43">
        <f t="shared" si="44"/>
        <v>4</v>
      </c>
      <c r="FH14" s="38">
        <v>6</v>
      </c>
      <c r="FI14" s="44" t="s">
        <v>4</v>
      </c>
      <c r="FJ14" s="40">
        <v>0</v>
      </c>
      <c r="FK14" s="27"/>
      <c r="FL14" s="42">
        <f t="shared" si="45"/>
        <v>1.6</v>
      </c>
      <c r="FM14" s="43">
        <f t="shared" si="46"/>
        <v>6</v>
      </c>
      <c r="FO14" s="38">
        <v>5</v>
      </c>
      <c r="FP14" s="44" t="s">
        <v>4</v>
      </c>
      <c r="FQ14" s="40">
        <v>0</v>
      </c>
      <c r="FR14" s="27"/>
      <c r="FS14" s="42">
        <f t="shared" si="47"/>
        <v>1.6</v>
      </c>
      <c r="FT14" s="43">
        <f t="shared" si="48"/>
        <v>5</v>
      </c>
      <c r="FV14" s="38">
        <v>5</v>
      </c>
      <c r="FW14" s="44" t="s">
        <v>4</v>
      </c>
      <c r="FX14" s="40">
        <v>0</v>
      </c>
      <c r="FY14" s="27"/>
      <c r="FZ14" s="42">
        <f t="shared" si="49"/>
        <v>1.6</v>
      </c>
      <c r="GA14" s="43">
        <f t="shared" si="50"/>
        <v>5</v>
      </c>
      <c r="GC14" s="38">
        <v>4</v>
      </c>
      <c r="GD14" s="44" t="s">
        <v>4</v>
      </c>
      <c r="GE14" s="40">
        <v>0</v>
      </c>
      <c r="GF14" s="27"/>
      <c r="GG14" s="42">
        <f t="shared" si="51"/>
        <v>1.6</v>
      </c>
      <c r="GH14" s="43">
        <f t="shared" si="52"/>
        <v>4</v>
      </c>
      <c r="GJ14" s="38">
        <v>3</v>
      </c>
      <c r="GK14" s="44" t="s">
        <v>4</v>
      </c>
      <c r="GL14" s="40">
        <v>0</v>
      </c>
      <c r="GM14" s="27"/>
      <c r="GN14" s="42">
        <f t="shared" si="53"/>
        <v>1.6</v>
      </c>
      <c r="GO14" s="43">
        <f t="shared" si="54"/>
        <v>3</v>
      </c>
      <c r="GQ14" s="38">
        <v>4</v>
      </c>
      <c r="GR14" s="44" t="s">
        <v>4</v>
      </c>
      <c r="GS14" s="40">
        <v>0</v>
      </c>
      <c r="GT14" s="27"/>
      <c r="GU14" s="42">
        <f t="shared" si="55"/>
        <v>1.6</v>
      </c>
      <c r="GV14" s="43">
        <f t="shared" si="56"/>
        <v>4</v>
      </c>
      <c r="GX14" s="38">
        <v>5</v>
      </c>
      <c r="GY14" s="44" t="s">
        <v>4</v>
      </c>
      <c r="GZ14" s="40">
        <v>0</v>
      </c>
      <c r="HA14" s="27"/>
      <c r="HB14" s="42">
        <f t="shared" si="57"/>
        <v>1.6</v>
      </c>
      <c r="HC14" s="43">
        <f t="shared" si="58"/>
        <v>5</v>
      </c>
      <c r="HE14" s="38">
        <v>4</v>
      </c>
      <c r="HF14" s="44" t="s">
        <v>4</v>
      </c>
      <c r="HG14" s="40">
        <v>0</v>
      </c>
      <c r="HH14" s="27"/>
      <c r="HI14" s="42">
        <f t="shared" si="59"/>
        <v>1.6</v>
      </c>
      <c r="HJ14" s="43">
        <f t="shared" si="60"/>
        <v>4</v>
      </c>
      <c r="HL14" s="38">
        <v>4</v>
      </c>
      <c r="HM14" s="44" t="s">
        <v>4</v>
      </c>
      <c r="HN14" s="40">
        <v>0</v>
      </c>
      <c r="HO14" s="27"/>
      <c r="HP14" s="42">
        <f t="shared" si="61"/>
        <v>1.6</v>
      </c>
      <c r="HQ14" s="43">
        <f t="shared" si="62"/>
        <v>4</v>
      </c>
      <c r="HS14" s="38">
        <v>2</v>
      </c>
      <c r="HT14" s="44" t="s">
        <v>4</v>
      </c>
      <c r="HU14" s="40">
        <v>1</v>
      </c>
      <c r="HV14" s="27"/>
      <c r="HW14" s="42">
        <f t="shared" si="63"/>
        <v>1.6</v>
      </c>
      <c r="HX14" s="43">
        <f t="shared" si="64"/>
        <v>1</v>
      </c>
      <c r="HZ14" s="38">
        <v>4</v>
      </c>
      <c r="IA14" s="44" t="s">
        <v>4</v>
      </c>
      <c r="IB14" s="40">
        <v>1</v>
      </c>
      <c r="IC14" s="27"/>
      <c r="ID14" s="42">
        <f t="shared" si="65"/>
        <v>1.6</v>
      </c>
      <c r="IE14" s="43">
        <f t="shared" si="66"/>
        <v>3</v>
      </c>
      <c r="IG14" s="38">
        <v>0</v>
      </c>
      <c r="IH14" s="44" t="s">
        <v>4</v>
      </c>
      <c r="II14" s="40">
        <v>1</v>
      </c>
      <c r="IJ14" s="27"/>
      <c r="IK14" s="42">
        <f t="shared" si="67"/>
        <v>0</v>
      </c>
      <c r="IL14" s="43">
        <f t="shared" si="68"/>
        <v>-1</v>
      </c>
      <c r="IN14" s="38">
        <v>6</v>
      </c>
      <c r="IO14" s="44" t="s">
        <v>4</v>
      </c>
      <c r="IP14" s="40">
        <v>0</v>
      </c>
      <c r="IQ14" s="27"/>
      <c r="IR14" s="42">
        <f t="shared" si="69"/>
        <v>1.6</v>
      </c>
      <c r="IS14" s="43">
        <f t="shared" si="70"/>
        <v>6</v>
      </c>
      <c r="IU14" s="38">
        <v>2</v>
      </c>
      <c r="IV14" s="44" t="s">
        <v>4</v>
      </c>
      <c r="IW14" s="40">
        <v>0</v>
      </c>
      <c r="IX14" s="27"/>
      <c r="IY14" s="42">
        <f t="shared" si="71"/>
        <v>1.6</v>
      </c>
      <c r="IZ14" s="43">
        <f t="shared" si="72"/>
        <v>2</v>
      </c>
      <c r="JB14" s="38">
        <v>3</v>
      </c>
      <c r="JC14" s="44" t="s">
        <v>4</v>
      </c>
      <c r="JD14" s="40">
        <v>1</v>
      </c>
      <c r="JE14" s="27"/>
      <c r="JF14" s="42">
        <f t="shared" si="73"/>
        <v>1.6</v>
      </c>
      <c r="JG14" s="43">
        <f t="shared" si="74"/>
        <v>2</v>
      </c>
      <c r="JI14" s="38">
        <v>4</v>
      </c>
      <c r="JJ14" s="44" t="s">
        <v>4</v>
      </c>
      <c r="JK14" s="40">
        <v>0</v>
      </c>
      <c r="JL14" s="27"/>
      <c r="JM14" s="42">
        <f t="shared" si="75"/>
        <v>1.6</v>
      </c>
      <c r="JN14" s="43">
        <f t="shared" si="76"/>
        <v>4</v>
      </c>
      <c r="JP14" s="38">
        <v>4</v>
      </c>
      <c r="JQ14" s="44" t="s">
        <v>4</v>
      </c>
      <c r="JR14" s="40">
        <v>0</v>
      </c>
      <c r="JS14" s="27"/>
      <c r="JT14" s="42">
        <f t="shared" si="77"/>
        <v>1.6</v>
      </c>
      <c r="JU14" s="43">
        <f t="shared" si="78"/>
        <v>4</v>
      </c>
      <c r="JW14" s="38">
        <v>2</v>
      </c>
      <c r="JX14" s="44" t="s">
        <v>4</v>
      </c>
      <c r="JY14" s="40">
        <v>1</v>
      </c>
      <c r="JZ14" s="27"/>
      <c r="KA14" s="42">
        <f t="shared" si="79"/>
        <v>1.6</v>
      </c>
      <c r="KB14" s="43">
        <f t="shared" si="80"/>
        <v>1</v>
      </c>
      <c r="KD14" s="38">
        <v>3</v>
      </c>
      <c r="KE14" s="44" t="s">
        <v>4</v>
      </c>
      <c r="KF14" s="40">
        <v>1</v>
      </c>
      <c r="KG14" s="27"/>
      <c r="KH14" s="42">
        <f t="shared" si="81"/>
        <v>1.6</v>
      </c>
      <c r="KI14" s="43">
        <f t="shared" si="82"/>
        <v>2</v>
      </c>
      <c r="KK14" s="38">
        <v>1</v>
      </c>
      <c r="KL14" s="44" t="s">
        <v>4</v>
      </c>
      <c r="KM14" s="40">
        <v>0</v>
      </c>
      <c r="KN14" s="27"/>
      <c r="KO14" s="42">
        <f t="shared" si="83"/>
        <v>1.6</v>
      </c>
      <c r="KP14" s="43">
        <f t="shared" si="84"/>
        <v>1</v>
      </c>
      <c r="KR14" s="38">
        <v>4</v>
      </c>
      <c r="KS14" s="44" t="s">
        <v>4</v>
      </c>
      <c r="KT14" s="40">
        <v>1</v>
      </c>
      <c r="KU14" s="27"/>
      <c r="KV14" s="42">
        <f t="shared" si="85"/>
        <v>1.6</v>
      </c>
      <c r="KW14" s="43">
        <f t="shared" si="86"/>
        <v>3</v>
      </c>
      <c r="KY14" s="38">
        <v>2</v>
      </c>
      <c r="KZ14" s="44" t="s">
        <v>4</v>
      </c>
      <c r="LA14" s="40">
        <v>1</v>
      </c>
      <c r="LB14" s="27"/>
      <c r="LC14" s="42">
        <f t="shared" si="87"/>
        <v>1.6</v>
      </c>
      <c r="LD14" s="43">
        <f t="shared" si="88"/>
        <v>1</v>
      </c>
      <c r="LF14" s="38">
        <v>6</v>
      </c>
      <c r="LG14" s="44" t="s">
        <v>4</v>
      </c>
      <c r="LH14" s="40">
        <v>0</v>
      </c>
      <c r="LI14" s="27"/>
      <c r="LJ14" s="42">
        <f t="shared" si="89"/>
        <v>1.6</v>
      </c>
      <c r="LK14" s="43">
        <f t="shared" si="90"/>
        <v>6</v>
      </c>
      <c r="LM14" s="38">
        <v>2</v>
      </c>
      <c r="LN14" s="44" t="s">
        <v>4</v>
      </c>
      <c r="LO14" s="40">
        <v>0</v>
      </c>
      <c r="LP14" s="27"/>
      <c r="LQ14" s="42">
        <f t="shared" si="91"/>
        <v>1.6</v>
      </c>
      <c r="LR14" s="43">
        <f t="shared" si="92"/>
        <v>2</v>
      </c>
      <c r="LT14" s="38">
        <v>2</v>
      </c>
      <c r="LU14" s="44" t="s">
        <v>4</v>
      </c>
      <c r="LV14" s="40">
        <v>0</v>
      </c>
      <c r="LW14" s="27"/>
      <c r="LX14" s="42">
        <f t="shared" si="93"/>
        <v>1.6</v>
      </c>
      <c r="LY14" s="43">
        <f t="shared" si="94"/>
        <v>2</v>
      </c>
      <c r="MA14" s="38">
        <v>5</v>
      </c>
      <c r="MB14" s="44" t="s">
        <v>4</v>
      </c>
      <c r="MC14" s="40">
        <v>0</v>
      </c>
      <c r="MD14" s="27"/>
      <c r="ME14" s="42">
        <f t="shared" si="95"/>
        <v>1.6</v>
      </c>
      <c r="MF14" s="43">
        <f t="shared" si="96"/>
        <v>5</v>
      </c>
      <c r="MH14" s="38">
        <v>3</v>
      </c>
      <c r="MI14" s="44" t="s">
        <v>4</v>
      </c>
      <c r="MJ14" s="40">
        <v>0</v>
      </c>
      <c r="MK14" s="27"/>
      <c r="ML14" s="42">
        <f t="shared" si="97"/>
        <v>1.6</v>
      </c>
      <c r="MM14" s="43">
        <f t="shared" si="98"/>
        <v>3</v>
      </c>
      <c r="MO14" s="38">
        <v>3</v>
      </c>
      <c r="MP14" s="44" t="s">
        <v>4</v>
      </c>
      <c r="MQ14" s="40">
        <v>0</v>
      </c>
      <c r="MR14" s="27"/>
      <c r="MS14" s="42">
        <f t="shared" si="99"/>
        <v>1.6</v>
      </c>
      <c r="MT14" s="43">
        <f t="shared" si="100"/>
        <v>3</v>
      </c>
      <c r="MV14" s="38">
        <v>3</v>
      </c>
      <c r="MW14" s="44" t="s">
        <v>4</v>
      </c>
      <c r="MX14" s="40">
        <v>0</v>
      </c>
      <c r="MY14" s="27"/>
      <c r="MZ14" s="42">
        <f t="shared" si="101"/>
        <v>1.6</v>
      </c>
      <c r="NA14" s="43">
        <f t="shared" si="102"/>
        <v>3</v>
      </c>
      <c r="NC14" s="38">
        <v>3</v>
      </c>
      <c r="ND14" s="44" t="s">
        <v>4</v>
      </c>
      <c r="NE14" s="40">
        <v>1</v>
      </c>
      <c r="NF14" s="27"/>
      <c r="NG14" s="42">
        <f t="shared" si="103"/>
        <v>1.6</v>
      </c>
      <c r="NH14" s="43">
        <f t="shared" si="104"/>
        <v>2</v>
      </c>
      <c r="NJ14" s="38">
        <v>5</v>
      </c>
      <c r="NK14" s="44" t="s">
        <v>4</v>
      </c>
      <c r="NL14" s="40">
        <v>0</v>
      </c>
      <c r="NM14" s="27"/>
      <c r="NN14" s="42">
        <f t="shared" si="105"/>
        <v>1.6</v>
      </c>
      <c r="NO14" s="43">
        <f t="shared" si="106"/>
        <v>5</v>
      </c>
      <c r="NQ14" s="38">
        <v>5</v>
      </c>
      <c r="NR14" s="44" t="s">
        <v>4</v>
      </c>
      <c r="NS14" s="40">
        <v>0</v>
      </c>
      <c r="NT14" s="27"/>
      <c r="NU14" s="42">
        <f t="shared" si="107"/>
        <v>1.6</v>
      </c>
      <c r="NV14" s="43">
        <f t="shared" si="108"/>
        <v>5</v>
      </c>
      <c r="NX14" s="38">
        <v>4</v>
      </c>
      <c r="NY14" s="44" t="s">
        <v>4</v>
      </c>
      <c r="NZ14" s="40">
        <v>1</v>
      </c>
      <c r="OA14" s="27"/>
      <c r="OB14" s="42">
        <f t="shared" si="109"/>
        <v>1.6</v>
      </c>
      <c r="OC14" s="43">
        <f t="shared" si="110"/>
        <v>3</v>
      </c>
      <c r="OE14" s="38">
        <v>3</v>
      </c>
      <c r="OF14" s="44" t="s">
        <v>4</v>
      </c>
      <c r="OG14" s="40">
        <v>0</v>
      </c>
      <c r="OH14" s="27"/>
      <c r="OI14" s="42">
        <f t="shared" si="111"/>
        <v>1.6</v>
      </c>
      <c r="OJ14" s="43">
        <f t="shared" si="112"/>
        <v>3</v>
      </c>
      <c r="OL14" s="38">
        <v>3</v>
      </c>
      <c r="OM14" s="44" t="s">
        <v>4</v>
      </c>
      <c r="ON14" s="40">
        <v>0</v>
      </c>
      <c r="OO14" s="27"/>
      <c r="OP14" s="42">
        <f t="shared" si="113"/>
        <v>1.6</v>
      </c>
      <c r="OQ14" s="43">
        <f t="shared" si="114"/>
        <v>3</v>
      </c>
      <c r="OS14" s="38">
        <v>3</v>
      </c>
      <c r="OT14" s="44" t="s">
        <v>4</v>
      </c>
      <c r="OU14" s="40">
        <v>0</v>
      </c>
      <c r="OV14" s="27"/>
      <c r="OW14" s="42">
        <f t="shared" si="115"/>
        <v>1.6</v>
      </c>
      <c r="OX14" s="43">
        <f t="shared" si="116"/>
        <v>3</v>
      </c>
      <c r="OZ14" s="38">
        <v>6</v>
      </c>
      <c r="PA14" s="44" t="s">
        <v>4</v>
      </c>
      <c r="PB14" s="40">
        <v>0</v>
      </c>
      <c r="PC14" s="27"/>
      <c r="PD14" s="42">
        <f t="shared" si="117"/>
        <v>1.6</v>
      </c>
      <c r="PE14" s="43">
        <f t="shared" si="118"/>
        <v>6</v>
      </c>
      <c r="PG14" s="38">
        <v>5</v>
      </c>
      <c r="PH14" s="44" t="s">
        <v>4</v>
      </c>
      <c r="PI14" s="40">
        <v>0</v>
      </c>
      <c r="PJ14" s="27"/>
      <c r="PK14" s="42">
        <f t="shared" si="119"/>
        <v>1.6</v>
      </c>
      <c r="PL14" s="43">
        <f t="shared" si="120"/>
        <v>5</v>
      </c>
      <c r="PN14" s="38">
        <v>2</v>
      </c>
      <c r="PO14" s="44" t="s">
        <v>4</v>
      </c>
      <c r="PP14" s="40">
        <v>0</v>
      </c>
      <c r="PQ14" s="27"/>
      <c r="PR14" s="42">
        <f t="shared" si="121"/>
        <v>1.6</v>
      </c>
      <c r="PS14" s="43">
        <f t="shared" si="122"/>
        <v>2</v>
      </c>
      <c r="PU14" s="38">
        <v>3</v>
      </c>
      <c r="PV14" s="44" t="s">
        <v>4</v>
      </c>
      <c r="PW14" s="40">
        <v>0</v>
      </c>
      <c r="PX14" s="27"/>
      <c r="PY14" s="42">
        <f t="shared" si="123"/>
        <v>1.6</v>
      </c>
      <c r="PZ14" s="43">
        <f t="shared" si="124"/>
        <v>3</v>
      </c>
      <c r="QB14" s="38">
        <v>5</v>
      </c>
      <c r="QC14" s="44" t="s">
        <v>4</v>
      </c>
      <c r="QD14" s="40">
        <v>0</v>
      </c>
      <c r="QE14" s="27"/>
      <c r="QF14" s="42">
        <f t="shared" si="125"/>
        <v>1.6</v>
      </c>
      <c r="QG14" s="43">
        <f t="shared" si="126"/>
        <v>5</v>
      </c>
      <c r="QI14" s="38">
        <v>3</v>
      </c>
      <c r="QJ14" s="44" t="s">
        <v>4</v>
      </c>
      <c r="QK14" s="40">
        <v>0</v>
      </c>
      <c r="QL14" s="27"/>
      <c r="QM14" s="42">
        <f t="shared" si="127"/>
        <v>1.6</v>
      </c>
      <c r="QN14" s="43">
        <f t="shared" si="128"/>
        <v>3</v>
      </c>
      <c r="QP14" s="38">
        <v>6</v>
      </c>
      <c r="QQ14" s="44" t="s">
        <v>4</v>
      </c>
      <c r="QR14" s="40">
        <v>0</v>
      </c>
      <c r="QS14" s="27"/>
      <c r="QT14" s="42">
        <f t="shared" si="129"/>
        <v>1.6</v>
      </c>
      <c r="QU14" s="43">
        <f t="shared" si="130"/>
        <v>6</v>
      </c>
      <c r="QW14" s="38">
        <v>3</v>
      </c>
      <c r="QX14" s="44" t="s">
        <v>4</v>
      </c>
      <c r="QY14" s="40">
        <v>0</v>
      </c>
      <c r="QZ14" s="27"/>
      <c r="RA14" s="42">
        <f t="shared" si="131"/>
        <v>1.6</v>
      </c>
      <c r="RB14" s="43">
        <f t="shared" si="132"/>
        <v>3</v>
      </c>
      <c r="RD14" s="38">
        <v>3</v>
      </c>
      <c r="RE14" s="44" t="s">
        <v>4</v>
      </c>
      <c r="RF14" s="40">
        <v>0</v>
      </c>
      <c r="RG14" s="27"/>
      <c r="RH14" s="42">
        <f t="shared" si="133"/>
        <v>1.6</v>
      </c>
      <c r="RI14" s="43">
        <f t="shared" si="134"/>
        <v>3</v>
      </c>
      <c r="RK14" s="38">
        <v>4</v>
      </c>
      <c r="RL14" s="44" t="s">
        <v>4</v>
      </c>
      <c r="RM14" s="40">
        <v>0</v>
      </c>
      <c r="RN14" s="27"/>
      <c r="RO14" s="42">
        <f t="shared" si="135"/>
        <v>1.6</v>
      </c>
      <c r="RP14" s="43">
        <f t="shared" si="136"/>
        <v>4</v>
      </c>
      <c r="RR14" s="38">
        <v>5</v>
      </c>
      <c r="RS14" s="44" t="s">
        <v>4</v>
      </c>
      <c r="RT14" s="40">
        <v>0</v>
      </c>
      <c r="RU14" s="27"/>
      <c r="RV14" s="42">
        <f t="shared" si="137"/>
        <v>1.6</v>
      </c>
      <c r="RW14" s="43">
        <f t="shared" si="138"/>
        <v>5</v>
      </c>
      <c r="RY14" s="38">
        <v>7</v>
      </c>
      <c r="RZ14" s="44" t="s">
        <v>4</v>
      </c>
      <c r="SA14" s="40">
        <v>0</v>
      </c>
      <c r="SB14" s="27"/>
      <c r="SC14" s="42">
        <f t="shared" si="139"/>
        <v>1.6</v>
      </c>
      <c r="SD14" s="43">
        <f t="shared" si="140"/>
        <v>7</v>
      </c>
      <c r="SF14" s="38">
        <v>5</v>
      </c>
      <c r="SG14" s="44" t="s">
        <v>4</v>
      </c>
      <c r="SH14" s="40">
        <v>0</v>
      </c>
      <c r="SI14" s="27"/>
      <c r="SJ14" s="42">
        <f t="shared" si="141"/>
        <v>1.6</v>
      </c>
      <c r="SK14" s="43">
        <f t="shared" si="142"/>
        <v>5</v>
      </c>
      <c r="SM14" s="38">
        <v>3</v>
      </c>
      <c r="SN14" s="44" t="s">
        <v>4</v>
      </c>
      <c r="SO14" s="40">
        <v>2</v>
      </c>
      <c r="SP14" s="27"/>
      <c r="SQ14" s="42">
        <f t="shared" si="143"/>
        <v>1.6</v>
      </c>
      <c r="SR14" s="43">
        <f t="shared" si="144"/>
        <v>1</v>
      </c>
    </row>
    <row r="15" spans="1:512" customFormat="1" ht="16" customHeight="1" x14ac:dyDescent="0.2">
      <c r="A15" s="34">
        <v>46187</v>
      </c>
      <c r="B15" s="35">
        <v>0.91666666666666663</v>
      </c>
      <c r="C15" s="79" t="s">
        <v>23</v>
      </c>
      <c r="D15" s="80" t="s">
        <v>40</v>
      </c>
      <c r="E15" s="3">
        <v>2</v>
      </c>
      <c r="F15" s="37" t="s">
        <v>4</v>
      </c>
      <c r="G15" s="4">
        <v>2</v>
      </c>
      <c r="H15" s="16">
        <v>1.6</v>
      </c>
      <c r="I15" s="32">
        <f t="shared" si="0"/>
        <v>0</v>
      </c>
      <c r="J15" s="38">
        <v>1</v>
      </c>
      <c r="K15" s="44" t="s">
        <v>4</v>
      </c>
      <c r="L15" s="40">
        <v>0</v>
      </c>
      <c r="M15" s="27"/>
      <c r="N15" s="42">
        <f t="shared" si="1"/>
        <v>0</v>
      </c>
      <c r="O15" s="43">
        <f t="shared" si="2"/>
        <v>1</v>
      </c>
      <c r="P15" s="32"/>
      <c r="Q15" s="38">
        <v>2</v>
      </c>
      <c r="R15" s="44" t="s">
        <v>4</v>
      </c>
      <c r="S15" s="40">
        <v>1</v>
      </c>
      <c r="T15" s="27"/>
      <c r="U15" s="42">
        <f t="shared" si="3"/>
        <v>0</v>
      </c>
      <c r="V15" s="43">
        <f t="shared" si="4"/>
        <v>1</v>
      </c>
      <c r="X15" s="38">
        <v>2</v>
      </c>
      <c r="Y15" s="44" t="s">
        <v>4</v>
      </c>
      <c r="Z15" s="40">
        <v>0</v>
      </c>
      <c r="AA15" s="27"/>
      <c r="AB15" s="42">
        <f t="shared" si="5"/>
        <v>0</v>
      </c>
      <c r="AC15" s="43">
        <f t="shared" si="6"/>
        <v>2</v>
      </c>
      <c r="AE15" s="38">
        <v>2</v>
      </c>
      <c r="AF15" s="44" t="s">
        <v>4</v>
      </c>
      <c r="AG15" s="40">
        <v>3</v>
      </c>
      <c r="AH15" s="27"/>
      <c r="AI15" s="42">
        <f t="shared" si="7"/>
        <v>0</v>
      </c>
      <c r="AJ15" s="43">
        <f t="shared" si="8"/>
        <v>-1</v>
      </c>
      <c r="AL15" s="38">
        <v>2</v>
      </c>
      <c r="AM15" s="44" t="s">
        <v>4</v>
      </c>
      <c r="AN15" s="40">
        <v>1</v>
      </c>
      <c r="AO15" s="27"/>
      <c r="AP15" s="42">
        <f t="shared" si="9"/>
        <v>0</v>
      </c>
      <c r="AQ15" s="43">
        <f t="shared" si="10"/>
        <v>1</v>
      </c>
      <c r="AS15" s="38">
        <v>2</v>
      </c>
      <c r="AT15" s="44" t="s">
        <v>4</v>
      </c>
      <c r="AU15" s="40">
        <v>1</v>
      </c>
      <c r="AV15" s="27"/>
      <c r="AW15" s="42">
        <f t="shared" si="11"/>
        <v>0</v>
      </c>
      <c r="AX15" s="43">
        <f t="shared" si="12"/>
        <v>1</v>
      </c>
      <c r="AZ15" s="86">
        <v>2</v>
      </c>
      <c r="BA15" s="44" t="s">
        <v>4</v>
      </c>
      <c r="BB15" s="40">
        <v>1</v>
      </c>
      <c r="BC15" s="27"/>
      <c r="BD15" s="42">
        <f t="shared" si="13"/>
        <v>0</v>
      </c>
      <c r="BE15" s="43">
        <f t="shared" si="14"/>
        <v>1</v>
      </c>
      <c r="BG15" s="38">
        <v>1</v>
      </c>
      <c r="BH15" s="44" t="s">
        <v>4</v>
      </c>
      <c r="BI15" s="40">
        <v>0</v>
      </c>
      <c r="BJ15" s="27"/>
      <c r="BK15" s="42">
        <f t="shared" si="15"/>
        <v>0</v>
      </c>
      <c r="BL15" s="43">
        <f t="shared" si="16"/>
        <v>1</v>
      </c>
      <c r="BN15" s="38">
        <v>2</v>
      </c>
      <c r="BO15" s="44" t="s">
        <v>4</v>
      </c>
      <c r="BP15" s="40">
        <v>0</v>
      </c>
      <c r="BQ15" s="27"/>
      <c r="BR15" s="42">
        <f t="shared" si="17"/>
        <v>0</v>
      </c>
      <c r="BS15" s="43">
        <f t="shared" si="18"/>
        <v>2</v>
      </c>
      <c r="BU15" s="38">
        <v>1</v>
      </c>
      <c r="BV15" s="44" t="s">
        <v>4</v>
      </c>
      <c r="BW15" s="40">
        <v>1</v>
      </c>
      <c r="BX15" s="27"/>
      <c r="BY15" s="42">
        <f t="shared" si="19"/>
        <v>1.6</v>
      </c>
      <c r="BZ15" s="43">
        <f t="shared" si="20"/>
        <v>0</v>
      </c>
      <c r="CB15" s="38">
        <v>3</v>
      </c>
      <c r="CC15" s="44" t="s">
        <v>4</v>
      </c>
      <c r="CD15" s="40">
        <v>1</v>
      </c>
      <c r="CE15" s="27"/>
      <c r="CF15" s="42">
        <f t="shared" si="21"/>
        <v>0</v>
      </c>
      <c r="CG15" s="43">
        <f t="shared" si="22"/>
        <v>2</v>
      </c>
      <c r="CI15" s="38">
        <v>2</v>
      </c>
      <c r="CJ15" s="44" t="s">
        <v>4</v>
      </c>
      <c r="CK15" s="40">
        <v>1</v>
      </c>
      <c r="CL15" s="27"/>
      <c r="CM15" s="42">
        <f t="shared" si="23"/>
        <v>0</v>
      </c>
      <c r="CN15" s="43">
        <f t="shared" si="24"/>
        <v>1</v>
      </c>
      <c r="CP15" s="38">
        <v>3</v>
      </c>
      <c r="CQ15" s="44" t="s">
        <v>4</v>
      </c>
      <c r="CR15" s="40">
        <v>2</v>
      </c>
      <c r="CS15" s="27"/>
      <c r="CT15" s="42">
        <f t="shared" si="25"/>
        <v>0</v>
      </c>
      <c r="CU15" s="43">
        <f t="shared" si="26"/>
        <v>1</v>
      </c>
      <c r="CW15" s="38">
        <v>2</v>
      </c>
      <c r="CX15" s="44" t="s">
        <v>4</v>
      </c>
      <c r="CY15" s="40">
        <v>0</v>
      </c>
      <c r="CZ15" s="27"/>
      <c r="DA15" s="42">
        <f t="shared" si="27"/>
        <v>0</v>
      </c>
      <c r="DB15" s="43">
        <f t="shared" si="28"/>
        <v>2</v>
      </c>
      <c r="DD15" s="38">
        <v>1</v>
      </c>
      <c r="DE15" s="44" t="s">
        <v>4</v>
      </c>
      <c r="DF15" s="40">
        <v>1</v>
      </c>
      <c r="DG15" s="27"/>
      <c r="DH15" s="42">
        <f t="shared" si="29"/>
        <v>1.6</v>
      </c>
      <c r="DI15" s="43">
        <f t="shared" si="30"/>
        <v>0</v>
      </c>
      <c r="DK15" s="38">
        <v>0</v>
      </c>
      <c r="DL15" s="44" t="s">
        <v>4</v>
      </c>
      <c r="DM15" s="40">
        <v>1</v>
      </c>
      <c r="DN15" s="27"/>
      <c r="DO15" s="42">
        <f t="shared" si="31"/>
        <v>0</v>
      </c>
      <c r="DP15" s="43">
        <f t="shared" si="32"/>
        <v>-1</v>
      </c>
      <c r="DR15" s="38">
        <v>2</v>
      </c>
      <c r="DS15" s="44" t="s">
        <v>4</v>
      </c>
      <c r="DT15" s="40">
        <v>0</v>
      </c>
      <c r="DU15" s="27"/>
      <c r="DV15" s="42">
        <f t="shared" si="33"/>
        <v>0</v>
      </c>
      <c r="DW15" s="43">
        <f t="shared" si="34"/>
        <v>2</v>
      </c>
      <c r="DY15" s="38">
        <v>2</v>
      </c>
      <c r="DZ15" s="44" t="s">
        <v>4</v>
      </c>
      <c r="EA15" s="40">
        <v>1</v>
      </c>
      <c r="EB15" s="27"/>
      <c r="EC15" s="42">
        <f t="shared" si="35"/>
        <v>0</v>
      </c>
      <c r="ED15" s="43">
        <f t="shared" si="36"/>
        <v>1</v>
      </c>
      <c r="EF15" s="38">
        <v>2</v>
      </c>
      <c r="EG15" s="44" t="s">
        <v>4</v>
      </c>
      <c r="EH15" s="40">
        <v>1</v>
      </c>
      <c r="EI15" s="27"/>
      <c r="EJ15" s="42">
        <f t="shared" si="37"/>
        <v>0</v>
      </c>
      <c r="EK15" s="43">
        <f t="shared" si="38"/>
        <v>1</v>
      </c>
      <c r="EM15" s="38">
        <v>3</v>
      </c>
      <c r="EN15" s="44" t="s">
        <v>4</v>
      </c>
      <c r="EO15" s="40">
        <v>1</v>
      </c>
      <c r="EP15" s="27"/>
      <c r="EQ15" s="42">
        <f t="shared" si="39"/>
        <v>0</v>
      </c>
      <c r="ER15" s="43">
        <f t="shared" si="40"/>
        <v>2</v>
      </c>
      <c r="ET15" s="38">
        <v>2</v>
      </c>
      <c r="EU15" s="44" t="s">
        <v>4</v>
      </c>
      <c r="EV15" s="40">
        <v>1</v>
      </c>
      <c r="EW15" s="27"/>
      <c r="EX15" s="42">
        <f t="shared" si="41"/>
        <v>0</v>
      </c>
      <c r="EY15" s="43">
        <f t="shared" si="42"/>
        <v>1</v>
      </c>
      <c r="FA15" s="38">
        <v>2</v>
      </c>
      <c r="FB15" s="44" t="s">
        <v>4</v>
      </c>
      <c r="FC15" s="40">
        <v>1</v>
      </c>
      <c r="FD15" s="27"/>
      <c r="FE15" s="42">
        <f t="shared" si="43"/>
        <v>0</v>
      </c>
      <c r="FF15" s="43">
        <f t="shared" si="44"/>
        <v>1</v>
      </c>
      <c r="FH15" s="38">
        <v>2</v>
      </c>
      <c r="FI15" s="44" t="s">
        <v>4</v>
      </c>
      <c r="FJ15" s="40">
        <v>2</v>
      </c>
      <c r="FK15" s="27"/>
      <c r="FL15" s="42">
        <f t="shared" si="45"/>
        <v>2.4000000000000004</v>
      </c>
      <c r="FM15" s="43">
        <f t="shared" si="46"/>
        <v>0</v>
      </c>
      <c r="FO15" s="38">
        <v>2</v>
      </c>
      <c r="FP15" s="44" t="s">
        <v>4</v>
      </c>
      <c r="FQ15" s="40">
        <v>1</v>
      </c>
      <c r="FR15" s="27"/>
      <c r="FS15" s="42">
        <f t="shared" si="47"/>
        <v>0</v>
      </c>
      <c r="FT15" s="43">
        <f t="shared" si="48"/>
        <v>1</v>
      </c>
      <c r="FV15" s="38">
        <v>1</v>
      </c>
      <c r="FW15" s="44" t="s">
        <v>4</v>
      </c>
      <c r="FX15" s="40">
        <v>2</v>
      </c>
      <c r="FY15" s="27"/>
      <c r="FZ15" s="42">
        <f t="shared" si="49"/>
        <v>0</v>
      </c>
      <c r="GA15" s="43">
        <f t="shared" si="50"/>
        <v>-1</v>
      </c>
      <c r="GC15" s="38">
        <v>2</v>
      </c>
      <c r="GD15" s="44" t="s">
        <v>4</v>
      </c>
      <c r="GE15" s="40">
        <v>1</v>
      </c>
      <c r="GF15" s="27"/>
      <c r="GG15" s="42">
        <f t="shared" si="51"/>
        <v>0</v>
      </c>
      <c r="GH15" s="43">
        <f t="shared" si="52"/>
        <v>1</v>
      </c>
      <c r="GJ15" s="38">
        <v>2</v>
      </c>
      <c r="GK15" s="44" t="s">
        <v>4</v>
      </c>
      <c r="GL15" s="40">
        <v>1</v>
      </c>
      <c r="GM15" s="27"/>
      <c r="GN15" s="42">
        <f t="shared" si="53"/>
        <v>0</v>
      </c>
      <c r="GO15" s="43">
        <f t="shared" si="54"/>
        <v>1</v>
      </c>
      <c r="GQ15" s="38">
        <v>2</v>
      </c>
      <c r="GR15" s="44" t="s">
        <v>4</v>
      </c>
      <c r="GS15" s="40">
        <v>2</v>
      </c>
      <c r="GT15" s="27"/>
      <c r="GU15" s="42">
        <f t="shared" si="55"/>
        <v>2.4000000000000004</v>
      </c>
      <c r="GV15" s="43">
        <f t="shared" si="56"/>
        <v>0</v>
      </c>
      <c r="GX15" s="38">
        <v>1</v>
      </c>
      <c r="GY15" s="44" t="s">
        <v>4</v>
      </c>
      <c r="GZ15" s="40">
        <v>0</v>
      </c>
      <c r="HA15" s="27"/>
      <c r="HB15" s="42">
        <f t="shared" si="57"/>
        <v>0</v>
      </c>
      <c r="HC15" s="43">
        <f t="shared" si="58"/>
        <v>1</v>
      </c>
      <c r="HE15" s="38">
        <v>2</v>
      </c>
      <c r="HF15" s="44" t="s">
        <v>4</v>
      </c>
      <c r="HG15" s="40">
        <v>1</v>
      </c>
      <c r="HH15" s="27"/>
      <c r="HI15" s="42">
        <f t="shared" si="59"/>
        <v>0</v>
      </c>
      <c r="HJ15" s="43">
        <f t="shared" si="60"/>
        <v>1</v>
      </c>
      <c r="HL15" s="38">
        <v>2</v>
      </c>
      <c r="HM15" s="44" t="s">
        <v>4</v>
      </c>
      <c r="HN15" s="40">
        <v>0</v>
      </c>
      <c r="HO15" s="27"/>
      <c r="HP15" s="42">
        <f t="shared" si="61"/>
        <v>0</v>
      </c>
      <c r="HQ15" s="43">
        <f t="shared" si="62"/>
        <v>2</v>
      </c>
      <c r="HS15" s="38">
        <v>2</v>
      </c>
      <c r="HT15" s="44" t="s">
        <v>4</v>
      </c>
      <c r="HU15" s="40">
        <v>1</v>
      </c>
      <c r="HV15" s="27"/>
      <c r="HW15" s="42">
        <f t="shared" si="63"/>
        <v>0</v>
      </c>
      <c r="HX15" s="43">
        <f t="shared" si="64"/>
        <v>1</v>
      </c>
      <c r="HZ15" s="38">
        <v>3</v>
      </c>
      <c r="IA15" s="44" t="s">
        <v>4</v>
      </c>
      <c r="IB15" s="40">
        <v>1</v>
      </c>
      <c r="IC15" s="27"/>
      <c r="ID15" s="42">
        <f t="shared" si="65"/>
        <v>0</v>
      </c>
      <c r="IE15" s="43">
        <f t="shared" si="66"/>
        <v>2</v>
      </c>
      <c r="IG15" s="38">
        <v>4</v>
      </c>
      <c r="IH15" s="44" t="s">
        <v>4</v>
      </c>
      <c r="II15" s="40">
        <v>0</v>
      </c>
      <c r="IJ15" s="27"/>
      <c r="IK15" s="42">
        <f t="shared" si="67"/>
        <v>0</v>
      </c>
      <c r="IL15" s="43">
        <f t="shared" si="68"/>
        <v>4</v>
      </c>
      <c r="IN15" s="38">
        <v>2</v>
      </c>
      <c r="IO15" s="44" t="s">
        <v>4</v>
      </c>
      <c r="IP15" s="40">
        <v>1</v>
      </c>
      <c r="IQ15" s="27"/>
      <c r="IR15" s="42">
        <f t="shared" si="69"/>
        <v>0</v>
      </c>
      <c r="IS15" s="43">
        <f t="shared" si="70"/>
        <v>1</v>
      </c>
      <c r="IU15" s="38">
        <v>2</v>
      </c>
      <c r="IV15" s="44" t="s">
        <v>4</v>
      </c>
      <c r="IW15" s="40">
        <v>0</v>
      </c>
      <c r="IX15" s="27"/>
      <c r="IY15" s="42">
        <f t="shared" si="71"/>
        <v>0</v>
      </c>
      <c r="IZ15" s="43">
        <f t="shared" si="72"/>
        <v>2</v>
      </c>
      <c r="JB15" s="38">
        <v>1</v>
      </c>
      <c r="JC15" s="44" t="s">
        <v>4</v>
      </c>
      <c r="JD15" s="40">
        <v>1</v>
      </c>
      <c r="JE15" s="27"/>
      <c r="JF15" s="42">
        <f t="shared" si="73"/>
        <v>1.6</v>
      </c>
      <c r="JG15" s="43">
        <f t="shared" si="74"/>
        <v>0</v>
      </c>
      <c r="JI15" s="38">
        <v>1</v>
      </c>
      <c r="JJ15" s="44" t="s">
        <v>4</v>
      </c>
      <c r="JK15" s="40">
        <v>0</v>
      </c>
      <c r="JL15" s="27"/>
      <c r="JM15" s="42">
        <f t="shared" si="75"/>
        <v>0</v>
      </c>
      <c r="JN15" s="43">
        <f t="shared" si="76"/>
        <v>1</v>
      </c>
      <c r="JP15" s="38">
        <v>2</v>
      </c>
      <c r="JQ15" s="44" t="s">
        <v>4</v>
      </c>
      <c r="JR15" s="40">
        <v>2</v>
      </c>
      <c r="JS15" s="27"/>
      <c r="JT15" s="42">
        <f t="shared" si="77"/>
        <v>2.4000000000000004</v>
      </c>
      <c r="JU15" s="43">
        <f t="shared" si="78"/>
        <v>0</v>
      </c>
      <c r="JW15" s="38">
        <v>3</v>
      </c>
      <c r="JX15" s="44" t="s">
        <v>4</v>
      </c>
      <c r="JY15" s="40">
        <v>2</v>
      </c>
      <c r="JZ15" s="27"/>
      <c r="KA15" s="42">
        <f t="shared" si="79"/>
        <v>0</v>
      </c>
      <c r="KB15" s="43">
        <f t="shared" si="80"/>
        <v>1</v>
      </c>
      <c r="KD15" s="38">
        <v>4</v>
      </c>
      <c r="KE15" s="44" t="s">
        <v>4</v>
      </c>
      <c r="KF15" s="40">
        <v>1</v>
      </c>
      <c r="KG15" s="27"/>
      <c r="KH15" s="42">
        <f t="shared" si="81"/>
        <v>0</v>
      </c>
      <c r="KI15" s="43">
        <f t="shared" si="82"/>
        <v>3</v>
      </c>
      <c r="KK15" s="38">
        <v>1</v>
      </c>
      <c r="KL15" s="44" t="s">
        <v>4</v>
      </c>
      <c r="KM15" s="40">
        <v>0</v>
      </c>
      <c r="KN15" s="27"/>
      <c r="KO15" s="42">
        <f t="shared" si="83"/>
        <v>0</v>
      </c>
      <c r="KP15" s="43">
        <f t="shared" si="84"/>
        <v>1</v>
      </c>
      <c r="KR15" s="38">
        <v>0</v>
      </c>
      <c r="KS15" s="44" t="s">
        <v>4</v>
      </c>
      <c r="KT15" s="40">
        <v>1</v>
      </c>
      <c r="KU15" s="27"/>
      <c r="KV15" s="42">
        <f t="shared" si="85"/>
        <v>0</v>
      </c>
      <c r="KW15" s="43">
        <f t="shared" si="86"/>
        <v>-1</v>
      </c>
      <c r="KY15" s="38">
        <v>2</v>
      </c>
      <c r="KZ15" s="44" t="s">
        <v>4</v>
      </c>
      <c r="LA15" s="40">
        <v>1</v>
      </c>
      <c r="LB15" s="27"/>
      <c r="LC15" s="42">
        <f t="shared" si="87"/>
        <v>0</v>
      </c>
      <c r="LD15" s="43">
        <f t="shared" si="88"/>
        <v>1</v>
      </c>
      <c r="LF15" s="38">
        <v>2</v>
      </c>
      <c r="LG15" s="44" t="s">
        <v>4</v>
      </c>
      <c r="LH15" s="40">
        <v>1</v>
      </c>
      <c r="LI15" s="27"/>
      <c r="LJ15" s="42">
        <f t="shared" si="89"/>
        <v>0</v>
      </c>
      <c r="LK15" s="43">
        <f t="shared" si="90"/>
        <v>1</v>
      </c>
      <c r="LM15" s="38">
        <v>2</v>
      </c>
      <c r="LN15" s="44" t="s">
        <v>4</v>
      </c>
      <c r="LO15" s="40">
        <v>1</v>
      </c>
      <c r="LP15" s="27"/>
      <c r="LQ15" s="42">
        <f t="shared" si="91"/>
        <v>0</v>
      </c>
      <c r="LR15" s="43">
        <f t="shared" si="92"/>
        <v>1</v>
      </c>
      <c r="LT15" s="38">
        <v>2</v>
      </c>
      <c r="LU15" s="44" t="s">
        <v>4</v>
      </c>
      <c r="LV15" s="40">
        <v>1</v>
      </c>
      <c r="LW15" s="27"/>
      <c r="LX15" s="42">
        <f t="shared" si="93"/>
        <v>0</v>
      </c>
      <c r="LY15" s="43">
        <f t="shared" si="94"/>
        <v>1</v>
      </c>
      <c r="MA15" s="38">
        <v>3</v>
      </c>
      <c r="MB15" s="44" t="s">
        <v>4</v>
      </c>
      <c r="MC15" s="40">
        <v>2</v>
      </c>
      <c r="MD15" s="27"/>
      <c r="ME15" s="42">
        <f t="shared" si="95"/>
        <v>0</v>
      </c>
      <c r="MF15" s="43">
        <f t="shared" si="96"/>
        <v>1</v>
      </c>
      <c r="MH15" s="38">
        <v>3</v>
      </c>
      <c r="MI15" s="44" t="s">
        <v>4</v>
      </c>
      <c r="MJ15" s="40">
        <v>1</v>
      </c>
      <c r="MK15" s="27"/>
      <c r="ML15" s="42">
        <f t="shared" si="97"/>
        <v>0</v>
      </c>
      <c r="MM15" s="43">
        <f t="shared" si="98"/>
        <v>2</v>
      </c>
      <c r="MO15" s="38">
        <v>2</v>
      </c>
      <c r="MP15" s="44" t="s">
        <v>4</v>
      </c>
      <c r="MQ15" s="40">
        <v>1</v>
      </c>
      <c r="MR15" s="27"/>
      <c r="MS15" s="42">
        <f t="shared" si="99"/>
        <v>0</v>
      </c>
      <c r="MT15" s="43">
        <f t="shared" si="100"/>
        <v>1</v>
      </c>
      <c r="MV15" s="38">
        <v>3</v>
      </c>
      <c r="MW15" s="44" t="s">
        <v>4</v>
      </c>
      <c r="MX15" s="40">
        <v>2</v>
      </c>
      <c r="MY15" s="27"/>
      <c r="MZ15" s="42">
        <f t="shared" si="101"/>
        <v>0</v>
      </c>
      <c r="NA15" s="43">
        <f t="shared" si="102"/>
        <v>1</v>
      </c>
      <c r="NC15" s="38">
        <v>2</v>
      </c>
      <c r="ND15" s="44" t="s">
        <v>4</v>
      </c>
      <c r="NE15" s="40">
        <v>1</v>
      </c>
      <c r="NF15" s="27"/>
      <c r="NG15" s="42">
        <f t="shared" si="103"/>
        <v>0</v>
      </c>
      <c r="NH15" s="43">
        <f t="shared" si="104"/>
        <v>1</v>
      </c>
      <c r="NJ15" s="38">
        <v>1</v>
      </c>
      <c r="NK15" s="44" t="s">
        <v>4</v>
      </c>
      <c r="NL15" s="40">
        <v>2</v>
      </c>
      <c r="NM15" s="27"/>
      <c r="NN15" s="42">
        <f t="shared" si="105"/>
        <v>0</v>
      </c>
      <c r="NO15" s="43">
        <f t="shared" si="106"/>
        <v>-1</v>
      </c>
      <c r="NQ15" s="38">
        <v>2</v>
      </c>
      <c r="NR15" s="44" t="s">
        <v>4</v>
      </c>
      <c r="NS15" s="40">
        <v>0</v>
      </c>
      <c r="NT15" s="27"/>
      <c r="NU15" s="42">
        <f t="shared" si="107"/>
        <v>0</v>
      </c>
      <c r="NV15" s="43">
        <f t="shared" si="108"/>
        <v>2</v>
      </c>
      <c r="NX15" s="38">
        <v>2</v>
      </c>
      <c r="NY15" s="44" t="s">
        <v>4</v>
      </c>
      <c r="NZ15" s="40">
        <v>1</v>
      </c>
      <c r="OA15" s="27"/>
      <c r="OB15" s="42">
        <f t="shared" si="109"/>
        <v>0</v>
      </c>
      <c r="OC15" s="43">
        <f t="shared" si="110"/>
        <v>1</v>
      </c>
      <c r="OE15" s="38">
        <v>2</v>
      </c>
      <c r="OF15" s="44" t="s">
        <v>4</v>
      </c>
      <c r="OG15" s="40">
        <v>1</v>
      </c>
      <c r="OH15" s="27"/>
      <c r="OI15" s="42">
        <f t="shared" si="111"/>
        <v>0</v>
      </c>
      <c r="OJ15" s="43">
        <f t="shared" si="112"/>
        <v>1</v>
      </c>
      <c r="OL15" s="38">
        <v>2</v>
      </c>
      <c r="OM15" s="44" t="s">
        <v>4</v>
      </c>
      <c r="ON15" s="40">
        <v>2</v>
      </c>
      <c r="OO15" s="27"/>
      <c r="OP15" s="42">
        <f t="shared" si="113"/>
        <v>2.4000000000000004</v>
      </c>
      <c r="OQ15" s="43">
        <f t="shared" si="114"/>
        <v>0</v>
      </c>
      <c r="OS15" s="38">
        <v>2</v>
      </c>
      <c r="OT15" s="44" t="s">
        <v>4</v>
      </c>
      <c r="OU15" s="40">
        <v>1</v>
      </c>
      <c r="OV15" s="27"/>
      <c r="OW15" s="42">
        <f t="shared" si="115"/>
        <v>0</v>
      </c>
      <c r="OX15" s="43">
        <f t="shared" si="116"/>
        <v>1</v>
      </c>
      <c r="OZ15" s="38">
        <v>3</v>
      </c>
      <c r="PA15" s="44" t="s">
        <v>4</v>
      </c>
      <c r="PB15" s="40">
        <v>2</v>
      </c>
      <c r="PC15" s="27"/>
      <c r="PD15" s="42">
        <f t="shared" si="117"/>
        <v>0</v>
      </c>
      <c r="PE15" s="43">
        <f t="shared" si="118"/>
        <v>1</v>
      </c>
      <c r="PG15" s="38">
        <v>2</v>
      </c>
      <c r="PH15" s="44" t="s">
        <v>4</v>
      </c>
      <c r="PI15" s="40">
        <v>1</v>
      </c>
      <c r="PJ15" s="27"/>
      <c r="PK15" s="42">
        <f t="shared" si="119"/>
        <v>0</v>
      </c>
      <c r="PL15" s="43">
        <f t="shared" si="120"/>
        <v>1</v>
      </c>
      <c r="PN15" s="38">
        <v>2</v>
      </c>
      <c r="PO15" s="44" t="s">
        <v>4</v>
      </c>
      <c r="PP15" s="40">
        <v>1</v>
      </c>
      <c r="PQ15" s="27"/>
      <c r="PR15" s="42">
        <f t="shared" si="121"/>
        <v>0</v>
      </c>
      <c r="PS15" s="43">
        <f t="shared" si="122"/>
        <v>1</v>
      </c>
      <c r="PU15" s="38">
        <v>1</v>
      </c>
      <c r="PV15" s="44" t="s">
        <v>4</v>
      </c>
      <c r="PW15" s="40">
        <v>2</v>
      </c>
      <c r="PX15" s="27"/>
      <c r="PY15" s="42">
        <f t="shared" si="123"/>
        <v>0</v>
      </c>
      <c r="PZ15" s="43">
        <f t="shared" si="124"/>
        <v>-1</v>
      </c>
      <c r="QB15" s="38">
        <v>3</v>
      </c>
      <c r="QC15" s="44" t="s">
        <v>4</v>
      </c>
      <c r="QD15" s="40">
        <v>1</v>
      </c>
      <c r="QE15" s="27"/>
      <c r="QF15" s="42">
        <f t="shared" si="125"/>
        <v>0</v>
      </c>
      <c r="QG15" s="43">
        <f t="shared" si="126"/>
        <v>2</v>
      </c>
      <c r="QI15" s="38">
        <v>2</v>
      </c>
      <c r="QJ15" s="44" t="s">
        <v>4</v>
      </c>
      <c r="QK15" s="40">
        <v>1</v>
      </c>
      <c r="QL15" s="27"/>
      <c r="QM15" s="42">
        <f t="shared" si="127"/>
        <v>0</v>
      </c>
      <c r="QN15" s="43">
        <f t="shared" si="128"/>
        <v>1</v>
      </c>
      <c r="QP15" s="38">
        <v>1</v>
      </c>
      <c r="QQ15" s="44" t="s">
        <v>4</v>
      </c>
      <c r="QR15" s="40">
        <v>2</v>
      </c>
      <c r="QS15" s="27"/>
      <c r="QT15" s="42">
        <f t="shared" si="129"/>
        <v>0</v>
      </c>
      <c r="QU15" s="43">
        <f t="shared" si="130"/>
        <v>-1</v>
      </c>
      <c r="QW15" s="38">
        <v>3</v>
      </c>
      <c r="QX15" s="44" t="s">
        <v>4</v>
      </c>
      <c r="QY15" s="40">
        <v>1</v>
      </c>
      <c r="QZ15" s="27"/>
      <c r="RA15" s="42">
        <f t="shared" si="131"/>
        <v>0</v>
      </c>
      <c r="RB15" s="43">
        <f t="shared" si="132"/>
        <v>2</v>
      </c>
      <c r="RD15" s="38">
        <v>0</v>
      </c>
      <c r="RE15" s="44" t="s">
        <v>4</v>
      </c>
      <c r="RF15" s="40">
        <v>0</v>
      </c>
      <c r="RG15" s="27"/>
      <c r="RH15" s="42">
        <f t="shared" si="133"/>
        <v>1.6</v>
      </c>
      <c r="RI15" s="43">
        <f t="shared" si="134"/>
        <v>0</v>
      </c>
      <c r="RK15" s="38">
        <v>2</v>
      </c>
      <c r="RL15" s="44" t="s">
        <v>4</v>
      </c>
      <c r="RM15" s="40">
        <v>1</v>
      </c>
      <c r="RN15" s="27"/>
      <c r="RO15" s="42">
        <f t="shared" si="135"/>
        <v>0</v>
      </c>
      <c r="RP15" s="43">
        <f t="shared" si="136"/>
        <v>1</v>
      </c>
      <c r="RR15" s="38">
        <v>2</v>
      </c>
      <c r="RS15" s="44" t="s">
        <v>4</v>
      </c>
      <c r="RT15" s="40">
        <v>1</v>
      </c>
      <c r="RU15" s="27"/>
      <c r="RV15" s="42">
        <f t="shared" si="137"/>
        <v>0</v>
      </c>
      <c r="RW15" s="43">
        <f t="shared" si="138"/>
        <v>1</v>
      </c>
      <c r="RY15" s="38">
        <v>2</v>
      </c>
      <c r="RZ15" s="44" t="s">
        <v>4</v>
      </c>
      <c r="SA15" s="40">
        <v>1</v>
      </c>
      <c r="SB15" s="27"/>
      <c r="SC15" s="42">
        <f t="shared" si="139"/>
        <v>0</v>
      </c>
      <c r="SD15" s="43">
        <f t="shared" si="140"/>
        <v>1</v>
      </c>
      <c r="SF15" s="38">
        <v>2</v>
      </c>
      <c r="SG15" s="44" t="s">
        <v>4</v>
      </c>
      <c r="SH15" s="40">
        <v>1</v>
      </c>
      <c r="SI15" s="27"/>
      <c r="SJ15" s="42">
        <f t="shared" si="141"/>
        <v>0</v>
      </c>
      <c r="SK15" s="43">
        <f t="shared" si="142"/>
        <v>1</v>
      </c>
      <c r="SM15" s="38">
        <v>2</v>
      </c>
      <c r="SN15" s="44" t="s">
        <v>4</v>
      </c>
      <c r="SO15" s="40">
        <v>1</v>
      </c>
      <c r="SP15" s="27"/>
      <c r="SQ15" s="42">
        <f t="shared" si="143"/>
        <v>0</v>
      </c>
      <c r="SR15" s="43">
        <f t="shared" si="144"/>
        <v>1</v>
      </c>
    </row>
    <row r="16" spans="1:512" customFormat="1" ht="16" customHeight="1" x14ac:dyDescent="0.2">
      <c r="A16" s="34">
        <v>46188</v>
      </c>
      <c r="B16" s="35">
        <v>4.1666666666666664E-2</v>
      </c>
      <c r="C16" s="79" t="s">
        <v>41</v>
      </c>
      <c r="D16" s="81" t="s">
        <v>42</v>
      </c>
      <c r="E16" s="3">
        <v>1</v>
      </c>
      <c r="F16" s="37" t="s">
        <v>4</v>
      </c>
      <c r="G16" s="4">
        <v>0</v>
      </c>
      <c r="H16" s="16">
        <v>1.8</v>
      </c>
      <c r="I16" s="32">
        <f t="shared" si="0"/>
        <v>1</v>
      </c>
      <c r="J16" s="38">
        <v>3</v>
      </c>
      <c r="K16" s="44" t="s">
        <v>4</v>
      </c>
      <c r="L16" s="40">
        <v>1</v>
      </c>
      <c r="M16" s="27"/>
      <c r="N16" s="42">
        <f t="shared" si="1"/>
        <v>1.8</v>
      </c>
      <c r="O16" s="43">
        <f t="shared" si="2"/>
        <v>2</v>
      </c>
      <c r="P16" s="32"/>
      <c r="Q16" s="38">
        <v>2</v>
      </c>
      <c r="R16" s="44" t="s">
        <v>4</v>
      </c>
      <c r="S16" s="40">
        <v>1</v>
      </c>
      <c r="T16" s="27"/>
      <c r="U16" s="42">
        <f t="shared" si="3"/>
        <v>1.8</v>
      </c>
      <c r="V16" s="43">
        <f t="shared" si="4"/>
        <v>1</v>
      </c>
      <c r="X16" s="38">
        <v>1</v>
      </c>
      <c r="Y16" s="44" t="s">
        <v>4</v>
      </c>
      <c r="Z16" s="40">
        <v>1</v>
      </c>
      <c r="AA16" s="27"/>
      <c r="AB16" s="42">
        <f t="shared" si="5"/>
        <v>0</v>
      </c>
      <c r="AC16" s="43">
        <f t="shared" si="6"/>
        <v>0</v>
      </c>
      <c r="AE16" s="38">
        <v>3</v>
      </c>
      <c r="AF16" s="44" t="s">
        <v>4</v>
      </c>
      <c r="AG16" s="40">
        <v>1</v>
      </c>
      <c r="AH16" s="27"/>
      <c r="AI16" s="42">
        <f t="shared" si="7"/>
        <v>1.8</v>
      </c>
      <c r="AJ16" s="43">
        <f t="shared" si="8"/>
        <v>2</v>
      </c>
      <c r="AL16" s="38">
        <v>1</v>
      </c>
      <c r="AM16" s="44" t="s">
        <v>4</v>
      </c>
      <c r="AN16" s="40">
        <v>1</v>
      </c>
      <c r="AO16" s="27"/>
      <c r="AP16" s="42">
        <f t="shared" si="9"/>
        <v>0</v>
      </c>
      <c r="AQ16" s="43">
        <f t="shared" si="10"/>
        <v>0</v>
      </c>
      <c r="AS16" s="38">
        <v>0</v>
      </c>
      <c r="AT16" s="44" t="s">
        <v>4</v>
      </c>
      <c r="AU16" s="40">
        <v>1</v>
      </c>
      <c r="AV16" s="27"/>
      <c r="AW16" s="42">
        <f t="shared" si="11"/>
        <v>0</v>
      </c>
      <c r="AX16" s="43">
        <f t="shared" si="12"/>
        <v>-1</v>
      </c>
      <c r="AZ16" s="86">
        <v>1</v>
      </c>
      <c r="BA16" s="44" t="s">
        <v>4</v>
      </c>
      <c r="BB16" s="40">
        <v>0</v>
      </c>
      <c r="BC16" s="27"/>
      <c r="BD16" s="42">
        <f t="shared" si="13"/>
        <v>2.7</v>
      </c>
      <c r="BE16" s="43">
        <f t="shared" si="14"/>
        <v>1</v>
      </c>
      <c r="BG16" s="38">
        <v>1</v>
      </c>
      <c r="BH16" s="44" t="s">
        <v>4</v>
      </c>
      <c r="BI16" s="40">
        <v>1</v>
      </c>
      <c r="BJ16" s="27"/>
      <c r="BK16" s="42">
        <f t="shared" si="15"/>
        <v>0</v>
      </c>
      <c r="BL16" s="43">
        <f t="shared" si="16"/>
        <v>0</v>
      </c>
      <c r="BN16" s="38">
        <v>1</v>
      </c>
      <c r="BO16" s="44" t="s">
        <v>4</v>
      </c>
      <c r="BP16" s="40">
        <v>1</v>
      </c>
      <c r="BQ16" s="27"/>
      <c r="BR16" s="42">
        <f t="shared" si="17"/>
        <v>0</v>
      </c>
      <c r="BS16" s="43">
        <f t="shared" si="18"/>
        <v>0</v>
      </c>
      <c r="BU16" s="38">
        <v>1</v>
      </c>
      <c r="BV16" s="44" t="s">
        <v>4</v>
      </c>
      <c r="BW16" s="40">
        <v>1</v>
      </c>
      <c r="BX16" s="27"/>
      <c r="BY16" s="42">
        <f t="shared" si="19"/>
        <v>0</v>
      </c>
      <c r="BZ16" s="43">
        <f t="shared" si="20"/>
        <v>0</v>
      </c>
      <c r="CB16" s="38">
        <v>2</v>
      </c>
      <c r="CC16" s="44" t="s">
        <v>4</v>
      </c>
      <c r="CD16" s="40">
        <v>1</v>
      </c>
      <c r="CE16" s="27"/>
      <c r="CF16" s="42">
        <f t="shared" si="21"/>
        <v>1.8</v>
      </c>
      <c r="CG16" s="43">
        <f t="shared" si="22"/>
        <v>1</v>
      </c>
      <c r="CI16" s="38">
        <v>0</v>
      </c>
      <c r="CJ16" s="44" t="s">
        <v>4</v>
      </c>
      <c r="CK16" s="40">
        <v>1</v>
      </c>
      <c r="CL16" s="27"/>
      <c r="CM16" s="42">
        <f t="shared" si="23"/>
        <v>0</v>
      </c>
      <c r="CN16" s="43">
        <f t="shared" si="24"/>
        <v>-1</v>
      </c>
      <c r="CP16" s="38">
        <v>2</v>
      </c>
      <c r="CQ16" s="44" t="s">
        <v>4</v>
      </c>
      <c r="CR16" s="40">
        <v>2</v>
      </c>
      <c r="CS16" s="27"/>
      <c r="CT16" s="42">
        <f t="shared" si="25"/>
        <v>0</v>
      </c>
      <c r="CU16" s="43">
        <f t="shared" si="26"/>
        <v>0</v>
      </c>
      <c r="CW16" s="38">
        <v>2</v>
      </c>
      <c r="CX16" s="44" t="s">
        <v>4</v>
      </c>
      <c r="CY16" s="40">
        <v>1</v>
      </c>
      <c r="CZ16" s="27"/>
      <c r="DA16" s="42">
        <f t="shared" si="27"/>
        <v>1.8</v>
      </c>
      <c r="DB16" s="43">
        <f t="shared" si="28"/>
        <v>1</v>
      </c>
      <c r="DD16" s="38">
        <v>2</v>
      </c>
      <c r="DE16" s="44" t="s">
        <v>4</v>
      </c>
      <c r="DF16" s="40">
        <v>1</v>
      </c>
      <c r="DG16" s="27"/>
      <c r="DH16" s="42">
        <f t="shared" si="29"/>
        <v>1.8</v>
      </c>
      <c r="DI16" s="43">
        <f t="shared" si="30"/>
        <v>1</v>
      </c>
      <c r="DK16" s="38">
        <v>1</v>
      </c>
      <c r="DL16" s="44" t="s">
        <v>4</v>
      </c>
      <c r="DM16" s="40">
        <v>0</v>
      </c>
      <c r="DN16" s="27"/>
      <c r="DO16" s="42">
        <f t="shared" si="31"/>
        <v>2.7</v>
      </c>
      <c r="DP16" s="43">
        <f t="shared" si="32"/>
        <v>1</v>
      </c>
      <c r="DR16" s="38">
        <v>0</v>
      </c>
      <c r="DS16" s="44" t="s">
        <v>4</v>
      </c>
      <c r="DT16" s="40">
        <v>2</v>
      </c>
      <c r="DU16" s="27"/>
      <c r="DV16" s="42">
        <f t="shared" si="33"/>
        <v>0</v>
      </c>
      <c r="DW16" s="43">
        <f t="shared" si="34"/>
        <v>-2</v>
      </c>
      <c r="DY16" s="38">
        <v>0</v>
      </c>
      <c r="DZ16" s="44" t="s">
        <v>4</v>
      </c>
      <c r="EA16" s="40">
        <v>0</v>
      </c>
      <c r="EB16" s="27"/>
      <c r="EC16" s="42">
        <f t="shared" si="35"/>
        <v>0</v>
      </c>
      <c r="ED16" s="43">
        <f t="shared" si="36"/>
        <v>0</v>
      </c>
      <c r="EF16" s="38">
        <v>1</v>
      </c>
      <c r="EG16" s="44" t="s">
        <v>4</v>
      </c>
      <c r="EH16" s="40">
        <v>1</v>
      </c>
      <c r="EI16" s="27"/>
      <c r="EJ16" s="42">
        <f t="shared" si="37"/>
        <v>0</v>
      </c>
      <c r="EK16" s="43">
        <f t="shared" si="38"/>
        <v>0</v>
      </c>
      <c r="EM16" s="38">
        <v>1</v>
      </c>
      <c r="EN16" s="44" t="s">
        <v>4</v>
      </c>
      <c r="EO16" s="40">
        <v>1</v>
      </c>
      <c r="EP16" s="27"/>
      <c r="EQ16" s="42">
        <f t="shared" si="39"/>
        <v>0</v>
      </c>
      <c r="ER16" s="43">
        <f t="shared" si="40"/>
        <v>0</v>
      </c>
      <c r="ET16" s="38">
        <v>2</v>
      </c>
      <c r="EU16" s="44" t="s">
        <v>4</v>
      </c>
      <c r="EV16" s="40">
        <v>1</v>
      </c>
      <c r="EW16" s="27"/>
      <c r="EX16" s="42">
        <f t="shared" si="41"/>
        <v>1.8</v>
      </c>
      <c r="EY16" s="43">
        <f t="shared" si="42"/>
        <v>1</v>
      </c>
      <c r="FA16" s="38">
        <v>1</v>
      </c>
      <c r="FB16" s="44" t="s">
        <v>4</v>
      </c>
      <c r="FC16" s="40">
        <v>1</v>
      </c>
      <c r="FD16" s="27"/>
      <c r="FE16" s="42">
        <f t="shared" si="43"/>
        <v>0</v>
      </c>
      <c r="FF16" s="43">
        <f t="shared" si="44"/>
        <v>0</v>
      </c>
      <c r="FH16" s="38">
        <v>0</v>
      </c>
      <c r="FI16" s="44" t="s">
        <v>4</v>
      </c>
      <c r="FJ16" s="40">
        <v>0</v>
      </c>
      <c r="FK16" s="27"/>
      <c r="FL16" s="42">
        <f t="shared" si="45"/>
        <v>0</v>
      </c>
      <c r="FM16" s="43">
        <f t="shared" si="46"/>
        <v>0</v>
      </c>
      <c r="FO16" s="38">
        <v>2</v>
      </c>
      <c r="FP16" s="44" t="s">
        <v>4</v>
      </c>
      <c r="FQ16" s="40">
        <v>1</v>
      </c>
      <c r="FR16" s="27"/>
      <c r="FS16" s="42">
        <f t="shared" si="47"/>
        <v>1.8</v>
      </c>
      <c r="FT16" s="43">
        <f t="shared" si="48"/>
        <v>1</v>
      </c>
      <c r="FV16" s="38">
        <v>2</v>
      </c>
      <c r="FW16" s="44" t="s">
        <v>4</v>
      </c>
      <c r="FX16" s="40">
        <v>0</v>
      </c>
      <c r="FY16" s="27"/>
      <c r="FZ16" s="42">
        <f t="shared" si="49"/>
        <v>1.8</v>
      </c>
      <c r="GA16" s="43">
        <f t="shared" si="50"/>
        <v>2</v>
      </c>
      <c r="GC16" s="38">
        <v>1</v>
      </c>
      <c r="GD16" s="44" t="s">
        <v>4</v>
      </c>
      <c r="GE16" s="40">
        <v>1</v>
      </c>
      <c r="GF16" s="27"/>
      <c r="GG16" s="42">
        <f t="shared" si="51"/>
        <v>0</v>
      </c>
      <c r="GH16" s="43">
        <f t="shared" si="52"/>
        <v>0</v>
      </c>
      <c r="GJ16" s="38">
        <v>1</v>
      </c>
      <c r="GK16" s="44" t="s">
        <v>4</v>
      </c>
      <c r="GL16" s="40">
        <v>1</v>
      </c>
      <c r="GM16" s="27"/>
      <c r="GN16" s="42">
        <f t="shared" si="53"/>
        <v>0</v>
      </c>
      <c r="GO16" s="43">
        <f t="shared" si="54"/>
        <v>0</v>
      </c>
      <c r="GQ16" s="38">
        <v>1</v>
      </c>
      <c r="GR16" s="44" t="s">
        <v>4</v>
      </c>
      <c r="GS16" s="40">
        <v>1</v>
      </c>
      <c r="GT16" s="27"/>
      <c r="GU16" s="42">
        <f t="shared" si="55"/>
        <v>0</v>
      </c>
      <c r="GV16" s="43">
        <f t="shared" si="56"/>
        <v>0</v>
      </c>
      <c r="GX16" s="38">
        <v>0</v>
      </c>
      <c r="GY16" s="44" t="s">
        <v>4</v>
      </c>
      <c r="GZ16" s="40">
        <v>1</v>
      </c>
      <c r="HA16" s="27"/>
      <c r="HB16" s="42">
        <f t="shared" si="57"/>
        <v>0</v>
      </c>
      <c r="HC16" s="43">
        <f t="shared" si="58"/>
        <v>-1</v>
      </c>
      <c r="HE16" s="38">
        <v>0</v>
      </c>
      <c r="HF16" s="44" t="s">
        <v>4</v>
      </c>
      <c r="HG16" s="40">
        <v>0</v>
      </c>
      <c r="HH16" s="27"/>
      <c r="HI16" s="42">
        <f t="shared" si="59"/>
        <v>0</v>
      </c>
      <c r="HJ16" s="43">
        <f t="shared" si="60"/>
        <v>0</v>
      </c>
      <c r="HL16" s="38">
        <v>1</v>
      </c>
      <c r="HM16" s="44" t="s">
        <v>4</v>
      </c>
      <c r="HN16" s="40">
        <v>1</v>
      </c>
      <c r="HO16" s="27"/>
      <c r="HP16" s="42">
        <f t="shared" si="61"/>
        <v>0</v>
      </c>
      <c r="HQ16" s="43">
        <f t="shared" si="62"/>
        <v>0</v>
      </c>
      <c r="HS16" s="38">
        <v>1</v>
      </c>
      <c r="HT16" s="44" t="s">
        <v>4</v>
      </c>
      <c r="HU16" s="40">
        <v>1</v>
      </c>
      <c r="HV16" s="27"/>
      <c r="HW16" s="42">
        <f t="shared" si="63"/>
        <v>0</v>
      </c>
      <c r="HX16" s="43">
        <f t="shared" si="64"/>
        <v>0</v>
      </c>
      <c r="HZ16" s="38">
        <v>2</v>
      </c>
      <c r="IA16" s="44" t="s">
        <v>4</v>
      </c>
      <c r="IB16" s="40">
        <v>0</v>
      </c>
      <c r="IC16" s="27"/>
      <c r="ID16" s="42">
        <f t="shared" si="65"/>
        <v>1.8</v>
      </c>
      <c r="IE16" s="43">
        <f t="shared" si="66"/>
        <v>2</v>
      </c>
      <c r="IG16" s="38">
        <v>0</v>
      </c>
      <c r="IH16" s="44" t="s">
        <v>4</v>
      </c>
      <c r="II16" s="40">
        <v>0</v>
      </c>
      <c r="IJ16" s="27"/>
      <c r="IK16" s="42">
        <f t="shared" si="67"/>
        <v>0</v>
      </c>
      <c r="IL16" s="43">
        <f t="shared" si="68"/>
        <v>0</v>
      </c>
      <c r="IN16" s="38">
        <v>0</v>
      </c>
      <c r="IO16" s="44" t="s">
        <v>4</v>
      </c>
      <c r="IP16" s="40">
        <v>1</v>
      </c>
      <c r="IQ16" s="27"/>
      <c r="IR16" s="42">
        <f t="shared" si="69"/>
        <v>0</v>
      </c>
      <c r="IS16" s="43">
        <f t="shared" si="70"/>
        <v>-1</v>
      </c>
      <c r="IU16" s="38">
        <v>2</v>
      </c>
      <c r="IV16" s="44" t="s">
        <v>4</v>
      </c>
      <c r="IW16" s="40">
        <v>0</v>
      </c>
      <c r="IX16" s="27"/>
      <c r="IY16" s="42">
        <f t="shared" si="71"/>
        <v>1.8</v>
      </c>
      <c r="IZ16" s="43">
        <f t="shared" si="72"/>
        <v>2</v>
      </c>
      <c r="JB16" s="38">
        <v>2</v>
      </c>
      <c r="JC16" s="44" t="s">
        <v>4</v>
      </c>
      <c r="JD16" s="40">
        <v>1</v>
      </c>
      <c r="JE16" s="27"/>
      <c r="JF16" s="42">
        <f t="shared" si="73"/>
        <v>1.8</v>
      </c>
      <c r="JG16" s="43">
        <f t="shared" si="74"/>
        <v>1</v>
      </c>
      <c r="JI16" s="38">
        <v>1</v>
      </c>
      <c r="JJ16" s="44" t="s">
        <v>4</v>
      </c>
      <c r="JK16" s="40">
        <v>0</v>
      </c>
      <c r="JL16" s="27"/>
      <c r="JM16" s="42">
        <f t="shared" si="75"/>
        <v>2.7</v>
      </c>
      <c r="JN16" s="43">
        <f t="shared" si="76"/>
        <v>1</v>
      </c>
      <c r="JP16" s="38">
        <v>1</v>
      </c>
      <c r="JQ16" s="44" t="s">
        <v>4</v>
      </c>
      <c r="JR16" s="40">
        <v>1</v>
      </c>
      <c r="JS16" s="27"/>
      <c r="JT16" s="42">
        <f t="shared" si="77"/>
        <v>0</v>
      </c>
      <c r="JU16" s="43">
        <f t="shared" si="78"/>
        <v>0</v>
      </c>
      <c r="JW16" s="38">
        <v>0</v>
      </c>
      <c r="JX16" s="44" t="s">
        <v>4</v>
      </c>
      <c r="JY16" s="40">
        <v>3</v>
      </c>
      <c r="JZ16" s="27"/>
      <c r="KA16" s="42">
        <f t="shared" si="79"/>
        <v>0</v>
      </c>
      <c r="KB16" s="43">
        <f t="shared" si="80"/>
        <v>-3</v>
      </c>
      <c r="KD16" s="38">
        <v>1</v>
      </c>
      <c r="KE16" s="44" t="s">
        <v>4</v>
      </c>
      <c r="KF16" s="40">
        <v>2</v>
      </c>
      <c r="KG16" s="27"/>
      <c r="KH16" s="42">
        <f t="shared" si="81"/>
        <v>0</v>
      </c>
      <c r="KI16" s="43">
        <f t="shared" si="82"/>
        <v>-1</v>
      </c>
      <c r="KK16" s="38">
        <v>1</v>
      </c>
      <c r="KL16" s="44" t="s">
        <v>4</v>
      </c>
      <c r="KM16" s="40">
        <v>0</v>
      </c>
      <c r="KN16" s="27"/>
      <c r="KO16" s="42">
        <f t="shared" si="83"/>
        <v>2.7</v>
      </c>
      <c r="KP16" s="43">
        <f t="shared" si="84"/>
        <v>1</v>
      </c>
      <c r="KR16" s="38">
        <v>2</v>
      </c>
      <c r="KS16" s="44" t="s">
        <v>4</v>
      </c>
      <c r="KT16" s="40">
        <v>1</v>
      </c>
      <c r="KU16" s="27"/>
      <c r="KV16" s="42">
        <f t="shared" si="85"/>
        <v>1.8</v>
      </c>
      <c r="KW16" s="43">
        <f t="shared" si="86"/>
        <v>1</v>
      </c>
      <c r="KY16" s="38">
        <v>2</v>
      </c>
      <c r="KZ16" s="44" t="s">
        <v>4</v>
      </c>
      <c r="LA16" s="40">
        <v>1</v>
      </c>
      <c r="LB16" s="27"/>
      <c r="LC16" s="42">
        <f t="shared" si="87"/>
        <v>1.8</v>
      </c>
      <c r="LD16" s="43">
        <f t="shared" si="88"/>
        <v>1</v>
      </c>
      <c r="LF16" s="38">
        <v>1</v>
      </c>
      <c r="LG16" s="44" t="s">
        <v>4</v>
      </c>
      <c r="LH16" s="40">
        <v>1</v>
      </c>
      <c r="LI16" s="27"/>
      <c r="LJ16" s="42">
        <f t="shared" si="89"/>
        <v>0</v>
      </c>
      <c r="LK16" s="43">
        <f t="shared" si="90"/>
        <v>0</v>
      </c>
      <c r="LM16" s="38">
        <v>1</v>
      </c>
      <c r="LN16" s="44" t="s">
        <v>4</v>
      </c>
      <c r="LO16" s="40">
        <v>2</v>
      </c>
      <c r="LP16" s="27"/>
      <c r="LQ16" s="42">
        <f t="shared" si="91"/>
        <v>0</v>
      </c>
      <c r="LR16" s="43">
        <f t="shared" si="92"/>
        <v>-1</v>
      </c>
      <c r="LT16" s="38">
        <v>1</v>
      </c>
      <c r="LU16" s="44" t="s">
        <v>4</v>
      </c>
      <c r="LV16" s="40">
        <v>1</v>
      </c>
      <c r="LW16" s="27"/>
      <c r="LX16" s="42">
        <f t="shared" si="93"/>
        <v>0</v>
      </c>
      <c r="LY16" s="43">
        <f t="shared" si="94"/>
        <v>0</v>
      </c>
      <c r="MA16" s="38">
        <v>3</v>
      </c>
      <c r="MB16" s="44" t="s">
        <v>4</v>
      </c>
      <c r="MC16" s="40">
        <v>0</v>
      </c>
      <c r="MD16" s="27"/>
      <c r="ME16" s="42">
        <f t="shared" si="95"/>
        <v>1.8</v>
      </c>
      <c r="MF16" s="43">
        <f t="shared" si="96"/>
        <v>3</v>
      </c>
      <c r="MH16" s="38">
        <v>0</v>
      </c>
      <c r="MI16" s="44" t="s">
        <v>4</v>
      </c>
      <c r="MJ16" s="40">
        <v>2</v>
      </c>
      <c r="MK16" s="27"/>
      <c r="ML16" s="42">
        <f t="shared" si="97"/>
        <v>0</v>
      </c>
      <c r="MM16" s="43">
        <f t="shared" si="98"/>
        <v>-2</v>
      </c>
      <c r="MO16" s="38">
        <v>0</v>
      </c>
      <c r="MP16" s="44" t="s">
        <v>4</v>
      </c>
      <c r="MQ16" s="40">
        <v>0</v>
      </c>
      <c r="MR16" s="27"/>
      <c r="MS16" s="42">
        <f t="shared" si="99"/>
        <v>0</v>
      </c>
      <c r="MT16" s="43">
        <f t="shared" si="100"/>
        <v>0</v>
      </c>
      <c r="MV16" s="38">
        <v>2</v>
      </c>
      <c r="MW16" s="44" t="s">
        <v>4</v>
      </c>
      <c r="MX16" s="40">
        <v>1</v>
      </c>
      <c r="MY16" s="27"/>
      <c r="MZ16" s="42">
        <f t="shared" si="101"/>
        <v>1.8</v>
      </c>
      <c r="NA16" s="43">
        <f t="shared" si="102"/>
        <v>1</v>
      </c>
      <c r="NC16" s="38">
        <v>1</v>
      </c>
      <c r="ND16" s="44" t="s">
        <v>4</v>
      </c>
      <c r="NE16" s="40">
        <v>2</v>
      </c>
      <c r="NF16" s="27"/>
      <c r="NG16" s="42">
        <f t="shared" si="103"/>
        <v>0</v>
      </c>
      <c r="NH16" s="43">
        <f t="shared" si="104"/>
        <v>-1</v>
      </c>
      <c r="NJ16" s="38">
        <v>2</v>
      </c>
      <c r="NK16" s="44" t="s">
        <v>4</v>
      </c>
      <c r="NL16" s="40">
        <v>2</v>
      </c>
      <c r="NM16" s="27"/>
      <c r="NN16" s="42">
        <f t="shared" si="105"/>
        <v>0</v>
      </c>
      <c r="NO16" s="43">
        <f t="shared" si="106"/>
        <v>0</v>
      </c>
      <c r="NQ16" s="38">
        <v>1</v>
      </c>
      <c r="NR16" s="44" t="s">
        <v>4</v>
      </c>
      <c r="NS16" s="40">
        <v>1</v>
      </c>
      <c r="NT16" s="27"/>
      <c r="NU16" s="42">
        <f t="shared" si="107"/>
        <v>0</v>
      </c>
      <c r="NV16" s="43">
        <f t="shared" si="108"/>
        <v>0</v>
      </c>
      <c r="NX16" s="38">
        <v>2</v>
      </c>
      <c r="NY16" s="44" t="s">
        <v>4</v>
      </c>
      <c r="NZ16" s="40">
        <v>1</v>
      </c>
      <c r="OA16" s="27"/>
      <c r="OB16" s="42">
        <f t="shared" si="109"/>
        <v>1.8</v>
      </c>
      <c r="OC16" s="43">
        <f t="shared" si="110"/>
        <v>1</v>
      </c>
      <c r="OE16" s="38">
        <v>2</v>
      </c>
      <c r="OF16" s="44" t="s">
        <v>4</v>
      </c>
      <c r="OG16" s="40">
        <v>3</v>
      </c>
      <c r="OH16" s="27"/>
      <c r="OI16" s="42">
        <f t="shared" si="111"/>
        <v>0</v>
      </c>
      <c r="OJ16" s="43">
        <f t="shared" si="112"/>
        <v>-1</v>
      </c>
      <c r="OL16" s="38">
        <v>1</v>
      </c>
      <c r="OM16" s="44" t="s">
        <v>4</v>
      </c>
      <c r="ON16" s="40">
        <v>2</v>
      </c>
      <c r="OO16" s="27"/>
      <c r="OP16" s="42">
        <f t="shared" si="113"/>
        <v>0</v>
      </c>
      <c r="OQ16" s="43">
        <f t="shared" si="114"/>
        <v>-1</v>
      </c>
      <c r="OS16" s="38">
        <v>1</v>
      </c>
      <c r="OT16" s="44" t="s">
        <v>4</v>
      </c>
      <c r="OU16" s="40">
        <v>1</v>
      </c>
      <c r="OV16" s="27"/>
      <c r="OW16" s="42">
        <f t="shared" si="115"/>
        <v>0</v>
      </c>
      <c r="OX16" s="43">
        <f t="shared" si="116"/>
        <v>0</v>
      </c>
      <c r="OZ16" s="38">
        <v>1</v>
      </c>
      <c r="PA16" s="44" t="s">
        <v>4</v>
      </c>
      <c r="PB16" s="40">
        <v>0</v>
      </c>
      <c r="PC16" s="27"/>
      <c r="PD16" s="42">
        <f t="shared" si="117"/>
        <v>2.7</v>
      </c>
      <c r="PE16" s="43">
        <f t="shared" si="118"/>
        <v>1</v>
      </c>
      <c r="PG16" s="38">
        <v>1</v>
      </c>
      <c r="PH16" s="44" t="s">
        <v>4</v>
      </c>
      <c r="PI16" s="40">
        <v>1</v>
      </c>
      <c r="PJ16" s="27"/>
      <c r="PK16" s="42">
        <f t="shared" si="119"/>
        <v>0</v>
      </c>
      <c r="PL16" s="43">
        <f t="shared" si="120"/>
        <v>0</v>
      </c>
      <c r="PN16" s="38">
        <v>1</v>
      </c>
      <c r="PO16" s="44" t="s">
        <v>4</v>
      </c>
      <c r="PP16" s="40">
        <v>2</v>
      </c>
      <c r="PQ16" s="27"/>
      <c r="PR16" s="42">
        <f t="shared" si="121"/>
        <v>0</v>
      </c>
      <c r="PS16" s="43">
        <f t="shared" si="122"/>
        <v>-1</v>
      </c>
      <c r="PU16" s="38">
        <v>0</v>
      </c>
      <c r="PV16" s="44" t="s">
        <v>4</v>
      </c>
      <c r="PW16" s="40">
        <v>3</v>
      </c>
      <c r="PX16" s="27"/>
      <c r="PY16" s="42">
        <f t="shared" si="123"/>
        <v>0</v>
      </c>
      <c r="PZ16" s="43">
        <f t="shared" si="124"/>
        <v>-3</v>
      </c>
      <c r="QB16" s="38">
        <v>2</v>
      </c>
      <c r="QC16" s="44" t="s">
        <v>4</v>
      </c>
      <c r="QD16" s="40">
        <v>0</v>
      </c>
      <c r="QE16" s="27"/>
      <c r="QF16" s="42">
        <f t="shared" si="125"/>
        <v>1.8</v>
      </c>
      <c r="QG16" s="43">
        <f t="shared" si="126"/>
        <v>2</v>
      </c>
      <c r="QI16" s="38">
        <v>0</v>
      </c>
      <c r="QJ16" s="44" t="s">
        <v>4</v>
      </c>
      <c r="QK16" s="40">
        <v>1</v>
      </c>
      <c r="QL16" s="27"/>
      <c r="QM16" s="42">
        <f t="shared" si="127"/>
        <v>0</v>
      </c>
      <c r="QN16" s="43">
        <f t="shared" si="128"/>
        <v>-1</v>
      </c>
      <c r="QP16" s="38">
        <v>4</v>
      </c>
      <c r="QQ16" s="44" t="s">
        <v>4</v>
      </c>
      <c r="QR16" s="40">
        <v>1</v>
      </c>
      <c r="QS16" s="27"/>
      <c r="QT16" s="42">
        <f t="shared" si="129"/>
        <v>1.8</v>
      </c>
      <c r="QU16" s="43">
        <f t="shared" si="130"/>
        <v>3</v>
      </c>
      <c r="QW16" s="38">
        <v>0</v>
      </c>
      <c r="QX16" s="44" t="s">
        <v>4</v>
      </c>
      <c r="QY16" s="40">
        <v>2</v>
      </c>
      <c r="QZ16" s="27"/>
      <c r="RA16" s="42">
        <f t="shared" si="131"/>
        <v>0</v>
      </c>
      <c r="RB16" s="43">
        <f t="shared" si="132"/>
        <v>-2</v>
      </c>
      <c r="RD16" s="38">
        <v>3</v>
      </c>
      <c r="RE16" s="44" t="s">
        <v>4</v>
      </c>
      <c r="RF16" s="40">
        <v>0</v>
      </c>
      <c r="RG16" s="27"/>
      <c r="RH16" s="42">
        <f t="shared" si="133"/>
        <v>1.8</v>
      </c>
      <c r="RI16" s="43">
        <f t="shared" si="134"/>
        <v>3</v>
      </c>
      <c r="RK16" s="38">
        <v>1</v>
      </c>
      <c r="RL16" s="44" t="s">
        <v>4</v>
      </c>
      <c r="RM16" s="40">
        <v>1</v>
      </c>
      <c r="RN16" s="27"/>
      <c r="RO16" s="42">
        <f t="shared" si="135"/>
        <v>0</v>
      </c>
      <c r="RP16" s="43">
        <f t="shared" si="136"/>
        <v>0</v>
      </c>
      <c r="RR16" s="38">
        <v>1</v>
      </c>
      <c r="RS16" s="44" t="s">
        <v>4</v>
      </c>
      <c r="RT16" s="40">
        <v>1</v>
      </c>
      <c r="RU16" s="27"/>
      <c r="RV16" s="42">
        <f t="shared" si="137"/>
        <v>0</v>
      </c>
      <c r="RW16" s="43">
        <f t="shared" si="138"/>
        <v>0</v>
      </c>
      <c r="RY16" s="38">
        <v>1</v>
      </c>
      <c r="RZ16" s="44" t="s">
        <v>4</v>
      </c>
      <c r="SA16" s="40">
        <v>1</v>
      </c>
      <c r="SB16" s="27"/>
      <c r="SC16" s="42">
        <f t="shared" si="139"/>
        <v>0</v>
      </c>
      <c r="SD16" s="43">
        <f t="shared" si="140"/>
        <v>0</v>
      </c>
      <c r="SF16" s="38">
        <v>2</v>
      </c>
      <c r="SG16" s="44" t="s">
        <v>4</v>
      </c>
      <c r="SH16" s="40">
        <v>2</v>
      </c>
      <c r="SI16" s="27"/>
      <c r="SJ16" s="42">
        <f t="shared" si="141"/>
        <v>0</v>
      </c>
      <c r="SK16" s="43">
        <f t="shared" si="142"/>
        <v>0</v>
      </c>
      <c r="SM16" s="38">
        <v>3</v>
      </c>
      <c r="SN16" s="44" t="s">
        <v>4</v>
      </c>
      <c r="SO16" s="40">
        <v>1</v>
      </c>
      <c r="SP16" s="27"/>
      <c r="SQ16" s="42">
        <f t="shared" si="143"/>
        <v>1.8</v>
      </c>
      <c r="SR16" s="43">
        <f t="shared" si="144"/>
        <v>2</v>
      </c>
    </row>
    <row r="17" spans="1:512" customFormat="1" ht="16" customHeight="1" x14ac:dyDescent="0.2">
      <c r="A17" s="34">
        <v>46188</v>
      </c>
      <c r="B17" s="35">
        <v>0.16666666666666666</v>
      </c>
      <c r="C17" s="79" t="s">
        <v>43</v>
      </c>
      <c r="D17" s="80" t="s">
        <v>44</v>
      </c>
      <c r="E17" s="3">
        <v>5</v>
      </c>
      <c r="F17" s="37" t="s">
        <v>4</v>
      </c>
      <c r="G17" s="4">
        <v>1</v>
      </c>
      <c r="H17" s="16">
        <v>1.8</v>
      </c>
      <c r="I17" s="32">
        <f t="shared" si="0"/>
        <v>4</v>
      </c>
      <c r="J17" s="38">
        <v>1</v>
      </c>
      <c r="K17" s="44" t="s">
        <v>4</v>
      </c>
      <c r="L17" s="40">
        <v>1</v>
      </c>
      <c r="M17" s="27"/>
      <c r="N17" s="42">
        <f t="shared" si="1"/>
        <v>0</v>
      </c>
      <c r="O17" s="43">
        <f t="shared" si="2"/>
        <v>0</v>
      </c>
      <c r="P17" s="32"/>
      <c r="Q17" s="38">
        <v>2</v>
      </c>
      <c r="R17" s="44" t="s">
        <v>4</v>
      </c>
      <c r="S17" s="40">
        <v>0</v>
      </c>
      <c r="T17" s="27"/>
      <c r="U17" s="42">
        <f t="shared" si="3"/>
        <v>1.8</v>
      </c>
      <c r="V17" s="43">
        <f t="shared" si="4"/>
        <v>2</v>
      </c>
      <c r="X17" s="38">
        <v>1</v>
      </c>
      <c r="Y17" s="44" t="s">
        <v>4</v>
      </c>
      <c r="Z17" s="40">
        <v>1</v>
      </c>
      <c r="AA17" s="27"/>
      <c r="AB17" s="42">
        <f t="shared" si="5"/>
        <v>0</v>
      </c>
      <c r="AC17" s="43">
        <f t="shared" si="6"/>
        <v>0</v>
      </c>
      <c r="AE17" s="38">
        <v>2</v>
      </c>
      <c r="AF17" s="44" t="s">
        <v>4</v>
      </c>
      <c r="AG17" s="40">
        <v>0</v>
      </c>
      <c r="AH17" s="27"/>
      <c r="AI17" s="42">
        <f t="shared" si="7"/>
        <v>1.8</v>
      </c>
      <c r="AJ17" s="43">
        <f t="shared" si="8"/>
        <v>2</v>
      </c>
      <c r="AL17" s="38">
        <v>2</v>
      </c>
      <c r="AM17" s="44" t="s">
        <v>4</v>
      </c>
      <c r="AN17" s="40">
        <v>0</v>
      </c>
      <c r="AO17" s="27"/>
      <c r="AP17" s="42">
        <f t="shared" si="9"/>
        <v>1.8</v>
      </c>
      <c r="AQ17" s="43">
        <f t="shared" si="10"/>
        <v>2</v>
      </c>
      <c r="AS17" s="38">
        <v>2</v>
      </c>
      <c r="AT17" s="44" t="s">
        <v>4</v>
      </c>
      <c r="AU17" s="40">
        <v>0</v>
      </c>
      <c r="AV17" s="27"/>
      <c r="AW17" s="42">
        <f t="shared" si="11"/>
        <v>1.8</v>
      </c>
      <c r="AX17" s="43">
        <f t="shared" si="12"/>
        <v>2</v>
      </c>
      <c r="AZ17" s="86">
        <v>2</v>
      </c>
      <c r="BA17" s="44" t="s">
        <v>4</v>
      </c>
      <c r="BB17" s="40">
        <v>0</v>
      </c>
      <c r="BC17" s="27"/>
      <c r="BD17" s="42">
        <f t="shared" si="13"/>
        <v>1.8</v>
      </c>
      <c r="BE17" s="43">
        <f t="shared" si="14"/>
        <v>2</v>
      </c>
      <c r="BG17" s="38">
        <v>1</v>
      </c>
      <c r="BH17" s="44" t="s">
        <v>4</v>
      </c>
      <c r="BI17" s="40">
        <v>1</v>
      </c>
      <c r="BJ17" s="27"/>
      <c r="BK17" s="42">
        <f t="shared" si="15"/>
        <v>0</v>
      </c>
      <c r="BL17" s="43">
        <f t="shared" si="16"/>
        <v>0</v>
      </c>
      <c r="BN17" s="38">
        <v>1</v>
      </c>
      <c r="BO17" s="44" t="s">
        <v>4</v>
      </c>
      <c r="BP17" s="40">
        <v>2</v>
      </c>
      <c r="BQ17" s="27"/>
      <c r="BR17" s="42">
        <f t="shared" si="17"/>
        <v>0</v>
      </c>
      <c r="BS17" s="43">
        <f t="shared" si="18"/>
        <v>-1</v>
      </c>
      <c r="BU17" s="38">
        <v>2</v>
      </c>
      <c r="BV17" s="44" t="s">
        <v>4</v>
      </c>
      <c r="BW17" s="40">
        <v>1</v>
      </c>
      <c r="BX17" s="27"/>
      <c r="BY17" s="42">
        <f t="shared" si="19"/>
        <v>1.8</v>
      </c>
      <c r="BZ17" s="43">
        <f t="shared" si="20"/>
        <v>1</v>
      </c>
      <c r="CB17" s="38">
        <v>3</v>
      </c>
      <c r="CC17" s="44" t="s">
        <v>4</v>
      </c>
      <c r="CD17" s="40">
        <v>1</v>
      </c>
      <c r="CE17" s="27"/>
      <c r="CF17" s="42">
        <f t="shared" si="21"/>
        <v>1.8</v>
      </c>
      <c r="CG17" s="43">
        <f t="shared" si="22"/>
        <v>2</v>
      </c>
      <c r="CI17" s="38">
        <v>2</v>
      </c>
      <c r="CJ17" s="44" t="s">
        <v>4</v>
      </c>
      <c r="CK17" s="40">
        <v>1</v>
      </c>
      <c r="CL17" s="27"/>
      <c r="CM17" s="42">
        <f t="shared" si="23"/>
        <v>1.8</v>
      </c>
      <c r="CN17" s="43">
        <f t="shared" si="24"/>
        <v>1</v>
      </c>
      <c r="CP17" s="38">
        <v>1</v>
      </c>
      <c r="CQ17" s="44" t="s">
        <v>4</v>
      </c>
      <c r="CR17" s="40">
        <v>0</v>
      </c>
      <c r="CS17" s="27"/>
      <c r="CT17" s="42">
        <f t="shared" si="25"/>
        <v>1.8</v>
      </c>
      <c r="CU17" s="43">
        <f t="shared" si="26"/>
        <v>1</v>
      </c>
      <c r="CW17" s="38">
        <v>1</v>
      </c>
      <c r="CX17" s="44" t="s">
        <v>4</v>
      </c>
      <c r="CY17" s="40">
        <v>1</v>
      </c>
      <c r="CZ17" s="27"/>
      <c r="DA17" s="42">
        <f t="shared" si="27"/>
        <v>0</v>
      </c>
      <c r="DB17" s="43">
        <f t="shared" si="28"/>
        <v>0</v>
      </c>
      <c r="DD17" s="38">
        <v>2</v>
      </c>
      <c r="DE17" s="44" t="s">
        <v>4</v>
      </c>
      <c r="DF17" s="40">
        <v>0</v>
      </c>
      <c r="DG17" s="27"/>
      <c r="DH17" s="42">
        <f t="shared" si="29"/>
        <v>1.8</v>
      </c>
      <c r="DI17" s="43">
        <f t="shared" si="30"/>
        <v>2</v>
      </c>
      <c r="DK17" s="38">
        <v>2</v>
      </c>
      <c r="DL17" s="44" t="s">
        <v>4</v>
      </c>
      <c r="DM17" s="40">
        <v>0</v>
      </c>
      <c r="DN17" s="27"/>
      <c r="DO17" s="42">
        <f t="shared" si="31"/>
        <v>1.8</v>
      </c>
      <c r="DP17" s="43">
        <f t="shared" si="32"/>
        <v>2</v>
      </c>
      <c r="DR17" s="38">
        <v>3</v>
      </c>
      <c r="DS17" s="44" t="s">
        <v>4</v>
      </c>
      <c r="DT17" s="40">
        <v>0</v>
      </c>
      <c r="DU17" s="27"/>
      <c r="DV17" s="42">
        <f t="shared" si="33"/>
        <v>1.8</v>
      </c>
      <c r="DW17" s="43">
        <f t="shared" si="34"/>
        <v>3</v>
      </c>
      <c r="DY17" s="38">
        <v>2</v>
      </c>
      <c r="DZ17" s="44" t="s">
        <v>4</v>
      </c>
      <c r="EA17" s="40">
        <v>0</v>
      </c>
      <c r="EB17" s="27"/>
      <c r="EC17" s="42">
        <f t="shared" si="35"/>
        <v>1.8</v>
      </c>
      <c r="ED17" s="43">
        <f t="shared" si="36"/>
        <v>2</v>
      </c>
      <c r="EF17" s="38">
        <v>2</v>
      </c>
      <c r="EG17" s="44" t="s">
        <v>4</v>
      </c>
      <c r="EH17" s="40">
        <v>0</v>
      </c>
      <c r="EI17" s="27"/>
      <c r="EJ17" s="42">
        <f t="shared" si="37"/>
        <v>1.8</v>
      </c>
      <c r="EK17" s="43">
        <f t="shared" si="38"/>
        <v>2</v>
      </c>
      <c r="EM17" s="38">
        <v>2</v>
      </c>
      <c r="EN17" s="44" t="s">
        <v>4</v>
      </c>
      <c r="EO17" s="40">
        <v>1</v>
      </c>
      <c r="EP17" s="27"/>
      <c r="EQ17" s="42">
        <f t="shared" si="39"/>
        <v>1.8</v>
      </c>
      <c r="ER17" s="43">
        <f t="shared" si="40"/>
        <v>1</v>
      </c>
      <c r="ET17" s="38">
        <v>1</v>
      </c>
      <c r="EU17" s="44" t="s">
        <v>4</v>
      </c>
      <c r="EV17" s="40">
        <v>1</v>
      </c>
      <c r="EW17" s="27"/>
      <c r="EX17" s="42">
        <f t="shared" si="41"/>
        <v>0</v>
      </c>
      <c r="EY17" s="43">
        <f t="shared" si="42"/>
        <v>0</v>
      </c>
      <c r="FA17" s="38">
        <v>2</v>
      </c>
      <c r="FB17" s="44" t="s">
        <v>4</v>
      </c>
      <c r="FC17" s="40">
        <v>0</v>
      </c>
      <c r="FD17" s="27"/>
      <c r="FE17" s="42">
        <f t="shared" si="43"/>
        <v>1.8</v>
      </c>
      <c r="FF17" s="43">
        <f t="shared" si="44"/>
        <v>2</v>
      </c>
      <c r="FH17" s="38">
        <v>0</v>
      </c>
      <c r="FI17" s="44" t="s">
        <v>4</v>
      </c>
      <c r="FJ17" s="40">
        <v>1</v>
      </c>
      <c r="FK17" s="27"/>
      <c r="FL17" s="42">
        <f t="shared" si="45"/>
        <v>0</v>
      </c>
      <c r="FM17" s="43">
        <f t="shared" si="46"/>
        <v>-1</v>
      </c>
      <c r="FO17" s="38">
        <v>3</v>
      </c>
      <c r="FP17" s="44" t="s">
        <v>4</v>
      </c>
      <c r="FQ17" s="40">
        <v>1</v>
      </c>
      <c r="FR17" s="27"/>
      <c r="FS17" s="42">
        <f t="shared" si="47"/>
        <v>1.8</v>
      </c>
      <c r="FT17" s="43">
        <f t="shared" si="48"/>
        <v>2</v>
      </c>
      <c r="FV17" s="38">
        <v>1</v>
      </c>
      <c r="FW17" s="44" t="s">
        <v>4</v>
      </c>
      <c r="FX17" s="40">
        <v>1</v>
      </c>
      <c r="FY17" s="27"/>
      <c r="FZ17" s="42">
        <f t="shared" si="49"/>
        <v>0</v>
      </c>
      <c r="GA17" s="43">
        <f t="shared" si="50"/>
        <v>0</v>
      </c>
      <c r="GC17" s="38">
        <v>2</v>
      </c>
      <c r="GD17" s="44" t="s">
        <v>4</v>
      </c>
      <c r="GE17" s="40">
        <v>1</v>
      </c>
      <c r="GF17" s="27"/>
      <c r="GG17" s="42">
        <f t="shared" si="51"/>
        <v>1.8</v>
      </c>
      <c r="GH17" s="43">
        <f t="shared" si="52"/>
        <v>1</v>
      </c>
      <c r="GJ17" s="38">
        <v>2</v>
      </c>
      <c r="GK17" s="44" t="s">
        <v>4</v>
      </c>
      <c r="GL17" s="40">
        <v>0</v>
      </c>
      <c r="GM17" s="27"/>
      <c r="GN17" s="42">
        <f t="shared" si="53"/>
        <v>1.8</v>
      </c>
      <c r="GO17" s="43">
        <f t="shared" si="54"/>
        <v>2</v>
      </c>
      <c r="GQ17" s="38">
        <v>2</v>
      </c>
      <c r="GR17" s="44" t="s">
        <v>4</v>
      </c>
      <c r="GS17" s="40">
        <v>0</v>
      </c>
      <c r="GT17" s="27"/>
      <c r="GU17" s="42">
        <f t="shared" si="55"/>
        <v>1.8</v>
      </c>
      <c r="GV17" s="43">
        <f t="shared" si="56"/>
        <v>2</v>
      </c>
      <c r="GX17" s="38">
        <v>1</v>
      </c>
      <c r="GY17" s="44" t="s">
        <v>4</v>
      </c>
      <c r="GZ17" s="40">
        <v>1</v>
      </c>
      <c r="HA17" s="27"/>
      <c r="HB17" s="42">
        <f t="shared" si="57"/>
        <v>0</v>
      </c>
      <c r="HC17" s="43">
        <f t="shared" si="58"/>
        <v>0</v>
      </c>
      <c r="HE17" s="38">
        <v>1</v>
      </c>
      <c r="HF17" s="44" t="s">
        <v>4</v>
      </c>
      <c r="HG17" s="40">
        <v>0</v>
      </c>
      <c r="HH17" s="27"/>
      <c r="HI17" s="42">
        <f t="shared" si="59"/>
        <v>1.8</v>
      </c>
      <c r="HJ17" s="43">
        <f t="shared" si="60"/>
        <v>1</v>
      </c>
      <c r="HL17" s="38">
        <v>2</v>
      </c>
      <c r="HM17" s="44" t="s">
        <v>4</v>
      </c>
      <c r="HN17" s="40">
        <v>1</v>
      </c>
      <c r="HO17" s="27"/>
      <c r="HP17" s="42">
        <f t="shared" si="61"/>
        <v>1.8</v>
      </c>
      <c r="HQ17" s="43">
        <f t="shared" si="62"/>
        <v>1</v>
      </c>
      <c r="HS17" s="38">
        <v>1</v>
      </c>
      <c r="HT17" s="44" t="s">
        <v>4</v>
      </c>
      <c r="HU17" s="40">
        <v>0</v>
      </c>
      <c r="HV17" s="27"/>
      <c r="HW17" s="42">
        <f t="shared" si="63"/>
        <v>1.8</v>
      </c>
      <c r="HX17" s="43">
        <f t="shared" si="64"/>
        <v>1</v>
      </c>
      <c r="HZ17" s="38">
        <v>3</v>
      </c>
      <c r="IA17" s="44" t="s">
        <v>4</v>
      </c>
      <c r="IB17" s="40">
        <v>0</v>
      </c>
      <c r="IC17" s="27"/>
      <c r="ID17" s="42">
        <f t="shared" si="65"/>
        <v>1.8</v>
      </c>
      <c r="IE17" s="43">
        <f t="shared" si="66"/>
        <v>3</v>
      </c>
      <c r="IG17" s="38">
        <v>1</v>
      </c>
      <c r="IH17" s="44" t="s">
        <v>4</v>
      </c>
      <c r="II17" s="40">
        <v>3</v>
      </c>
      <c r="IJ17" s="27"/>
      <c r="IK17" s="42">
        <f t="shared" si="67"/>
        <v>0</v>
      </c>
      <c r="IL17" s="43">
        <f t="shared" si="68"/>
        <v>-2</v>
      </c>
      <c r="IN17" s="38">
        <v>1</v>
      </c>
      <c r="IO17" s="44" t="s">
        <v>4</v>
      </c>
      <c r="IP17" s="40">
        <v>0</v>
      </c>
      <c r="IQ17" s="27"/>
      <c r="IR17" s="42">
        <f t="shared" si="69"/>
        <v>1.8</v>
      </c>
      <c r="IS17" s="43">
        <f t="shared" si="70"/>
        <v>1</v>
      </c>
      <c r="IU17" s="38">
        <v>2</v>
      </c>
      <c r="IV17" s="44" t="s">
        <v>4</v>
      </c>
      <c r="IW17" s="40">
        <v>0</v>
      </c>
      <c r="IX17" s="27"/>
      <c r="IY17" s="42">
        <f t="shared" si="71"/>
        <v>1.8</v>
      </c>
      <c r="IZ17" s="43">
        <f t="shared" si="72"/>
        <v>2</v>
      </c>
      <c r="JB17" s="38">
        <v>1</v>
      </c>
      <c r="JC17" s="44" t="s">
        <v>4</v>
      </c>
      <c r="JD17" s="40">
        <v>2</v>
      </c>
      <c r="JE17" s="27"/>
      <c r="JF17" s="42">
        <f t="shared" si="73"/>
        <v>0</v>
      </c>
      <c r="JG17" s="43">
        <f t="shared" si="74"/>
        <v>-1</v>
      </c>
      <c r="JI17" s="38">
        <v>2</v>
      </c>
      <c r="JJ17" s="44" t="s">
        <v>4</v>
      </c>
      <c r="JK17" s="40">
        <v>0</v>
      </c>
      <c r="JL17" s="27"/>
      <c r="JM17" s="42">
        <f t="shared" si="75"/>
        <v>1.8</v>
      </c>
      <c r="JN17" s="43">
        <f t="shared" si="76"/>
        <v>2</v>
      </c>
      <c r="JP17" s="38">
        <v>2</v>
      </c>
      <c r="JQ17" s="44" t="s">
        <v>4</v>
      </c>
      <c r="JR17" s="40">
        <v>0</v>
      </c>
      <c r="JS17" s="27"/>
      <c r="JT17" s="42">
        <f t="shared" si="77"/>
        <v>1.8</v>
      </c>
      <c r="JU17" s="43">
        <f t="shared" si="78"/>
        <v>2</v>
      </c>
      <c r="JW17" s="38">
        <v>1</v>
      </c>
      <c r="JX17" s="44" t="s">
        <v>4</v>
      </c>
      <c r="JY17" s="40">
        <v>1</v>
      </c>
      <c r="JZ17" s="27"/>
      <c r="KA17" s="42">
        <f t="shared" si="79"/>
        <v>0</v>
      </c>
      <c r="KB17" s="43">
        <f t="shared" si="80"/>
        <v>0</v>
      </c>
      <c r="KD17" s="38">
        <v>1</v>
      </c>
      <c r="KE17" s="44" t="s">
        <v>4</v>
      </c>
      <c r="KF17" s="40">
        <v>2</v>
      </c>
      <c r="KG17" s="27"/>
      <c r="KH17" s="42">
        <f t="shared" si="81"/>
        <v>0</v>
      </c>
      <c r="KI17" s="43">
        <f t="shared" si="82"/>
        <v>-1</v>
      </c>
      <c r="KK17" s="38">
        <v>0</v>
      </c>
      <c r="KL17" s="44" t="s">
        <v>4</v>
      </c>
      <c r="KM17" s="40">
        <v>0</v>
      </c>
      <c r="KN17" s="27"/>
      <c r="KO17" s="42">
        <f t="shared" si="83"/>
        <v>0</v>
      </c>
      <c r="KP17" s="43">
        <f t="shared" si="84"/>
        <v>0</v>
      </c>
      <c r="KR17" s="38">
        <v>1</v>
      </c>
      <c r="KS17" s="44" t="s">
        <v>4</v>
      </c>
      <c r="KT17" s="40">
        <v>0</v>
      </c>
      <c r="KU17" s="27"/>
      <c r="KV17" s="42">
        <f t="shared" si="85"/>
        <v>1.8</v>
      </c>
      <c r="KW17" s="43">
        <f t="shared" si="86"/>
        <v>1</v>
      </c>
      <c r="KY17" s="38">
        <v>2</v>
      </c>
      <c r="KZ17" s="44" t="s">
        <v>4</v>
      </c>
      <c r="LA17" s="40">
        <v>1</v>
      </c>
      <c r="LB17" s="27"/>
      <c r="LC17" s="42">
        <f t="shared" si="87"/>
        <v>1.8</v>
      </c>
      <c r="LD17" s="43">
        <f t="shared" si="88"/>
        <v>1</v>
      </c>
      <c r="LF17" s="38">
        <v>2</v>
      </c>
      <c r="LG17" s="44" t="s">
        <v>4</v>
      </c>
      <c r="LH17" s="40">
        <v>0</v>
      </c>
      <c r="LI17" s="27"/>
      <c r="LJ17" s="42">
        <f t="shared" si="89"/>
        <v>1.8</v>
      </c>
      <c r="LK17" s="43">
        <f t="shared" si="90"/>
        <v>2</v>
      </c>
      <c r="LM17" s="38">
        <v>2</v>
      </c>
      <c r="LN17" s="44" t="s">
        <v>4</v>
      </c>
      <c r="LO17" s="40">
        <v>1</v>
      </c>
      <c r="LP17" s="27"/>
      <c r="LQ17" s="42">
        <f t="shared" si="91"/>
        <v>1.8</v>
      </c>
      <c r="LR17" s="43">
        <f t="shared" si="92"/>
        <v>1</v>
      </c>
      <c r="LT17" s="38">
        <v>2</v>
      </c>
      <c r="LU17" s="44" t="s">
        <v>4</v>
      </c>
      <c r="LV17" s="40">
        <v>0</v>
      </c>
      <c r="LW17" s="27"/>
      <c r="LX17" s="42">
        <f t="shared" si="93"/>
        <v>1.8</v>
      </c>
      <c r="LY17" s="43">
        <f t="shared" si="94"/>
        <v>2</v>
      </c>
      <c r="MA17" s="38">
        <v>1</v>
      </c>
      <c r="MB17" s="44" t="s">
        <v>4</v>
      </c>
      <c r="MC17" s="40">
        <v>3</v>
      </c>
      <c r="MD17" s="27"/>
      <c r="ME17" s="42">
        <f t="shared" si="95"/>
        <v>0</v>
      </c>
      <c r="MF17" s="43">
        <f t="shared" si="96"/>
        <v>-2</v>
      </c>
      <c r="MH17" s="38">
        <v>1</v>
      </c>
      <c r="MI17" s="44" t="s">
        <v>4</v>
      </c>
      <c r="MJ17" s="40">
        <v>0</v>
      </c>
      <c r="MK17" s="27"/>
      <c r="ML17" s="42">
        <f t="shared" si="97"/>
        <v>1.8</v>
      </c>
      <c r="MM17" s="43">
        <f t="shared" si="98"/>
        <v>1</v>
      </c>
      <c r="MO17" s="38">
        <v>2</v>
      </c>
      <c r="MP17" s="44" t="s">
        <v>4</v>
      </c>
      <c r="MQ17" s="40">
        <v>1</v>
      </c>
      <c r="MR17" s="27"/>
      <c r="MS17" s="42">
        <f t="shared" si="99"/>
        <v>1.8</v>
      </c>
      <c r="MT17" s="43">
        <f t="shared" si="100"/>
        <v>1</v>
      </c>
      <c r="MV17" s="38">
        <v>3</v>
      </c>
      <c r="MW17" s="44" t="s">
        <v>4</v>
      </c>
      <c r="MX17" s="40">
        <v>2</v>
      </c>
      <c r="MY17" s="27"/>
      <c r="MZ17" s="42">
        <f t="shared" si="101"/>
        <v>1.8</v>
      </c>
      <c r="NA17" s="43">
        <f t="shared" si="102"/>
        <v>1</v>
      </c>
      <c r="NC17" s="38">
        <v>3</v>
      </c>
      <c r="ND17" s="44" t="s">
        <v>4</v>
      </c>
      <c r="NE17" s="40">
        <v>2</v>
      </c>
      <c r="NF17" s="27"/>
      <c r="NG17" s="42">
        <f t="shared" si="103"/>
        <v>1.8</v>
      </c>
      <c r="NH17" s="43">
        <f t="shared" si="104"/>
        <v>1</v>
      </c>
      <c r="NJ17" s="38">
        <v>1</v>
      </c>
      <c r="NK17" s="44" t="s">
        <v>4</v>
      </c>
      <c r="NL17" s="40">
        <v>0</v>
      </c>
      <c r="NM17" s="27"/>
      <c r="NN17" s="42">
        <f t="shared" si="105"/>
        <v>1.8</v>
      </c>
      <c r="NO17" s="43">
        <f t="shared" si="106"/>
        <v>1</v>
      </c>
      <c r="NQ17" s="38">
        <v>2</v>
      </c>
      <c r="NR17" s="44" t="s">
        <v>4</v>
      </c>
      <c r="NS17" s="40">
        <v>0</v>
      </c>
      <c r="NT17" s="27"/>
      <c r="NU17" s="42">
        <f t="shared" si="107"/>
        <v>1.8</v>
      </c>
      <c r="NV17" s="43">
        <f t="shared" si="108"/>
        <v>2</v>
      </c>
      <c r="NX17" s="38">
        <v>1</v>
      </c>
      <c r="NY17" s="44" t="s">
        <v>4</v>
      </c>
      <c r="NZ17" s="40">
        <v>0</v>
      </c>
      <c r="OA17" s="27"/>
      <c r="OB17" s="42">
        <f t="shared" si="109"/>
        <v>1.8</v>
      </c>
      <c r="OC17" s="43">
        <f t="shared" si="110"/>
        <v>1</v>
      </c>
      <c r="OE17" s="38">
        <v>3</v>
      </c>
      <c r="OF17" s="44" t="s">
        <v>4</v>
      </c>
      <c r="OG17" s="40">
        <v>1</v>
      </c>
      <c r="OH17" s="27"/>
      <c r="OI17" s="42">
        <f t="shared" si="111"/>
        <v>1.8</v>
      </c>
      <c r="OJ17" s="43">
        <f t="shared" si="112"/>
        <v>2</v>
      </c>
      <c r="OL17" s="38">
        <v>1</v>
      </c>
      <c r="OM17" s="44" t="s">
        <v>4</v>
      </c>
      <c r="ON17" s="40">
        <v>1</v>
      </c>
      <c r="OO17" s="27"/>
      <c r="OP17" s="42">
        <f t="shared" si="113"/>
        <v>0</v>
      </c>
      <c r="OQ17" s="43">
        <f t="shared" si="114"/>
        <v>0</v>
      </c>
      <c r="OS17" s="38">
        <v>2</v>
      </c>
      <c r="OT17" s="44" t="s">
        <v>4</v>
      </c>
      <c r="OU17" s="40">
        <v>1</v>
      </c>
      <c r="OV17" s="27"/>
      <c r="OW17" s="42">
        <f t="shared" si="115"/>
        <v>1.8</v>
      </c>
      <c r="OX17" s="43">
        <f t="shared" si="116"/>
        <v>1</v>
      </c>
      <c r="OZ17" s="38">
        <v>2</v>
      </c>
      <c r="PA17" s="44" t="s">
        <v>4</v>
      </c>
      <c r="PB17" s="40">
        <v>2</v>
      </c>
      <c r="PC17" s="27"/>
      <c r="PD17" s="42">
        <f t="shared" si="117"/>
        <v>0</v>
      </c>
      <c r="PE17" s="43">
        <f t="shared" si="118"/>
        <v>0</v>
      </c>
      <c r="PG17" s="38">
        <v>1</v>
      </c>
      <c r="PH17" s="44" t="s">
        <v>4</v>
      </c>
      <c r="PI17" s="40">
        <v>1</v>
      </c>
      <c r="PJ17" s="27"/>
      <c r="PK17" s="42">
        <f t="shared" si="119"/>
        <v>0</v>
      </c>
      <c r="PL17" s="43">
        <f t="shared" si="120"/>
        <v>0</v>
      </c>
      <c r="PN17" s="38">
        <v>2</v>
      </c>
      <c r="PO17" s="44" t="s">
        <v>4</v>
      </c>
      <c r="PP17" s="40">
        <v>1</v>
      </c>
      <c r="PQ17" s="27"/>
      <c r="PR17" s="42">
        <f t="shared" si="121"/>
        <v>1.8</v>
      </c>
      <c r="PS17" s="43">
        <f t="shared" si="122"/>
        <v>1</v>
      </c>
      <c r="PU17" s="38">
        <v>1</v>
      </c>
      <c r="PV17" s="44" t="s">
        <v>4</v>
      </c>
      <c r="PW17" s="40">
        <v>2</v>
      </c>
      <c r="PX17" s="27"/>
      <c r="PY17" s="42">
        <f t="shared" si="123"/>
        <v>0</v>
      </c>
      <c r="PZ17" s="43">
        <f t="shared" si="124"/>
        <v>-1</v>
      </c>
      <c r="QB17" s="38">
        <v>2</v>
      </c>
      <c r="QC17" s="44" t="s">
        <v>4</v>
      </c>
      <c r="QD17" s="40">
        <v>1</v>
      </c>
      <c r="QE17" s="27"/>
      <c r="QF17" s="42">
        <f t="shared" si="125"/>
        <v>1.8</v>
      </c>
      <c r="QG17" s="43">
        <f t="shared" si="126"/>
        <v>1</v>
      </c>
      <c r="QI17" s="38">
        <v>2</v>
      </c>
      <c r="QJ17" s="44" t="s">
        <v>4</v>
      </c>
      <c r="QK17" s="40">
        <v>0</v>
      </c>
      <c r="QL17" s="27"/>
      <c r="QM17" s="42">
        <f t="shared" si="127"/>
        <v>1.8</v>
      </c>
      <c r="QN17" s="43">
        <f t="shared" si="128"/>
        <v>2</v>
      </c>
      <c r="QP17" s="38">
        <v>2</v>
      </c>
      <c r="QQ17" s="44" t="s">
        <v>4</v>
      </c>
      <c r="QR17" s="40">
        <v>0</v>
      </c>
      <c r="QS17" s="27"/>
      <c r="QT17" s="42">
        <f t="shared" si="129"/>
        <v>1.8</v>
      </c>
      <c r="QU17" s="43">
        <f t="shared" si="130"/>
        <v>2</v>
      </c>
      <c r="QW17" s="38">
        <v>2</v>
      </c>
      <c r="QX17" s="44" t="s">
        <v>4</v>
      </c>
      <c r="QY17" s="40">
        <v>1</v>
      </c>
      <c r="QZ17" s="27"/>
      <c r="RA17" s="42">
        <f t="shared" si="131"/>
        <v>1.8</v>
      </c>
      <c r="RB17" s="43">
        <f t="shared" si="132"/>
        <v>1</v>
      </c>
      <c r="RD17" s="38">
        <v>1</v>
      </c>
      <c r="RE17" s="44" t="s">
        <v>4</v>
      </c>
      <c r="RF17" s="40">
        <v>0</v>
      </c>
      <c r="RG17" s="27"/>
      <c r="RH17" s="42">
        <f t="shared" si="133"/>
        <v>1.8</v>
      </c>
      <c r="RI17" s="43">
        <f t="shared" si="134"/>
        <v>1</v>
      </c>
      <c r="RK17" s="38">
        <v>1</v>
      </c>
      <c r="RL17" s="44" t="s">
        <v>4</v>
      </c>
      <c r="RM17" s="40">
        <v>0</v>
      </c>
      <c r="RN17" s="27"/>
      <c r="RO17" s="42">
        <f t="shared" si="135"/>
        <v>1.8</v>
      </c>
      <c r="RP17" s="43">
        <f t="shared" si="136"/>
        <v>1</v>
      </c>
      <c r="RR17" s="38">
        <v>2</v>
      </c>
      <c r="RS17" s="44" t="s">
        <v>4</v>
      </c>
      <c r="RT17" s="40">
        <v>1</v>
      </c>
      <c r="RU17" s="27"/>
      <c r="RV17" s="42">
        <f t="shared" si="137"/>
        <v>1.8</v>
      </c>
      <c r="RW17" s="43">
        <f t="shared" si="138"/>
        <v>1</v>
      </c>
      <c r="RY17" s="38">
        <v>2</v>
      </c>
      <c r="RZ17" s="44" t="s">
        <v>4</v>
      </c>
      <c r="SA17" s="40">
        <v>1</v>
      </c>
      <c r="SB17" s="27"/>
      <c r="SC17" s="42">
        <f t="shared" si="139"/>
        <v>1.8</v>
      </c>
      <c r="SD17" s="43">
        <f t="shared" si="140"/>
        <v>1</v>
      </c>
      <c r="SF17" s="38">
        <v>2</v>
      </c>
      <c r="SG17" s="44" t="s">
        <v>4</v>
      </c>
      <c r="SH17" s="40">
        <v>1</v>
      </c>
      <c r="SI17" s="27"/>
      <c r="SJ17" s="42">
        <f t="shared" si="141"/>
        <v>1.8</v>
      </c>
      <c r="SK17" s="43">
        <f t="shared" si="142"/>
        <v>1</v>
      </c>
      <c r="SM17" s="38">
        <v>3</v>
      </c>
      <c r="SN17" s="44" t="s">
        <v>4</v>
      </c>
      <c r="SO17" s="40">
        <v>1</v>
      </c>
      <c r="SP17" s="27"/>
      <c r="SQ17" s="42">
        <f t="shared" si="143"/>
        <v>1.8</v>
      </c>
      <c r="SR17" s="43">
        <f t="shared" si="144"/>
        <v>2</v>
      </c>
    </row>
    <row r="18" spans="1:512" customFormat="1" ht="16" customHeight="1" x14ac:dyDescent="0.2">
      <c r="A18" s="34">
        <v>46188</v>
      </c>
      <c r="B18" s="35">
        <v>0.75</v>
      </c>
      <c r="C18" s="80" t="s">
        <v>3</v>
      </c>
      <c r="D18" s="80" t="s">
        <v>45</v>
      </c>
      <c r="E18" s="3">
        <v>0</v>
      </c>
      <c r="F18" s="37" t="s">
        <v>4</v>
      </c>
      <c r="G18" s="4">
        <v>0</v>
      </c>
      <c r="H18" s="16">
        <v>1.8</v>
      </c>
      <c r="I18" s="32">
        <f t="shared" si="0"/>
        <v>0</v>
      </c>
      <c r="J18" s="38">
        <v>4</v>
      </c>
      <c r="K18" s="44" t="s">
        <v>4</v>
      </c>
      <c r="L18" s="40">
        <v>0</v>
      </c>
      <c r="M18" s="27"/>
      <c r="N18" s="42">
        <f t="shared" si="1"/>
        <v>0</v>
      </c>
      <c r="O18" s="43">
        <f t="shared" si="2"/>
        <v>4</v>
      </c>
      <c r="P18" s="32"/>
      <c r="Q18" s="38">
        <v>4</v>
      </c>
      <c r="R18" s="44" t="s">
        <v>4</v>
      </c>
      <c r="S18" s="40">
        <v>0</v>
      </c>
      <c r="T18" s="27"/>
      <c r="U18" s="42">
        <f t="shared" si="3"/>
        <v>0</v>
      </c>
      <c r="V18" s="43">
        <f t="shared" si="4"/>
        <v>4</v>
      </c>
      <c r="X18" s="38">
        <v>5</v>
      </c>
      <c r="Y18" s="44" t="s">
        <v>4</v>
      </c>
      <c r="Z18" s="40">
        <v>0</v>
      </c>
      <c r="AA18" s="27"/>
      <c r="AB18" s="42">
        <f t="shared" si="5"/>
        <v>0</v>
      </c>
      <c r="AC18" s="43">
        <f t="shared" si="6"/>
        <v>5</v>
      </c>
      <c r="AE18" s="38">
        <v>5</v>
      </c>
      <c r="AF18" s="44" t="s">
        <v>4</v>
      </c>
      <c r="AG18" s="40">
        <v>1</v>
      </c>
      <c r="AH18" s="27"/>
      <c r="AI18" s="42">
        <f t="shared" si="7"/>
        <v>0</v>
      </c>
      <c r="AJ18" s="43">
        <f t="shared" si="8"/>
        <v>4</v>
      </c>
      <c r="AL18" s="38">
        <v>3</v>
      </c>
      <c r="AM18" s="44" t="s">
        <v>4</v>
      </c>
      <c r="AN18" s="40">
        <v>0</v>
      </c>
      <c r="AO18" s="27"/>
      <c r="AP18" s="42">
        <f t="shared" si="9"/>
        <v>0</v>
      </c>
      <c r="AQ18" s="43">
        <f t="shared" si="10"/>
        <v>3</v>
      </c>
      <c r="AS18" s="38">
        <v>3</v>
      </c>
      <c r="AT18" s="44" t="s">
        <v>4</v>
      </c>
      <c r="AU18" s="40">
        <v>0</v>
      </c>
      <c r="AV18" s="27"/>
      <c r="AW18" s="42">
        <f t="shared" si="11"/>
        <v>0</v>
      </c>
      <c r="AX18" s="43">
        <f t="shared" si="12"/>
        <v>3</v>
      </c>
      <c r="AZ18" s="86">
        <v>4</v>
      </c>
      <c r="BA18" s="44" t="s">
        <v>4</v>
      </c>
      <c r="BB18" s="40">
        <v>0</v>
      </c>
      <c r="BC18" s="27"/>
      <c r="BD18" s="42">
        <f t="shared" si="13"/>
        <v>0</v>
      </c>
      <c r="BE18" s="43">
        <f t="shared" si="14"/>
        <v>4</v>
      </c>
      <c r="BG18" s="38">
        <v>2</v>
      </c>
      <c r="BH18" s="44" t="s">
        <v>4</v>
      </c>
      <c r="BI18" s="40">
        <v>0</v>
      </c>
      <c r="BJ18" s="27"/>
      <c r="BK18" s="42">
        <f t="shared" si="15"/>
        <v>0</v>
      </c>
      <c r="BL18" s="43">
        <f t="shared" si="16"/>
        <v>2</v>
      </c>
      <c r="BN18" s="38">
        <v>4</v>
      </c>
      <c r="BO18" s="44" t="s">
        <v>4</v>
      </c>
      <c r="BP18" s="40">
        <v>0</v>
      </c>
      <c r="BQ18" s="27"/>
      <c r="BR18" s="42">
        <f t="shared" si="17"/>
        <v>0</v>
      </c>
      <c r="BS18" s="43">
        <f t="shared" si="18"/>
        <v>4</v>
      </c>
      <c r="BU18" s="38">
        <v>3</v>
      </c>
      <c r="BV18" s="44" t="s">
        <v>4</v>
      </c>
      <c r="BW18" s="40">
        <v>0</v>
      </c>
      <c r="BX18" s="27"/>
      <c r="BY18" s="42">
        <f t="shared" si="19"/>
        <v>0</v>
      </c>
      <c r="BZ18" s="43">
        <f t="shared" si="20"/>
        <v>3</v>
      </c>
      <c r="CB18" s="38">
        <v>4</v>
      </c>
      <c r="CC18" s="44" t="s">
        <v>4</v>
      </c>
      <c r="CD18" s="40">
        <v>0</v>
      </c>
      <c r="CE18" s="27"/>
      <c r="CF18" s="42">
        <f t="shared" si="21"/>
        <v>0</v>
      </c>
      <c r="CG18" s="43">
        <f t="shared" si="22"/>
        <v>4</v>
      </c>
      <c r="CI18" s="38">
        <v>3</v>
      </c>
      <c r="CJ18" s="44" t="s">
        <v>4</v>
      </c>
      <c r="CK18" s="40">
        <v>0</v>
      </c>
      <c r="CL18" s="27"/>
      <c r="CM18" s="42">
        <f t="shared" si="23"/>
        <v>0</v>
      </c>
      <c r="CN18" s="43">
        <f t="shared" si="24"/>
        <v>3</v>
      </c>
      <c r="CP18" s="38">
        <v>5</v>
      </c>
      <c r="CQ18" s="44" t="s">
        <v>4</v>
      </c>
      <c r="CR18" s="40">
        <v>0</v>
      </c>
      <c r="CS18" s="27"/>
      <c r="CT18" s="42">
        <f t="shared" si="25"/>
        <v>0</v>
      </c>
      <c r="CU18" s="43">
        <f t="shared" si="26"/>
        <v>5</v>
      </c>
      <c r="CW18" s="38">
        <v>4</v>
      </c>
      <c r="CX18" s="44" t="s">
        <v>4</v>
      </c>
      <c r="CY18" s="40">
        <v>0</v>
      </c>
      <c r="CZ18" s="27"/>
      <c r="DA18" s="42">
        <f t="shared" si="27"/>
        <v>0</v>
      </c>
      <c r="DB18" s="43">
        <f t="shared" si="28"/>
        <v>4</v>
      </c>
      <c r="DD18" s="38">
        <v>3</v>
      </c>
      <c r="DE18" s="44" t="s">
        <v>4</v>
      </c>
      <c r="DF18" s="40">
        <v>0</v>
      </c>
      <c r="DG18" s="27"/>
      <c r="DH18" s="42">
        <f t="shared" si="29"/>
        <v>0</v>
      </c>
      <c r="DI18" s="43">
        <f t="shared" si="30"/>
        <v>3</v>
      </c>
      <c r="DK18" s="38">
        <v>5</v>
      </c>
      <c r="DL18" s="44" t="s">
        <v>4</v>
      </c>
      <c r="DM18" s="40">
        <v>0</v>
      </c>
      <c r="DN18" s="27"/>
      <c r="DO18" s="42">
        <f t="shared" si="31"/>
        <v>0</v>
      </c>
      <c r="DP18" s="43">
        <f t="shared" si="32"/>
        <v>5</v>
      </c>
      <c r="DR18" s="38">
        <v>4</v>
      </c>
      <c r="DS18" s="44" t="s">
        <v>4</v>
      </c>
      <c r="DT18" s="40">
        <v>1</v>
      </c>
      <c r="DU18" s="27"/>
      <c r="DV18" s="42">
        <f t="shared" si="33"/>
        <v>0</v>
      </c>
      <c r="DW18" s="43">
        <f t="shared" si="34"/>
        <v>3</v>
      </c>
      <c r="DY18" s="38">
        <v>4</v>
      </c>
      <c r="DZ18" s="44" t="s">
        <v>4</v>
      </c>
      <c r="EA18" s="40">
        <v>0</v>
      </c>
      <c r="EB18" s="27"/>
      <c r="EC18" s="42">
        <f t="shared" si="35"/>
        <v>0</v>
      </c>
      <c r="ED18" s="43">
        <f t="shared" si="36"/>
        <v>4</v>
      </c>
      <c r="EF18" s="38">
        <v>3</v>
      </c>
      <c r="EG18" s="44" t="s">
        <v>4</v>
      </c>
      <c r="EH18" s="40">
        <v>0</v>
      </c>
      <c r="EI18" s="27"/>
      <c r="EJ18" s="42">
        <f t="shared" si="37"/>
        <v>0</v>
      </c>
      <c r="EK18" s="43">
        <f t="shared" si="38"/>
        <v>3</v>
      </c>
      <c r="EM18" s="38">
        <v>5</v>
      </c>
      <c r="EN18" s="44" t="s">
        <v>4</v>
      </c>
      <c r="EO18" s="40">
        <v>0</v>
      </c>
      <c r="EP18" s="27"/>
      <c r="EQ18" s="42">
        <f t="shared" si="39"/>
        <v>0</v>
      </c>
      <c r="ER18" s="43">
        <f t="shared" si="40"/>
        <v>5</v>
      </c>
      <c r="ET18" s="38">
        <v>3</v>
      </c>
      <c r="EU18" s="44" t="s">
        <v>4</v>
      </c>
      <c r="EV18" s="40">
        <v>0</v>
      </c>
      <c r="EW18" s="27"/>
      <c r="EX18" s="42">
        <f t="shared" si="41"/>
        <v>0</v>
      </c>
      <c r="EY18" s="43">
        <f t="shared" si="42"/>
        <v>3</v>
      </c>
      <c r="FA18" s="38">
        <v>3</v>
      </c>
      <c r="FB18" s="44" t="s">
        <v>4</v>
      </c>
      <c r="FC18" s="40">
        <v>0</v>
      </c>
      <c r="FD18" s="27"/>
      <c r="FE18" s="42">
        <f t="shared" si="43"/>
        <v>0</v>
      </c>
      <c r="FF18" s="43">
        <f t="shared" si="44"/>
        <v>3</v>
      </c>
      <c r="FH18" s="38">
        <v>5</v>
      </c>
      <c r="FI18" s="44" t="s">
        <v>4</v>
      </c>
      <c r="FJ18" s="40">
        <v>0</v>
      </c>
      <c r="FK18" s="27"/>
      <c r="FL18" s="42">
        <f t="shared" si="45"/>
        <v>0</v>
      </c>
      <c r="FM18" s="43">
        <f t="shared" si="46"/>
        <v>5</v>
      </c>
      <c r="FO18" s="38">
        <v>3</v>
      </c>
      <c r="FP18" s="44" t="s">
        <v>4</v>
      </c>
      <c r="FQ18" s="40">
        <v>0</v>
      </c>
      <c r="FR18" s="27"/>
      <c r="FS18" s="42">
        <f t="shared" si="47"/>
        <v>0</v>
      </c>
      <c r="FT18" s="43">
        <f t="shared" si="48"/>
        <v>3</v>
      </c>
      <c r="FV18" s="38">
        <v>4</v>
      </c>
      <c r="FW18" s="44" t="s">
        <v>4</v>
      </c>
      <c r="FX18" s="40">
        <v>0</v>
      </c>
      <c r="FY18" s="27"/>
      <c r="FZ18" s="42">
        <f t="shared" si="49"/>
        <v>0</v>
      </c>
      <c r="GA18" s="43">
        <f t="shared" si="50"/>
        <v>4</v>
      </c>
      <c r="GC18" s="38">
        <v>2</v>
      </c>
      <c r="GD18" s="44" t="s">
        <v>4</v>
      </c>
      <c r="GE18" s="40">
        <v>0</v>
      </c>
      <c r="GF18" s="27"/>
      <c r="GG18" s="42">
        <f t="shared" si="51"/>
        <v>0</v>
      </c>
      <c r="GH18" s="43">
        <f t="shared" si="52"/>
        <v>2</v>
      </c>
      <c r="GJ18" s="38">
        <v>3</v>
      </c>
      <c r="GK18" s="44" t="s">
        <v>4</v>
      </c>
      <c r="GL18" s="40">
        <v>0</v>
      </c>
      <c r="GM18" s="27"/>
      <c r="GN18" s="42">
        <f t="shared" si="53"/>
        <v>0</v>
      </c>
      <c r="GO18" s="43">
        <f t="shared" si="54"/>
        <v>3</v>
      </c>
      <c r="GQ18" s="38">
        <v>3</v>
      </c>
      <c r="GR18" s="44" t="s">
        <v>4</v>
      </c>
      <c r="GS18" s="40">
        <v>0</v>
      </c>
      <c r="GT18" s="27"/>
      <c r="GU18" s="42">
        <f t="shared" si="55"/>
        <v>0</v>
      </c>
      <c r="GV18" s="43">
        <f t="shared" si="56"/>
        <v>3</v>
      </c>
      <c r="GX18" s="38">
        <v>5</v>
      </c>
      <c r="GY18" s="44" t="s">
        <v>4</v>
      </c>
      <c r="GZ18" s="40">
        <v>0</v>
      </c>
      <c r="HA18" s="27"/>
      <c r="HB18" s="42">
        <f t="shared" si="57"/>
        <v>0</v>
      </c>
      <c r="HC18" s="43">
        <f t="shared" si="58"/>
        <v>5</v>
      </c>
      <c r="HE18" s="38">
        <v>5</v>
      </c>
      <c r="HF18" s="44" t="s">
        <v>4</v>
      </c>
      <c r="HG18" s="40">
        <v>0</v>
      </c>
      <c r="HH18" s="27"/>
      <c r="HI18" s="42">
        <f t="shared" si="59"/>
        <v>0</v>
      </c>
      <c r="HJ18" s="43">
        <f t="shared" si="60"/>
        <v>5</v>
      </c>
      <c r="HL18" s="38">
        <v>4</v>
      </c>
      <c r="HM18" s="44" t="s">
        <v>4</v>
      </c>
      <c r="HN18" s="40">
        <v>0</v>
      </c>
      <c r="HO18" s="27"/>
      <c r="HP18" s="42">
        <f t="shared" si="61"/>
        <v>0</v>
      </c>
      <c r="HQ18" s="43">
        <f t="shared" si="62"/>
        <v>4</v>
      </c>
      <c r="HS18" s="38">
        <v>3</v>
      </c>
      <c r="HT18" s="44" t="s">
        <v>4</v>
      </c>
      <c r="HU18" s="40">
        <v>0</v>
      </c>
      <c r="HV18" s="27"/>
      <c r="HW18" s="42">
        <f t="shared" si="63"/>
        <v>0</v>
      </c>
      <c r="HX18" s="43">
        <f t="shared" si="64"/>
        <v>3</v>
      </c>
      <c r="HZ18" s="38">
        <v>4</v>
      </c>
      <c r="IA18" s="44" t="s">
        <v>4</v>
      </c>
      <c r="IB18" s="40">
        <v>0</v>
      </c>
      <c r="IC18" s="27"/>
      <c r="ID18" s="42">
        <f t="shared" si="65"/>
        <v>0</v>
      </c>
      <c r="IE18" s="43">
        <f t="shared" si="66"/>
        <v>4</v>
      </c>
      <c r="IG18" s="38">
        <v>4</v>
      </c>
      <c r="IH18" s="44" t="s">
        <v>4</v>
      </c>
      <c r="II18" s="40">
        <v>0</v>
      </c>
      <c r="IJ18" s="27"/>
      <c r="IK18" s="42">
        <f t="shared" si="67"/>
        <v>0</v>
      </c>
      <c r="IL18" s="43">
        <f t="shared" si="68"/>
        <v>4</v>
      </c>
      <c r="IN18" s="38">
        <v>8</v>
      </c>
      <c r="IO18" s="44" t="s">
        <v>4</v>
      </c>
      <c r="IP18" s="40">
        <v>0</v>
      </c>
      <c r="IQ18" s="27"/>
      <c r="IR18" s="42">
        <f t="shared" si="69"/>
        <v>0</v>
      </c>
      <c r="IS18" s="43">
        <f t="shared" si="70"/>
        <v>8</v>
      </c>
      <c r="IU18" s="38">
        <v>2</v>
      </c>
      <c r="IV18" s="44" t="s">
        <v>4</v>
      </c>
      <c r="IW18" s="40">
        <v>0</v>
      </c>
      <c r="IX18" s="27"/>
      <c r="IY18" s="42">
        <f t="shared" si="71"/>
        <v>0</v>
      </c>
      <c r="IZ18" s="43">
        <f t="shared" si="72"/>
        <v>2</v>
      </c>
      <c r="JB18" s="38">
        <v>3</v>
      </c>
      <c r="JC18" s="44" t="s">
        <v>4</v>
      </c>
      <c r="JD18" s="40">
        <v>0</v>
      </c>
      <c r="JE18" s="27"/>
      <c r="JF18" s="42">
        <f t="shared" si="73"/>
        <v>0</v>
      </c>
      <c r="JG18" s="43">
        <f t="shared" si="74"/>
        <v>3</v>
      </c>
      <c r="JI18" s="38">
        <v>3</v>
      </c>
      <c r="JJ18" s="44" t="s">
        <v>4</v>
      </c>
      <c r="JK18" s="40">
        <v>1</v>
      </c>
      <c r="JL18" s="27"/>
      <c r="JM18" s="42">
        <f t="shared" si="75"/>
        <v>0</v>
      </c>
      <c r="JN18" s="43">
        <f t="shared" si="76"/>
        <v>2</v>
      </c>
      <c r="JP18" s="38">
        <v>5</v>
      </c>
      <c r="JQ18" s="44" t="s">
        <v>4</v>
      </c>
      <c r="JR18" s="40">
        <v>1</v>
      </c>
      <c r="JS18" s="27"/>
      <c r="JT18" s="42">
        <f t="shared" si="77"/>
        <v>0</v>
      </c>
      <c r="JU18" s="43">
        <f t="shared" si="78"/>
        <v>4</v>
      </c>
      <c r="JW18" s="38">
        <v>4</v>
      </c>
      <c r="JX18" s="44" t="s">
        <v>4</v>
      </c>
      <c r="JY18" s="40">
        <v>0</v>
      </c>
      <c r="JZ18" s="27"/>
      <c r="KA18" s="42">
        <f t="shared" si="79"/>
        <v>0</v>
      </c>
      <c r="KB18" s="43">
        <f t="shared" si="80"/>
        <v>4</v>
      </c>
      <c r="KD18" s="38">
        <v>2</v>
      </c>
      <c r="KE18" s="44" t="s">
        <v>4</v>
      </c>
      <c r="KF18" s="40">
        <v>0</v>
      </c>
      <c r="KG18" s="27"/>
      <c r="KH18" s="42">
        <f t="shared" si="81"/>
        <v>0</v>
      </c>
      <c r="KI18" s="43">
        <f t="shared" si="82"/>
        <v>2</v>
      </c>
      <c r="KK18" s="38">
        <v>2</v>
      </c>
      <c r="KL18" s="44" t="s">
        <v>4</v>
      </c>
      <c r="KM18" s="40">
        <v>0</v>
      </c>
      <c r="KN18" s="27"/>
      <c r="KO18" s="42">
        <f t="shared" si="83"/>
        <v>0</v>
      </c>
      <c r="KP18" s="43">
        <f t="shared" si="84"/>
        <v>2</v>
      </c>
      <c r="KR18" s="38">
        <v>3</v>
      </c>
      <c r="KS18" s="44" t="s">
        <v>4</v>
      </c>
      <c r="KT18" s="40">
        <v>0</v>
      </c>
      <c r="KU18" s="27"/>
      <c r="KV18" s="42">
        <f t="shared" si="85"/>
        <v>0</v>
      </c>
      <c r="KW18" s="43">
        <f t="shared" si="86"/>
        <v>3</v>
      </c>
      <c r="KY18" s="38">
        <v>2</v>
      </c>
      <c r="KZ18" s="44" t="s">
        <v>4</v>
      </c>
      <c r="LA18" s="40">
        <v>1</v>
      </c>
      <c r="LB18" s="27"/>
      <c r="LC18" s="42">
        <f t="shared" si="87"/>
        <v>0</v>
      </c>
      <c r="LD18" s="43">
        <f t="shared" si="88"/>
        <v>1</v>
      </c>
      <c r="LF18" s="38">
        <v>6</v>
      </c>
      <c r="LG18" s="44" t="s">
        <v>4</v>
      </c>
      <c r="LH18" s="40">
        <v>1</v>
      </c>
      <c r="LI18" s="27"/>
      <c r="LJ18" s="42">
        <f t="shared" si="89"/>
        <v>0</v>
      </c>
      <c r="LK18" s="43">
        <f t="shared" si="90"/>
        <v>5</v>
      </c>
      <c r="LM18" s="38">
        <v>1</v>
      </c>
      <c r="LN18" s="44" t="s">
        <v>4</v>
      </c>
      <c r="LO18" s="40">
        <v>1</v>
      </c>
      <c r="LP18" s="27"/>
      <c r="LQ18" s="42">
        <f t="shared" si="91"/>
        <v>1.8</v>
      </c>
      <c r="LR18" s="43">
        <f t="shared" si="92"/>
        <v>0</v>
      </c>
      <c r="LT18" s="38">
        <v>2</v>
      </c>
      <c r="LU18" s="44" t="s">
        <v>4</v>
      </c>
      <c r="LV18" s="40">
        <v>0</v>
      </c>
      <c r="LW18" s="27"/>
      <c r="LX18" s="42">
        <f t="shared" si="93"/>
        <v>0</v>
      </c>
      <c r="LY18" s="43">
        <f t="shared" si="94"/>
        <v>2</v>
      </c>
      <c r="MA18" s="38">
        <v>7</v>
      </c>
      <c r="MB18" s="44" t="s">
        <v>4</v>
      </c>
      <c r="MC18" s="40">
        <v>0</v>
      </c>
      <c r="MD18" s="27"/>
      <c r="ME18" s="42">
        <f t="shared" si="95"/>
        <v>0</v>
      </c>
      <c r="MF18" s="43">
        <f t="shared" si="96"/>
        <v>7</v>
      </c>
      <c r="MH18" s="38">
        <v>2</v>
      </c>
      <c r="MI18" s="44" t="s">
        <v>4</v>
      </c>
      <c r="MJ18" s="40">
        <v>0</v>
      </c>
      <c r="MK18" s="27"/>
      <c r="ML18" s="42">
        <f t="shared" si="97"/>
        <v>0</v>
      </c>
      <c r="MM18" s="43">
        <f t="shared" si="98"/>
        <v>2</v>
      </c>
      <c r="MO18" s="38">
        <v>3</v>
      </c>
      <c r="MP18" s="44" t="s">
        <v>4</v>
      </c>
      <c r="MQ18" s="40">
        <v>0</v>
      </c>
      <c r="MR18" s="27"/>
      <c r="MS18" s="42">
        <f t="shared" si="99"/>
        <v>0</v>
      </c>
      <c r="MT18" s="43">
        <f t="shared" si="100"/>
        <v>3</v>
      </c>
      <c r="MV18" s="38">
        <v>3</v>
      </c>
      <c r="MW18" s="44" t="s">
        <v>4</v>
      </c>
      <c r="MX18" s="40">
        <v>0</v>
      </c>
      <c r="MY18" s="27"/>
      <c r="MZ18" s="42">
        <f t="shared" si="101"/>
        <v>0</v>
      </c>
      <c r="NA18" s="43">
        <f t="shared" si="102"/>
        <v>3</v>
      </c>
      <c r="NC18" s="38">
        <v>4</v>
      </c>
      <c r="ND18" s="44" t="s">
        <v>4</v>
      </c>
      <c r="NE18" s="40">
        <v>1</v>
      </c>
      <c r="NF18" s="27"/>
      <c r="NG18" s="42">
        <f t="shared" si="103"/>
        <v>0</v>
      </c>
      <c r="NH18" s="43">
        <f t="shared" si="104"/>
        <v>3</v>
      </c>
      <c r="NJ18" s="38">
        <v>4</v>
      </c>
      <c r="NK18" s="44" t="s">
        <v>4</v>
      </c>
      <c r="NL18" s="40">
        <v>2</v>
      </c>
      <c r="NM18" s="27"/>
      <c r="NN18" s="42">
        <f t="shared" si="105"/>
        <v>0</v>
      </c>
      <c r="NO18" s="43">
        <f t="shared" si="106"/>
        <v>2</v>
      </c>
      <c r="NQ18" s="38">
        <v>5</v>
      </c>
      <c r="NR18" s="44" t="s">
        <v>4</v>
      </c>
      <c r="NS18" s="40">
        <v>0</v>
      </c>
      <c r="NT18" s="27"/>
      <c r="NU18" s="42">
        <f t="shared" si="107"/>
        <v>0</v>
      </c>
      <c r="NV18" s="43">
        <f t="shared" si="108"/>
        <v>5</v>
      </c>
      <c r="NX18" s="38">
        <v>6</v>
      </c>
      <c r="NY18" s="44" t="s">
        <v>4</v>
      </c>
      <c r="NZ18" s="40">
        <v>0</v>
      </c>
      <c r="OA18" s="27"/>
      <c r="OB18" s="42">
        <f t="shared" si="109"/>
        <v>0</v>
      </c>
      <c r="OC18" s="43">
        <f t="shared" si="110"/>
        <v>6</v>
      </c>
      <c r="OE18" s="38">
        <v>3</v>
      </c>
      <c r="OF18" s="44" t="s">
        <v>4</v>
      </c>
      <c r="OG18" s="40">
        <v>0</v>
      </c>
      <c r="OH18" s="27"/>
      <c r="OI18" s="42">
        <f t="shared" si="111"/>
        <v>0</v>
      </c>
      <c r="OJ18" s="43">
        <f t="shared" si="112"/>
        <v>3</v>
      </c>
      <c r="OL18" s="38">
        <v>5</v>
      </c>
      <c r="OM18" s="44" t="s">
        <v>4</v>
      </c>
      <c r="ON18" s="40">
        <v>0</v>
      </c>
      <c r="OO18" s="27"/>
      <c r="OP18" s="42">
        <f t="shared" si="113"/>
        <v>0</v>
      </c>
      <c r="OQ18" s="43">
        <f t="shared" si="114"/>
        <v>5</v>
      </c>
      <c r="OS18" s="38">
        <v>3</v>
      </c>
      <c r="OT18" s="44" t="s">
        <v>4</v>
      </c>
      <c r="OU18" s="40">
        <v>1</v>
      </c>
      <c r="OV18" s="27"/>
      <c r="OW18" s="42">
        <f t="shared" si="115"/>
        <v>0</v>
      </c>
      <c r="OX18" s="43">
        <f t="shared" si="116"/>
        <v>2</v>
      </c>
      <c r="OZ18" s="38">
        <v>5</v>
      </c>
      <c r="PA18" s="44" t="s">
        <v>4</v>
      </c>
      <c r="PB18" s="40">
        <v>0</v>
      </c>
      <c r="PC18" s="27"/>
      <c r="PD18" s="42">
        <f t="shared" si="117"/>
        <v>0</v>
      </c>
      <c r="PE18" s="43">
        <f t="shared" si="118"/>
        <v>5</v>
      </c>
      <c r="PG18" s="38">
        <v>4</v>
      </c>
      <c r="PH18" s="44" t="s">
        <v>4</v>
      </c>
      <c r="PI18" s="40">
        <v>0</v>
      </c>
      <c r="PJ18" s="27"/>
      <c r="PK18" s="42">
        <f t="shared" si="119"/>
        <v>0</v>
      </c>
      <c r="PL18" s="43">
        <f t="shared" si="120"/>
        <v>4</v>
      </c>
      <c r="PN18" s="38">
        <v>3</v>
      </c>
      <c r="PO18" s="44" t="s">
        <v>4</v>
      </c>
      <c r="PP18" s="40">
        <v>1</v>
      </c>
      <c r="PQ18" s="27"/>
      <c r="PR18" s="42">
        <f t="shared" si="121"/>
        <v>0</v>
      </c>
      <c r="PS18" s="43">
        <f t="shared" si="122"/>
        <v>2</v>
      </c>
      <c r="PU18" s="38">
        <v>4</v>
      </c>
      <c r="PV18" s="44" t="s">
        <v>4</v>
      </c>
      <c r="PW18" s="40">
        <v>0</v>
      </c>
      <c r="PX18" s="27"/>
      <c r="PY18" s="42">
        <f t="shared" si="123"/>
        <v>0</v>
      </c>
      <c r="PZ18" s="43">
        <f t="shared" si="124"/>
        <v>4</v>
      </c>
      <c r="QB18" s="38">
        <v>4</v>
      </c>
      <c r="QC18" s="44" t="s">
        <v>4</v>
      </c>
      <c r="QD18" s="40">
        <v>0</v>
      </c>
      <c r="QE18" s="27"/>
      <c r="QF18" s="42">
        <f t="shared" si="125"/>
        <v>0</v>
      </c>
      <c r="QG18" s="43">
        <f t="shared" si="126"/>
        <v>4</v>
      </c>
      <c r="QI18" s="38">
        <v>4</v>
      </c>
      <c r="QJ18" s="44" t="s">
        <v>4</v>
      </c>
      <c r="QK18" s="40">
        <v>0</v>
      </c>
      <c r="QL18" s="27"/>
      <c r="QM18" s="42">
        <f t="shared" si="127"/>
        <v>0</v>
      </c>
      <c r="QN18" s="43">
        <f t="shared" si="128"/>
        <v>4</v>
      </c>
      <c r="QP18" s="38">
        <v>5</v>
      </c>
      <c r="QQ18" s="44" t="s">
        <v>4</v>
      </c>
      <c r="QR18" s="40">
        <v>0</v>
      </c>
      <c r="QS18" s="27"/>
      <c r="QT18" s="42">
        <f t="shared" si="129"/>
        <v>0</v>
      </c>
      <c r="QU18" s="43">
        <f t="shared" si="130"/>
        <v>5</v>
      </c>
      <c r="QW18" s="38">
        <v>4</v>
      </c>
      <c r="QX18" s="44" t="s">
        <v>4</v>
      </c>
      <c r="QY18" s="40">
        <v>0</v>
      </c>
      <c r="QZ18" s="27"/>
      <c r="RA18" s="42">
        <f t="shared" si="131"/>
        <v>0</v>
      </c>
      <c r="RB18" s="43">
        <f t="shared" si="132"/>
        <v>4</v>
      </c>
      <c r="RD18" s="38">
        <v>6</v>
      </c>
      <c r="RE18" s="44" t="s">
        <v>4</v>
      </c>
      <c r="RF18" s="40">
        <v>0</v>
      </c>
      <c r="RG18" s="27"/>
      <c r="RH18" s="42">
        <f t="shared" si="133"/>
        <v>0</v>
      </c>
      <c r="RI18" s="43">
        <f t="shared" si="134"/>
        <v>6</v>
      </c>
      <c r="RK18" s="38">
        <v>0</v>
      </c>
      <c r="RL18" s="44" t="s">
        <v>4</v>
      </c>
      <c r="RM18" s="40">
        <v>3</v>
      </c>
      <c r="RN18" s="27"/>
      <c r="RO18" s="42">
        <f t="shared" si="135"/>
        <v>0</v>
      </c>
      <c r="RP18" s="43">
        <f t="shared" si="136"/>
        <v>-3</v>
      </c>
      <c r="RR18" s="38">
        <v>4</v>
      </c>
      <c r="RS18" s="44" t="s">
        <v>4</v>
      </c>
      <c r="RT18" s="40">
        <v>0</v>
      </c>
      <c r="RU18" s="27"/>
      <c r="RV18" s="42">
        <f t="shared" si="137"/>
        <v>0</v>
      </c>
      <c r="RW18" s="43">
        <f t="shared" si="138"/>
        <v>4</v>
      </c>
      <c r="RY18" s="38">
        <v>5</v>
      </c>
      <c r="RZ18" s="44" t="s">
        <v>4</v>
      </c>
      <c r="SA18" s="40">
        <v>0</v>
      </c>
      <c r="SB18" s="27"/>
      <c r="SC18" s="42">
        <f t="shared" si="139"/>
        <v>0</v>
      </c>
      <c r="SD18" s="43">
        <f t="shared" si="140"/>
        <v>5</v>
      </c>
      <c r="SF18" s="38">
        <v>4</v>
      </c>
      <c r="SG18" s="44" t="s">
        <v>4</v>
      </c>
      <c r="SH18" s="40">
        <v>0</v>
      </c>
      <c r="SI18" s="27"/>
      <c r="SJ18" s="42">
        <f t="shared" si="141"/>
        <v>0</v>
      </c>
      <c r="SK18" s="43">
        <f t="shared" si="142"/>
        <v>4</v>
      </c>
      <c r="SM18" s="38">
        <v>3</v>
      </c>
      <c r="SN18" s="44" t="s">
        <v>4</v>
      </c>
      <c r="SO18" s="40">
        <v>1</v>
      </c>
      <c r="SP18" s="27"/>
      <c r="SQ18" s="42">
        <f t="shared" si="143"/>
        <v>0</v>
      </c>
      <c r="SR18" s="43">
        <f t="shared" si="144"/>
        <v>2</v>
      </c>
    </row>
    <row r="19" spans="1:512" customFormat="1" ht="16" customHeight="1" x14ac:dyDescent="0.2">
      <c r="A19" s="34">
        <v>46188</v>
      </c>
      <c r="B19" s="35">
        <v>0.875</v>
      </c>
      <c r="C19" s="79" t="s">
        <v>11</v>
      </c>
      <c r="D19" s="80" t="s">
        <v>46</v>
      </c>
      <c r="E19" s="3">
        <v>1</v>
      </c>
      <c r="F19" s="37" t="s">
        <v>4</v>
      </c>
      <c r="G19" s="4">
        <v>1</v>
      </c>
      <c r="H19" s="16">
        <v>1.8</v>
      </c>
      <c r="I19" s="32">
        <f t="shared" si="0"/>
        <v>0</v>
      </c>
      <c r="J19" s="47">
        <v>2</v>
      </c>
      <c r="K19" s="48" t="s">
        <v>4</v>
      </c>
      <c r="L19" s="49">
        <v>2</v>
      </c>
      <c r="M19" s="27"/>
      <c r="N19" s="42">
        <f t="shared" si="1"/>
        <v>1.8</v>
      </c>
      <c r="O19" s="43">
        <f t="shared" si="2"/>
        <v>0</v>
      </c>
      <c r="P19" s="32"/>
      <c r="Q19" s="47">
        <v>1</v>
      </c>
      <c r="R19" s="48" t="s">
        <v>4</v>
      </c>
      <c r="S19" s="49">
        <v>0</v>
      </c>
      <c r="T19" s="27"/>
      <c r="U19" s="42">
        <f t="shared" si="3"/>
        <v>0</v>
      </c>
      <c r="V19" s="43">
        <f t="shared" si="4"/>
        <v>1</v>
      </c>
      <c r="X19" s="47">
        <v>3</v>
      </c>
      <c r="Y19" s="48" t="s">
        <v>4</v>
      </c>
      <c r="Z19" s="49">
        <v>1</v>
      </c>
      <c r="AA19" s="27"/>
      <c r="AB19" s="42">
        <f t="shared" si="5"/>
        <v>0</v>
      </c>
      <c r="AC19" s="43">
        <f t="shared" si="6"/>
        <v>2</v>
      </c>
      <c r="AE19" s="47">
        <v>1</v>
      </c>
      <c r="AF19" s="48" t="s">
        <v>4</v>
      </c>
      <c r="AG19" s="49">
        <v>2</v>
      </c>
      <c r="AH19" s="27"/>
      <c r="AI19" s="42">
        <f t="shared" si="7"/>
        <v>0</v>
      </c>
      <c r="AJ19" s="43">
        <f t="shared" si="8"/>
        <v>-1</v>
      </c>
      <c r="AL19" s="47">
        <v>2</v>
      </c>
      <c r="AM19" s="48" t="s">
        <v>4</v>
      </c>
      <c r="AN19" s="49">
        <v>1</v>
      </c>
      <c r="AO19" s="27"/>
      <c r="AP19" s="42">
        <f t="shared" si="9"/>
        <v>0</v>
      </c>
      <c r="AQ19" s="43">
        <f t="shared" si="10"/>
        <v>1</v>
      </c>
      <c r="AS19" s="47">
        <v>1</v>
      </c>
      <c r="AT19" s="48" t="s">
        <v>4</v>
      </c>
      <c r="AU19" s="49">
        <v>1</v>
      </c>
      <c r="AV19" s="27"/>
      <c r="AW19" s="42">
        <f t="shared" si="11"/>
        <v>2.7</v>
      </c>
      <c r="AX19" s="43">
        <f t="shared" si="12"/>
        <v>0</v>
      </c>
      <c r="AZ19" s="86">
        <v>1</v>
      </c>
      <c r="BA19" s="48" t="s">
        <v>4</v>
      </c>
      <c r="BB19" s="49">
        <v>0</v>
      </c>
      <c r="BC19" s="27"/>
      <c r="BD19" s="42">
        <f t="shared" si="13"/>
        <v>0</v>
      </c>
      <c r="BE19" s="43">
        <f t="shared" si="14"/>
        <v>1</v>
      </c>
      <c r="BG19" s="47">
        <v>1</v>
      </c>
      <c r="BH19" s="48" t="s">
        <v>4</v>
      </c>
      <c r="BI19" s="49">
        <v>0</v>
      </c>
      <c r="BJ19" s="27"/>
      <c r="BK19" s="42">
        <f t="shared" si="15"/>
        <v>0</v>
      </c>
      <c r="BL19" s="43">
        <f t="shared" si="16"/>
        <v>1</v>
      </c>
      <c r="BN19" s="47">
        <v>3</v>
      </c>
      <c r="BO19" s="48" t="s">
        <v>4</v>
      </c>
      <c r="BP19" s="49">
        <v>2</v>
      </c>
      <c r="BQ19" s="27"/>
      <c r="BR19" s="42">
        <f t="shared" si="17"/>
        <v>0</v>
      </c>
      <c r="BS19" s="43">
        <f t="shared" si="18"/>
        <v>1</v>
      </c>
      <c r="BU19" s="47">
        <v>3</v>
      </c>
      <c r="BV19" s="48" t="s">
        <v>4</v>
      </c>
      <c r="BW19" s="49">
        <v>1</v>
      </c>
      <c r="BX19" s="27"/>
      <c r="BY19" s="42">
        <f t="shared" si="19"/>
        <v>0</v>
      </c>
      <c r="BZ19" s="43">
        <f t="shared" si="20"/>
        <v>2</v>
      </c>
      <c r="CB19" s="47">
        <v>2</v>
      </c>
      <c r="CC19" s="48" t="s">
        <v>4</v>
      </c>
      <c r="CD19" s="49">
        <v>0</v>
      </c>
      <c r="CE19" s="27"/>
      <c r="CF19" s="42">
        <f t="shared" si="21"/>
        <v>0</v>
      </c>
      <c r="CG19" s="43">
        <f t="shared" si="22"/>
        <v>2</v>
      </c>
      <c r="CI19" s="47">
        <v>2</v>
      </c>
      <c r="CJ19" s="48" t="s">
        <v>4</v>
      </c>
      <c r="CK19" s="49">
        <v>1</v>
      </c>
      <c r="CL19" s="27"/>
      <c r="CM19" s="42">
        <f t="shared" si="23"/>
        <v>0</v>
      </c>
      <c r="CN19" s="43">
        <f t="shared" si="24"/>
        <v>1</v>
      </c>
      <c r="CP19" s="47">
        <v>2</v>
      </c>
      <c r="CQ19" s="48" t="s">
        <v>4</v>
      </c>
      <c r="CR19" s="49">
        <v>0</v>
      </c>
      <c r="CS19" s="27"/>
      <c r="CT19" s="42">
        <f t="shared" si="25"/>
        <v>0</v>
      </c>
      <c r="CU19" s="43">
        <f t="shared" si="26"/>
        <v>2</v>
      </c>
      <c r="CW19" s="47">
        <v>3</v>
      </c>
      <c r="CX19" s="48" t="s">
        <v>4</v>
      </c>
      <c r="CY19" s="49">
        <v>0</v>
      </c>
      <c r="CZ19" s="27"/>
      <c r="DA19" s="42">
        <f t="shared" si="27"/>
        <v>0</v>
      </c>
      <c r="DB19" s="43">
        <f t="shared" si="28"/>
        <v>3</v>
      </c>
      <c r="DD19" s="47">
        <v>2</v>
      </c>
      <c r="DE19" s="48" t="s">
        <v>4</v>
      </c>
      <c r="DF19" s="49">
        <v>0</v>
      </c>
      <c r="DG19" s="27"/>
      <c r="DH19" s="42">
        <f t="shared" si="29"/>
        <v>0</v>
      </c>
      <c r="DI19" s="43">
        <f t="shared" si="30"/>
        <v>2</v>
      </c>
      <c r="DK19" s="47">
        <v>2</v>
      </c>
      <c r="DL19" s="48" t="s">
        <v>4</v>
      </c>
      <c r="DM19" s="49">
        <v>1</v>
      </c>
      <c r="DN19" s="27"/>
      <c r="DO19" s="42">
        <f t="shared" si="31"/>
        <v>0</v>
      </c>
      <c r="DP19" s="43">
        <f t="shared" si="32"/>
        <v>1</v>
      </c>
      <c r="DR19" s="47">
        <v>2</v>
      </c>
      <c r="DS19" s="48" t="s">
        <v>4</v>
      </c>
      <c r="DT19" s="49">
        <v>0</v>
      </c>
      <c r="DU19" s="27"/>
      <c r="DV19" s="42">
        <f t="shared" si="33"/>
        <v>0</v>
      </c>
      <c r="DW19" s="43">
        <f t="shared" si="34"/>
        <v>2</v>
      </c>
      <c r="DY19" s="47">
        <v>2</v>
      </c>
      <c r="DZ19" s="48" t="s">
        <v>4</v>
      </c>
      <c r="EA19" s="49">
        <v>1</v>
      </c>
      <c r="EB19" s="27"/>
      <c r="EC19" s="42">
        <f t="shared" si="35"/>
        <v>0</v>
      </c>
      <c r="ED19" s="43">
        <f t="shared" si="36"/>
        <v>1</v>
      </c>
      <c r="EF19" s="47">
        <v>2</v>
      </c>
      <c r="EG19" s="48" t="s">
        <v>4</v>
      </c>
      <c r="EH19" s="49">
        <v>0</v>
      </c>
      <c r="EI19" s="27"/>
      <c r="EJ19" s="42">
        <f t="shared" si="37"/>
        <v>0</v>
      </c>
      <c r="EK19" s="43">
        <f t="shared" si="38"/>
        <v>2</v>
      </c>
      <c r="EM19" s="47">
        <v>2</v>
      </c>
      <c r="EN19" s="48" t="s">
        <v>4</v>
      </c>
      <c r="EO19" s="49">
        <v>1</v>
      </c>
      <c r="EP19" s="27"/>
      <c r="EQ19" s="42">
        <f t="shared" si="39"/>
        <v>0</v>
      </c>
      <c r="ER19" s="43">
        <f t="shared" si="40"/>
        <v>1</v>
      </c>
      <c r="ET19" s="47">
        <v>2</v>
      </c>
      <c r="EU19" s="48" t="s">
        <v>4</v>
      </c>
      <c r="EV19" s="49">
        <v>2</v>
      </c>
      <c r="EW19" s="27"/>
      <c r="EX19" s="42">
        <f t="shared" si="41"/>
        <v>1.8</v>
      </c>
      <c r="EY19" s="43">
        <f t="shared" si="42"/>
        <v>0</v>
      </c>
      <c r="FA19" s="47">
        <v>2</v>
      </c>
      <c r="FB19" s="48" t="s">
        <v>4</v>
      </c>
      <c r="FC19" s="49">
        <v>1</v>
      </c>
      <c r="FD19" s="27"/>
      <c r="FE19" s="42">
        <f t="shared" si="43"/>
        <v>0</v>
      </c>
      <c r="FF19" s="43">
        <f t="shared" si="44"/>
        <v>1</v>
      </c>
      <c r="FH19" s="47">
        <v>1</v>
      </c>
      <c r="FI19" s="48" t="s">
        <v>4</v>
      </c>
      <c r="FJ19" s="49">
        <v>1</v>
      </c>
      <c r="FK19" s="27"/>
      <c r="FL19" s="42">
        <f t="shared" si="45"/>
        <v>2.7</v>
      </c>
      <c r="FM19" s="43">
        <f t="shared" si="46"/>
        <v>0</v>
      </c>
      <c r="FO19" s="47">
        <v>3</v>
      </c>
      <c r="FP19" s="48" t="s">
        <v>4</v>
      </c>
      <c r="FQ19" s="49">
        <v>1</v>
      </c>
      <c r="FR19" s="27"/>
      <c r="FS19" s="42">
        <f t="shared" si="47"/>
        <v>0</v>
      </c>
      <c r="FT19" s="43">
        <f t="shared" si="48"/>
        <v>2</v>
      </c>
      <c r="FV19" s="47">
        <v>0</v>
      </c>
      <c r="FW19" s="48" t="s">
        <v>4</v>
      </c>
      <c r="FX19" s="49">
        <v>0</v>
      </c>
      <c r="FY19" s="27"/>
      <c r="FZ19" s="42">
        <f t="shared" si="49"/>
        <v>1.8</v>
      </c>
      <c r="GA19" s="43">
        <f t="shared" si="50"/>
        <v>0</v>
      </c>
      <c r="GC19" s="47">
        <v>2</v>
      </c>
      <c r="GD19" s="48" t="s">
        <v>4</v>
      </c>
      <c r="GE19" s="49">
        <v>0</v>
      </c>
      <c r="GF19" s="27"/>
      <c r="GG19" s="42">
        <f t="shared" si="51"/>
        <v>0</v>
      </c>
      <c r="GH19" s="43">
        <f t="shared" si="52"/>
        <v>2</v>
      </c>
      <c r="GJ19" s="47">
        <v>2</v>
      </c>
      <c r="GK19" s="48" t="s">
        <v>4</v>
      </c>
      <c r="GL19" s="49">
        <v>0</v>
      </c>
      <c r="GM19" s="27"/>
      <c r="GN19" s="42">
        <f t="shared" si="53"/>
        <v>0</v>
      </c>
      <c r="GO19" s="43">
        <f t="shared" si="54"/>
        <v>2</v>
      </c>
      <c r="GQ19" s="47">
        <v>2</v>
      </c>
      <c r="GR19" s="48" t="s">
        <v>4</v>
      </c>
      <c r="GS19" s="49">
        <v>1</v>
      </c>
      <c r="GT19" s="27"/>
      <c r="GU19" s="42">
        <f t="shared" si="55"/>
        <v>0</v>
      </c>
      <c r="GV19" s="43">
        <f t="shared" si="56"/>
        <v>1</v>
      </c>
      <c r="GX19" s="47">
        <v>3</v>
      </c>
      <c r="GY19" s="48" t="s">
        <v>4</v>
      </c>
      <c r="GZ19" s="49">
        <v>1</v>
      </c>
      <c r="HA19" s="27"/>
      <c r="HB19" s="42">
        <f t="shared" si="57"/>
        <v>0</v>
      </c>
      <c r="HC19" s="43">
        <f t="shared" si="58"/>
        <v>2</v>
      </c>
      <c r="HE19" s="47">
        <v>3</v>
      </c>
      <c r="HF19" s="48" t="s">
        <v>4</v>
      </c>
      <c r="HG19" s="49">
        <v>1</v>
      </c>
      <c r="HH19" s="27"/>
      <c r="HI19" s="42">
        <f t="shared" si="59"/>
        <v>0</v>
      </c>
      <c r="HJ19" s="43">
        <f t="shared" si="60"/>
        <v>2</v>
      </c>
      <c r="HL19" s="47">
        <v>2</v>
      </c>
      <c r="HM19" s="48" t="s">
        <v>4</v>
      </c>
      <c r="HN19" s="49">
        <v>1</v>
      </c>
      <c r="HO19" s="27"/>
      <c r="HP19" s="42">
        <f t="shared" si="61"/>
        <v>0</v>
      </c>
      <c r="HQ19" s="43">
        <f t="shared" si="62"/>
        <v>1</v>
      </c>
      <c r="HS19" s="47">
        <v>2</v>
      </c>
      <c r="HT19" s="48" t="s">
        <v>4</v>
      </c>
      <c r="HU19" s="49">
        <v>0</v>
      </c>
      <c r="HV19" s="27"/>
      <c r="HW19" s="42">
        <f t="shared" si="63"/>
        <v>0</v>
      </c>
      <c r="HX19" s="43">
        <f t="shared" si="64"/>
        <v>2</v>
      </c>
      <c r="HZ19" s="47">
        <v>2</v>
      </c>
      <c r="IA19" s="48" t="s">
        <v>4</v>
      </c>
      <c r="IB19" s="49">
        <v>1</v>
      </c>
      <c r="IC19" s="27"/>
      <c r="ID19" s="42">
        <f t="shared" si="65"/>
        <v>0</v>
      </c>
      <c r="IE19" s="43">
        <f t="shared" si="66"/>
        <v>1</v>
      </c>
      <c r="IG19" s="47">
        <v>1</v>
      </c>
      <c r="IH19" s="48" t="s">
        <v>4</v>
      </c>
      <c r="II19" s="49">
        <v>1</v>
      </c>
      <c r="IJ19" s="27"/>
      <c r="IK19" s="42">
        <f t="shared" si="67"/>
        <v>2.7</v>
      </c>
      <c r="IL19" s="43">
        <f t="shared" si="68"/>
        <v>0</v>
      </c>
      <c r="IN19" s="47">
        <v>1</v>
      </c>
      <c r="IO19" s="48" t="s">
        <v>4</v>
      </c>
      <c r="IP19" s="49">
        <v>1</v>
      </c>
      <c r="IQ19" s="27"/>
      <c r="IR19" s="42">
        <f t="shared" si="69"/>
        <v>2.7</v>
      </c>
      <c r="IS19" s="43">
        <f t="shared" si="70"/>
        <v>0</v>
      </c>
      <c r="IU19" s="47">
        <v>2</v>
      </c>
      <c r="IV19" s="48" t="s">
        <v>4</v>
      </c>
      <c r="IW19" s="49">
        <v>0</v>
      </c>
      <c r="IX19" s="27"/>
      <c r="IY19" s="42">
        <f t="shared" si="71"/>
        <v>0</v>
      </c>
      <c r="IZ19" s="43">
        <f t="shared" si="72"/>
        <v>2</v>
      </c>
      <c r="JB19" s="47">
        <v>2</v>
      </c>
      <c r="JC19" s="48" t="s">
        <v>4</v>
      </c>
      <c r="JD19" s="49">
        <v>1</v>
      </c>
      <c r="JE19" s="27"/>
      <c r="JF19" s="42">
        <f t="shared" si="73"/>
        <v>0</v>
      </c>
      <c r="JG19" s="43">
        <f t="shared" si="74"/>
        <v>1</v>
      </c>
      <c r="JI19" s="47">
        <v>4</v>
      </c>
      <c r="JJ19" s="48" t="s">
        <v>4</v>
      </c>
      <c r="JK19" s="49">
        <v>2</v>
      </c>
      <c r="JL19" s="27"/>
      <c r="JM19" s="42">
        <f t="shared" si="75"/>
        <v>0</v>
      </c>
      <c r="JN19" s="43">
        <f t="shared" si="76"/>
        <v>2</v>
      </c>
      <c r="JP19" s="47">
        <v>2</v>
      </c>
      <c r="JQ19" s="48" t="s">
        <v>4</v>
      </c>
      <c r="JR19" s="49">
        <v>1</v>
      </c>
      <c r="JS19" s="27"/>
      <c r="JT19" s="42">
        <f t="shared" si="77"/>
        <v>0</v>
      </c>
      <c r="JU19" s="43">
        <f t="shared" si="78"/>
        <v>1</v>
      </c>
      <c r="JW19" s="47">
        <v>1</v>
      </c>
      <c r="JX19" s="48" t="s">
        <v>4</v>
      </c>
      <c r="JY19" s="49">
        <v>1</v>
      </c>
      <c r="JZ19" s="27"/>
      <c r="KA19" s="42">
        <f t="shared" si="79"/>
        <v>2.7</v>
      </c>
      <c r="KB19" s="43">
        <f t="shared" si="80"/>
        <v>0</v>
      </c>
      <c r="KD19" s="47">
        <v>3</v>
      </c>
      <c r="KE19" s="48" t="s">
        <v>4</v>
      </c>
      <c r="KF19" s="49">
        <v>0</v>
      </c>
      <c r="KG19" s="27"/>
      <c r="KH19" s="42">
        <f t="shared" si="81"/>
        <v>0</v>
      </c>
      <c r="KI19" s="43">
        <f t="shared" si="82"/>
        <v>3</v>
      </c>
      <c r="KK19" s="47">
        <v>0</v>
      </c>
      <c r="KL19" s="48" t="s">
        <v>4</v>
      </c>
      <c r="KM19" s="49">
        <v>1</v>
      </c>
      <c r="KN19" s="27"/>
      <c r="KO19" s="42">
        <f t="shared" si="83"/>
        <v>0</v>
      </c>
      <c r="KP19" s="43">
        <f t="shared" si="84"/>
        <v>-1</v>
      </c>
      <c r="KR19" s="47">
        <v>2</v>
      </c>
      <c r="KS19" s="48" t="s">
        <v>4</v>
      </c>
      <c r="KT19" s="49">
        <v>0</v>
      </c>
      <c r="KU19" s="27"/>
      <c r="KV19" s="42">
        <f t="shared" si="85"/>
        <v>0</v>
      </c>
      <c r="KW19" s="43">
        <f t="shared" si="86"/>
        <v>2</v>
      </c>
      <c r="KY19" s="47">
        <v>2</v>
      </c>
      <c r="KZ19" s="48" t="s">
        <v>4</v>
      </c>
      <c r="LA19" s="49">
        <v>1</v>
      </c>
      <c r="LB19" s="27"/>
      <c r="LC19" s="42">
        <f t="shared" si="87"/>
        <v>0</v>
      </c>
      <c r="LD19" s="43">
        <f t="shared" si="88"/>
        <v>1</v>
      </c>
      <c r="LF19" s="47">
        <v>3</v>
      </c>
      <c r="LG19" s="48" t="s">
        <v>4</v>
      </c>
      <c r="LH19" s="49">
        <v>1</v>
      </c>
      <c r="LI19" s="27"/>
      <c r="LJ19" s="42">
        <f t="shared" si="89"/>
        <v>0</v>
      </c>
      <c r="LK19" s="43">
        <f t="shared" si="90"/>
        <v>2</v>
      </c>
      <c r="LM19" s="47">
        <v>1</v>
      </c>
      <c r="LN19" s="48" t="s">
        <v>4</v>
      </c>
      <c r="LO19" s="49">
        <v>2</v>
      </c>
      <c r="LP19" s="27"/>
      <c r="LQ19" s="42">
        <f t="shared" si="91"/>
        <v>0</v>
      </c>
      <c r="LR19" s="43">
        <f t="shared" si="92"/>
        <v>-1</v>
      </c>
      <c r="LT19" s="47">
        <v>2</v>
      </c>
      <c r="LU19" s="48" t="s">
        <v>4</v>
      </c>
      <c r="LV19" s="49">
        <v>0</v>
      </c>
      <c r="LW19" s="27"/>
      <c r="LX19" s="42">
        <f t="shared" si="93"/>
        <v>0</v>
      </c>
      <c r="LY19" s="43">
        <f t="shared" si="94"/>
        <v>2</v>
      </c>
      <c r="MA19" s="47">
        <v>4</v>
      </c>
      <c r="MB19" s="48" t="s">
        <v>4</v>
      </c>
      <c r="MC19" s="49">
        <v>0</v>
      </c>
      <c r="MD19" s="27"/>
      <c r="ME19" s="42">
        <f t="shared" si="95"/>
        <v>0</v>
      </c>
      <c r="MF19" s="43">
        <f t="shared" si="96"/>
        <v>4</v>
      </c>
      <c r="MH19" s="47">
        <v>1</v>
      </c>
      <c r="MI19" s="48" t="s">
        <v>4</v>
      </c>
      <c r="MJ19" s="49">
        <v>0</v>
      </c>
      <c r="MK19" s="27"/>
      <c r="ML19" s="42">
        <f t="shared" si="97"/>
        <v>0</v>
      </c>
      <c r="MM19" s="43">
        <f t="shared" si="98"/>
        <v>1</v>
      </c>
      <c r="MO19" s="47">
        <v>3</v>
      </c>
      <c r="MP19" s="48" t="s">
        <v>4</v>
      </c>
      <c r="MQ19" s="49">
        <v>0</v>
      </c>
      <c r="MR19" s="27"/>
      <c r="MS19" s="42">
        <f t="shared" si="99"/>
        <v>0</v>
      </c>
      <c r="MT19" s="43">
        <f t="shared" si="100"/>
        <v>3</v>
      </c>
      <c r="MV19" s="47">
        <v>2</v>
      </c>
      <c r="MW19" s="48" t="s">
        <v>4</v>
      </c>
      <c r="MX19" s="49">
        <v>1</v>
      </c>
      <c r="MY19" s="27"/>
      <c r="MZ19" s="42">
        <f t="shared" si="101"/>
        <v>0</v>
      </c>
      <c r="NA19" s="43">
        <f t="shared" si="102"/>
        <v>1</v>
      </c>
      <c r="NC19" s="47">
        <v>3</v>
      </c>
      <c r="ND19" s="48" t="s">
        <v>4</v>
      </c>
      <c r="NE19" s="49">
        <v>3</v>
      </c>
      <c r="NF19" s="27"/>
      <c r="NG19" s="42">
        <f t="shared" si="103"/>
        <v>1.8</v>
      </c>
      <c r="NH19" s="43">
        <f t="shared" si="104"/>
        <v>0</v>
      </c>
      <c r="NJ19" s="47">
        <v>1</v>
      </c>
      <c r="NK19" s="48" t="s">
        <v>4</v>
      </c>
      <c r="NL19" s="49">
        <v>0</v>
      </c>
      <c r="NM19" s="27"/>
      <c r="NN19" s="42">
        <f t="shared" si="105"/>
        <v>0</v>
      </c>
      <c r="NO19" s="43">
        <f t="shared" si="106"/>
        <v>1</v>
      </c>
      <c r="NQ19" s="47">
        <v>2</v>
      </c>
      <c r="NR19" s="48" t="s">
        <v>4</v>
      </c>
      <c r="NS19" s="49">
        <v>1</v>
      </c>
      <c r="NT19" s="27"/>
      <c r="NU19" s="42">
        <f t="shared" si="107"/>
        <v>0</v>
      </c>
      <c r="NV19" s="43">
        <f t="shared" si="108"/>
        <v>1</v>
      </c>
      <c r="NX19" s="47">
        <v>3</v>
      </c>
      <c r="NY19" s="48" t="s">
        <v>4</v>
      </c>
      <c r="NZ19" s="49">
        <v>2</v>
      </c>
      <c r="OA19" s="27"/>
      <c r="OB19" s="42">
        <f t="shared" si="109"/>
        <v>0</v>
      </c>
      <c r="OC19" s="43">
        <f t="shared" si="110"/>
        <v>1</v>
      </c>
      <c r="OE19" s="47">
        <v>2</v>
      </c>
      <c r="OF19" s="48" t="s">
        <v>4</v>
      </c>
      <c r="OG19" s="49">
        <v>0</v>
      </c>
      <c r="OH19" s="27"/>
      <c r="OI19" s="42">
        <f t="shared" si="111"/>
        <v>0</v>
      </c>
      <c r="OJ19" s="43">
        <f t="shared" si="112"/>
        <v>2</v>
      </c>
      <c r="OL19" s="47">
        <v>2</v>
      </c>
      <c r="OM19" s="48" t="s">
        <v>4</v>
      </c>
      <c r="ON19" s="49">
        <v>1</v>
      </c>
      <c r="OO19" s="27"/>
      <c r="OP19" s="42">
        <f t="shared" si="113"/>
        <v>0</v>
      </c>
      <c r="OQ19" s="43">
        <f t="shared" si="114"/>
        <v>1</v>
      </c>
      <c r="OS19" s="47">
        <v>1</v>
      </c>
      <c r="OT19" s="48" t="s">
        <v>4</v>
      </c>
      <c r="OU19" s="49">
        <v>1</v>
      </c>
      <c r="OV19" s="27"/>
      <c r="OW19" s="42">
        <f t="shared" si="115"/>
        <v>2.7</v>
      </c>
      <c r="OX19" s="43">
        <f t="shared" si="116"/>
        <v>0</v>
      </c>
      <c r="OZ19" s="47">
        <v>2</v>
      </c>
      <c r="PA19" s="48" t="s">
        <v>4</v>
      </c>
      <c r="PB19" s="49">
        <v>1</v>
      </c>
      <c r="PC19" s="27"/>
      <c r="PD19" s="42">
        <f t="shared" si="117"/>
        <v>0</v>
      </c>
      <c r="PE19" s="43">
        <f t="shared" si="118"/>
        <v>1</v>
      </c>
      <c r="PG19" s="47">
        <v>2</v>
      </c>
      <c r="PH19" s="48" t="s">
        <v>4</v>
      </c>
      <c r="PI19" s="49">
        <v>0</v>
      </c>
      <c r="PJ19" s="27"/>
      <c r="PK19" s="42">
        <f t="shared" si="119"/>
        <v>0</v>
      </c>
      <c r="PL19" s="43">
        <f t="shared" si="120"/>
        <v>2</v>
      </c>
      <c r="PN19" s="47">
        <v>2</v>
      </c>
      <c r="PO19" s="48" t="s">
        <v>4</v>
      </c>
      <c r="PP19" s="49">
        <v>1</v>
      </c>
      <c r="PQ19" s="27"/>
      <c r="PR19" s="42">
        <f t="shared" si="121"/>
        <v>0</v>
      </c>
      <c r="PS19" s="43">
        <f t="shared" si="122"/>
        <v>1</v>
      </c>
      <c r="PU19" s="47">
        <v>4</v>
      </c>
      <c r="PV19" s="48" t="s">
        <v>4</v>
      </c>
      <c r="PW19" s="49">
        <v>1</v>
      </c>
      <c r="PX19" s="27"/>
      <c r="PY19" s="42">
        <f t="shared" si="123"/>
        <v>0</v>
      </c>
      <c r="PZ19" s="43">
        <f t="shared" si="124"/>
        <v>3</v>
      </c>
      <c r="QB19" s="47">
        <v>3</v>
      </c>
      <c r="QC19" s="48" t="s">
        <v>4</v>
      </c>
      <c r="QD19" s="49">
        <v>1</v>
      </c>
      <c r="QE19" s="27"/>
      <c r="QF19" s="42">
        <f t="shared" si="125"/>
        <v>0</v>
      </c>
      <c r="QG19" s="43">
        <f t="shared" si="126"/>
        <v>2</v>
      </c>
      <c r="QI19" s="47">
        <v>1</v>
      </c>
      <c r="QJ19" s="48" t="s">
        <v>4</v>
      </c>
      <c r="QK19" s="49">
        <v>0</v>
      </c>
      <c r="QL19" s="27"/>
      <c r="QM19" s="42">
        <f t="shared" si="127"/>
        <v>0</v>
      </c>
      <c r="QN19" s="43">
        <f t="shared" si="128"/>
        <v>1</v>
      </c>
      <c r="QP19" s="47">
        <v>1</v>
      </c>
      <c r="QQ19" s="48" t="s">
        <v>4</v>
      </c>
      <c r="QR19" s="49">
        <v>2</v>
      </c>
      <c r="QS19" s="27"/>
      <c r="QT19" s="42">
        <f t="shared" si="129"/>
        <v>0</v>
      </c>
      <c r="QU19" s="43">
        <f t="shared" si="130"/>
        <v>-1</v>
      </c>
      <c r="QW19" s="47">
        <v>2</v>
      </c>
      <c r="QX19" s="48" t="s">
        <v>4</v>
      </c>
      <c r="QY19" s="49">
        <v>1</v>
      </c>
      <c r="QZ19" s="27"/>
      <c r="RA19" s="42">
        <f t="shared" si="131"/>
        <v>0</v>
      </c>
      <c r="RB19" s="43">
        <f t="shared" si="132"/>
        <v>1</v>
      </c>
      <c r="RD19" s="47">
        <v>2</v>
      </c>
      <c r="RE19" s="48" t="s">
        <v>4</v>
      </c>
      <c r="RF19" s="49">
        <v>1</v>
      </c>
      <c r="RG19" s="27"/>
      <c r="RH19" s="42">
        <f t="shared" si="133"/>
        <v>0</v>
      </c>
      <c r="RI19" s="43">
        <f t="shared" si="134"/>
        <v>1</v>
      </c>
      <c r="RK19" s="47">
        <v>2</v>
      </c>
      <c r="RL19" s="48" t="s">
        <v>4</v>
      </c>
      <c r="RM19" s="49">
        <v>1</v>
      </c>
      <c r="RN19" s="27"/>
      <c r="RO19" s="42">
        <f t="shared" si="135"/>
        <v>0</v>
      </c>
      <c r="RP19" s="43">
        <f t="shared" si="136"/>
        <v>1</v>
      </c>
      <c r="RR19" s="47">
        <v>2</v>
      </c>
      <c r="RS19" s="48" t="s">
        <v>4</v>
      </c>
      <c r="RT19" s="49">
        <v>0</v>
      </c>
      <c r="RU19" s="27"/>
      <c r="RV19" s="42">
        <f t="shared" si="137"/>
        <v>0</v>
      </c>
      <c r="RW19" s="43">
        <f t="shared" si="138"/>
        <v>2</v>
      </c>
      <c r="RY19" s="47">
        <v>2</v>
      </c>
      <c r="RZ19" s="48" t="s">
        <v>4</v>
      </c>
      <c r="SA19" s="49">
        <v>0</v>
      </c>
      <c r="SB19" s="27"/>
      <c r="SC19" s="42">
        <f t="shared" si="139"/>
        <v>0</v>
      </c>
      <c r="SD19" s="43">
        <f t="shared" si="140"/>
        <v>2</v>
      </c>
      <c r="SF19" s="47">
        <v>2</v>
      </c>
      <c r="SG19" s="48" t="s">
        <v>4</v>
      </c>
      <c r="SH19" s="49">
        <v>0</v>
      </c>
      <c r="SI19" s="27"/>
      <c r="SJ19" s="42">
        <f t="shared" si="141"/>
        <v>0</v>
      </c>
      <c r="SK19" s="43">
        <f t="shared" si="142"/>
        <v>2</v>
      </c>
      <c r="SM19" s="47">
        <v>2</v>
      </c>
      <c r="SN19" s="48" t="s">
        <v>4</v>
      </c>
      <c r="SO19" s="49">
        <v>0</v>
      </c>
      <c r="SP19" s="27"/>
      <c r="SQ19" s="42">
        <f t="shared" si="143"/>
        <v>0</v>
      </c>
      <c r="SR19" s="43">
        <f t="shared" si="144"/>
        <v>2</v>
      </c>
    </row>
    <row r="20" spans="1:512" customFormat="1" ht="16" customHeight="1" x14ac:dyDescent="0.2">
      <c r="A20" s="34">
        <v>46189</v>
      </c>
      <c r="B20" s="35">
        <v>0</v>
      </c>
      <c r="C20" s="79" t="s">
        <v>47</v>
      </c>
      <c r="D20" s="80" t="s">
        <v>48</v>
      </c>
      <c r="E20" s="3">
        <v>1</v>
      </c>
      <c r="F20" s="37" t="s">
        <v>4</v>
      </c>
      <c r="G20" s="4">
        <v>1</v>
      </c>
      <c r="H20" s="16">
        <v>2</v>
      </c>
      <c r="I20" s="32">
        <f t="shared" si="0"/>
        <v>0</v>
      </c>
      <c r="J20" s="47">
        <v>0</v>
      </c>
      <c r="K20" s="48" t="s">
        <v>4</v>
      </c>
      <c r="L20" s="49">
        <v>0</v>
      </c>
      <c r="M20" s="27"/>
      <c r="N20" s="42">
        <f t="shared" si="1"/>
        <v>2</v>
      </c>
      <c r="O20" s="43">
        <f t="shared" si="2"/>
        <v>0</v>
      </c>
      <c r="P20" s="32"/>
      <c r="Q20" s="47">
        <v>0</v>
      </c>
      <c r="R20" s="48" t="s">
        <v>4</v>
      </c>
      <c r="S20" s="49">
        <v>1</v>
      </c>
      <c r="T20" s="27"/>
      <c r="U20" s="42">
        <f t="shared" si="3"/>
        <v>0</v>
      </c>
      <c r="V20" s="43">
        <f t="shared" si="4"/>
        <v>-1</v>
      </c>
      <c r="X20" s="47">
        <v>0</v>
      </c>
      <c r="Y20" s="48" t="s">
        <v>4</v>
      </c>
      <c r="Z20" s="49">
        <v>1</v>
      </c>
      <c r="AA20" s="27"/>
      <c r="AB20" s="42">
        <f t="shared" si="5"/>
        <v>0</v>
      </c>
      <c r="AC20" s="43">
        <f t="shared" si="6"/>
        <v>-1</v>
      </c>
      <c r="AE20" s="47">
        <v>0</v>
      </c>
      <c r="AF20" s="48" t="s">
        <v>4</v>
      </c>
      <c r="AG20" s="49">
        <v>2</v>
      </c>
      <c r="AH20" s="27"/>
      <c r="AI20" s="42">
        <f t="shared" si="7"/>
        <v>0</v>
      </c>
      <c r="AJ20" s="43">
        <f t="shared" si="8"/>
        <v>-2</v>
      </c>
      <c r="AL20" s="47">
        <v>0</v>
      </c>
      <c r="AM20" s="48" t="s">
        <v>4</v>
      </c>
      <c r="AN20" s="49">
        <v>2</v>
      </c>
      <c r="AO20" s="27"/>
      <c r="AP20" s="42">
        <f t="shared" si="9"/>
        <v>0</v>
      </c>
      <c r="AQ20" s="43">
        <f t="shared" si="10"/>
        <v>-2</v>
      </c>
      <c r="AS20" s="47">
        <v>1</v>
      </c>
      <c r="AT20" s="48" t="s">
        <v>4</v>
      </c>
      <c r="AU20" s="49">
        <v>2</v>
      </c>
      <c r="AV20" s="27"/>
      <c r="AW20" s="42">
        <f t="shared" si="11"/>
        <v>0</v>
      </c>
      <c r="AX20" s="43">
        <f t="shared" si="12"/>
        <v>-1</v>
      </c>
      <c r="AZ20" s="86">
        <v>1</v>
      </c>
      <c r="BA20" s="48" t="s">
        <v>4</v>
      </c>
      <c r="BB20" s="49">
        <v>4</v>
      </c>
      <c r="BC20" s="27"/>
      <c r="BD20" s="42">
        <f t="shared" si="13"/>
        <v>0</v>
      </c>
      <c r="BE20" s="43">
        <f t="shared" si="14"/>
        <v>-3</v>
      </c>
      <c r="BG20" s="47">
        <v>0</v>
      </c>
      <c r="BH20" s="48" t="s">
        <v>4</v>
      </c>
      <c r="BI20" s="49">
        <v>2</v>
      </c>
      <c r="BJ20" s="27"/>
      <c r="BK20" s="42">
        <f t="shared" si="15"/>
        <v>0</v>
      </c>
      <c r="BL20" s="43">
        <f t="shared" si="16"/>
        <v>-2</v>
      </c>
      <c r="BN20" s="47">
        <v>1</v>
      </c>
      <c r="BO20" s="48" t="s">
        <v>4</v>
      </c>
      <c r="BP20" s="49">
        <v>2</v>
      </c>
      <c r="BQ20" s="27"/>
      <c r="BR20" s="42">
        <f t="shared" si="17"/>
        <v>0</v>
      </c>
      <c r="BS20" s="43">
        <f t="shared" si="18"/>
        <v>-1</v>
      </c>
      <c r="BU20" s="47">
        <v>1</v>
      </c>
      <c r="BV20" s="48" t="s">
        <v>4</v>
      </c>
      <c r="BW20" s="49">
        <v>2</v>
      </c>
      <c r="BX20" s="27"/>
      <c r="BY20" s="42">
        <f t="shared" si="19"/>
        <v>0</v>
      </c>
      <c r="BZ20" s="43">
        <f t="shared" si="20"/>
        <v>-1</v>
      </c>
      <c r="CB20" s="47">
        <v>2</v>
      </c>
      <c r="CC20" s="48" t="s">
        <v>4</v>
      </c>
      <c r="CD20" s="49">
        <v>3</v>
      </c>
      <c r="CE20" s="27"/>
      <c r="CF20" s="42">
        <f t="shared" si="21"/>
        <v>0</v>
      </c>
      <c r="CG20" s="43">
        <f t="shared" si="22"/>
        <v>-1</v>
      </c>
      <c r="CI20" s="47">
        <v>2</v>
      </c>
      <c r="CJ20" s="48" t="s">
        <v>4</v>
      </c>
      <c r="CK20" s="49">
        <v>2</v>
      </c>
      <c r="CL20" s="27"/>
      <c r="CM20" s="42">
        <f t="shared" si="23"/>
        <v>2</v>
      </c>
      <c r="CN20" s="43">
        <f t="shared" si="24"/>
        <v>0</v>
      </c>
      <c r="CP20" s="47">
        <v>1</v>
      </c>
      <c r="CQ20" s="48" t="s">
        <v>4</v>
      </c>
      <c r="CR20" s="49">
        <v>5</v>
      </c>
      <c r="CS20" s="27"/>
      <c r="CT20" s="42">
        <f t="shared" si="25"/>
        <v>0</v>
      </c>
      <c r="CU20" s="43">
        <f t="shared" si="26"/>
        <v>-4</v>
      </c>
      <c r="CW20" s="47">
        <v>0</v>
      </c>
      <c r="CX20" s="48" t="s">
        <v>4</v>
      </c>
      <c r="CY20" s="49">
        <v>2</v>
      </c>
      <c r="CZ20" s="27"/>
      <c r="DA20" s="42">
        <f t="shared" si="27"/>
        <v>0</v>
      </c>
      <c r="DB20" s="43">
        <f t="shared" si="28"/>
        <v>-2</v>
      </c>
      <c r="DD20" s="47">
        <v>0</v>
      </c>
      <c r="DE20" s="48" t="s">
        <v>4</v>
      </c>
      <c r="DF20" s="49">
        <v>1</v>
      </c>
      <c r="DG20" s="27"/>
      <c r="DH20" s="42">
        <f t="shared" si="29"/>
        <v>0</v>
      </c>
      <c r="DI20" s="43">
        <f t="shared" si="30"/>
        <v>-1</v>
      </c>
      <c r="DK20" s="47">
        <v>0</v>
      </c>
      <c r="DL20" s="48" t="s">
        <v>4</v>
      </c>
      <c r="DM20" s="49">
        <v>2</v>
      </c>
      <c r="DN20" s="27"/>
      <c r="DO20" s="42">
        <f t="shared" si="31"/>
        <v>0</v>
      </c>
      <c r="DP20" s="43">
        <f t="shared" si="32"/>
        <v>-2</v>
      </c>
      <c r="DR20" s="47">
        <v>0</v>
      </c>
      <c r="DS20" s="48" t="s">
        <v>4</v>
      </c>
      <c r="DT20" s="49">
        <v>2</v>
      </c>
      <c r="DU20" s="27"/>
      <c r="DV20" s="42">
        <f t="shared" si="33"/>
        <v>0</v>
      </c>
      <c r="DW20" s="43">
        <f t="shared" si="34"/>
        <v>-2</v>
      </c>
      <c r="DY20" s="47">
        <v>0</v>
      </c>
      <c r="DZ20" s="48" t="s">
        <v>4</v>
      </c>
      <c r="EA20" s="49">
        <v>1</v>
      </c>
      <c r="EB20" s="27"/>
      <c r="EC20" s="42">
        <f t="shared" si="35"/>
        <v>0</v>
      </c>
      <c r="ED20" s="43">
        <f t="shared" si="36"/>
        <v>-1</v>
      </c>
      <c r="EF20" s="47">
        <v>0</v>
      </c>
      <c r="EG20" s="48" t="s">
        <v>4</v>
      </c>
      <c r="EH20" s="49">
        <v>2</v>
      </c>
      <c r="EI20" s="27"/>
      <c r="EJ20" s="42">
        <f t="shared" si="37"/>
        <v>0</v>
      </c>
      <c r="EK20" s="43">
        <f t="shared" si="38"/>
        <v>-2</v>
      </c>
      <c r="EM20" s="47">
        <v>1</v>
      </c>
      <c r="EN20" s="48" t="s">
        <v>4</v>
      </c>
      <c r="EO20" s="49">
        <v>2</v>
      </c>
      <c r="EP20" s="27"/>
      <c r="EQ20" s="42">
        <f t="shared" si="39"/>
        <v>0</v>
      </c>
      <c r="ER20" s="43">
        <f t="shared" si="40"/>
        <v>-1</v>
      </c>
      <c r="ET20" s="47">
        <v>2</v>
      </c>
      <c r="EU20" s="48" t="s">
        <v>4</v>
      </c>
      <c r="EV20" s="49">
        <v>1</v>
      </c>
      <c r="EW20" s="27"/>
      <c r="EX20" s="42">
        <f t="shared" si="41"/>
        <v>0</v>
      </c>
      <c r="EY20" s="43">
        <f t="shared" si="42"/>
        <v>1</v>
      </c>
      <c r="FA20" s="47">
        <v>0</v>
      </c>
      <c r="FB20" s="48" t="s">
        <v>4</v>
      </c>
      <c r="FC20" s="49">
        <v>2</v>
      </c>
      <c r="FD20" s="27"/>
      <c r="FE20" s="42">
        <f t="shared" si="43"/>
        <v>0</v>
      </c>
      <c r="FF20" s="43">
        <f t="shared" si="44"/>
        <v>-2</v>
      </c>
      <c r="FH20" s="47">
        <v>1</v>
      </c>
      <c r="FI20" s="48" t="s">
        <v>4</v>
      </c>
      <c r="FJ20" s="49">
        <v>2</v>
      </c>
      <c r="FK20" s="27"/>
      <c r="FL20" s="42">
        <f t="shared" si="45"/>
        <v>0</v>
      </c>
      <c r="FM20" s="43">
        <f t="shared" si="46"/>
        <v>-1</v>
      </c>
      <c r="FO20" s="47">
        <v>0</v>
      </c>
      <c r="FP20" s="48" t="s">
        <v>4</v>
      </c>
      <c r="FQ20" s="49">
        <v>1</v>
      </c>
      <c r="FR20" s="27"/>
      <c r="FS20" s="42">
        <f t="shared" si="47"/>
        <v>0</v>
      </c>
      <c r="FT20" s="43">
        <f t="shared" si="48"/>
        <v>-1</v>
      </c>
      <c r="FV20" s="47">
        <v>2</v>
      </c>
      <c r="FW20" s="48" t="s">
        <v>4</v>
      </c>
      <c r="FX20" s="49">
        <v>1</v>
      </c>
      <c r="FY20" s="27"/>
      <c r="FZ20" s="42">
        <f t="shared" si="49"/>
        <v>0</v>
      </c>
      <c r="GA20" s="43">
        <f t="shared" si="50"/>
        <v>1</v>
      </c>
      <c r="GC20" s="47">
        <v>0</v>
      </c>
      <c r="GD20" s="48" t="s">
        <v>4</v>
      </c>
      <c r="GE20" s="49">
        <v>1</v>
      </c>
      <c r="GF20" s="27"/>
      <c r="GG20" s="42">
        <f t="shared" si="51"/>
        <v>0</v>
      </c>
      <c r="GH20" s="43">
        <f t="shared" si="52"/>
        <v>-1</v>
      </c>
      <c r="GJ20" s="47">
        <v>0</v>
      </c>
      <c r="GK20" s="48" t="s">
        <v>4</v>
      </c>
      <c r="GL20" s="49">
        <v>2</v>
      </c>
      <c r="GM20" s="27"/>
      <c r="GN20" s="42">
        <f t="shared" si="53"/>
        <v>0</v>
      </c>
      <c r="GO20" s="43">
        <f t="shared" si="54"/>
        <v>-2</v>
      </c>
      <c r="GQ20" s="47">
        <v>1</v>
      </c>
      <c r="GR20" s="48" t="s">
        <v>4</v>
      </c>
      <c r="GS20" s="49">
        <v>2</v>
      </c>
      <c r="GT20" s="27"/>
      <c r="GU20" s="42">
        <f t="shared" si="55"/>
        <v>0</v>
      </c>
      <c r="GV20" s="43">
        <f t="shared" si="56"/>
        <v>-1</v>
      </c>
      <c r="GX20" s="47">
        <v>2</v>
      </c>
      <c r="GY20" s="48" t="s">
        <v>4</v>
      </c>
      <c r="GZ20" s="49">
        <v>2</v>
      </c>
      <c r="HA20" s="27"/>
      <c r="HB20" s="42">
        <f t="shared" si="57"/>
        <v>2</v>
      </c>
      <c r="HC20" s="43">
        <f t="shared" si="58"/>
        <v>0</v>
      </c>
      <c r="HE20" s="47">
        <v>2</v>
      </c>
      <c r="HF20" s="48" t="s">
        <v>4</v>
      </c>
      <c r="HG20" s="49">
        <v>2</v>
      </c>
      <c r="HH20" s="27"/>
      <c r="HI20" s="42">
        <f t="shared" si="59"/>
        <v>2</v>
      </c>
      <c r="HJ20" s="43">
        <f t="shared" si="60"/>
        <v>0</v>
      </c>
      <c r="HL20" s="47">
        <v>0</v>
      </c>
      <c r="HM20" s="48" t="s">
        <v>4</v>
      </c>
      <c r="HN20" s="49">
        <v>2</v>
      </c>
      <c r="HO20" s="27"/>
      <c r="HP20" s="42">
        <f t="shared" si="61"/>
        <v>0</v>
      </c>
      <c r="HQ20" s="43">
        <f t="shared" si="62"/>
        <v>-2</v>
      </c>
      <c r="HS20" s="47">
        <v>0</v>
      </c>
      <c r="HT20" s="48" t="s">
        <v>4</v>
      </c>
      <c r="HU20" s="49">
        <v>2</v>
      </c>
      <c r="HV20" s="27"/>
      <c r="HW20" s="42">
        <f t="shared" si="63"/>
        <v>0</v>
      </c>
      <c r="HX20" s="43">
        <f t="shared" si="64"/>
        <v>-2</v>
      </c>
      <c r="HZ20" s="47">
        <v>1</v>
      </c>
      <c r="IA20" s="48" t="s">
        <v>4</v>
      </c>
      <c r="IB20" s="49">
        <v>3</v>
      </c>
      <c r="IC20" s="27"/>
      <c r="ID20" s="42">
        <f t="shared" si="65"/>
        <v>0</v>
      </c>
      <c r="IE20" s="43">
        <f t="shared" si="66"/>
        <v>-2</v>
      </c>
      <c r="IG20" s="47">
        <v>1</v>
      </c>
      <c r="IH20" s="48" t="s">
        <v>4</v>
      </c>
      <c r="II20" s="49">
        <v>2</v>
      </c>
      <c r="IJ20" s="27"/>
      <c r="IK20" s="42">
        <f t="shared" si="67"/>
        <v>0</v>
      </c>
      <c r="IL20" s="43">
        <f t="shared" si="68"/>
        <v>-1</v>
      </c>
      <c r="IN20" s="47">
        <v>0</v>
      </c>
      <c r="IO20" s="48" t="s">
        <v>4</v>
      </c>
      <c r="IP20" s="49">
        <v>2</v>
      </c>
      <c r="IQ20" s="27"/>
      <c r="IR20" s="42">
        <f t="shared" si="69"/>
        <v>0</v>
      </c>
      <c r="IS20" s="43">
        <f t="shared" si="70"/>
        <v>-2</v>
      </c>
      <c r="IU20" s="47">
        <v>0</v>
      </c>
      <c r="IV20" s="48" t="s">
        <v>4</v>
      </c>
      <c r="IW20" s="49">
        <v>2</v>
      </c>
      <c r="IX20" s="27"/>
      <c r="IY20" s="42">
        <f t="shared" si="71"/>
        <v>0</v>
      </c>
      <c r="IZ20" s="43">
        <f t="shared" si="72"/>
        <v>-2</v>
      </c>
      <c r="JB20" s="47">
        <v>1</v>
      </c>
      <c r="JC20" s="48" t="s">
        <v>4</v>
      </c>
      <c r="JD20" s="49">
        <v>1</v>
      </c>
      <c r="JE20" s="27"/>
      <c r="JF20" s="42">
        <f t="shared" si="73"/>
        <v>3</v>
      </c>
      <c r="JG20" s="43">
        <f t="shared" si="74"/>
        <v>0</v>
      </c>
      <c r="JI20" s="47">
        <v>3</v>
      </c>
      <c r="JJ20" s="48" t="s">
        <v>4</v>
      </c>
      <c r="JK20" s="49">
        <v>5</v>
      </c>
      <c r="JL20" s="27"/>
      <c r="JM20" s="42">
        <f t="shared" si="75"/>
        <v>0</v>
      </c>
      <c r="JN20" s="43">
        <f t="shared" si="76"/>
        <v>-2</v>
      </c>
      <c r="JP20" s="47">
        <v>0</v>
      </c>
      <c r="JQ20" s="48" t="s">
        <v>4</v>
      </c>
      <c r="JR20" s="49">
        <v>3</v>
      </c>
      <c r="JS20" s="27"/>
      <c r="JT20" s="42">
        <f t="shared" si="77"/>
        <v>0</v>
      </c>
      <c r="JU20" s="43">
        <f t="shared" si="78"/>
        <v>-3</v>
      </c>
      <c r="JW20" s="47">
        <v>2</v>
      </c>
      <c r="JX20" s="48" t="s">
        <v>4</v>
      </c>
      <c r="JY20" s="49">
        <v>1</v>
      </c>
      <c r="JZ20" s="27"/>
      <c r="KA20" s="42">
        <f t="shared" si="79"/>
        <v>0</v>
      </c>
      <c r="KB20" s="43">
        <f t="shared" si="80"/>
        <v>1</v>
      </c>
      <c r="KD20" s="47">
        <v>2</v>
      </c>
      <c r="KE20" s="48" t="s">
        <v>4</v>
      </c>
      <c r="KF20" s="49">
        <v>2</v>
      </c>
      <c r="KG20" s="27"/>
      <c r="KH20" s="42">
        <f t="shared" si="81"/>
        <v>2</v>
      </c>
      <c r="KI20" s="43">
        <f t="shared" si="82"/>
        <v>0</v>
      </c>
      <c r="KK20" s="47">
        <v>0</v>
      </c>
      <c r="KL20" s="48" t="s">
        <v>4</v>
      </c>
      <c r="KM20" s="49">
        <v>1</v>
      </c>
      <c r="KN20" s="27"/>
      <c r="KO20" s="42">
        <f t="shared" si="83"/>
        <v>0</v>
      </c>
      <c r="KP20" s="43">
        <f t="shared" si="84"/>
        <v>-1</v>
      </c>
      <c r="KR20" s="47">
        <v>1</v>
      </c>
      <c r="KS20" s="48" t="s">
        <v>4</v>
      </c>
      <c r="KT20" s="49">
        <v>1</v>
      </c>
      <c r="KU20" s="27"/>
      <c r="KV20" s="42">
        <f t="shared" si="85"/>
        <v>3</v>
      </c>
      <c r="KW20" s="43">
        <f t="shared" si="86"/>
        <v>0</v>
      </c>
      <c r="KY20" s="47">
        <v>1</v>
      </c>
      <c r="KZ20" s="48" t="s">
        <v>4</v>
      </c>
      <c r="LA20" s="49">
        <v>2</v>
      </c>
      <c r="LB20" s="27"/>
      <c r="LC20" s="42">
        <f t="shared" si="87"/>
        <v>0</v>
      </c>
      <c r="LD20" s="43">
        <f t="shared" si="88"/>
        <v>-1</v>
      </c>
      <c r="LF20" s="47">
        <v>1</v>
      </c>
      <c r="LG20" s="48" t="s">
        <v>4</v>
      </c>
      <c r="LH20" s="49">
        <v>2</v>
      </c>
      <c r="LI20" s="27"/>
      <c r="LJ20" s="42">
        <f t="shared" si="89"/>
        <v>0</v>
      </c>
      <c r="LK20" s="43">
        <f t="shared" si="90"/>
        <v>-1</v>
      </c>
      <c r="LM20" s="47">
        <v>3</v>
      </c>
      <c r="LN20" s="48" t="s">
        <v>4</v>
      </c>
      <c r="LO20" s="49">
        <v>1</v>
      </c>
      <c r="LP20" s="27"/>
      <c r="LQ20" s="42">
        <f t="shared" si="91"/>
        <v>0</v>
      </c>
      <c r="LR20" s="43">
        <f t="shared" si="92"/>
        <v>2</v>
      </c>
      <c r="LT20" s="47">
        <v>0</v>
      </c>
      <c r="LU20" s="48" t="s">
        <v>4</v>
      </c>
      <c r="LV20" s="49">
        <v>2</v>
      </c>
      <c r="LW20" s="27"/>
      <c r="LX20" s="42">
        <f t="shared" si="93"/>
        <v>0</v>
      </c>
      <c r="LY20" s="43">
        <f t="shared" si="94"/>
        <v>-2</v>
      </c>
      <c r="MA20" s="47">
        <v>0</v>
      </c>
      <c r="MB20" s="48" t="s">
        <v>4</v>
      </c>
      <c r="MC20" s="49">
        <v>3</v>
      </c>
      <c r="MD20" s="27"/>
      <c r="ME20" s="42">
        <f t="shared" si="95"/>
        <v>0</v>
      </c>
      <c r="MF20" s="43">
        <f t="shared" si="96"/>
        <v>-3</v>
      </c>
      <c r="MH20" s="47">
        <v>1</v>
      </c>
      <c r="MI20" s="48" t="s">
        <v>4</v>
      </c>
      <c r="MJ20" s="49">
        <v>2</v>
      </c>
      <c r="MK20" s="27"/>
      <c r="ML20" s="42">
        <f t="shared" si="97"/>
        <v>0</v>
      </c>
      <c r="MM20" s="43">
        <f t="shared" si="98"/>
        <v>-1</v>
      </c>
      <c r="MO20" s="47">
        <v>0</v>
      </c>
      <c r="MP20" s="48" t="s">
        <v>4</v>
      </c>
      <c r="MQ20" s="49">
        <v>1</v>
      </c>
      <c r="MR20" s="27"/>
      <c r="MS20" s="42">
        <f t="shared" si="99"/>
        <v>0</v>
      </c>
      <c r="MT20" s="43">
        <f t="shared" si="100"/>
        <v>-1</v>
      </c>
      <c r="MV20" s="47">
        <v>0</v>
      </c>
      <c r="MW20" s="48" t="s">
        <v>4</v>
      </c>
      <c r="MX20" s="49">
        <v>3</v>
      </c>
      <c r="MY20" s="27"/>
      <c r="MZ20" s="42">
        <f t="shared" si="101"/>
        <v>0</v>
      </c>
      <c r="NA20" s="43">
        <f t="shared" si="102"/>
        <v>-3</v>
      </c>
      <c r="NC20" s="47">
        <v>1</v>
      </c>
      <c r="ND20" s="48" t="s">
        <v>4</v>
      </c>
      <c r="NE20" s="49">
        <v>2</v>
      </c>
      <c r="NF20" s="27"/>
      <c r="NG20" s="42">
        <f t="shared" si="103"/>
        <v>0</v>
      </c>
      <c r="NH20" s="43">
        <f t="shared" si="104"/>
        <v>-1</v>
      </c>
      <c r="NJ20" s="47">
        <v>0</v>
      </c>
      <c r="NK20" s="48" t="s">
        <v>4</v>
      </c>
      <c r="NL20" s="49">
        <v>2</v>
      </c>
      <c r="NM20" s="27"/>
      <c r="NN20" s="42">
        <f t="shared" si="105"/>
        <v>0</v>
      </c>
      <c r="NO20" s="43">
        <f t="shared" si="106"/>
        <v>-2</v>
      </c>
      <c r="NQ20" s="47">
        <v>1</v>
      </c>
      <c r="NR20" s="48" t="s">
        <v>4</v>
      </c>
      <c r="NS20" s="49">
        <v>3</v>
      </c>
      <c r="NT20" s="27"/>
      <c r="NU20" s="42">
        <f t="shared" si="107"/>
        <v>0</v>
      </c>
      <c r="NV20" s="43">
        <f t="shared" si="108"/>
        <v>-2</v>
      </c>
      <c r="NX20" s="47">
        <v>0</v>
      </c>
      <c r="NY20" s="48" t="s">
        <v>4</v>
      </c>
      <c r="NZ20" s="49">
        <v>3</v>
      </c>
      <c r="OA20" s="27"/>
      <c r="OB20" s="42">
        <f t="shared" si="109"/>
        <v>0</v>
      </c>
      <c r="OC20" s="43">
        <f t="shared" si="110"/>
        <v>-3</v>
      </c>
      <c r="OE20" s="47">
        <v>2</v>
      </c>
      <c r="OF20" s="48" t="s">
        <v>4</v>
      </c>
      <c r="OG20" s="49">
        <v>2</v>
      </c>
      <c r="OH20" s="27"/>
      <c r="OI20" s="42">
        <f t="shared" si="111"/>
        <v>2</v>
      </c>
      <c r="OJ20" s="43">
        <f t="shared" si="112"/>
        <v>0</v>
      </c>
      <c r="OL20" s="47">
        <v>0</v>
      </c>
      <c r="OM20" s="48" t="s">
        <v>4</v>
      </c>
      <c r="ON20" s="49">
        <v>2</v>
      </c>
      <c r="OO20" s="27"/>
      <c r="OP20" s="42">
        <f t="shared" si="113"/>
        <v>0</v>
      </c>
      <c r="OQ20" s="43">
        <f t="shared" si="114"/>
        <v>-2</v>
      </c>
      <c r="OS20" s="47">
        <v>0</v>
      </c>
      <c r="OT20" s="48" t="s">
        <v>4</v>
      </c>
      <c r="OU20" s="49">
        <v>2</v>
      </c>
      <c r="OV20" s="27"/>
      <c r="OW20" s="42">
        <f t="shared" si="115"/>
        <v>0</v>
      </c>
      <c r="OX20" s="43">
        <f t="shared" si="116"/>
        <v>-2</v>
      </c>
      <c r="OZ20" s="47">
        <v>1</v>
      </c>
      <c r="PA20" s="48" t="s">
        <v>4</v>
      </c>
      <c r="PB20" s="49">
        <v>3</v>
      </c>
      <c r="PC20" s="27"/>
      <c r="PD20" s="42">
        <f t="shared" si="117"/>
        <v>0</v>
      </c>
      <c r="PE20" s="43">
        <f t="shared" si="118"/>
        <v>-2</v>
      </c>
      <c r="PG20" s="47">
        <v>0</v>
      </c>
      <c r="PH20" s="48" t="s">
        <v>4</v>
      </c>
      <c r="PI20" s="49">
        <v>1</v>
      </c>
      <c r="PJ20" s="27"/>
      <c r="PK20" s="42">
        <f t="shared" si="119"/>
        <v>0</v>
      </c>
      <c r="PL20" s="43">
        <f t="shared" si="120"/>
        <v>-1</v>
      </c>
      <c r="PN20" s="47">
        <v>1</v>
      </c>
      <c r="PO20" s="48" t="s">
        <v>4</v>
      </c>
      <c r="PP20" s="49">
        <v>2</v>
      </c>
      <c r="PQ20" s="27"/>
      <c r="PR20" s="42">
        <f t="shared" si="121"/>
        <v>0</v>
      </c>
      <c r="PS20" s="43">
        <f t="shared" si="122"/>
        <v>-1</v>
      </c>
      <c r="PU20" s="47">
        <v>1</v>
      </c>
      <c r="PV20" s="48" t="s">
        <v>4</v>
      </c>
      <c r="PW20" s="49">
        <v>4</v>
      </c>
      <c r="PX20" s="27"/>
      <c r="PY20" s="42">
        <f t="shared" si="123"/>
        <v>0</v>
      </c>
      <c r="PZ20" s="43">
        <f t="shared" si="124"/>
        <v>-3</v>
      </c>
      <c r="QB20" s="47">
        <v>0</v>
      </c>
      <c r="QC20" s="48" t="s">
        <v>4</v>
      </c>
      <c r="QD20" s="49">
        <v>2</v>
      </c>
      <c r="QE20" s="27"/>
      <c r="QF20" s="42">
        <f t="shared" si="125"/>
        <v>0</v>
      </c>
      <c r="QG20" s="43">
        <f t="shared" si="126"/>
        <v>-2</v>
      </c>
      <c r="QI20" s="47">
        <v>0</v>
      </c>
      <c r="QJ20" s="48" t="s">
        <v>4</v>
      </c>
      <c r="QK20" s="49">
        <v>1</v>
      </c>
      <c r="QL20" s="27"/>
      <c r="QM20" s="42">
        <f t="shared" si="127"/>
        <v>0</v>
      </c>
      <c r="QN20" s="43">
        <f t="shared" si="128"/>
        <v>-1</v>
      </c>
      <c r="QP20" s="47">
        <v>0</v>
      </c>
      <c r="QQ20" s="48" t="s">
        <v>4</v>
      </c>
      <c r="QR20" s="49">
        <v>3</v>
      </c>
      <c r="QS20" s="27"/>
      <c r="QT20" s="42">
        <f t="shared" si="129"/>
        <v>0</v>
      </c>
      <c r="QU20" s="43">
        <f t="shared" si="130"/>
        <v>-3</v>
      </c>
      <c r="QW20" s="47">
        <v>0</v>
      </c>
      <c r="QX20" s="48" t="s">
        <v>4</v>
      </c>
      <c r="QY20" s="49">
        <v>0</v>
      </c>
      <c r="QZ20" s="27"/>
      <c r="RA20" s="42">
        <f t="shared" si="131"/>
        <v>2</v>
      </c>
      <c r="RB20" s="43">
        <f t="shared" si="132"/>
        <v>0</v>
      </c>
      <c r="RD20" s="47">
        <v>0</v>
      </c>
      <c r="RE20" s="48" t="s">
        <v>4</v>
      </c>
      <c r="RF20" s="49">
        <v>1</v>
      </c>
      <c r="RG20" s="27"/>
      <c r="RH20" s="42">
        <f t="shared" si="133"/>
        <v>0</v>
      </c>
      <c r="RI20" s="43">
        <f t="shared" si="134"/>
        <v>-1</v>
      </c>
      <c r="RK20" s="47">
        <v>1</v>
      </c>
      <c r="RL20" s="48" t="s">
        <v>4</v>
      </c>
      <c r="RM20" s="49">
        <v>2</v>
      </c>
      <c r="RN20" s="27"/>
      <c r="RO20" s="42">
        <f t="shared" si="135"/>
        <v>0</v>
      </c>
      <c r="RP20" s="43">
        <f t="shared" si="136"/>
        <v>-1</v>
      </c>
      <c r="RR20" s="47">
        <v>0</v>
      </c>
      <c r="RS20" s="48" t="s">
        <v>4</v>
      </c>
      <c r="RT20" s="49">
        <v>2</v>
      </c>
      <c r="RU20" s="27"/>
      <c r="RV20" s="42">
        <f t="shared" si="137"/>
        <v>0</v>
      </c>
      <c r="RW20" s="43">
        <f t="shared" si="138"/>
        <v>-2</v>
      </c>
      <c r="RY20" s="47">
        <v>0</v>
      </c>
      <c r="RZ20" s="48" t="s">
        <v>4</v>
      </c>
      <c r="SA20" s="49">
        <v>2</v>
      </c>
      <c r="SB20" s="27"/>
      <c r="SC20" s="42">
        <f t="shared" si="139"/>
        <v>0</v>
      </c>
      <c r="SD20" s="43">
        <f t="shared" si="140"/>
        <v>-2</v>
      </c>
      <c r="SF20" s="47">
        <v>0</v>
      </c>
      <c r="SG20" s="48" t="s">
        <v>4</v>
      </c>
      <c r="SH20" s="49">
        <v>2</v>
      </c>
      <c r="SI20" s="27"/>
      <c r="SJ20" s="42">
        <f t="shared" si="141"/>
        <v>0</v>
      </c>
      <c r="SK20" s="43">
        <f t="shared" si="142"/>
        <v>-2</v>
      </c>
      <c r="SM20" s="47">
        <v>0</v>
      </c>
      <c r="SN20" s="48" t="s">
        <v>4</v>
      </c>
      <c r="SO20" s="49">
        <v>2</v>
      </c>
      <c r="SP20" s="27"/>
      <c r="SQ20" s="42">
        <f t="shared" si="143"/>
        <v>0</v>
      </c>
      <c r="SR20" s="43">
        <f t="shared" si="144"/>
        <v>-2</v>
      </c>
    </row>
    <row r="21" spans="1:512" customFormat="1" ht="16" customHeight="1" x14ac:dyDescent="0.2">
      <c r="A21" s="34">
        <v>46189</v>
      </c>
      <c r="B21" s="35">
        <v>0.125</v>
      </c>
      <c r="C21" s="79" t="s">
        <v>49</v>
      </c>
      <c r="D21" s="81" t="s">
        <v>50</v>
      </c>
      <c r="E21" s="3">
        <v>2</v>
      </c>
      <c r="F21" s="37" t="s">
        <v>4</v>
      </c>
      <c r="G21" s="4">
        <v>2</v>
      </c>
      <c r="H21" s="16">
        <v>2</v>
      </c>
      <c r="I21" s="32">
        <f t="shared" si="0"/>
        <v>0</v>
      </c>
      <c r="J21" s="47">
        <v>1</v>
      </c>
      <c r="K21" s="48" t="s">
        <v>4</v>
      </c>
      <c r="L21" s="49">
        <v>1</v>
      </c>
      <c r="M21" s="27"/>
      <c r="N21" s="42">
        <f t="shared" si="1"/>
        <v>2</v>
      </c>
      <c r="O21" s="43">
        <f t="shared" si="2"/>
        <v>0</v>
      </c>
      <c r="P21" s="32"/>
      <c r="Q21" s="47">
        <v>0</v>
      </c>
      <c r="R21" s="48" t="s">
        <v>4</v>
      </c>
      <c r="S21" s="49">
        <v>0</v>
      </c>
      <c r="T21" s="27"/>
      <c r="U21" s="42">
        <f t="shared" si="3"/>
        <v>2</v>
      </c>
      <c r="V21" s="43">
        <f t="shared" si="4"/>
        <v>0</v>
      </c>
      <c r="X21" s="47">
        <v>2</v>
      </c>
      <c r="Y21" s="48" t="s">
        <v>4</v>
      </c>
      <c r="Z21" s="49">
        <v>1</v>
      </c>
      <c r="AA21" s="27"/>
      <c r="AB21" s="42">
        <f t="shared" si="5"/>
        <v>0</v>
      </c>
      <c r="AC21" s="43">
        <f t="shared" si="6"/>
        <v>1</v>
      </c>
      <c r="AE21" s="47">
        <v>0</v>
      </c>
      <c r="AF21" s="48" t="s">
        <v>4</v>
      </c>
      <c r="AG21" s="49">
        <v>2</v>
      </c>
      <c r="AH21" s="27"/>
      <c r="AI21" s="42">
        <f t="shared" si="7"/>
        <v>0</v>
      </c>
      <c r="AJ21" s="43">
        <f t="shared" si="8"/>
        <v>-2</v>
      </c>
      <c r="AL21" s="47">
        <v>1</v>
      </c>
      <c r="AM21" s="48" t="s">
        <v>4</v>
      </c>
      <c r="AN21" s="49">
        <v>1</v>
      </c>
      <c r="AO21" s="27"/>
      <c r="AP21" s="42">
        <f t="shared" si="9"/>
        <v>2</v>
      </c>
      <c r="AQ21" s="43">
        <f t="shared" si="10"/>
        <v>0</v>
      </c>
      <c r="AS21" s="47">
        <v>1</v>
      </c>
      <c r="AT21" s="48" t="s">
        <v>4</v>
      </c>
      <c r="AU21" s="49">
        <v>0</v>
      </c>
      <c r="AV21" s="27"/>
      <c r="AW21" s="42">
        <f t="shared" si="11"/>
        <v>0</v>
      </c>
      <c r="AX21" s="43">
        <f t="shared" si="12"/>
        <v>1</v>
      </c>
      <c r="AZ21" s="86">
        <v>0</v>
      </c>
      <c r="BA21" s="48" t="s">
        <v>4</v>
      </c>
      <c r="BB21" s="49">
        <v>2</v>
      </c>
      <c r="BC21" s="27"/>
      <c r="BD21" s="42">
        <f t="shared" si="13"/>
        <v>0</v>
      </c>
      <c r="BE21" s="43">
        <f t="shared" si="14"/>
        <v>-2</v>
      </c>
      <c r="BG21" s="47">
        <v>2</v>
      </c>
      <c r="BH21" s="48" t="s">
        <v>4</v>
      </c>
      <c r="BI21" s="49">
        <v>1</v>
      </c>
      <c r="BJ21" s="27"/>
      <c r="BK21" s="42">
        <f t="shared" si="15"/>
        <v>0</v>
      </c>
      <c r="BL21" s="43">
        <f t="shared" si="16"/>
        <v>1</v>
      </c>
      <c r="BN21" s="47">
        <v>1</v>
      </c>
      <c r="BO21" s="48" t="s">
        <v>4</v>
      </c>
      <c r="BP21" s="49">
        <v>0</v>
      </c>
      <c r="BQ21" s="27"/>
      <c r="BR21" s="42">
        <f t="shared" si="17"/>
        <v>0</v>
      </c>
      <c r="BS21" s="43">
        <f t="shared" si="18"/>
        <v>1</v>
      </c>
      <c r="BU21" s="47">
        <v>0</v>
      </c>
      <c r="BV21" s="48" t="s">
        <v>4</v>
      </c>
      <c r="BW21" s="49">
        <v>1</v>
      </c>
      <c r="BX21" s="27"/>
      <c r="BY21" s="42">
        <f t="shared" si="19"/>
        <v>0</v>
      </c>
      <c r="BZ21" s="43">
        <f t="shared" si="20"/>
        <v>-1</v>
      </c>
      <c r="CB21" s="47">
        <v>2</v>
      </c>
      <c r="CC21" s="48" t="s">
        <v>4</v>
      </c>
      <c r="CD21" s="49">
        <v>1</v>
      </c>
      <c r="CE21" s="27"/>
      <c r="CF21" s="42">
        <f t="shared" si="21"/>
        <v>0</v>
      </c>
      <c r="CG21" s="43">
        <f t="shared" si="22"/>
        <v>1</v>
      </c>
      <c r="CI21" s="47">
        <v>1</v>
      </c>
      <c r="CJ21" s="48" t="s">
        <v>4</v>
      </c>
      <c r="CK21" s="49">
        <v>0</v>
      </c>
      <c r="CL21" s="27"/>
      <c r="CM21" s="42">
        <f t="shared" si="23"/>
        <v>0</v>
      </c>
      <c r="CN21" s="43">
        <f t="shared" si="24"/>
        <v>1</v>
      </c>
      <c r="CP21" s="47">
        <v>1</v>
      </c>
      <c r="CQ21" s="48" t="s">
        <v>4</v>
      </c>
      <c r="CR21" s="49">
        <v>0</v>
      </c>
      <c r="CS21" s="27"/>
      <c r="CT21" s="42">
        <f t="shared" si="25"/>
        <v>0</v>
      </c>
      <c r="CU21" s="43">
        <f t="shared" si="26"/>
        <v>1</v>
      </c>
      <c r="CW21" s="47">
        <v>0</v>
      </c>
      <c r="CX21" s="48" t="s">
        <v>4</v>
      </c>
      <c r="CY21" s="49">
        <v>0</v>
      </c>
      <c r="CZ21" s="27"/>
      <c r="DA21" s="42">
        <f t="shared" si="27"/>
        <v>2</v>
      </c>
      <c r="DB21" s="43">
        <f t="shared" si="28"/>
        <v>0</v>
      </c>
      <c r="DD21" s="47">
        <v>1</v>
      </c>
      <c r="DE21" s="48" t="s">
        <v>4</v>
      </c>
      <c r="DF21" s="49">
        <v>2</v>
      </c>
      <c r="DG21" s="27"/>
      <c r="DH21" s="42">
        <f t="shared" si="29"/>
        <v>0</v>
      </c>
      <c r="DI21" s="43">
        <f t="shared" si="30"/>
        <v>-1</v>
      </c>
      <c r="DK21" s="47">
        <v>1</v>
      </c>
      <c r="DL21" s="48" t="s">
        <v>4</v>
      </c>
      <c r="DM21" s="49">
        <v>0</v>
      </c>
      <c r="DN21" s="27"/>
      <c r="DO21" s="42">
        <f t="shared" si="31"/>
        <v>0</v>
      </c>
      <c r="DP21" s="43">
        <f t="shared" si="32"/>
        <v>1</v>
      </c>
      <c r="DR21" s="47">
        <v>1</v>
      </c>
      <c r="DS21" s="48" t="s">
        <v>4</v>
      </c>
      <c r="DT21" s="49">
        <v>0</v>
      </c>
      <c r="DU21" s="27"/>
      <c r="DV21" s="42">
        <f t="shared" si="33"/>
        <v>0</v>
      </c>
      <c r="DW21" s="43">
        <f t="shared" si="34"/>
        <v>1</v>
      </c>
      <c r="DY21" s="47">
        <v>0</v>
      </c>
      <c r="DZ21" s="48" t="s">
        <v>4</v>
      </c>
      <c r="EA21" s="49">
        <v>1</v>
      </c>
      <c r="EB21" s="27"/>
      <c r="EC21" s="42">
        <f t="shared" si="35"/>
        <v>0</v>
      </c>
      <c r="ED21" s="43">
        <f t="shared" si="36"/>
        <v>-1</v>
      </c>
      <c r="EF21" s="47">
        <v>1</v>
      </c>
      <c r="EG21" s="48" t="s">
        <v>4</v>
      </c>
      <c r="EH21" s="49">
        <v>1</v>
      </c>
      <c r="EI21" s="27"/>
      <c r="EJ21" s="42">
        <f t="shared" si="37"/>
        <v>2</v>
      </c>
      <c r="EK21" s="43">
        <f t="shared" si="38"/>
        <v>0</v>
      </c>
      <c r="EM21" s="47">
        <v>2</v>
      </c>
      <c r="EN21" s="48" t="s">
        <v>4</v>
      </c>
      <c r="EO21" s="49">
        <v>0</v>
      </c>
      <c r="EP21" s="27"/>
      <c r="EQ21" s="42">
        <f t="shared" si="39"/>
        <v>0</v>
      </c>
      <c r="ER21" s="43">
        <f t="shared" si="40"/>
        <v>2</v>
      </c>
      <c r="ET21" s="47">
        <v>0</v>
      </c>
      <c r="EU21" s="48" t="s">
        <v>4</v>
      </c>
      <c r="EV21" s="49">
        <v>0</v>
      </c>
      <c r="EW21" s="27"/>
      <c r="EX21" s="42">
        <f t="shared" si="41"/>
        <v>2</v>
      </c>
      <c r="EY21" s="43">
        <f t="shared" si="42"/>
        <v>0</v>
      </c>
      <c r="FA21" s="47">
        <v>1</v>
      </c>
      <c r="FB21" s="48" t="s">
        <v>4</v>
      </c>
      <c r="FC21" s="49">
        <v>0</v>
      </c>
      <c r="FD21" s="27"/>
      <c r="FE21" s="42">
        <f t="shared" si="43"/>
        <v>0</v>
      </c>
      <c r="FF21" s="43">
        <f t="shared" si="44"/>
        <v>1</v>
      </c>
      <c r="FH21" s="47">
        <v>1</v>
      </c>
      <c r="FI21" s="48" t="s">
        <v>4</v>
      </c>
      <c r="FJ21" s="49">
        <v>0</v>
      </c>
      <c r="FK21" s="27"/>
      <c r="FL21" s="42">
        <f t="shared" si="45"/>
        <v>0</v>
      </c>
      <c r="FM21" s="43">
        <f t="shared" si="46"/>
        <v>1</v>
      </c>
      <c r="FO21" s="47">
        <v>1</v>
      </c>
      <c r="FP21" s="48" t="s">
        <v>4</v>
      </c>
      <c r="FQ21" s="49">
        <v>2</v>
      </c>
      <c r="FR21" s="27"/>
      <c r="FS21" s="42">
        <f t="shared" si="47"/>
        <v>0</v>
      </c>
      <c r="FT21" s="43">
        <f t="shared" si="48"/>
        <v>-1</v>
      </c>
      <c r="FV21" s="47">
        <v>0</v>
      </c>
      <c r="FW21" s="48" t="s">
        <v>4</v>
      </c>
      <c r="FX21" s="49">
        <v>0</v>
      </c>
      <c r="FY21" s="27"/>
      <c r="FZ21" s="42">
        <f t="shared" si="49"/>
        <v>2</v>
      </c>
      <c r="GA21" s="43">
        <f t="shared" si="50"/>
        <v>0</v>
      </c>
      <c r="GC21" s="47">
        <v>0</v>
      </c>
      <c r="GD21" s="48" t="s">
        <v>4</v>
      </c>
      <c r="GE21" s="49">
        <v>0</v>
      </c>
      <c r="GF21" s="27"/>
      <c r="GG21" s="42">
        <f t="shared" si="51"/>
        <v>2</v>
      </c>
      <c r="GH21" s="43">
        <f t="shared" si="52"/>
        <v>0</v>
      </c>
      <c r="GJ21" s="47">
        <v>1</v>
      </c>
      <c r="GK21" s="48" t="s">
        <v>4</v>
      </c>
      <c r="GL21" s="49">
        <v>0</v>
      </c>
      <c r="GM21" s="27"/>
      <c r="GN21" s="42">
        <f t="shared" si="53"/>
        <v>0</v>
      </c>
      <c r="GO21" s="43">
        <f t="shared" si="54"/>
        <v>1</v>
      </c>
      <c r="GQ21" s="47">
        <v>1</v>
      </c>
      <c r="GR21" s="48" t="s">
        <v>4</v>
      </c>
      <c r="GS21" s="49">
        <v>0</v>
      </c>
      <c r="GT21" s="27"/>
      <c r="GU21" s="42">
        <f t="shared" si="55"/>
        <v>0</v>
      </c>
      <c r="GV21" s="43">
        <f t="shared" si="56"/>
        <v>1</v>
      </c>
      <c r="GX21" s="47">
        <v>2</v>
      </c>
      <c r="GY21" s="48" t="s">
        <v>4</v>
      </c>
      <c r="GZ21" s="49">
        <v>1</v>
      </c>
      <c r="HA21" s="27"/>
      <c r="HB21" s="42">
        <f t="shared" si="57"/>
        <v>0</v>
      </c>
      <c r="HC21" s="43">
        <f t="shared" si="58"/>
        <v>1</v>
      </c>
      <c r="HE21" s="47">
        <v>1</v>
      </c>
      <c r="HF21" s="48" t="s">
        <v>4</v>
      </c>
      <c r="HG21" s="49">
        <v>1</v>
      </c>
      <c r="HH21" s="27"/>
      <c r="HI21" s="42">
        <f t="shared" si="59"/>
        <v>2</v>
      </c>
      <c r="HJ21" s="43">
        <f t="shared" si="60"/>
        <v>0</v>
      </c>
      <c r="HL21" s="47">
        <v>1</v>
      </c>
      <c r="HM21" s="48" t="s">
        <v>4</v>
      </c>
      <c r="HN21" s="49">
        <v>1</v>
      </c>
      <c r="HO21" s="27"/>
      <c r="HP21" s="42">
        <f t="shared" si="61"/>
        <v>2</v>
      </c>
      <c r="HQ21" s="43">
        <f t="shared" si="62"/>
        <v>0</v>
      </c>
      <c r="HS21" s="47">
        <v>1</v>
      </c>
      <c r="HT21" s="48" t="s">
        <v>4</v>
      </c>
      <c r="HU21" s="49">
        <v>1</v>
      </c>
      <c r="HV21" s="27"/>
      <c r="HW21" s="42">
        <f t="shared" si="63"/>
        <v>2</v>
      </c>
      <c r="HX21" s="43">
        <f t="shared" si="64"/>
        <v>0</v>
      </c>
      <c r="HZ21" s="47">
        <v>1</v>
      </c>
      <c r="IA21" s="48" t="s">
        <v>4</v>
      </c>
      <c r="IB21" s="49">
        <v>0</v>
      </c>
      <c r="IC21" s="27"/>
      <c r="ID21" s="42">
        <f t="shared" si="65"/>
        <v>0</v>
      </c>
      <c r="IE21" s="43">
        <f t="shared" si="66"/>
        <v>1</v>
      </c>
      <c r="IG21" s="47">
        <v>0</v>
      </c>
      <c r="IH21" s="48" t="s">
        <v>4</v>
      </c>
      <c r="II21" s="49">
        <v>0</v>
      </c>
      <c r="IJ21" s="27"/>
      <c r="IK21" s="42">
        <f t="shared" si="67"/>
        <v>2</v>
      </c>
      <c r="IL21" s="43">
        <f t="shared" si="68"/>
        <v>0</v>
      </c>
      <c r="IN21" s="47">
        <v>0</v>
      </c>
      <c r="IO21" s="48" t="s">
        <v>4</v>
      </c>
      <c r="IP21" s="49">
        <v>0</v>
      </c>
      <c r="IQ21" s="27"/>
      <c r="IR21" s="42">
        <f t="shared" si="69"/>
        <v>2</v>
      </c>
      <c r="IS21" s="43">
        <f t="shared" si="70"/>
        <v>0</v>
      </c>
      <c r="IU21" s="47">
        <v>0</v>
      </c>
      <c r="IV21" s="48" t="s">
        <v>4</v>
      </c>
      <c r="IW21" s="49">
        <v>2</v>
      </c>
      <c r="IX21" s="27"/>
      <c r="IY21" s="42">
        <f t="shared" si="71"/>
        <v>0</v>
      </c>
      <c r="IZ21" s="43">
        <f t="shared" si="72"/>
        <v>-2</v>
      </c>
      <c r="JB21" s="47">
        <v>1</v>
      </c>
      <c r="JC21" s="48" t="s">
        <v>4</v>
      </c>
      <c r="JD21" s="49">
        <v>2</v>
      </c>
      <c r="JE21" s="27"/>
      <c r="JF21" s="42">
        <f t="shared" si="73"/>
        <v>0</v>
      </c>
      <c r="JG21" s="43">
        <f t="shared" si="74"/>
        <v>-1</v>
      </c>
      <c r="JI21" s="47">
        <v>0</v>
      </c>
      <c r="JJ21" s="48" t="s">
        <v>4</v>
      </c>
      <c r="JK21" s="49">
        <v>3</v>
      </c>
      <c r="JL21" s="27"/>
      <c r="JM21" s="42">
        <f t="shared" si="75"/>
        <v>0</v>
      </c>
      <c r="JN21" s="43">
        <f t="shared" si="76"/>
        <v>-3</v>
      </c>
      <c r="JP21" s="47">
        <v>1</v>
      </c>
      <c r="JQ21" s="48" t="s">
        <v>4</v>
      </c>
      <c r="JR21" s="49">
        <v>0</v>
      </c>
      <c r="JS21" s="27"/>
      <c r="JT21" s="42">
        <f t="shared" si="77"/>
        <v>0</v>
      </c>
      <c r="JU21" s="43">
        <f t="shared" si="78"/>
        <v>1</v>
      </c>
      <c r="JW21" s="47">
        <v>0</v>
      </c>
      <c r="JX21" s="48" t="s">
        <v>4</v>
      </c>
      <c r="JY21" s="49">
        <v>2</v>
      </c>
      <c r="JZ21" s="27"/>
      <c r="KA21" s="42">
        <f t="shared" si="79"/>
        <v>0</v>
      </c>
      <c r="KB21" s="43">
        <f t="shared" si="80"/>
        <v>-2</v>
      </c>
      <c r="KD21" s="47">
        <v>0</v>
      </c>
      <c r="KE21" s="48" t="s">
        <v>4</v>
      </c>
      <c r="KF21" s="49">
        <v>2</v>
      </c>
      <c r="KG21" s="27"/>
      <c r="KH21" s="42">
        <f t="shared" si="81"/>
        <v>0</v>
      </c>
      <c r="KI21" s="43">
        <f t="shared" si="82"/>
        <v>-2</v>
      </c>
      <c r="KK21" s="47">
        <v>0</v>
      </c>
      <c r="KL21" s="48" t="s">
        <v>4</v>
      </c>
      <c r="KM21" s="49">
        <v>1</v>
      </c>
      <c r="KN21" s="27"/>
      <c r="KO21" s="42">
        <f t="shared" si="83"/>
        <v>0</v>
      </c>
      <c r="KP21" s="43">
        <f t="shared" si="84"/>
        <v>-1</v>
      </c>
      <c r="KR21" s="47">
        <v>0</v>
      </c>
      <c r="KS21" s="48" t="s">
        <v>4</v>
      </c>
      <c r="KT21" s="49">
        <v>0</v>
      </c>
      <c r="KU21" s="27"/>
      <c r="KV21" s="42">
        <f t="shared" si="85"/>
        <v>2</v>
      </c>
      <c r="KW21" s="43">
        <f t="shared" si="86"/>
        <v>0</v>
      </c>
      <c r="KY21" s="47">
        <v>1</v>
      </c>
      <c r="KZ21" s="48" t="s">
        <v>4</v>
      </c>
      <c r="LA21" s="49">
        <v>2</v>
      </c>
      <c r="LB21" s="27"/>
      <c r="LC21" s="42">
        <f t="shared" si="87"/>
        <v>0</v>
      </c>
      <c r="LD21" s="43">
        <f t="shared" si="88"/>
        <v>-1</v>
      </c>
      <c r="LF21" s="47">
        <v>1</v>
      </c>
      <c r="LG21" s="48" t="s">
        <v>4</v>
      </c>
      <c r="LH21" s="49">
        <v>1</v>
      </c>
      <c r="LI21" s="27"/>
      <c r="LJ21" s="42">
        <f t="shared" si="89"/>
        <v>2</v>
      </c>
      <c r="LK21" s="43">
        <f t="shared" si="90"/>
        <v>0</v>
      </c>
      <c r="LM21" s="47">
        <v>1</v>
      </c>
      <c r="LN21" s="48" t="s">
        <v>4</v>
      </c>
      <c r="LO21" s="49">
        <v>2</v>
      </c>
      <c r="LP21" s="27"/>
      <c r="LQ21" s="42">
        <f t="shared" si="91"/>
        <v>0</v>
      </c>
      <c r="LR21" s="43">
        <f t="shared" si="92"/>
        <v>-1</v>
      </c>
      <c r="LT21" s="47">
        <v>1</v>
      </c>
      <c r="LU21" s="48" t="s">
        <v>4</v>
      </c>
      <c r="LV21" s="49">
        <v>0</v>
      </c>
      <c r="LW21" s="27"/>
      <c r="LX21" s="42">
        <f t="shared" si="93"/>
        <v>0</v>
      </c>
      <c r="LY21" s="43">
        <f t="shared" si="94"/>
        <v>1</v>
      </c>
      <c r="MA21" s="47">
        <v>2</v>
      </c>
      <c r="MB21" s="48" t="s">
        <v>4</v>
      </c>
      <c r="MC21" s="49">
        <v>2</v>
      </c>
      <c r="MD21" s="27"/>
      <c r="ME21" s="42">
        <f t="shared" si="95"/>
        <v>3</v>
      </c>
      <c r="MF21" s="43">
        <f t="shared" si="96"/>
        <v>0</v>
      </c>
      <c r="MH21" s="47">
        <v>0</v>
      </c>
      <c r="MI21" s="48" t="s">
        <v>4</v>
      </c>
      <c r="MJ21" s="49">
        <v>0</v>
      </c>
      <c r="MK21" s="27"/>
      <c r="ML21" s="42">
        <f t="shared" si="97"/>
        <v>2</v>
      </c>
      <c r="MM21" s="43">
        <f t="shared" si="98"/>
        <v>0</v>
      </c>
      <c r="MO21" s="47">
        <v>1</v>
      </c>
      <c r="MP21" s="48" t="s">
        <v>4</v>
      </c>
      <c r="MQ21" s="49">
        <v>0</v>
      </c>
      <c r="MR21" s="27"/>
      <c r="MS21" s="42">
        <f t="shared" si="99"/>
        <v>0</v>
      </c>
      <c r="MT21" s="43">
        <f t="shared" si="100"/>
        <v>1</v>
      </c>
      <c r="MV21" s="47">
        <v>2</v>
      </c>
      <c r="MW21" s="48" t="s">
        <v>4</v>
      </c>
      <c r="MX21" s="49">
        <v>1</v>
      </c>
      <c r="MY21" s="27"/>
      <c r="MZ21" s="42">
        <f t="shared" si="101"/>
        <v>0</v>
      </c>
      <c r="NA21" s="43">
        <f t="shared" si="102"/>
        <v>1</v>
      </c>
      <c r="NC21" s="47">
        <v>2</v>
      </c>
      <c r="ND21" s="48" t="s">
        <v>4</v>
      </c>
      <c r="NE21" s="49">
        <v>2</v>
      </c>
      <c r="NF21" s="27"/>
      <c r="NG21" s="42">
        <f t="shared" si="103"/>
        <v>3</v>
      </c>
      <c r="NH21" s="43">
        <f t="shared" si="104"/>
        <v>0</v>
      </c>
      <c r="NJ21" s="47">
        <v>2</v>
      </c>
      <c r="NK21" s="48" t="s">
        <v>4</v>
      </c>
      <c r="NL21" s="49">
        <v>6</v>
      </c>
      <c r="NM21" s="27"/>
      <c r="NN21" s="42">
        <f t="shared" si="105"/>
        <v>0</v>
      </c>
      <c r="NO21" s="43">
        <f t="shared" si="106"/>
        <v>-4</v>
      </c>
      <c r="NQ21" s="47">
        <v>0</v>
      </c>
      <c r="NR21" s="48" t="s">
        <v>4</v>
      </c>
      <c r="NS21" s="49">
        <v>0</v>
      </c>
      <c r="NT21" s="27"/>
      <c r="NU21" s="42">
        <f t="shared" si="107"/>
        <v>2</v>
      </c>
      <c r="NV21" s="43">
        <f t="shared" si="108"/>
        <v>0</v>
      </c>
      <c r="NX21" s="47">
        <v>2</v>
      </c>
      <c r="NY21" s="48" t="s">
        <v>4</v>
      </c>
      <c r="NZ21" s="49">
        <v>1</v>
      </c>
      <c r="OA21" s="27"/>
      <c r="OB21" s="42">
        <f t="shared" si="109"/>
        <v>0</v>
      </c>
      <c r="OC21" s="43">
        <f t="shared" si="110"/>
        <v>1</v>
      </c>
      <c r="OE21" s="47">
        <v>2</v>
      </c>
      <c r="OF21" s="48" t="s">
        <v>4</v>
      </c>
      <c r="OG21" s="49">
        <v>2</v>
      </c>
      <c r="OH21" s="27"/>
      <c r="OI21" s="42">
        <f t="shared" si="111"/>
        <v>3</v>
      </c>
      <c r="OJ21" s="43">
        <f t="shared" si="112"/>
        <v>0</v>
      </c>
      <c r="OL21" s="47">
        <v>1</v>
      </c>
      <c r="OM21" s="48" t="s">
        <v>4</v>
      </c>
      <c r="ON21" s="49">
        <v>1</v>
      </c>
      <c r="OO21" s="27"/>
      <c r="OP21" s="42">
        <f t="shared" si="113"/>
        <v>2</v>
      </c>
      <c r="OQ21" s="43">
        <f t="shared" si="114"/>
        <v>0</v>
      </c>
      <c r="OS21" s="47">
        <v>1</v>
      </c>
      <c r="OT21" s="48" t="s">
        <v>4</v>
      </c>
      <c r="OU21" s="49">
        <v>0</v>
      </c>
      <c r="OV21" s="27"/>
      <c r="OW21" s="42">
        <f t="shared" si="115"/>
        <v>0</v>
      </c>
      <c r="OX21" s="43">
        <f t="shared" si="116"/>
        <v>1</v>
      </c>
      <c r="OZ21" s="47">
        <v>1</v>
      </c>
      <c r="PA21" s="48" t="s">
        <v>4</v>
      </c>
      <c r="PB21" s="49">
        <v>1</v>
      </c>
      <c r="PC21" s="27"/>
      <c r="PD21" s="42">
        <f t="shared" si="117"/>
        <v>2</v>
      </c>
      <c r="PE21" s="43">
        <f t="shared" si="118"/>
        <v>0</v>
      </c>
      <c r="PG21" s="47">
        <v>0</v>
      </c>
      <c r="PH21" s="48" t="s">
        <v>4</v>
      </c>
      <c r="PI21" s="49">
        <v>1</v>
      </c>
      <c r="PJ21" s="27"/>
      <c r="PK21" s="42">
        <f t="shared" si="119"/>
        <v>0</v>
      </c>
      <c r="PL21" s="43">
        <f t="shared" si="120"/>
        <v>-1</v>
      </c>
      <c r="PN21" s="47">
        <v>1</v>
      </c>
      <c r="PO21" s="48" t="s">
        <v>4</v>
      </c>
      <c r="PP21" s="49">
        <v>1</v>
      </c>
      <c r="PQ21" s="27"/>
      <c r="PR21" s="42">
        <f t="shared" si="121"/>
        <v>2</v>
      </c>
      <c r="PS21" s="43">
        <f t="shared" si="122"/>
        <v>0</v>
      </c>
      <c r="PU21" s="47">
        <v>2</v>
      </c>
      <c r="PV21" s="48" t="s">
        <v>4</v>
      </c>
      <c r="PW21" s="49">
        <v>2</v>
      </c>
      <c r="PX21" s="27"/>
      <c r="PY21" s="42">
        <f t="shared" si="123"/>
        <v>3</v>
      </c>
      <c r="PZ21" s="43">
        <f t="shared" si="124"/>
        <v>0</v>
      </c>
      <c r="QB21" s="47">
        <v>2</v>
      </c>
      <c r="QC21" s="48" t="s">
        <v>4</v>
      </c>
      <c r="QD21" s="49">
        <v>1</v>
      </c>
      <c r="QE21" s="27"/>
      <c r="QF21" s="42">
        <f t="shared" si="125"/>
        <v>0</v>
      </c>
      <c r="QG21" s="43">
        <f t="shared" si="126"/>
        <v>1</v>
      </c>
      <c r="QI21" s="47">
        <v>1</v>
      </c>
      <c r="QJ21" s="48" t="s">
        <v>4</v>
      </c>
      <c r="QK21" s="49">
        <v>0</v>
      </c>
      <c r="QL21" s="27"/>
      <c r="QM21" s="42">
        <f t="shared" si="127"/>
        <v>0</v>
      </c>
      <c r="QN21" s="43">
        <f t="shared" si="128"/>
        <v>1</v>
      </c>
      <c r="QP21" s="47">
        <v>2</v>
      </c>
      <c r="QQ21" s="48" t="s">
        <v>4</v>
      </c>
      <c r="QR21" s="49">
        <v>0</v>
      </c>
      <c r="QS21" s="27"/>
      <c r="QT21" s="42">
        <f t="shared" si="129"/>
        <v>0</v>
      </c>
      <c r="QU21" s="43">
        <f t="shared" si="130"/>
        <v>2</v>
      </c>
      <c r="QW21" s="47">
        <v>1</v>
      </c>
      <c r="QX21" s="48" t="s">
        <v>4</v>
      </c>
      <c r="QY21" s="49">
        <v>1</v>
      </c>
      <c r="QZ21" s="27"/>
      <c r="RA21" s="42">
        <f t="shared" si="131"/>
        <v>2</v>
      </c>
      <c r="RB21" s="43">
        <f t="shared" si="132"/>
        <v>0</v>
      </c>
      <c r="RD21" s="47">
        <v>1</v>
      </c>
      <c r="RE21" s="48" t="s">
        <v>4</v>
      </c>
      <c r="RF21" s="49">
        <v>1</v>
      </c>
      <c r="RG21" s="27"/>
      <c r="RH21" s="42">
        <f t="shared" si="133"/>
        <v>2</v>
      </c>
      <c r="RI21" s="43">
        <f t="shared" si="134"/>
        <v>0</v>
      </c>
      <c r="RK21" s="47">
        <v>1</v>
      </c>
      <c r="RL21" s="48" t="s">
        <v>4</v>
      </c>
      <c r="RM21" s="49">
        <v>1</v>
      </c>
      <c r="RN21" s="27"/>
      <c r="RO21" s="42">
        <f t="shared" si="135"/>
        <v>2</v>
      </c>
      <c r="RP21" s="43">
        <f t="shared" si="136"/>
        <v>0</v>
      </c>
      <c r="RR21" s="47">
        <v>1</v>
      </c>
      <c r="RS21" s="48" t="s">
        <v>4</v>
      </c>
      <c r="RT21" s="49">
        <v>0</v>
      </c>
      <c r="RU21" s="27"/>
      <c r="RV21" s="42">
        <f t="shared" si="137"/>
        <v>0</v>
      </c>
      <c r="RW21" s="43">
        <f t="shared" si="138"/>
        <v>1</v>
      </c>
      <c r="RY21" s="47">
        <v>1</v>
      </c>
      <c r="RZ21" s="48" t="s">
        <v>4</v>
      </c>
      <c r="SA21" s="49">
        <v>0</v>
      </c>
      <c r="SB21" s="27"/>
      <c r="SC21" s="42">
        <f t="shared" si="139"/>
        <v>0</v>
      </c>
      <c r="SD21" s="43">
        <f t="shared" si="140"/>
        <v>1</v>
      </c>
      <c r="SF21" s="47">
        <v>1</v>
      </c>
      <c r="SG21" s="48" t="s">
        <v>4</v>
      </c>
      <c r="SH21" s="49">
        <v>0</v>
      </c>
      <c r="SI21" s="27"/>
      <c r="SJ21" s="42">
        <f t="shared" si="141"/>
        <v>0</v>
      </c>
      <c r="SK21" s="43">
        <f t="shared" si="142"/>
        <v>1</v>
      </c>
      <c r="SM21" s="47">
        <v>2</v>
      </c>
      <c r="SN21" s="48" t="s">
        <v>4</v>
      </c>
      <c r="SO21" s="49">
        <v>2</v>
      </c>
      <c r="SP21" s="27"/>
      <c r="SQ21" s="42">
        <f t="shared" si="143"/>
        <v>3</v>
      </c>
      <c r="SR21" s="43">
        <f t="shared" si="144"/>
        <v>0</v>
      </c>
    </row>
    <row r="22" spans="1:512" customFormat="1" ht="16" customHeight="1" x14ac:dyDescent="0.2">
      <c r="A22" s="34">
        <v>46189</v>
      </c>
      <c r="B22" s="35">
        <v>0.875</v>
      </c>
      <c r="C22" s="51" t="s">
        <v>10</v>
      </c>
      <c r="D22" s="81" t="s">
        <v>51</v>
      </c>
      <c r="E22" s="3">
        <v>3</v>
      </c>
      <c r="F22" s="37" t="s">
        <v>4</v>
      </c>
      <c r="G22" s="4">
        <v>1</v>
      </c>
      <c r="H22" s="16">
        <v>2</v>
      </c>
      <c r="I22" s="32">
        <f t="shared" si="0"/>
        <v>2</v>
      </c>
      <c r="J22" s="47">
        <v>2</v>
      </c>
      <c r="K22" s="48" t="s">
        <v>4</v>
      </c>
      <c r="L22" s="49">
        <v>1</v>
      </c>
      <c r="M22" s="27"/>
      <c r="N22" s="42">
        <f t="shared" si="1"/>
        <v>2</v>
      </c>
      <c r="O22" s="43">
        <f t="shared" si="2"/>
        <v>1</v>
      </c>
      <c r="P22" s="32"/>
      <c r="Q22" s="47">
        <v>4</v>
      </c>
      <c r="R22" s="48" t="s">
        <v>4</v>
      </c>
      <c r="S22" s="49">
        <v>1</v>
      </c>
      <c r="T22" s="27"/>
      <c r="U22" s="42">
        <f t="shared" si="3"/>
        <v>2</v>
      </c>
      <c r="V22" s="43">
        <f t="shared" si="4"/>
        <v>3</v>
      </c>
      <c r="X22" s="47">
        <v>2</v>
      </c>
      <c r="Y22" s="48" t="s">
        <v>4</v>
      </c>
      <c r="Z22" s="49">
        <v>0</v>
      </c>
      <c r="AA22" s="27"/>
      <c r="AB22" s="42">
        <f t="shared" si="5"/>
        <v>2</v>
      </c>
      <c r="AC22" s="43">
        <f t="shared" si="6"/>
        <v>2</v>
      </c>
      <c r="AE22" s="47">
        <v>3</v>
      </c>
      <c r="AF22" s="48" t="s">
        <v>4</v>
      </c>
      <c r="AG22" s="49">
        <v>1</v>
      </c>
      <c r="AH22" s="27"/>
      <c r="AI22" s="42">
        <f t="shared" si="7"/>
        <v>3</v>
      </c>
      <c r="AJ22" s="43">
        <f t="shared" si="8"/>
        <v>2</v>
      </c>
      <c r="AL22" s="47">
        <v>2</v>
      </c>
      <c r="AM22" s="48" t="s">
        <v>4</v>
      </c>
      <c r="AN22" s="49">
        <v>1</v>
      </c>
      <c r="AO22" s="27"/>
      <c r="AP22" s="42">
        <f t="shared" si="9"/>
        <v>2</v>
      </c>
      <c r="AQ22" s="43">
        <f t="shared" si="10"/>
        <v>1</v>
      </c>
      <c r="AS22" s="47">
        <v>3</v>
      </c>
      <c r="AT22" s="48" t="s">
        <v>4</v>
      </c>
      <c r="AU22" s="49">
        <v>1</v>
      </c>
      <c r="AV22" s="27"/>
      <c r="AW22" s="42">
        <f t="shared" si="11"/>
        <v>3</v>
      </c>
      <c r="AX22" s="43">
        <f t="shared" si="12"/>
        <v>2</v>
      </c>
      <c r="AZ22" s="86">
        <v>3</v>
      </c>
      <c r="BA22" s="48" t="s">
        <v>4</v>
      </c>
      <c r="BB22" s="49">
        <v>0</v>
      </c>
      <c r="BC22" s="27"/>
      <c r="BD22" s="42">
        <f t="shared" si="13"/>
        <v>2</v>
      </c>
      <c r="BE22" s="43">
        <f t="shared" si="14"/>
        <v>3</v>
      </c>
      <c r="BG22" s="47">
        <v>2</v>
      </c>
      <c r="BH22" s="48" t="s">
        <v>4</v>
      </c>
      <c r="BI22" s="49">
        <v>1</v>
      </c>
      <c r="BJ22" s="27"/>
      <c r="BK22" s="42">
        <f t="shared" si="15"/>
        <v>2</v>
      </c>
      <c r="BL22" s="43">
        <f t="shared" si="16"/>
        <v>1</v>
      </c>
      <c r="BN22" s="47">
        <v>3</v>
      </c>
      <c r="BO22" s="48" t="s">
        <v>4</v>
      </c>
      <c r="BP22" s="49">
        <v>0</v>
      </c>
      <c r="BQ22" s="27"/>
      <c r="BR22" s="42">
        <f t="shared" si="17"/>
        <v>2</v>
      </c>
      <c r="BS22" s="43">
        <f t="shared" si="18"/>
        <v>3</v>
      </c>
      <c r="BU22" s="47">
        <v>3</v>
      </c>
      <c r="BV22" s="48" t="s">
        <v>4</v>
      </c>
      <c r="BW22" s="49">
        <v>1</v>
      </c>
      <c r="BX22" s="27"/>
      <c r="BY22" s="42">
        <f t="shared" si="19"/>
        <v>3</v>
      </c>
      <c r="BZ22" s="43">
        <f t="shared" si="20"/>
        <v>2</v>
      </c>
      <c r="CB22" s="47">
        <v>4</v>
      </c>
      <c r="CC22" s="48" t="s">
        <v>4</v>
      </c>
      <c r="CD22" s="49">
        <v>0</v>
      </c>
      <c r="CE22" s="27"/>
      <c r="CF22" s="42">
        <f t="shared" si="21"/>
        <v>2</v>
      </c>
      <c r="CG22" s="43">
        <f t="shared" si="22"/>
        <v>4</v>
      </c>
      <c r="CI22" s="47">
        <v>3</v>
      </c>
      <c r="CJ22" s="48" t="s">
        <v>4</v>
      </c>
      <c r="CK22" s="49">
        <v>0</v>
      </c>
      <c r="CL22" s="27"/>
      <c r="CM22" s="42">
        <f t="shared" si="23"/>
        <v>2</v>
      </c>
      <c r="CN22" s="43">
        <f t="shared" si="24"/>
        <v>3</v>
      </c>
      <c r="CP22" s="47">
        <v>3</v>
      </c>
      <c r="CQ22" s="48" t="s">
        <v>4</v>
      </c>
      <c r="CR22" s="49">
        <v>1</v>
      </c>
      <c r="CS22" s="27"/>
      <c r="CT22" s="42">
        <f t="shared" si="25"/>
        <v>3</v>
      </c>
      <c r="CU22" s="43">
        <f t="shared" si="26"/>
        <v>2</v>
      </c>
      <c r="CW22" s="47">
        <v>3</v>
      </c>
      <c r="CX22" s="48" t="s">
        <v>4</v>
      </c>
      <c r="CY22" s="49">
        <v>0</v>
      </c>
      <c r="CZ22" s="27"/>
      <c r="DA22" s="42">
        <f t="shared" si="27"/>
        <v>2</v>
      </c>
      <c r="DB22" s="43">
        <f t="shared" si="28"/>
        <v>3</v>
      </c>
      <c r="DD22" s="47">
        <v>3</v>
      </c>
      <c r="DE22" s="48" t="s">
        <v>4</v>
      </c>
      <c r="DF22" s="49">
        <v>1</v>
      </c>
      <c r="DG22" s="27"/>
      <c r="DH22" s="42">
        <f t="shared" si="29"/>
        <v>3</v>
      </c>
      <c r="DI22" s="43">
        <f t="shared" si="30"/>
        <v>2</v>
      </c>
      <c r="DK22" s="47">
        <v>2</v>
      </c>
      <c r="DL22" s="48" t="s">
        <v>4</v>
      </c>
      <c r="DM22" s="49">
        <v>1</v>
      </c>
      <c r="DN22" s="27"/>
      <c r="DO22" s="42">
        <f t="shared" si="31"/>
        <v>2</v>
      </c>
      <c r="DP22" s="43">
        <f t="shared" si="32"/>
        <v>1</v>
      </c>
      <c r="DR22" s="47">
        <v>4</v>
      </c>
      <c r="DS22" s="48" t="s">
        <v>4</v>
      </c>
      <c r="DT22" s="49">
        <v>1</v>
      </c>
      <c r="DU22" s="27"/>
      <c r="DV22" s="42">
        <f t="shared" si="33"/>
        <v>2</v>
      </c>
      <c r="DW22" s="43">
        <f t="shared" si="34"/>
        <v>3</v>
      </c>
      <c r="DY22" s="47">
        <v>3</v>
      </c>
      <c r="DZ22" s="48" t="s">
        <v>4</v>
      </c>
      <c r="EA22" s="49">
        <v>1</v>
      </c>
      <c r="EB22" s="27"/>
      <c r="EC22" s="42">
        <f t="shared" si="35"/>
        <v>3</v>
      </c>
      <c r="ED22" s="43">
        <f t="shared" si="36"/>
        <v>2</v>
      </c>
      <c r="EF22" s="47">
        <v>3</v>
      </c>
      <c r="EG22" s="48" t="s">
        <v>4</v>
      </c>
      <c r="EH22" s="49">
        <v>1</v>
      </c>
      <c r="EI22" s="27"/>
      <c r="EJ22" s="42">
        <f t="shared" si="37"/>
        <v>3</v>
      </c>
      <c r="EK22" s="43">
        <f t="shared" si="38"/>
        <v>2</v>
      </c>
      <c r="EM22" s="47">
        <v>3</v>
      </c>
      <c r="EN22" s="48" t="s">
        <v>4</v>
      </c>
      <c r="EO22" s="49">
        <v>1</v>
      </c>
      <c r="EP22" s="27"/>
      <c r="EQ22" s="42">
        <f t="shared" si="39"/>
        <v>3</v>
      </c>
      <c r="ER22" s="43">
        <f t="shared" si="40"/>
        <v>2</v>
      </c>
      <c r="ET22" s="47">
        <v>3</v>
      </c>
      <c r="EU22" s="48" t="s">
        <v>4</v>
      </c>
      <c r="EV22" s="49">
        <v>2</v>
      </c>
      <c r="EW22" s="27"/>
      <c r="EX22" s="42">
        <f t="shared" si="41"/>
        <v>2</v>
      </c>
      <c r="EY22" s="43">
        <f t="shared" si="42"/>
        <v>1</v>
      </c>
      <c r="FA22" s="47">
        <v>2</v>
      </c>
      <c r="FB22" s="48" t="s">
        <v>4</v>
      </c>
      <c r="FC22" s="49">
        <v>0</v>
      </c>
      <c r="FD22" s="27"/>
      <c r="FE22" s="42">
        <f t="shared" si="43"/>
        <v>2</v>
      </c>
      <c r="FF22" s="43">
        <f t="shared" si="44"/>
        <v>2</v>
      </c>
      <c r="FH22" s="47">
        <v>1</v>
      </c>
      <c r="FI22" s="48" t="s">
        <v>4</v>
      </c>
      <c r="FJ22" s="49">
        <v>1</v>
      </c>
      <c r="FK22" s="27"/>
      <c r="FL22" s="42">
        <f t="shared" si="45"/>
        <v>0</v>
      </c>
      <c r="FM22" s="43">
        <f t="shared" si="46"/>
        <v>0</v>
      </c>
      <c r="FO22" s="47">
        <v>3</v>
      </c>
      <c r="FP22" s="48" t="s">
        <v>4</v>
      </c>
      <c r="FQ22" s="49">
        <v>0</v>
      </c>
      <c r="FR22" s="27"/>
      <c r="FS22" s="42">
        <f t="shared" si="47"/>
        <v>2</v>
      </c>
      <c r="FT22" s="43">
        <f t="shared" si="48"/>
        <v>3</v>
      </c>
      <c r="FV22" s="47">
        <v>2</v>
      </c>
      <c r="FW22" s="48" t="s">
        <v>4</v>
      </c>
      <c r="FX22" s="49">
        <v>0</v>
      </c>
      <c r="FY22" s="27"/>
      <c r="FZ22" s="42">
        <f t="shared" si="49"/>
        <v>2</v>
      </c>
      <c r="GA22" s="43">
        <f t="shared" si="50"/>
        <v>2</v>
      </c>
      <c r="GC22" s="47">
        <v>1</v>
      </c>
      <c r="GD22" s="48" t="s">
        <v>4</v>
      </c>
      <c r="GE22" s="49">
        <v>0</v>
      </c>
      <c r="GF22" s="27"/>
      <c r="GG22" s="42">
        <f t="shared" si="51"/>
        <v>2</v>
      </c>
      <c r="GH22" s="43">
        <f t="shared" si="52"/>
        <v>1</v>
      </c>
      <c r="GJ22" s="47">
        <v>2</v>
      </c>
      <c r="GK22" s="48" t="s">
        <v>4</v>
      </c>
      <c r="GL22" s="49">
        <v>1</v>
      </c>
      <c r="GM22" s="27"/>
      <c r="GN22" s="42">
        <f t="shared" si="53"/>
        <v>2</v>
      </c>
      <c r="GO22" s="43">
        <f t="shared" si="54"/>
        <v>1</v>
      </c>
      <c r="GQ22" s="47">
        <v>2</v>
      </c>
      <c r="GR22" s="48" t="s">
        <v>4</v>
      </c>
      <c r="GS22" s="49">
        <v>0</v>
      </c>
      <c r="GT22" s="27"/>
      <c r="GU22" s="42">
        <f t="shared" si="55"/>
        <v>2</v>
      </c>
      <c r="GV22" s="43">
        <f t="shared" si="56"/>
        <v>2</v>
      </c>
      <c r="GX22" s="47">
        <v>2</v>
      </c>
      <c r="GY22" s="48" t="s">
        <v>4</v>
      </c>
      <c r="GZ22" s="49">
        <v>0</v>
      </c>
      <c r="HA22" s="27"/>
      <c r="HB22" s="42">
        <f t="shared" si="57"/>
        <v>2</v>
      </c>
      <c r="HC22" s="43">
        <f t="shared" si="58"/>
        <v>2</v>
      </c>
      <c r="HE22" s="47">
        <v>4</v>
      </c>
      <c r="HF22" s="48" t="s">
        <v>4</v>
      </c>
      <c r="HG22" s="49">
        <v>2</v>
      </c>
      <c r="HH22" s="27"/>
      <c r="HI22" s="42">
        <f t="shared" si="59"/>
        <v>2</v>
      </c>
      <c r="HJ22" s="43">
        <f t="shared" si="60"/>
        <v>2</v>
      </c>
      <c r="HL22" s="47">
        <v>3</v>
      </c>
      <c r="HM22" s="48" t="s">
        <v>4</v>
      </c>
      <c r="HN22" s="49">
        <v>0</v>
      </c>
      <c r="HO22" s="27"/>
      <c r="HP22" s="42">
        <f t="shared" si="61"/>
        <v>2</v>
      </c>
      <c r="HQ22" s="43">
        <f t="shared" si="62"/>
        <v>3</v>
      </c>
      <c r="HS22" s="47">
        <v>3</v>
      </c>
      <c r="HT22" s="48" t="s">
        <v>4</v>
      </c>
      <c r="HU22" s="49">
        <v>1</v>
      </c>
      <c r="HV22" s="27"/>
      <c r="HW22" s="42">
        <f t="shared" si="63"/>
        <v>3</v>
      </c>
      <c r="HX22" s="43">
        <f t="shared" si="64"/>
        <v>2</v>
      </c>
      <c r="HZ22" s="47">
        <v>4</v>
      </c>
      <c r="IA22" s="48" t="s">
        <v>4</v>
      </c>
      <c r="IB22" s="49">
        <v>1</v>
      </c>
      <c r="IC22" s="27"/>
      <c r="ID22" s="42">
        <f t="shared" si="65"/>
        <v>2</v>
      </c>
      <c r="IE22" s="43">
        <f t="shared" si="66"/>
        <v>3</v>
      </c>
      <c r="IG22" s="47">
        <v>4</v>
      </c>
      <c r="IH22" s="48" t="s">
        <v>4</v>
      </c>
      <c r="II22" s="49">
        <v>1</v>
      </c>
      <c r="IJ22" s="27"/>
      <c r="IK22" s="42">
        <f t="shared" si="67"/>
        <v>2</v>
      </c>
      <c r="IL22" s="43">
        <f t="shared" si="68"/>
        <v>3</v>
      </c>
      <c r="IN22" s="47">
        <v>2</v>
      </c>
      <c r="IO22" s="48" t="s">
        <v>4</v>
      </c>
      <c r="IP22" s="49">
        <v>1</v>
      </c>
      <c r="IQ22" s="27"/>
      <c r="IR22" s="42">
        <f t="shared" si="69"/>
        <v>2</v>
      </c>
      <c r="IS22" s="43">
        <f t="shared" si="70"/>
        <v>1</v>
      </c>
      <c r="IU22" s="47">
        <v>2</v>
      </c>
      <c r="IV22" s="48" t="s">
        <v>4</v>
      </c>
      <c r="IW22" s="49">
        <v>0</v>
      </c>
      <c r="IX22" s="27"/>
      <c r="IY22" s="42">
        <f t="shared" si="71"/>
        <v>2</v>
      </c>
      <c r="IZ22" s="43">
        <f t="shared" si="72"/>
        <v>2</v>
      </c>
      <c r="JB22" s="47">
        <v>3</v>
      </c>
      <c r="JC22" s="48" t="s">
        <v>4</v>
      </c>
      <c r="JD22" s="49">
        <v>1</v>
      </c>
      <c r="JE22" s="27"/>
      <c r="JF22" s="42">
        <f t="shared" si="73"/>
        <v>3</v>
      </c>
      <c r="JG22" s="43">
        <f t="shared" si="74"/>
        <v>2</v>
      </c>
      <c r="JI22" s="47">
        <v>3</v>
      </c>
      <c r="JJ22" s="48" t="s">
        <v>4</v>
      </c>
      <c r="JK22" s="49">
        <v>2</v>
      </c>
      <c r="JL22" s="27"/>
      <c r="JM22" s="42">
        <f t="shared" si="75"/>
        <v>2</v>
      </c>
      <c r="JN22" s="43">
        <f t="shared" si="76"/>
        <v>1</v>
      </c>
      <c r="JP22" s="47">
        <v>3</v>
      </c>
      <c r="JQ22" s="48" t="s">
        <v>4</v>
      </c>
      <c r="JR22" s="49">
        <v>1</v>
      </c>
      <c r="JS22" s="27"/>
      <c r="JT22" s="42">
        <f t="shared" si="77"/>
        <v>3</v>
      </c>
      <c r="JU22" s="43">
        <f t="shared" si="78"/>
        <v>2</v>
      </c>
      <c r="JW22" s="47">
        <v>4</v>
      </c>
      <c r="JX22" s="48" t="s">
        <v>4</v>
      </c>
      <c r="JY22" s="49">
        <v>0</v>
      </c>
      <c r="JZ22" s="27"/>
      <c r="KA22" s="42">
        <f t="shared" si="79"/>
        <v>2</v>
      </c>
      <c r="KB22" s="43">
        <f t="shared" si="80"/>
        <v>4</v>
      </c>
      <c r="KD22" s="47">
        <v>3</v>
      </c>
      <c r="KE22" s="48" t="s">
        <v>4</v>
      </c>
      <c r="KF22" s="49">
        <v>1</v>
      </c>
      <c r="KG22" s="27"/>
      <c r="KH22" s="42">
        <f t="shared" si="81"/>
        <v>3</v>
      </c>
      <c r="KI22" s="43">
        <f t="shared" si="82"/>
        <v>2</v>
      </c>
      <c r="KK22" s="47">
        <v>2</v>
      </c>
      <c r="KL22" s="48" t="s">
        <v>4</v>
      </c>
      <c r="KM22" s="49">
        <v>0</v>
      </c>
      <c r="KN22" s="27"/>
      <c r="KO22" s="42">
        <f t="shared" si="83"/>
        <v>2</v>
      </c>
      <c r="KP22" s="43">
        <f t="shared" si="84"/>
        <v>2</v>
      </c>
      <c r="KR22" s="47">
        <v>2</v>
      </c>
      <c r="KS22" s="48" t="s">
        <v>4</v>
      </c>
      <c r="KT22" s="49">
        <v>1</v>
      </c>
      <c r="KU22" s="27"/>
      <c r="KV22" s="42">
        <f t="shared" si="85"/>
        <v>2</v>
      </c>
      <c r="KW22" s="43">
        <f t="shared" si="86"/>
        <v>1</v>
      </c>
      <c r="KY22" s="47">
        <v>2</v>
      </c>
      <c r="KZ22" s="48" t="s">
        <v>4</v>
      </c>
      <c r="LA22" s="49">
        <v>1</v>
      </c>
      <c r="LB22" s="27"/>
      <c r="LC22" s="42">
        <f t="shared" si="87"/>
        <v>2</v>
      </c>
      <c r="LD22" s="43">
        <f t="shared" si="88"/>
        <v>1</v>
      </c>
      <c r="LF22" s="47">
        <v>2</v>
      </c>
      <c r="LG22" s="48" t="s">
        <v>4</v>
      </c>
      <c r="LH22" s="49">
        <v>1</v>
      </c>
      <c r="LI22" s="27"/>
      <c r="LJ22" s="42">
        <f t="shared" si="89"/>
        <v>2</v>
      </c>
      <c r="LK22" s="43">
        <f t="shared" si="90"/>
        <v>1</v>
      </c>
      <c r="LM22" s="47">
        <v>2</v>
      </c>
      <c r="LN22" s="48" t="s">
        <v>4</v>
      </c>
      <c r="LO22" s="49">
        <v>1</v>
      </c>
      <c r="LP22" s="27"/>
      <c r="LQ22" s="42">
        <f t="shared" si="91"/>
        <v>2</v>
      </c>
      <c r="LR22" s="43">
        <f t="shared" si="92"/>
        <v>1</v>
      </c>
      <c r="LT22" s="47">
        <v>2</v>
      </c>
      <c r="LU22" s="48" t="s">
        <v>4</v>
      </c>
      <c r="LV22" s="49">
        <v>0</v>
      </c>
      <c r="LW22" s="27"/>
      <c r="LX22" s="42">
        <f t="shared" si="93"/>
        <v>2</v>
      </c>
      <c r="LY22" s="43">
        <f t="shared" si="94"/>
        <v>2</v>
      </c>
      <c r="MA22" s="47">
        <v>5</v>
      </c>
      <c r="MB22" s="48" t="s">
        <v>4</v>
      </c>
      <c r="MC22" s="49">
        <v>0</v>
      </c>
      <c r="MD22" s="27"/>
      <c r="ME22" s="42">
        <f t="shared" si="95"/>
        <v>2</v>
      </c>
      <c r="MF22" s="43">
        <f t="shared" si="96"/>
        <v>5</v>
      </c>
      <c r="MH22" s="47">
        <v>3</v>
      </c>
      <c r="MI22" s="48" t="s">
        <v>4</v>
      </c>
      <c r="MJ22" s="49">
        <v>1</v>
      </c>
      <c r="MK22" s="27"/>
      <c r="ML22" s="42">
        <f t="shared" si="97"/>
        <v>3</v>
      </c>
      <c r="MM22" s="43">
        <f t="shared" si="98"/>
        <v>2</v>
      </c>
      <c r="MO22" s="47">
        <v>3</v>
      </c>
      <c r="MP22" s="48" t="s">
        <v>4</v>
      </c>
      <c r="MQ22" s="49">
        <v>0</v>
      </c>
      <c r="MR22" s="27"/>
      <c r="MS22" s="42">
        <f t="shared" si="99"/>
        <v>2</v>
      </c>
      <c r="MT22" s="43">
        <f t="shared" si="100"/>
        <v>3</v>
      </c>
      <c r="MV22" s="47">
        <v>3</v>
      </c>
      <c r="MW22" s="48" t="s">
        <v>4</v>
      </c>
      <c r="MX22" s="49">
        <v>0</v>
      </c>
      <c r="MY22" s="27"/>
      <c r="MZ22" s="42">
        <f t="shared" si="101"/>
        <v>2</v>
      </c>
      <c r="NA22" s="43">
        <f t="shared" si="102"/>
        <v>3</v>
      </c>
      <c r="NC22" s="47">
        <v>3</v>
      </c>
      <c r="ND22" s="48" t="s">
        <v>4</v>
      </c>
      <c r="NE22" s="49">
        <v>1</v>
      </c>
      <c r="NF22" s="27"/>
      <c r="NG22" s="42">
        <f t="shared" si="103"/>
        <v>3</v>
      </c>
      <c r="NH22" s="43">
        <f t="shared" si="104"/>
        <v>2</v>
      </c>
      <c r="NJ22" s="47">
        <v>6</v>
      </c>
      <c r="NK22" s="48" t="s">
        <v>4</v>
      </c>
      <c r="NL22" s="49">
        <v>2</v>
      </c>
      <c r="NM22" s="27"/>
      <c r="NN22" s="42">
        <f t="shared" si="105"/>
        <v>2</v>
      </c>
      <c r="NO22" s="43">
        <f t="shared" si="106"/>
        <v>4</v>
      </c>
      <c r="NQ22" s="47">
        <v>3</v>
      </c>
      <c r="NR22" s="48" t="s">
        <v>4</v>
      </c>
      <c r="NS22" s="49">
        <v>1</v>
      </c>
      <c r="NT22" s="27"/>
      <c r="NU22" s="42">
        <f t="shared" si="107"/>
        <v>3</v>
      </c>
      <c r="NV22" s="43">
        <f t="shared" si="108"/>
        <v>2</v>
      </c>
      <c r="NX22" s="47">
        <v>3</v>
      </c>
      <c r="NY22" s="48" t="s">
        <v>4</v>
      </c>
      <c r="NZ22" s="49">
        <v>1</v>
      </c>
      <c r="OA22" s="27"/>
      <c r="OB22" s="42">
        <f t="shared" si="109"/>
        <v>3</v>
      </c>
      <c r="OC22" s="43">
        <f t="shared" si="110"/>
        <v>2</v>
      </c>
      <c r="OE22" s="47">
        <v>4</v>
      </c>
      <c r="OF22" s="48" t="s">
        <v>4</v>
      </c>
      <c r="OG22" s="49">
        <v>0</v>
      </c>
      <c r="OH22" s="27"/>
      <c r="OI22" s="42">
        <f t="shared" si="111"/>
        <v>2</v>
      </c>
      <c r="OJ22" s="43">
        <f t="shared" si="112"/>
        <v>4</v>
      </c>
      <c r="OL22" s="47">
        <v>4</v>
      </c>
      <c r="OM22" s="48" t="s">
        <v>4</v>
      </c>
      <c r="ON22" s="49">
        <v>1</v>
      </c>
      <c r="OO22" s="27"/>
      <c r="OP22" s="42">
        <f t="shared" si="113"/>
        <v>2</v>
      </c>
      <c r="OQ22" s="43">
        <f t="shared" si="114"/>
        <v>3</v>
      </c>
      <c r="OS22" s="47">
        <v>2</v>
      </c>
      <c r="OT22" s="48" t="s">
        <v>4</v>
      </c>
      <c r="OU22" s="49">
        <v>0</v>
      </c>
      <c r="OV22" s="27"/>
      <c r="OW22" s="42">
        <f t="shared" si="115"/>
        <v>2</v>
      </c>
      <c r="OX22" s="43">
        <f t="shared" si="116"/>
        <v>2</v>
      </c>
      <c r="OZ22" s="47">
        <v>4</v>
      </c>
      <c r="PA22" s="48" t="s">
        <v>4</v>
      </c>
      <c r="PB22" s="49">
        <v>1</v>
      </c>
      <c r="PC22" s="27"/>
      <c r="PD22" s="42">
        <f t="shared" si="117"/>
        <v>2</v>
      </c>
      <c r="PE22" s="43">
        <f t="shared" si="118"/>
        <v>3</v>
      </c>
      <c r="PG22" s="47">
        <v>1</v>
      </c>
      <c r="PH22" s="48" t="s">
        <v>4</v>
      </c>
      <c r="PI22" s="49">
        <v>0</v>
      </c>
      <c r="PJ22" s="27"/>
      <c r="PK22" s="42">
        <f t="shared" si="119"/>
        <v>2</v>
      </c>
      <c r="PL22" s="43">
        <f t="shared" si="120"/>
        <v>1</v>
      </c>
      <c r="PN22" s="47">
        <v>2</v>
      </c>
      <c r="PO22" s="48" t="s">
        <v>4</v>
      </c>
      <c r="PP22" s="49">
        <v>0</v>
      </c>
      <c r="PQ22" s="27"/>
      <c r="PR22" s="42">
        <f t="shared" si="121"/>
        <v>2</v>
      </c>
      <c r="PS22" s="43">
        <f t="shared" si="122"/>
        <v>2</v>
      </c>
      <c r="PU22" s="47">
        <v>1</v>
      </c>
      <c r="PV22" s="48" t="s">
        <v>4</v>
      </c>
      <c r="PW22" s="49">
        <v>0</v>
      </c>
      <c r="PX22" s="27"/>
      <c r="PY22" s="42">
        <f t="shared" si="123"/>
        <v>2</v>
      </c>
      <c r="PZ22" s="43">
        <f t="shared" si="124"/>
        <v>1</v>
      </c>
      <c r="QB22" s="47">
        <v>3</v>
      </c>
      <c r="QC22" s="48" t="s">
        <v>4</v>
      </c>
      <c r="QD22" s="49">
        <v>1</v>
      </c>
      <c r="QE22" s="27"/>
      <c r="QF22" s="42">
        <f t="shared" si="125"/>
        <v>3</v>
      </c>
      <c r="QG22" s="43">
        <f t="shared" si="126"/>
        <v>2</v>
      </c>
      <c r="QI22" s="47">
        <v>2</v>
      </c>
      <c r="QJ22" s="48" t="s">
        <v>4</v>
      </c>
      <c r="QK22" s="49">
        <v>0</v>
      </c>
      <c r="QL22" s="27"/>
      <c r="QM22" s="42">
        <f t="shared" si="127"/>
        <v>2</v>
      </c>
      <c r="QN22" s="43">
        <f t="shared" si="128"/>
        <v>2</v>
      </c>
      <c r="QP22" s="47">
        <v>1</v>
      </c>
      <c r="QQ22" s="48" t="s">
        <v>4</v>
      </c>
      <c r="QR22" s="49">
        <v>0</v>
      </c>
      <c r="QS22" s="27"/>
      <c r="QT22" s="42">
        <f t="shared" si="129"/>
        <v>2</v>
      </c>
      <c r="QU22" s="43">
        <f t="shared" si="130"/>
        <v>1</v>
      </c>
      <c r="QW22" s="47">
        <v>2</v>
      </c>
      <c r="QX22" s="48" t="s">
        <v>4</v>
      </c>
      <c r="QY22" s="49">
        <v>0</v>
      </c>
      <c r="QZ22" s="27"/>
      <c r="RA22" s="42">
        <f t="shared" si="131"/>
        <v>2</v>
      </c>
      <c r="RB22" s="43">
        <f t="shared" si="132"/>
        <v>2</v>
      </c>
      <c r="RD22" s="47">
        <v>4</v>
      </c>
      <c r="RE22" s="48" t="s">
        <v>4</v>
      </c>
      <c r="RF22" s="49">
        <v>2</v>
      </c>
      <c r="RG22" s="27"/>
      <c r="RH22" s="42">
        <f t="shared" si="133"/>
        <v>2</v>
      </c>
      <c r="RI22" s="43">
        <f t="shared" si="134"/>
        <v>2</v>
      </c>
      <c r="RK22" s="47">
        <v>3</v>
      </c>
      <c r="RL22" s="48" t="s">
        <v>4</v>
      </c>
      <c r="RM22" s="49">
        <v>1</v>
      </c>
      <c r="RN22" s="27"/>
      <c r="RO22" s="42">
        <f t="shared" si="135"/>
        <v>3</v>
      </c>
      <c r="RP22" s="43">
        <f t="shared" si="136"/>
        <v>2</v>
      </c>
      <c r="RR22" s="47">
        <v>3</v>
      </c>
      <c r="RS22" s="48" t="s">
        <v>4</v>
      </c>
      <c r="RT22" s="49">
        <v>1</v>
      </c>
      <c r="RU22" s="27"/>
      <c r="RV22" s="42">
        <f t="shared" si="137"/>
        <v>3</v>
      </c>
      <c r="RW22" s="43">
        <f t="shared" si="138"/>
        <v>2</v>
      </c>
      <c r="RY22" s="47">
        <v>3</v>
      </c>
      <c r="RZ22" s="48" t="s">
        <v>4</v>
      </c>
      <c r="SA22" s="49">
        <v>1</v>
      </c>
      <c r="SB22" s="27"/>
      <c r="SC22" s="42">
        <f t="shared" si="139"/>
        <v>3</v>
      </c>
      <c r="SD22" s="43">
        <f t="shared" si="140"/>
        <v>2</v>
      </c>
      <c r="SF22" s="47">
        <v>3</v>
      </c>
      <c r="SG22" s="48" t="s">
        <v>4</v>
      </c>
      <c r="SH22" s="49">
        <v>1</v>
      </c>
      <c r="SI22" s="27"/>
      <c r="SJ22" s="42">
        <f t="shared" si="141"/>
        <v>3</v>
      </c>
      <c r="SK22" s="43">
        <f t="shared" si="142"/>
        <v>2</v>
      </c>
      <c r="SM22" s="47">
        <v>4</v>
      </c>
      <c r="SN22" s="48" t="s">
        <v>4</v>
      </c>
      <c r="SO22" s="49">
        <v>1</v>
      </c>
      <c r="SP22" s="27"/>
      <c r="SQ22" s="42">
        <f t="shared" si="143"/>
        <v>2</v>
      </c>
      <c r="SR22" s="43">
        <f t="shared" si="144"/>
        <v>3</v>
      </c>
    </row>
    <row r="23" spans="1:512" customFormat="1" ht="16" customHeight="1" x14ac:dyDescent="0.2">
      <c r="A23" s="34">
        <v>46190</v>
      </c>
      <c r="B23" s="35">
        <v>0</v>
      </c>
      <c r="C23" s="79" t="s">
        <v>52</v>
      </c>
      <c r="D23" s="80" t="s">
        <v>53</v>
      </c>
      <c r="E23" s="3">
        <v>1</v>
      </c>
      <c r="F23" s="37" t="s">
        <v>4</v>
      </c>
      <c r="G23" s="4">
        <v>4</v>
      </c>
      <c r="H23" s="16">
        <v>2.2000000000000002</v>
      </c>
      <c r="I23" s="32">
        <f t="shared" si="0"/>
        <v>-3</v>
      </c>
      <c r="J23" s="47">
        <v>1</v>
      </c>
      <c r="K23" s="48" t="s">
        <v>4</v>
      </c>
      <c r="L23" s="49">
        <v>2</v>
      </c>
      <c r="M23" s="27"/>
      <c r="N23" s="42">
        <f t="shared" si="1"/>
        <v>2.2000000000000002</v>
      </c>
      <c r="O23" s="43">
        <f t="shared" si="2"/>
        <v>-1</v>
      </c>
      <c r="P23" s="32"/>
      <c r="Q23" s="47">
        <v>0</v>
      </c>
      <c r="R23" s="48" t="s">
        <v>4</v>
      </c>
      <c r="S23" s="49">
        <v>2</v>
      </c>
      <c r="T23" s="27"/>
      <c r="U23" s="42">
        <f t="shared" si="3"/>
        <v>2.2000000000000002</v>
      </c>
      <c r="V23" s="43">
        <f t="shared" si="4"/>
        <v>-2</v>
      </c>
      <c r="X23" s="47">
        <v>0</v>
      </c>
      <c r="Y23" s="48" t="s">
        <v>4</v>
      </c>
      <c r="Z23" s="49">
        <v>3</v>
      </c>
      <c r="AA23" s="27"/>
      <c r="AB23" s="42">
        <f t="shared" si="5"/>
        <v>2.2000000000000002</v>
      </c>
      <c r="AC23" s="43">
        <f t="shared" si="6"/>
        <v>-3</v>
      </c>
      <c r="AE23" s="47">
        <v>0</v>
      </c>
      <c r="AF23" s="48" t="s">
        <v>4</v>
      </c>
      <c r="AG23" s="49">
        <v>2</v>
      </c>
      <c r="AH23" s="27"/>
      <c r="AI23" s="42">
        <f t="shared" si="7"/>
        <v>2.2000000000000002</v>
      </c>
      <c r="AJ23" s="43">
        <f t="shared" si="8"/>
        <v>-2</v>
      </c>
      <c r="AL23" s="47">
        <v>0</v>
      </c>
      <c r="AM23" s="48" t="s">
        <v>4</v>
      </c>
      <c r="AN23" s="49">
        <v>2</v>
      </c>
      <c r="AO23" s="27"/>
      <c r="AP23" s="42">
        <f t="shared" si="9"/>
        <v>2.2000000000000002</v>
      </c>
      <c r="AQ23" s="43">
        <f t="shared" si="10"/>
        <v>-2</v>
      </c>
      <c r="AS23" s="47">
        <v>2</v>
      </c>
      <c r="AT23" s="48" t="s">
        <v>4</v>
      </c>
      <c r="AU23" s="49">
        <v>4</v>
      </c>
      <c r="AV23" s="27"/>
      <c r="AW23" s="42">
        <f t="shared" si="11"/>
        <v>2.2000000000000002</v>
      </c>
      <c r="AX23" s="43">
        <f t="shared" si="12"/>
        <v>-2</v>
      </c>
      <c r="AZ23" s="86">
        <v>1</v>
      </c>
      <c r="BA23" s="48" t="s">
        <v>4</v>
      </c>
      <c r="BB23" s="49">
        <v>4</v>
      </c>
      <c r="BC23" s="27"/>
      <c r="BD23" s="42">
        <f t="shared" si="13"/>
        <v>3.3000000000000003</v>
      </c>
      <c r="BE23" s="43">
        <f t="shared" si="14"/>
        <v>-3</v>
      </c>
      <c r="BG23" s="47">
        <v>0</v>
      </c>
      <c r="BH23" s="48" t="s">
        <v>4</v>
      </c>
      <c r="BI23" s="49">
        <v>1</v>
      </c>
      <c r="BJ23" s="27"/>
      <c r="BK23" s="42">
        <f t="shared" si="15"/>
        <v>2.2000000000000002</v>
      </c>
      <c r="BL23" s="43">
        <f t="shared" si="16"/>
        <v>-1</v>
      </c>
      <c r="BN23" s="47">
        <v>1</v>
      </c>
      <c r="BO23" s="48" t="s">
        <v>4</v>
      </c>
      <c r="BP23" s="49">
        <v>2</v>
      </c>
      <c r="BQ23" s="27"/>
      <c r="BR23" s="42">
        <f t="shared" si="17"/>
        <v>2.2000000000000002</v>
      </c>
      <c r="BS23" s="43">
        <f t="shared" si="18"/>
        <v>-1</v>
      </c>
      <c r="BU23" s="47">
        <v>1</v>
      </c>
      <c r="BV23" s="48" t="s">
        <v>4</v>
      </c>
      <c r="BW23" s="49">
        <v>2</v>
      </c>
      <c r="BX23" s="27"/>
      <c r="BY23" s="42">
        <f t="shared" si="19"/>
        <v>2.2000000000000002</v>
      </c>
      <c r="BZ23" s="43">
        <f t="shared" si="20"/>
        <v>-1</v>
      </c>
      <c r="CB23" s="47">
        <v>0</v>
      </c>
      <c r="CC23" s="48" t="s">
        <v>4</v>
      </c>
      <c r="CD23" s="49">
        <v>2</v>
      </c>
      <c r="CE23" s="27"/>
      <c r="CF23" s="42">
        <f t="shared" si="21"/>
        <v>2.2000000000000002</v>
      </c>
      <c r="CG23" s="43">
        <f t="shared" si="22"/>
        <v>-2</v>
      </c>
      <c r="CI23" s="47">
        <v>0</v>
      </c>
      <c r="CJ23" s="48" t="s">
        <v>4</v>
      </c>
      <c r="CK23" s="49">
        <v>1</v>
      </c>
      <c r="CL23" s="27"/>
      <c r="CM23" s="42">
        <f t="shared" si="23"/>
        <v>2.2000000000000002</v>
      </c>
      <c r="CN23" s="43">
        <f t="shared" si="24"/>
        <v>-1</v>
      </c>
      <c r="CP23" s="47">
        <v>2</v>
      </c>
      <c r="CQ23" s="48" t="s">
        <v>4</v>
      </c>
      <c r="CR23" s="49">
        <v>4</v>
      </c>
      <c r="CS23" s="27"/>
      <c r="CT23" s="42">
        <f t="shared" si="25"/>
        <v>2.2000000000000002</v>
      </c>
      <c r="CU23" s="43">
        <f t="shared" si="26"/>
        <v>-2</v>
      </c>
      <c r="CW23" s="47">
        <v>0</v>
      </c>
      <c r="CX23" s="48" t="s">
        <v>4</v>
      </c>
      <c r="CY23" s="49">
        <v>1</v>
      </c>
      <c r="CZ23" s="27"/>
      <c r="DA23" s="42">
        <f t="shared" si="27"/>
        <v>2.2000000000000002</v>
      </c>
      <c r="DB23" s="43">
        <f t="shared" si="28"/>
        <v>-1</v>
      </c>
      <c r="DD23" s="47">
        <v>0</v>
      </c>
      <c r="DE23" s="48" t="s">
        <v>4</v>
      </c>
      <c r="DF23" s="49">
        <v>2</v>
      </c>
      <c r="DG23" s="27"/>
      <c r="DH23" s="42">
        <f t="shared" si="29"/>
        <v>2.2000000000000002</v>
      </c>
      <c r="DI23" s="43">
        <f t="shared" si="30"/>
        <v>-2</v>
      </c>
      <c r="DK23" s="47">
        <v>0</v>
      </c>
      <c r="DL23" s="48" t="s">
        <v>4</v>
      </c>
      <c r="DM23" s="49">
        <v>2</v>
      </c>
      <c r="DN23" s="27"/>
      <c r="DO23" s="42">
        <f t="shared" si="31"/>
        <v>2.2000000000000002</v>
      </c>
      <c r="DP23" s="43">
        <f t="shared" si="32"/>
        <v>-2</v>
      </c>
      <c r="DR23" s="47">
        <v>0</v>
      </c>
      <c r="DS23" s="48" t="s">
        <v>4</v>
      </c>
      <c r="DT23" s="49">
        <v>2</v>
      </c>
      <c r="DU23" s="27"/>
      <c r="DV23" s="42">
        <f t="shared" si="33"/>
        <v>2.2000000000000002</v>
      </c>
      <c r="DW23" s="43">
        <f t="shared" si="34"/>
        <v>-2</v>
      </c>
      <c r="DY23" s="47">
        <v>0</v>
      </c>
      <c r="DZ23" s="48" t="s">
        <v>4</v>
      </c>
      <c r="EA23" s="49">
        <v>2</v>
      </c>
      <c r="EB23" s="27"/>
      <c r="EC23" s="42">
        <f t="shared" si="35"/>
        <v>2.2000000000000002</v>
      </c>
      <c r="ED23" s="43">
        <f t="shared" si="36"/>
        <v>-2</v>
      </c>
      <c r="EF23" s="47">
        <v>0</v>
      </c>
      <c r="EG23" s="48" t="s">
        <v>4</v>
      </c>
      <c r="EH23" s="49">
        <v>1</v>
      </c>
      <c r="EI23" s="27"/>
      <c r="EJ23" s="42">
        <f t="shared" si="37"/>
        <v>2.2000000000000002</v>
      </c>
      <c r="EK23" s="43">
        <f t="shared" si="38"/>
        <v>-1</v>
      </c>
      <c r="EM23" s="47">
        <v>1</v>
      </c>
      <c r="EN23" s="48" t="s">
        <v>4</v>
      </c>
      <c r="EO23" s="49">
        <v>3</v>
      </c>
      <c r="EP23" s="27"/>
      <c r="EQ23" s="42">
        <f t="shared" si="39"/>
        <v>2.2000000000000002</v>
      </c>
      <c r="ER23" s="43">
        <f t="shared" si="40"/>
        <v>-2</v>
      </c>
      <c r="ET23" s="47">
        <v>1</v>
      </c>
      <c r="EU23" s="48" t="s">
        <v>4</v>
      </c>
      <c r="EV23" s="49">
        <v>1</v>
      </c>
      <c r="EW23" s="27"/>
      <c r="EX23" s="42">
        <f t="shared" si="41"/>
        <v>0</v>
      </c>
      <c r="EY23" s="43">
        <f t="shared" si="42"/>
        <v>0</v>
      </c>
      <c r="FA23" s="47">
        <v>1</v>
      </c>
      <c r="FB23" s="48" t="s">
        <v>4</v>
      </c>
      <c r="FC23" s="49">
        <v>2</v>
      </c>
      <c r="FD23" s="27"/>
      <c r="FE23" s="42">
        <f t="shared" si="43"/>
        <v>2.2000000000000002</v>
      </c>
      <c r="FF23" s="43">
        <f t="shared" si="44"/>
        <v>-1</v>
      </c>
      <c r="FH23" s="47">
        <v>0</v>
      </c>
      <c r="FI23" s="48" t="s">
        <v>4</v>
      </c>
      <c r="FJ23" s="49">
        <v>3</v>
      </c>
      <c r="FK23" s="27"/>
      <c r="FL23" s="42">
        <f t="shared" si="45"/>
        <v>2.2000000000000002</v>
      </c>
      <c r="FM23" s="43">
        <f t="shared" si="46"/>
        <v>-3</v>
      </c>
      <c r="FO23" s="47">
        <v>0</v>
      </c>
      <c r="FP23" s="48" t="s">
        <v>4</v>
      </c>
      <c r="FQ23" s="49">
        <v>1</v>
      </c>
      <c r="FR23" s="27"/>
      <c r="FS23" s="42">
        <f t="shared" si="47"/>
        <v>2.2000000000000002</v>
      </c>
      <c r="FT23" s="43">
        <f t="shared" si="48"/>
        <v>-1</v>
      </c>
      <c r="FV23" s="47">
        <v>0</v>
      </c>
      <c r="FW23" s="48" t="s">
        <v>4</v>
      </c>
      <c r="FX23" s="49">
        <v>3</v>
      </c>
      <c r="FY23" s="27"/>
      <c r="FZ23" s="42">
        <f t="shared" si="49"/>
        <v>2.2000000000000002</v>
      </c>
      <c r="GA23" s="43">
        <f t="shared" si="50"/>
        <v>-3</v>
      </c>
      <c r="GC23" s="47">
        <v>0</v>
      </c>
      <c r="GD23" s="48" t="s">
        <v>4</v>
      </c>
      <c r="GE23" s="49">
        <v>3</v>
      </c>
      <c r="GF23" s="27"/>
      <c r="GG23" s="42">
        <f t="shared" si="51"/>
        <v>2.2000000000000002</v>
      </c>
      <c r="GH23" s="43">
        <f t="shared" si="52"/>
        <v>-3</v>
      </c>
      <c r="GJ23" s="47">
        <v>0</v>
      </c>
      <c r="GK23" s="48" t="s">
        <v>4</v>
      </c>
      <c r="GL23" s="49">
        <v>2</v>
      </c>
      <c r="GM23" s="27"/>
      <c r="GN23" s="42">
        <f t="shared" si="53"/>
        <v>2.2000000000000002</v>
      </c>
      <c r="GO23" s="43">
        <f t="shared" si="54"/>
        <v>-2</v>
      </c>
      <c r="GQ23" s="47">
        <v>0</v>
      </c>
      <c r="GR23" s="48" t="s">
        <v>4</v>
      </c>
      <c r="GS23" s="49">
        <v>2</v>
      </c>
      <c r="GT23" s="27"/>
      <c r="GU23" s="42">
        <f t="shared" si="55"/>
        <v>2.2000000000000002</v>
      </c>
      <c r="GV23" s="43">
        <f t="shared" si="56"/>
        <v>-2</v>
      </c>
      <c r="GX23" s="47">
        <v>0</v>
      </c>
      <c r="GY23" s="48" t="s">
        <v>4</v>
      </c>
      <c r="GZ23" s="49">
        <v>3</v>
      </c>
      <c r="HA23" s="27"/>
      <c r="HB23" s="42">
        <f t="shared" si="57"/>
        <v>2.2000000000000002</v>
      </c>
      <c r="HC23" s="43">
        <f t="shared" si="58"/>
        <v>-3</v>
      </c>
      <c r="HE23" s="47">
        <v>1</v>
      </c>
      <c r="HF23" s="48" t="s">
        <v>4</v>
      </c>
      <c r="HG23" s="49">
        <v>4</v>
      </c>
      <c r="HH23" s="27"/>
      <c r="HI23" s="42">
        <f t="shared" si="59"/>
        <v>3.3000000000000003</v>
      </c>
      <c r="HJ23" s="43">
        <f t="shared" si="60"/>
        <v>-3</v>
      </c>
      <c r="HL23" s="47">
        <v>0</v>
      </c>
      <c r="HM23" s="48" t="s">
        <v>4</v>
      </c>
      <c r="HN23" s="49">
        <v>3</v>
      </c>
      <c r="HO23" s="27"/>
      <c r="HP23" s="42">
        <f t="shared" si="61"/>
        <v>2.2000000000000002</v>
      </c>
      <c r="HQ23" s="43">
        <f t="shared" si="62"/>
        <v>-3</v>
      </c>
      <c r="HS23" s="47">
        <v>0</v>
      </c>
      <c r="HT23" s="48" t="s">
        <v>4</v>
      </c>
      <c r="HU23" s="49">
        <v>1</v>
      </c>
      <c r="HV23" s="27"/>
      <c r="HW23" s="42">
        <f t="shared" si="63"/>
        <v>2.2000000000000002</v>
      </c>
      <c r="HX23" s="43">
        <f t="shared" si="64"/>
        <v>-1</v>
      </c>
      <c r="HZ23" s="47">
        <v>0</v>
      </c>
      <c r="IA23" s="48" t="s">
        <v>4</v>
      </c>
      <c r="IB23" s="49">
        <v>2</v>
      </c>
      <c r="IC23" s="27"/>
      <c r="ID23" s="42">
        <f t="shared" si="65"/>
        <v>2.2000000000000002</v>
      </c>
      <c r="IE23" s="43">
        <f t="shared" si="66"/>
        <v>-2</v>
      </c>
      <c r="IG23" s="47">
        <v>3</v>
      </c>
      <c r="IH23" s="48" t="s">
        <v>4</v>
      </c>
      <c r="II23" s="49">
        <v>3</v>
      </c>
      <c r="IJ23" s="27"/>
      <c r="IK23" s="42">
        <f t="shared" si="67"/>
        <v>0</v>
      </c>
      <c r="IL23" s="43">
        <f t="shared" si="68"/>
        <v>0</v>
      </c>
      <c r="IN23" s="47">
        <v>0</v>
      </c>
      <c r="IO23" s="48" t="s">
        <v>4</v>
      </c>
      <c r="IP23" s="49">
        <v>2</v>
      </c>
      <c r="IQ23" s="27"/>
      <c r="IR23" s="42">
        <f t="shared" si="69"/>
        <v>2.2000000000000002</v>
      </c>
      <c r="IS23" s="43">
        <f t="shared" si="70"/>
        <v>-2</v>
      </c>
      <c r="IU23" s="47">
        <v>0</v>
      </c>
      <c r="IV23" s="48" t="s">
        <v>4</v>
      </c>
      <c r="IW23" s="49">
        <v>2</v>
      </c>
      <c r="IX23" s="27"/>
      <c r="IY23" s="42">
        <f t="shared" si="71"/>
        <v>2.2000000000000002</v>
      </c>
      <c r="IZ23" s="43">
        <f t="shared" si="72"/>
        <v>-2</v>
      </c>
      <c r="JB23" s="47">
        <v>1</v>
      </c>
      <c r="JC23" s="48" t="s">
        <v>4</v>
      </c>
      <c r="JD23" s="49">
        <v>2</v>
      </c>
      <c r="JE23" s="27"/>
      <c r="JF23" s="42">
        <f t="shared" si="73"/>
        <v>2.2000000000000002</v>
      </c>
      <c r="JG23" s="43">
        <f t="shared" si="74"/>
        <v>-1</v>
      </c>
      <c r="JI23" s="47">
        <v>0</v>
      </c>
      <c r="JJ23" s="48" t="s">
        <v>4</v>
      </c>
      <c r="JK23" s="49">
        <v>3</v>
      </c>
      <c r="JL23" s="27"/>
      <c r="JM23" s="42">
        <f t="shared" si="75"/>
        <v>2.2000000000000002</v>
      </c>
      <c r="JN23" s="43">
        <f t="shared" si="76"/>
        <v>-3</v>
      </c>
      <c r="JP23" s="47">
        <v>0</v>
      </c>
      <c r="JQ23" s="48" t="s">
        <v>4</v>
      </c>
      <c r="JR23" s="49">
        <v>4</v>
      </c>
      <c r="JS23" s="27"/>
      <c r="JT23" s="42">
        <f t="shared" si="77"/>
        <v>2.2000000000000002</v>
      </c>
      <c r="JU23" s="43">
        <f t="shared" si="78"/>
        <v>-4</v>
      </c>
      <c r="JW23" s="47">
        <v>2</v>
      </c>
      <c r="JX23" s="48" t="s">
        <v>4</v>
      </c>
      <c r="JY23" s="49">
        <v>2</v>
      </c>
      <c r="JZ23" s="27"/>
      <c r="KA23" s="42">
        <f t="shared" si="79"/>
        <v>0</v>
      </c>
      <c r="KB23" s="43">
        <f t="shared" si="80"/>
        <v>0</v>
      </c>
      <c r="KD23" s="47">
        <v>0</v>
      </c>
      <c r="KE23" s="48" t="s">
        <v>4</v>
      </c>
      <c r="KF23" s="49">
        <v>2</v>
      </c>
      <c r="KG23" s="27"/>
      <c r="KH23" s="42">
        <f t="shared" si="81"/>
        <v>2.2000000000000002</v>
      </c>
      <c r="KI23" s="43">
        <f t="shared" si="82"/>
        <v>-2</v>
      </c>
      <c r="KK23" s="47">
        <v>0</v>
      </c>
      <c r="KL23" s="48" t="s">
        <v>4</v>
      </c>
      <c r="KM23" s="49">
        <v>1</v>
      </c>
      <c r="KN23" s="27"/>
      <c r="KO23" s="42">
        <f t="shared" si="83"/>
        <v>2.2000000000000002</v>
      </c>
      <c r="KP23" s="43">
        <f t="shared" si="84"/>
        <v>-1</v>
      </c>
      <c r="KR23" s="47">
        <v>0</v>
      </c>
      <c r="KS23" s="48" t="s">
        <v>4</v>
      </c>
      <c r="KT23" s="49">
        <v>2</v>
      </c>
      <c r="KU23" s="27"/>
      <c r="KV23" s="42">
        <f t="shared" si="85"/>
        <v>2.2000000000000002</v>
      </c>
      <c r="KW23" s="43">
        <f t="shared" si="86"/>
        <v>-2</v>
      </c>
      <c r="KY23" s="47">
        <v>1</v>
      </c>
      <c r="KZ23" s="48" t="s">
        <v>4</v>
      </c>
      <c r="LA23" s="49">
        <v>2</v>
      </c>
      <c r="LB23" s="27"/>
      <c r="LC23" s="42">
        <f t="shared" si="87"/>
        <v>2.2000000000000002</v>
      </c>
      <c r="LD23" s="43">
        <f t="shared" si="88"/>
        <v>-1</v>
      </c>
      <c r="LF23" s="47">
        <v>0</v>
      </c>
      <c r="LG23" s="48" t="s">
        <v>4</v>
      </c>
      <c r="LH23" s="49">
        <v>3</v>
      </c>
      <c r="LI23" s="27"/>
      <c r="LJ23" s="42">
        <f t="shared" si="89"/>
        <v>2.2000000000000002</v>
      </c>
      <c r="LK23" s="43">
        <f t="shared" si="90"/>
        <v>-3</v>
      </c>
      <c r="LM23" s="47">
        <v>0</v>
      </c>
      <c r="LN23" s="48" t="s">
        <v>4</v>
      </c>
      <c r="LO23" s="49">
        <v>2</v>
      </c>
      <c r="LP23" s="27"/>
      <c r="LQ23" s="42">
        <f t="shared" si="91"/>
        <v>2.2000000000000002</v>
      </c>
      <c r="LR23" s="43">
        <f t="shared" si="92"/>
        <v>-2</v>
      </c>
      <c r="LT23" s="47">
        <v>0</v>
      </c>
      <c r="LU23" s="48" t="s">
        <v>4</v>
      </c>
      <c r="LV23" s="49">
        <v>2</v>
      </c>
      <c r="LW23" s="27"/>
      <c r="LX23" s="42">
        <f t="shared" si="93"/>
        <v>2.2000000000000002</v>
      </c>
      <c r="LY23" s="43">
        <f t="shared" si="94"/>
        <v>-2</v>
      </c>
      <c r="MA23" s="47">
        <v>1</v>
      </c>
      <c r="MB23" s="48" t="s">
        <v>4</v>
      </c>
      <c r="MC23" s="49">
        <v>3</v>
      </c>
      <c r="MD23" s="27"/>
      <c r="ME23" s="42">
        <f t="shared" si="95"/>
        <v>2.2000000000000002</v>
      </c>
      <c r="MF23" s="43">
        <f t="shared" si="96"/>
        <v>-2</v>
      </c>
      <c r="MH23" s="47">
        <v>0</v>
      </c>
      <c r="MI23" s="48" t="s">
        <v>4</v>
      </c>
      <c r="MJ23" s="49">
        <v>2</v>
      </c>
      <c r="MK23" s="27"/>
      <c r="ML23" s="42">
        <f t="shared" si="97"/>
        <v>2.2000000000000002</v>
      </c>
      <c r="MM23" s="43">
        <f t="shared" si="98"/>
        <v>-2</v>
      </c>
      <c r="MO23" s="47">
        <v>0</v>
      </c>
      <c r="MP23" s="48" t="s">
        <v>4</v>
      </c>
      <c r="MQ23" s="49">
        <v>1</v>
      </c>
      <c r="MR23" s="27"/>
      <c r="MS23" s="42">
        <f t="shared" si="99"/>
        <v>2.2000000000000002</v>
      </c>
      <c r="MT23" s="43">
        <f t="shared" si="100"/>
        <v>-1</v>
      </c>
      <c r="MV23" s="47">
        <v>0</v>
      </c>
      <c r="MW23" s="48" t="s">
        <v>4</v>
      </c>
      <c r="MX23" s="49">
        <v>3</v>
      </c>
      <c r="MY23" s="27"/>
      <c r="MZ23" s="42">
        <f t="shared" si="101"/>
        <v>2.2000000000000002</v>
      </c>
      <c r="NA23" s="43">
        <f t="shared" si="102"/>
        <v>-3</v>
      </c>
      <c r="NC23" s="47">
        <v>1</v>
      </c>
      <c r="ND23" s="48" t="s">
        <v>4</v>
      </c>
      <c r="NE23" s="49">
        <v>1</v>
      </c>
      <c r="NF23" s="27"/>
      <c r="NG23" s="42">
        <f t="shared" si="103"/>
        <v>0</v>
      </c>
      <c r="NH23" s="43">
        <f t="shared" si="104"/>
        <v>0</v>
      </c>
      <c r="NJ23" s="47">
        <v>0</v>
      </c>
      <c r="NK23" s="48" t="s">
        <v>4</v>
      </c>
      <c r="NL23" s="49">
        <v>5</v>
      </c>
      <c r="NM23" s="27"/>
      <c r="NN23" s="42">
        <f t="shared" si="105"/>
        <v>2.2000000000000002</v>
      </c>
      <c r="NO23" s="43">
        <f t="shared" si="106"/>
        <v>-5</v>
      </c>
      <c r="NQ23" s="47">
        <v>0</v>
      </c>
      <c r="NR23" s="48" t="s">
        <v>4</v>
      </c>
      <c r="NS23" s="49">
        <v>2</v>
      </c>
      <c r="NT23" s="27"/>
      <c r="NU23" s="42">
        <f t="shared" si="107"/>
        <v>2.2000000000000002</v>
      </c>
      <c r="NV23" s="43">
        <f t="shared" si="108"/>
        <v>-2</v>
      </c>
      <c r="NX23" s="47">
        <v>1</v>
      </c>
      <c r="NY23" s="48" t="s">
        <v>4</v>
      </c>
      <c r="NZ23" s="49">
        <v>4</v>
      </c>
      <c r="OA23" s="27"/>
      <c r="OB23" s="42">
        <f t="shared" si="109"/>
        <v>3.3000000000000003</v>
      </c>
      <c r="OC23" s="43">
        <f t="shared" si="110"/>
        <v>-3</v>
      </c>
      <c r="OE23" s="47">
        <v>2</v>
      </c>
      <c r="OF23" s="48" t="s">
        <v>4</v>
      </c>
      <c r="OG23" s="49">
        <v>2</v>
      </c>
      <c r="OH23" s="27"/>
      <c r="OI23" s="42">
        <f t="shared" si="111"/>
        <v>0</v>
      </c>
      <c r="OJ23" s="43">
        <f t="shared" si="112"/>
        <v>0</v>
      </c>
      <c r="OL23" s="47">
        <v>1</v>
      </c>
      <c r="OM23" s="48" t="s">
        <v>4</v>
      </c>
      <c r="ON23" s="49">
        <v>2</v>
      </c>
      <c r="OO23" s="27"/>
      <c r="OP23" s="42">
        <f t="shared" si="113"/>
        <v>2.2000000000000002</v>
      </c>
      <c r="OQ23" s="43">
        <f t="shared" si="114"/>
        <v>-1</v>
      </c>
      <c r="OS23" s="47">
        <v>0</v>
      </c>
      <c r="OT23" s="48" t="s">
        <v>4</v>
      </c>
      <c r="OU23" s="49">
        <v>0</v>
      </c>
      <c r="OV23" s="27"/>
      <c r="OW23" s="42">
        <f t="shared" si="115"/>
        <v>0</v>
      </c>
      <c r="OX23" s="43">
        <f t="shared" si="116"/>
        <v>0</v>
      </c>
      <c r="OZ23" s="47">
        <v>1</v>
      </c>
      <c r="PA23" s="48" t="s">
        <v>4</v>
      </c>
      <c r="PB23" s="49">
        <v>5</v>
      </c>
      <c r="PC23" s="27"/>
      <c r="PD23" s="42">
        <f t="shared" si="117"/>
        <v>2.2000000000000002</v>
      </c>
      <c r="PE23" s="43">
        <f t="shared" si="118"/>
        <v>-4</v>
      </c>
      <c r="PG23" s="47">
        <v>0</v>
      </c>
      <c r="PH23" s="48" t="s">
        <v>4</v>
      </c>
      <c r="PI23" s="49">
        <v>2</v>
      </c>
      <c r="PJ23" s="27"/>
      <c r="PK23" s="42">
        <f t="shared" si="119"/>
        <v>2.2000000000000002</v>
      </c>
      <c r="PL23" s="43">
        <f t="shared" si="120"/>
        <v>-2</v>
      </c>
      <c r="PN23" s="47">
        <v>1</v>
      </c>
      <c r="PO23" s="48" t="s">
        <v>4</v>
      </c>
      <c r="PP23" s="49">
        <v>2</v>
      </c>
      <c r="PQ23" s="27"/>
      <c r="PR23" s="42">
        <f t="shared" si="121"/>
        <v>2.2000000000000002</v>
      </c>
      <c r="PS23" s="43">
        <f t="shared" si="122"/>
        <v>-1</v>
      </c>
      <c r="PU23" s="47">
        <v>0</v>
      </c>
      <c r="PV23" s="48" t="s">
        <v>4</v>
      </c>
      <c r="PW23" s="49">
        <v>2</v>
      </c>
      <c r="PX23" s="27"/>
      <c r="PY23" s="42">
        <f t="shared" si="123"/>
        <v>2.2000000000000002</v>
      </c>
      <c r="PZ23" s="43">
        <f t="shared" si="124"/>
        <v>-2</v>
      </c>
      <c r="QB23" s="47">
        <v>0</v>
      </c>
      <c r="QC23" s="48" t="s">
        <v>4</v>
      </c>
      <c r="QD23" s="49">
        <v>3</v>
      </c>
      <c r="QE23" s="27"/>
      <c r="QF23" s="42">
        <f t="shared" si="125"/>
        <v>2.2000000000000002</v>
      </c>
      <c r="QG23" s="43">
        <f t="shared" si="126"/>
        <v>-3</v>
      </c>
      <c r="QI23" s="47">
        <v>0</v>
      </c>
      <c r="QJ23" s="48" t="s">
        <v>4</v>
      </c>
      <c r="QK23" s="49">
        <v>2</v>
      </c>
      <c r="QL23" s="27"/>
      <c r="QM23" s="42">
        <f t="shared" si="127"/>
        <v>2.2000000000000002</v>
      </c>
      <c r="QN23" s="43">
        <f t="shared" si="128"/>
        <v>-2</v>
      </c>
      <c r="QP23" s="47">
        <v>0</v>
      </c>
      <c r="QQ23" s="48" t="s">
        <v>4</v>
      </c>
      <c r="QR23" s="49">
        <v>3</v>
      </c>
      <c r="QS23" s="27"/>
      <c r="QT23" s="42">
        <f t="shared" si="129"/>
        <v>2.2000000000000002</v>
      </c>
      <c r="QU23" s="43">
        <f t="shared" si="130"/>
        <v>-3</v>
      </c>
      <c r="QW23" s="47">
        <v>1</v>
      </c>
      <c r="QX23" s="48" t="s">
        <v>4</v>
      </c>
      <c r="QY23" s="49">
        <v>2</v>
      </c>
      <c r="QZ23" s="27"/>
      <c r="RA23" s="42">
        <f t="shared" si="131"/>
        <v>2.2000000000000002</v>
      </c>
      <c r="RB23" s="43">
        <f t="shared" si="132"/>
        <v>-1</v>
      </c>
      <c r="RD23" s="47">
        <v>0</v>
      </c>
      <c r="RE23" s="48" t="s">
        <v>4</v>
      </c>
      <c r="RF23" s="49">
        <v>4</v>
      </c>
      <c r="RG23" s="27"/>
      <c r="RH23" s="42">
        <f t="shared" si="133"/>
        <v>2.2000000000000002</v>
      </c>
      <c r="RI23" s="43">
        <f t="shared" si="134"/>
        <v>-4</v>
      </c>
      <c r="RK23" s="47">
        <v>0</v>
      </c>
      <c r="RL23" s="48" t="s">
        <v>4</v>
      </c>
      <c r="RM23" s="49">
        <v>1</v>
      </c>
      <c r="RN23" s="27"/>
      <c r="RO23" s="42">
        <f t="shared" si="135"/>
        <v>2.2000000000000002</v>
      </c>
      <c r="RP23" s="43">
        <f t="shared" si="136"/>
        <v>-1</v>
      </c>
      <c r="RR23" s="47">
        <v>0</v>
      </c>
      <c r="RS23" s="48" t="s">
        <v>4</v>
      </c>
      <c r="RT23" s="49">
        <v>2</v>
      </c>
      <c r="RU23" s="27"/>
      <c r="RV23" s="42">
        <f t="shared" si="137"/>
        <v>2.2000000000000002</v>
      </c>
      <c r="RW23" s="43">
        <f t="shared" si="138"/>
        <v>-2</v>
      </c>
      <c r="RY23" s="47">
        <v>0</v>
      </c>
      <c r="RZ23" s="48" t="s">
        <v>4</v>
      </c>
      <c r="SA23" s="49">
        <v>2</v>
      </c>
      <c r="SB23" s="27"/>
      <c r="SC23" s="42">
        <f t="shared" si="139"/>
        <v>2.2000000000000002</v>
      </c>
      <c r="SD23" s="43">
        <f t="shared" si="140"/>
        <v>-2</v>
      </c>
      <c r="SF23" s="47">
        <v>0</v>
      </c>
      <c r="SG23" s="48" t="s">
        <v>4</v>
      </c>
      <c r="SH23" s="49">
        <v>2</v>
      </c>
      <c r="SI23" s="27"/>
      <c r="SJ23" s="42">
        <f t="shared" si="141"/>
        <v>2.2000000000000002</v>
      </c>
      <c r="SK23" s="43">
        <f t="shared" si="142"/>
        <v>-2</v>
      </c>
      <c r="SM23" s="47">
        <v>1</v>
      </c>
      <c r="SN23" s="48" t="s">
        <v>4</v>
      </c>
      <c r="SO23" s="49">
        <v>3</v>
      </c>
      <c r="SP23" s="27"/>
      <c r="SQ23" s="42">
        <f t="shared" si="143"/>
        <v>2.2000000000000002</v>
      </c>
      <c r="SR23" s="43">
        <f t="shared" si="144"/>
        <v>-2</v>
      </c>
    </row>
    <row r="24" spans="1:512" customFormat="1" ht="16" customHeight="1" x14ac:dyDescent="0.2">
      <c r="A24" s="34">
        <v>46190</v>
      </c>
      <c r="B24" s="35">
        <v>0.125</v>
      </c>
      <c r="C24" s="79" t="s">
        <v>54</v>
      </c>
      <c r="D24" s="80" t="s">
        <v>55</v>
      </c>
      <c r="E24" s="3">
        <v>3</v>
      </c>
      <c r="F24" s="37" t="s">
        <v>4</v>
      </c>
      <c r="G24" s="4">
        <v>0</v>
      </c>
      <c r="H24" s="16">
        <v>2.2000000000000002</v>
      </c>
      <c r="I24" s="32">
        <f t="shared" si="0"/>
        <v>3</v>
      </c>
      <c r="J24" s="47">
        <v>3</v>
      </c>
      <c r="K24" s="48" t="s">
        <v>4</v>
      </c>
      <c r="L24" s="49">
        <v>0</v>
      </c>
      <c r="M24" s="27"/>
      <c r="N24" s="42">
        <f t="shared" si="1"/>
        <v>3.3000000000000003</v>
      </c>
      <c r="O24" s="43">
        <f t="shared" si="2"/>
        <v>3</v>
      </c>
      <c r="P24" s="32"/>
      <c r="Q24" s="47">
        <v>2</v>
      </c>
      <c r="R24" s="48" t="s">
        <v>4</v>
      </c>
      <c r="S24" s="49">
        <v>1</v>
      </c>
      <c r="T24" s="27"/>
      <c r="U24" s="42">
        <f t="shared" si="3"/>
        <v>2.2000000000000002</v>
      </c>
      <c r="V24" s="43">
        <f t="shared" si="4"/>
        <v>1</v>
      </c>
      <c r="X24" s="47">
        <v>1</v>
      </c>
      <c r="Y24" s="48" t="s">
        <v>4</v>
      </c>
      <c r="Z24" s="49">
        <v>0</v>
      </c>
      <c r="AA24" s="27"/>
      <c r="AB24" s="42">
        <f t="shared" si="5"/>
        <v>2.2000000000000002</v>
      </c>
      <c r="AC24" s="43">
        <f t="shared" si="6"/>
        <v>1</v>
      </c>
      <c r="AE24" s="47">
        <v>2</v>
      </c>
      <c r="AF24" s="48" t="s">
        <v>4</v>
      </c>
      <c r="AG24" s="49">
        <v>0</v>
      </c>
      <c r="AH24" s="27"/>
      <c r="AI24" s="42">
        <f t="shared" si="7"/>
        <v>2.2000000000000002</v>
      </c>
      <c r="AJ24" s="43">
        <f t="shared" si="8"/>
        <v>2</v>
      </c>
      <c r="AL24" s="47">
        <v>3</v>
      </c>
      <c r="AM24" s="48" t="s">
        <v>4</v>
      </c>
      <c r="AN24" s="49">
        <v>0</v>
      </c>
      <c r="AO24" s="27"/>
      <c r="AP24" s="42">
        <f t="shared" si="9"/>
        <v>3.3000000000000003</v>
      </c>
      <c r="AQ24" s="43">
        <f t="shared" si="10"/>
        <v>3</v>
      </c>
      <c r="AS24" s="47">
        <v>1</v>
      </c>
      <c r="AT24" s="48" t="s">
        <v>4</v>
      </c>
      <c r="AU24" s="49">
        <v>2</v>
      </c>
      <c r="AV24" s="27"/>
      <c r="AW24" s="42">
        <f t="shared" si="11"/>
        <v>0</v>
      </c>
      <c r="AX24" s="43">
        <f t="shared" si="12"/>
        <v>-1</v>
      </c>
      <c r="AZ24" s="86">
        <v>2</v>
      </c>
      <c r="BA24" s="48" t="s">
        <v>4</v>
      </c>
      <c r="BB24" s="49">
        <v>0</v>
      </c>
      <c r="BC24" s="27"/>
      <c r="BD24" s="42">
        <f t="shared" si="13"/>
        <v>2.2000000000000002</v>
      </c>
      <c r="BE24" s="43">
        <f t="shared" si="14"/>
        <v>2</v>
      </c>
      <c r="BG24" s="47">
        <v>3</v>
      </c>
      <c r="BH24" s="48" t="s">
        <v>4</v>
      </c>
      <c r="BI24" s="49">
        <v>1</v>
      </c>
      <c r="BJ24" s="27"/>
      <c r="BK24" s="42">
        <f t="shared" si="15"/>
        <v>2.2000000000000002</v>
      </c>
      <c r="BL24" s="43">
        <f t="shared" si="16"/>
        <v>2</v>
      </c>
      <c r="BN24" s="47">
        <v>2</v>
      </c>
      <c r="BO24" s="48" t="s">
        <v>4</v>
      </c>
      <c r="BP24" s="49">
        <v>0</v>
      </c>
      <c r="BQ24" s="27"/>
      <c r="BR24" s="42">
        <f t="shared" si="17"/>
        <v>2.2000000000000002</v>
      </c>
      <c r="BS24" s="43">
        <f t="shared" si="18"/>
        <v>2</v>
      </c>
      <c r="BU24" s="47">
        <v>1</v>
      </c>
      <c r="BV24" s="48" t="s">
        <v>4</v>
      </c>
      <c r="BW24" s="49">
        <v>0</v>
      </c>
      <c r="BX24" s="27"/>
      <c r="BY24" s="42">
        <f t="shared" si="19"/>
        <v>2.2000000000000002</v>
      </c>
      <c r="BZ24" s="43">
        <f t="shared" si="20"/>
        <v>1</v>
      </c>
      <c r="CB24" s="47">
        <v>4</v>
      </c>
      <c r="CC24" s="48" t="s">
        <v>4</v>
      </c>
      <c r="CD24" s="49">
        <v>1</v>
      </c>
      <c r="CE24" s="27"/>
      <c r="CF24" s="42">
        <f t="shared" si="21"/>
        <v>2.2000000000000002</v>
      </c>
      <c r="CG24" s="43">
        <f t="shared" si="22"/>
        <v>3</v>
      </c>
      <c r="CI24" s="47">
        <v>2</v>
      </c>
      <c r="CJ24" s="48" t="s">
        <v>4</v>
      </c>
      <c r="CK24" s="49">
        <v>0</v>
      </c>
      <c r="CL24" s="27"/>
      <c r="CM24" s="42">
        <f t="shared" si="23"/>
        <v>2.2000000000000002</v>
      </c>
      <c r="CN24" s="43">
        <f t="shared" si="24"/>
        <v>2</v>
      </c>
      <c r="CP24" s="47">
        <v>2</v>
      </c>
      <c r="CQ24" s="48" t="s">
        <v>4</v>
      </c>
      <c r="CR24" s="49">
        <v>0</v>
      </c>
      <c r="CS24" s="27"/>
      <c r="CT24" s="42">
        <f t="shared" si="25"/>
        <v>2.2000000000000002</v>
      </c>
      <c r="CU24" s="43">
        <f t="shared" si="26"/>
        <v>2</v>
      </c>
      <c r="CW24" s="47">
        <v>2</v>
      </c>
      <c r="CX24" s="48" t="s">
        <v>4</v>
      </c>
      <c r="CY24" s="49">
        <v>0</v>
      </c>
      <c r="CZ24" s="27"/>
      <c r="DA24" s="42">
        <f t="shared" si="27"/>
        <v>2.2000000000000002</v>
      </c>
      <c r="DB24" s="43">
        <f t="shared" si="28"/>
        <v>2</v>
      </c>
      <c r="DD24" s="47">
        <v>2</v>
      </c>
      <c r="DE24" s="48" t="s">
        <v>4</v>
      </c>
      <c r="DF24" s="49">
        <v>0</v>
      </c>
      <c r="DG24" s="27"/>
      <c r="DH24" s="42">
        <f t="shared" si="29"/>
        <v>2.2000000000000002</v>
      </c>
      <c r="DI24" s="43">
        <f t="shared" si="30"/>
        <v>2</v>
      </c>
      <c r="DK24" s="47">
        <v>1</v>
      </c>
      <c r="DL24" s="48" t="s">
        <v>4</v>
      </c>
      <c r="DM24" s="49">
        <v>0</v>
      </c>
      <c r="DN24" s="27"/>
      <c r="DO24" s="42">
        <f t="shared" si="31"/>
        <v>2.2000000000000002</v>
      </c>
      <c r="DP24" s="43">
        <f t="shared" si="32"/>
        <v>1</v>
      </c>
      <c r="DR24" s="47">
        <v>4</v>
      </c>
      <c r="DS24" s="48" t="s">
        <v>4</v>
      </c>
      <c r="DT24" s="49">
        <v>1</v>
      </c>
      <c r="DU24" s="27"/>
      <c r="DV24" s="42">
        <f t="shared" si="33"/>
        <v>2.2000000000000002</v>
      </c>
      <c r="DW24" s="43">
        <f t="shared" si="34"/>
        <v>3</v>
      </c>
      <c r="DY24" s="47">
        <v>2</v>
      </c>
      <c r="DZ24" s="48" t="s">
        <v>4</v>
      </c>
      <c r="EA24" s="49">
        <v>0</v>
      </c>
      <c r="EB24" s="27"/>
      <c r="EC24" s="42">
        <f t="shared" si="35"/>
        <v>2.2000000000000002</v>
      </c>
      <c r="ED24" s="43">
        <f t="shared" si="36"/>
        <v>2</v>
      </c>
      <c r="EF24" s="47">
        <v>2</v>
      </c>
      <c r="EG24" s="48" t="s">
        <v>4</v>
      </c>
      <c r="EH24" s="49">
        <v>0</v>
      </c>
      <c r="EI24" s="27"/>
      <c r="EJ24" s="42">
        <f t="shared" si="37"/>
        <v>2.2000000000000002</v>
      </c>
      <c r="EK24" s="43">
        <f t="shared" si="38"/>
        <v>2</v>
      </c>
      <c r="EM24" s="47">
        <v>2</v>
      </c>
      <c r="EN24" s="48" t="s">
        <v>4</v>
      </c>
      <c r="EO24" s="49">
        <v>1</v>
      </c>
      <c r="EP24" s="27"/>
      <c r="EQ24" s="42">
        <f t="shared" si="39"/>
        <v>2.2000000000000002</v>
      </c>
      <c r="ER24" s="43">
        <f t="shared" si="40"/>
        <v>1</v>
      </c>
      <c r="ET24" s="47">
        <v>2</v>
      </c>
      <c r="EU24" s="48" t="s">
        <v>4</v>
      </c>
      <c r="EV24" s="49">
        <v>1</v>
      </c>
      <c r="EW24" s="27"/>
      <c r="EX24" s="42">
        <f t="shared" si="41"/>
        <v>2.2000000000000002</v>
      </c>
      <c r="EY24" s="43">
        <f t="shared" si="42"/>
        <v>1</v>
      </c>
      <c r="FA24" s="47">
        <v>3</v>
      </c>
      <c r="FB24" s="48" t="s">
        <v>4</v>
      </c>
      <c r="FC24" s="49">
        <v>0</v>
      </c>
      <c r="FD24" s="27"/>
      <c r="FE24" s="42">
        <f t="shared" si="43"/>
        <v>3.3000000000000003</v>
      </c>
      <c r="FF24" s="43">
        <f t="shared" si="44"/>
        <v>3</v>
      </c>
      <c r="FH24" s="47">
        <v>2</v>
      </c>
      <c r="FI24" s="48" t="s">
        <v>4</v>
      </c>
      <c r="FJ24" s="49">
        <v>1</v>
      </c>
      <c r="FK24" s="27"/>
      <c r="FL24" s="42">
        <f t="shared" si="45"/>
        <v>2.2000000000000002</v>
      </c>
      <c r="FM24" s="43">
        <f t="shared" si="46"/>
        <v>1</v>
      </c>
      <c r="FO24" s="47">
        <v>3</v>
      </c>
      <c r="FP24" s="48" t="s">
        <v>4</v>
      </c>
      <c r="FQ24" s="49">
        <v>1</v>
      </c>
      <c r="FR24" s="27"/>
      <c r="FS24" s="42">
        <f t="shared" si="47"/>
        <v>2.2000000000000002</v>
      </c>
      <c r="FT24" s="43">
        <f t="shared" si="48"/>
        <v>2</v>
      </c>
      <c r="FV24" s="47">
        <v>2</v>
      </c>
      <c r="FW24" s="48" t="s">
        <v>4</v>
      </c>
      <c r="FX24" s="49">
        <v>2</v>
      </c>
      <c r="FY24" s="27"/>
      <c r="FZ24" s="42">
        <f t="shared" si="49"/>
        <v>0</v>
      </c>
      <c r="GA24" s="43">
        <f t="shared" si="50"/>
        <v>0</v>
      </c>
      <c r="GC24" s="47">
        <v>1</v>
      </c>
      <c r="GD24" s="48" t="s">
        <v>4</v>
      </c>
      <c r="GE24" s="49">
        <v>1</v>
      </c>
      <c r="GF24" s="27"/>
      <c r="GG24" s="42">
        <f t="shared" si="51"/>
        <v>0</v>
      </c>
      <c r="GH24" s="43">
        <f t="shared" si="52"/>
        <v>0</v>
      </c>
      <c r="GJ24" s="47">
        <v>3</v>
      </c>
      <c r="GK24" s="48" t="s">
        <v>4</v>
      </c>
      <c r="GL24" s="49">
        <v>1</v>
      </c>
      <c r="GM24" s="27"/>
      <c r="GN24" s="42">
        <f t="shared" si="53"/>
        <v>2.2000000000000002</v>
      </c>
      <c r="GO24" s="43">
        <f t="shared" si="54"/>
        <v>2</v>
      </c>
      <c r="GQ24" s="47">
        <v>3</v>
      </c>
      <c r="GR24" s="48" t="s">
        <v>4</v>
      </c>
      <c r="GS24" s="49">
        <v>0</v>
      </c>
      <c r="GT24" s="27"/>
      <c r="GU24" s="42">
        <f t="shared" si="55"/>
        <v>3.3000000000000003</v>
      </c>
      <c r="GV24" s="43">
        <f t="shared" si="56"/>
        <v>3</v>
      </c>
      <c r="GX24" s="47">
        <v>2</v>
      </c>
      <c r="GY24" s="48" t="s">
        <v>4</v>
      </c>
      <c r="GZ24" s="49">
        <v>1</v>
      </c>
      <c r="HA24" s="27"/>
      <c r="HB24" s="42">
        <f t="shared" si="57"/>
        <v>2.2000000000000002</v>
      </c>
      <c r="HC24" s="43">
        <f t="shared" si="58"/>
        <v>1</v>
      </c>
      <c r="HE24" s="47">
        <v>3</v>
      </c>
      <c r="HF24" s="48" t="s">
        <v>4</v>
      </c>
      <c r="HG24" s="49">
        <v>0</v>
      </c>
      <c r="HH24" s="27"/>
      <c r="HI24" s="42">
        <f t="shared" si="59"/>
        <v>3.3000000000000003</v>
      </c>
      <c r="HJ24" s="43">
        <f t="shared" si="60"/>
        <v>3</v>
      </c>
      <c r="HL24" s="47">
        <v>2</v>
      </c>
      <c r="HM24" s="48" t="s">
        <v>4</v>
      </c>
      <c r="HN24" s="49">
        <v>0</v>
      </c>
      <c r="HO24" s="27"/>
      <c r="HP24" s="42">
        <f t="shared" si="61"/>
        <v>2.2000000000000002</v>
      </c>
      <c r="HQ24" s="43">
        <f t="shared" si="62"/>
        <v>2</v>
      </c>
      <c r="HS24" s="47">
        <v>3</v>
      </c>
      <c r="HT24" s="48" t="s">
        <v>4</v>
      </c>
      <c r="HU24" s="49">
        <v>0</v>
      </c>
      <c r="HV24" s="27"/>
      <c r="HW24" s="42">
        <f t="shared" si="63"/>
        <v>3.3000000000000003</v>
      </c>
      <c r="HX24" s="43">
        <f t="shared" si="64"/>
        <v>3</v>
      </c>
      <c r="HZ24" s="47">
        <v>3</v>
      </c>
      <c r="IA24" s="48" t="s">
        <v>4</v>
      </c>
      <c r="IB24" s="49">
        <v>1</v>
      </c>
      <c r="IC24" s="27"/>
      <c r="ID24" s="42">
        <f t="shared" si="65"/>
        <v>2.2000000000000002</v>
      </c>
      <c r="IE24" s="43">
        <f t="shared" si="66"/>
        <v>2</v>
      </c>
      <c r="IG24" s="47">
        <v>0</v>
      </c>
      <c r="IH24" s="48" t="s">
        <v>4</v>
      </c>
      <c r="II24" s="49">
        <v>1</v>
      </c>
      <c r="IJ24" s="27"/>
      <c r="IK24" s="42">
        <f t="shared" si="67"/>
        <v>0</v>
      </c>
      <c r="IL24" s="43">
        <f t="shared" si="68"/>
        <v>-1</v>
      </c>
      <c r="IN24" s="47">
        <v>3</v>
      </c>
      <c r="IO24" s="48" t="s">
        <v>4</v>
      </c>
      <c r="IP24" s="49">
        <v>0</v>
      </c>
      <c r="IQ24" s="27"/>
      <c r="IR24" s="42">
        <f t="shared" si="69"/>
        <v>3.3000000000000003</v>
      </c>
      <c r="IS24" s="43">
        <f t="shared" si="70"/>
        <v>3</v>
      </c>
      <c r="IU24" s="47">
        <v>2</v>
      </c>
      <c r="IV24" s="48" t="s">
        <v>4</v>
      </c>
      <c r="IW24" s="49">
        <v>0</v>
      </c>
      <c r="IX24" s="27"/>
      <c r="IY24" s="42">
        <f t="shared" si="71"/>
        <v>2.2000000000000002</v>
      </c>
      <c r="IZ24" s="43">
        <f t="shared" si="72"/>
        <v>2</v>
      </c>
      <c r="JB24" s="47">
        <v>1</v>
      </c>
      <c r="JC24" s="48" t="s">
        <v>4</v>
      </c>
      <c r="JD24" s="49">
        <v>2</v>
      </c>
      <c r="JE24" s="27"/>
      <c r="JF24" s="42">
        <f t="shared" si="73"/>
        <v>0</v>
      </c>
      <c r="JG24" s="43">
        <f t="shared" si="74"/>
        <v>-1</v>
      </c>
      <c r="JI24" s="47">
        <v>3</v>
      </c>
      <c r="JJ24" s="48" t="s">
        <v>4</v>
      </c>
      <c r="JK24" s="49">
        <v>1</v>
      </c>
      <c r="JL24" s="27"/>
      <c r="JM24" s="42">
        <f t="shared" si="75"/>
        <v>2.2000000000000002</v>
      </c>
      <c r="JN24" s="43">
        <f t="shared" si="76"/>
        <v>2</v>
      </c>
      <c r="JP24" s="47">
        <v>2</v>
      </c>
      <c r="JQ24" s="48" t="s">
        <v>4</v>
      </c>
      <c r="JR24" s="49">
        <v>0</v>
      </c>
      <c r="JS24" s="27"/>
      <c r="JT24" s="42">
        <f t="shared" si="77"/>
        <v>2.2000000000000002</v>
      </c>
      <c r="JU24" s="43">
        <f t="shared" si="78"/>
        <v>2</v>
      </c>
      <c r="JW24" s="47">
        <v>3</v>
      </c>
      <c r="JX24" s="48" t="s">
        <v>4</v>
      </c>
      <c r="JY24" s="49">
        <v>1</v>
      </c>
      <c r="JZ24" s="27"/>
      <c r="KA24" s="42">
        <f t="shared" si="79"/>
        <v>2.2000000000000002</v>
      </c>
      <c r="KB24" s="43">
        <f t="shared" si="80"/>
        <v>2</v>
      </c>
      <c r="KD24" s="47">
        <v>3</v>
      </c>
      <c r="KE24" s="48" t="s">
        <v>4</v>
      </c>
      <c r="KF24" s="49">
        <v>1</v>
      </c>
      <c r="KG24" s="27"/>
      <c r="KH24" s="42">
        <f t="shared" si="81"/>
        <v>2.2000000000000002</v>
      </c>
      <c r="KI24" s="43">
        <f t="shared" si="82"/>
        <v>2</v>
      </c>
      <c r="KK24" s="47">
        <v>2</v>
      </c>
      <c r="KL24" s="48" t="s">
        <v>4</v>
      </c>
      <c r="KM24" s="49">
        <v>0</v>
      </c>
      <c r="KN24" s="27"/>
      <c r="KO24" s="42">
        <f t="shared" si="83"/>
        <v>2.2000000000000002</v>
      </c>
      <c r="KP24" s="43">
        <f t="shared" si="84"/>
        <v>2</v>
      </c>
      <c r="KR24" s="47">
        <v>1</v>
      </c>
      <c r="KS24" s="48" t="s">
        <v>4</v>
      </c>
      <c r="KT24" s="49">
        <v>0</v>
      </c>
      <c r="KU24" s="27"/>
      <c r="KV24" s="42">
        <f t="shared" si="85"/>
        <v>2.2000000000000002</v>
      </c>
      <c r="KW24" s="43">
        <f t="shared" si="86"/>
        <v>1</v>
      </c>
      <c r="KY24" s="47">
        <v>2</v>
      </c>
      <c r="KZ24" s="48" t="s">
        <v>4</v>
      </c>
      <c r="LA24" s="49">
        <v>1</v>
      </c>
      <c r="LB24" s="27"/>
      <c r="LC24" s="42">
        <f t="shared" si="87"/>
        <v>2.2000000000000002</v>
      </c>
      <c r="LD24" s="43">
        <f t="shared" si="88"/>
        <v>1</v>
      </c>
      <c r="LF24" s="47">
        <v>2</v>
      </c>
      <c r="LG24" s="48" t="s">
        <v>4</v>
      </c>
      <c r="LH24" s="49">
        <v>1</v>
      </c>
      <c r="LI24" s="27"/>
      <c r="LJ24" s="42">
        <f t="shared" si="89"/>
        <v>2.2000000000000002</v>
      </c>
      <c r="LK24" s="43">
        <f t="shared" si="90"/>
        <v>1</v>
      </c>
      <c r="LM24" s="47">
        <v>2</v>
      </c>
      <c r="LN24" s="48" t="s">
        <v>4</v>
      </c>
      <c r="LO24" s="49">
        <v>0</v>
      </c>
      <c r="LP24" s="27"/>
      <c r="LQ24" s="42">
        <f t="shared" si="91"/>
        <v>2.2000000000000002</v>
      </c>
      <c r="LR24" s="43">
        <f t="shared" si="92"/>
        <v>2</v>
      </c>
      <c r="LT24" s="47">
        <v>2</v>
      </c>
      <c r="LU24" s="48" t="s">
        <v>4</v>
      </c>
      <c r="LV24" s="49">
        <v>0</v>
      </c>
      <c r="LW24" s="27"/>
      <c r="LX24" s="42">
        <f t="shared" si="93"/>
        <v>2.2000000000000002</v>
      </c>
      <c r="LY24" s="43">
        <f t="shared" si="94"/>
        <v>2</v>
      </c>
      <c r="MA24" s="47">
        <v>4</v>
      </c>
      <c r="MB24" s="48" t="s">
        <v>4</v>
      </c>
      <c r="MC24" s="49">
        <v>1</v>
      </c>
      <c r="MD24" s="27"/>
      <c r="ME24" s="42">
        <f t="shared" si="95"/>
        <v>2.2000000000000002</v>
      </c>
      <c r="MF24" s="43">
        <f t="shared" si="96"/>
        <v>3</v>
      </c>
      <c r="MH24" s="47">
        <v>2</v>
      </c>
      <c r="MI24" s="48" t="s">
        <v>4</v>
      </c>
      <c r="MJ24" s="49">
        <v>0</v>
      </c>
      <c r="MK24" s="27"/>
      <c r="ML24" s="42">
        <f t="shared" si="97"/>
        <v>2.2000000000000002</v>
      </c>
      <c r="MM24" s="43">
        <f t="shared" si="98"/>
        <v>2</v>
      </c>
      <c r="MO24" s="47">
        <v>3</v>
      </c>
      <c r="MP24" s="48" t="s">
        <v>4</v>
      </c>
      <c r="MQ24" s="49">
        <v>0</v>
      </c>
      <c r="MR24" s="27"/>
      <c r="MS24" s="42">
        <f t="shared" si="99"/>
        <v>3.3000000000000003</v>
      </c>
      <c r="MT24" s="43">
        <f t="shared" si="100"/>
        <v>3</v>
      </c>
      <c r="MV24" s="47">
        <v>3</v>
      </c>
      <c r="MW24" s="48" t="s">
        <v>4</v>
      </c>
      <c r="MX24" s="49">
        <v>2</v>
      </c>
      <c r="MY24" s="27"/>
      <c r="MZ24" s="42">
        <f t="shared" si="101"/>
        <v>2.2000000000000002</v>
      </c>
      <c r="NA24" s="43">
        <f t="shared" si="102"/>
        <v>1</v>
      </c>
      <c r="NC24" s="47">
        <v>2</v>
      </c>
      <c r="ND24" s="48" t="s">
        <v>4</v>
      </c>
      <c r="NE24" s="49">
        <v>0</v>
      </c>
      <c r="NF24" s="27"/>
      <c r="NG24" s="42">
        <f t="shared" si="103"/>
        <v>2.2000000000000002</v>
      </c>
      <c r="NH24" s="43">
        <f t="shared" si="104"/>
        <v>2</v>
      </c>
      <c r="NJ24" s="47">
        <v>2</v>
      </c>
      <c r="NK24" s="48" t="s">
        <v>4</v>
      </c>
      <c r="NL24" s="49">
        <v>1</v>
      </c>
      <c r="NM24" s="27"/>
      <c r="NN24" s="42">
        <f t="shared" si="105"/>
        <v>2.2000000000000002</v>
      </c>
      <c r="NO24" s="43">
        <f t="shared" si="106"/>
        <v>1</v>
      </c>
      <c r="NQ24" s="47">
        <v>4</v>
      </c>
      <c r="NR24" s="48" t="s">
        <v>4</v>
      </c>
      <c r="NS24" s="49">
        <v>1</v>
      </c>
      <c r="NT24" s="27"/>
      <c r="NU24" s="42">
        <f t="shared" si="107"/>
        <v>2.2000000000000002</v>
      </c>
      <c r="NV24" s="43">
        <f t="shared" si="108"/>
        <v>3</v>
      </c>
      <c r="NX24" s="47">
        <v>2</v>
      </c>
      <c r="NY24" s="48" t="s">
        <v>4</v>
      </c>
      <c r="NZ24" s="49">
        <v>0</v>
      </c>
      <c r="OA24" s="27"/>
      <c r="OB24" s="42">
        <f t="shared" si="109"/>
        <v>2.2000000000000002</v>
      </c>
      <c r="OC24" s="43">
        <f t="shared" si="110"/>
        <v>2</v>
      </c>
      <c r="OE24" s="47">
        <v>3</v>
      </c>
      <c r="OF24" s="48" t="s">
        <v>4</v>
      </c>
      <c r="OG24" s="49">
        <v>1</v>
      </c>
      <c r="OH24" s="27"/>
      <c r="OI24" s="42">
        <f t="shared" si="111"/>
        <v>2.2000000000000002</v>
      </c>
      <c r="OJ24" s="43">
        <f t="shared" si="112"/>
        <v>2</v>
      </c>
      <c r="OL24" s="47">
        <v>3</v>
      </c>
      <c r="OM24" s="48" t="s">
        <v>4</v>
      </c>
      <c r="ON24" s="49">
        <v>0</v>
      </c>
      <c r="OO24" s="27"/>
      <c r="OP24" s="42">
        <f t="shared" si="113"/>
        <v>3.3000000000000003</v>
      </c>
      <c r="OQ24" s="43">
        <f t="shared" si="114"/>
        <v>3</v>
      </c>
      <c r="OS24" s="47">
        <v>1</v>
      </c>
      <c r="OT24" s="48" t="s">
        <v>4</v>
      </c>
      <c r="OU24" s="49">
        <v>1</v>
      </c>
      <c r="OV24" s="27"/>
      <c r="OW24" s="42">
        <f t="shared" si="115"/>
        <v>0</v>
      </c>
      <c r="OX24" s="43">
        <f t="shared" si="116"/>
        <v>0</v>
      </c>
      <c r="OZ24" s="47">
        <v>2</v>
      </c>
      <c r="PA24" s="48" t="s">
        <v>4</v>
      </c>
      <c r="PB24" s="49">
        <v>1</v>
      </c>
      <c r="PC24" s="27"/>
      <c r="PD24" s="42">
        <f t="shared" si="117"/>
        <v>2.2000000000000002</v>
      </c>
      <c r="PE24" s="43">
        <f t="shared" si="118"/>
        <v>1</v>
      </c>
      <c r="PG24" s="47">
        <v>2</v>
      </c>
      <c r="PH24" s="48" t="s">
        <v>4</v>
      </c>
      <c r="PI24" s="49">
        <v>0</v>
      </c>
      <c r="PJ24" s="27"/>
      <c r="PK24" s="42">
        <f t="shared" si="119"/>
        <v>2.2000000000000002</v>
      </c>
      <c r="PL24" s="43">
        <f t="shared" si="120"/>
        <v>2</v>
      </c>
      <c r="PN24" s="47">
        <v>2</v>
      </c>
      <c r="PO24" s="48" t="s">
        <v>4</v>
      </c>
      <c r="PP24" s="49">
        <v>1</v>
      </c>
      <c r="PQ24" s="27"/>
      <c r="PR24" s="42">
        <f t="shared" si="121"/>
        <v>2.2000000000000002</v>
      </c>
      <c r="PS24" s="43">
        <f t="shared" si="122"/>
        <v>1</v>
      </c>
      <c r="PU24" s="47">
        <v>2</v>
      </c>
      <c r="PV24" s="48" t="s">
        <v>4</v>
      </c>
      <c r="PW24" s="49">
        <v>0</v>
      </c>
      <c r="PX24" s="27"/>
      <c r="PY24" s="42">
        <f t="shared" si="123"/>
        <v>2.2000000000000002</v>
      </c>
      <c r="PZ24" s="43">
        <f t="shared" si="124"/>
        <v>2</v>
      </c>
      <c r="QB24" s="47">
        <v>2</v>
      </c>
      <c r="QC24" s="48" t="s">
        <v>4</v>
      </c>
      <c r="QD24" s="49">
        <v>1</v>
      </c>
      <c r="QE24" s="27"/>
      <c r="QF24" s="42">
        <f t="shared" si="125"/>
        <v>2.2000000000000002</v>
      </c>
      <c r="QG24" s="43">
        <f t="shared" si="126"/>
        <v>1</v>
      </c>
      <c r="QI24" s="47">
        <v>1</v>
      </c>
      <c r="QJ24" s="48" t="s">
        <v>4</v>
      </c>
      <c r="QK24" s="49">
        <v>0</v>
      </c>
      <c r="QL24" s="27"/>
      <c r="QM24" s="42">
        <f t="shared" si="127"/>
        <v>2.2000000000000002</v>
      </c>
      <c r="QN24" s="43">
        <f t="shared" si="128"/>
        <v>1</v>
      </c>
      <c r="QP24" s="47">
        <v>1</v>
      </c>
      <c r="QQ24" s="48" t="s">
        <v>4</v>
      </c>
      <c r="QR24" s="49">
        <v>0</v>
      </c>
      <c r="QS24" s="27"/>
      <c r="QT24" s="42">
        <f t="shared" si="129"/>
        <v>2.2000000000000002</v>
      </c>
      <c r="QU24" s="43">
        <f t="shared" si="130"/>
        <v>1</v>
      </c>
      <c r="QW24" s="47">
        <v>3</v>
      </c>
      <c r="QX24" s="48" t="s">
        <v>4</v>
      </c>
      <c r="QY24" s="49">
        <v>1</v>
      </c>
      <c r="QZ24" s="27"/>
      <c r="RA24" s="42">
        <f t="shared" si="131"/>
        <v>2.2000000000000002</v>
      </c>
      <c r="RB24" s="43">
        <f t="shared" si="132"/>
        <v>2</v>
      </c>
      <c r="RD24" s="47">
        <v>3</v>
      </c>
      <c r="RE24" s="48" t="s">
        <v>4</v>
      </c>
      <c r="RF24" s="49">
        <v>2</v>
      </c>
      <c r="RG24" s="27"/>
      <c r="RH24" s="42">
        <f t="shared" si="133"/>
        <v>2.2000000000000002</v>
      </c>
      <c r="RI24" s="43">
        <f t="shared" si="134"/>
        <v>1</v>
      </c>
      <c r="RK24" s="47">
        <v>2</v>
      </c>
      <c r="RL24" s="48" t="s">
        <v>4</v>
      </c>
      <c r="RM24" s="49">
        <v>0</v>
      </c>
      <c r="RN24" s="27"/>
      <c r="RO24" s="42">
        <f t="shared" si="135"/>
        <v>2.2000000000000002</v>
      </c>
      <c r="RP24" s="43">
        <f t="shared" si="136"/>
        <v>2</v>
      </c>
      <c r="RR24" s="47">
        <v>3</v>
      </c>
      <c r="RS24" s="48" t="s">
        <v>4</v>
      </c>
      <c r="RT24" s="49">
        <v>0</v>
      </c>
      <c r="RU24" s="27"/>
      <c r="RV24" s="42">
        <f t="shared" si="137"/>
        <v>3.3000000000000003</v>
      </c>
      <c r="RW24" s="43">
        <f t="shared" si="138"/>
        <v>3</v>
      </c>
      <c r="RY24" s="47">
        <v>3</v>
      </c>
      <c r="RZ24" s="48" t="s">
        <v>4</v>
      </c>
      <c r="SA24" s="49">
        <v>0</v>
      </c>
      <c r="SB24" s="27"/>
      <c r="SC24" s="42">
        <f t="shared" si="139"/>
        <v>3.3000000000000003</v>
      </c>
      <c r="SD24" s="43">
        <f t="shared" si="140"/>
        <v>3</v>
      </c>
      <c r="SF24" s="47">
        <v>3</v>
      </c>
      <c r="SG24" s="48" t="s">
        <v>4</v>
      </c>
      <c r="SH24" s="49">
        <v>0</v>
      </c>
      <c r="SI24" s="27"/>
      <c r="SJ24" s="42">
        <f t="shared" si="141"/>
        <v>3.3000000000000003</v>
      </c>
      <c r="SK24" s="43">
        <f t="shared" si="142"/>
        <v>3</v>
      </c>
      <c r="SM24" s="47">
        <v>3</v>
      </c>
      <c r="SN24" s="48" t="s">
        <v>4</v>
      </c>
      <c r="SO24" s="49">
        <v>1</v>
      </c>
      <c r="SP24" s="27"/>
      <c r="SQ24" s="42">
        <f t="shared" si="143"/>
        <v>2.2000000000000002</v>
      </c>
      <c r="SR24" s="43">
        <f t="shared" si="144"/>
        <v>2</v>
      </c>
    </row>
    <row r="25" spans="1:512" customFormat="1" ht="16" customHeight="1" x14ac:dyDescent="0.2">
      <c r="A25" s="34">
        <v>46190</v>
      </c>
      <c r="B25" s="35">
        <v>0.25</v>
      </c>
      <c r="C25" s="51" t="s">
        <v>24</v>
      </c>
      <c r="D25" s="81" t="s">
        <v>56</v>
      </c>
      <c r="E25" s="3">
        <v>3</v>
      </c>
      <c r="F25" s="37" t="s">
        <v>4</v>
      </c>
      <c r="G25" s="4">
        <v>1</v>
      </c>
      <c r="H25" s="16">
        <v>2.2000000000000002</v>
      </c>
      <c r="I25" s="32">
        <f t="shared" si="0"/>
        <v>2</v>
      </c>
      <c r="J25" s="47">
        <v>1</v>
      </c>
      <c r="K25" s="48" t="s">
        <v>4</v>
      </c>
      <c r="L25" s="49">
        <v>0</v>
      </c>
      <c r="M25" s="27"/>
      <c r="N25" s="42">
        <f t="shared" si="1"/>
        <v>2.2000000000000002</v>
      </c>
      <c r="O25" s="43">
        <f t="shared" si="2"/>
        <v>1</v>
      </c>
      <c r="P25" s="32"/>
      <c r="Q25" s="47">
        <v>1</v>
      </c>
      <c r="R25" s="48" t="s">
        <v>4</v>
      </c>
      <c r="S25" s="49">
        <v>0</v>
      </c>
      <c r="T25" s="27"/>
      <c r="U25" s="42">
        <f t="shared" si="3"/>
        <v>2.2000000000000002</v>
      </c>
      <c r="V25" s="43">
        <f t="shared" si="4"/>
        <v>1</v>
      </c>
      <c r="X25" s="47">
        <v>4</v>
      </c>
      <c r="Y25" s="48" t="s">
        <v>4</v>
      </c>
      <c r="Z25" s="49">
        <v>1</v>
      </c>
      <c r="AA25" s="27"/>
      <c r="AB25" s="42">
        <f t="shared" si="5"/>
        <v>2.2000000000000002</v>
      </c>
      <c r="AC25" s="43">
        <f t="shared" si="6"/>
        <v>3</v>
      </c>
      <c r="AE25" s="47">
        <v>2</v>
      </c>
      <c r="AF25" s="48" t="s">
        <v>4</v>
      </c>
      <c r="AG25" s="49">
        <v>2</v>
      </c>
      <c r="AH25" s="27"/>
      <c r="AI25" s="42">
        <f t="shared" si="7"/>
        <v>0</v>
      </c>
      <c r="AJ25" s="43">
        <f t="shared" si="8"/>
        <v>0</v>
      </c>
      <c r="AL25" s="47">
        <v>2</v>
      </c>
      <c r="AM25" s="48" t="s">
        <v>4</v>
      </c>
      <c r="AN25" s="49">
        <v>0</v>
      </c>
      <c r="AO25" s="27"/>
      <c r="AP25" s="42">
        <f t="shared" si="9"/>
        <v>2.2000000000000002</v>
      </c>
      <c r="AQ25" s="43">
        <f t="shared" si="10"/>
        <v>2</v>
      </c>
      <c r="AS25" s="47">
        <v>3</v>
      </c>
      <c r="AT25" s="48" t="s">
        <v>4</v>
      </c>
      <c r="AU25" s="49">
        <v>1</v>
      </c>
      <c r="AV25" s="27"/>
      <c r="AW25" s="42">
        <f t="shared" si="11"/>
        <v>3.3000000000000003</v>
      </c>
      <c r="AX25" s="43">
        <f t="shared" si="12"/>
        <v>2</v>
      </c>
      <c r="AZ25" s="86">
        <v>2</v>
      </c>
      <c r="BA25" s="48" t="s">
        <v>4</v>
      </c>
      <c r="BB25" s="49">
        <v>0</v>
      </c>
      <c r="BC25" s="27"/>
      <c r="BD25" s="42">
        <f t="shared" si="13"/>
        <v>2.2000000000000002</v>
      </c>
      <c r="BE25" s="43">
        <f t="shared" si="14"/>
        <v>2</v>
      </c>
      <c r="BG25" s="47">
        <v>2</v>
      </c>
      <c r="BH25" s="48"/>
      <c r="BI25" s="49">
        <v>0</v>
      </c>
      <c r="BJ25" s="27"/>
      <c r="BK25" s="42">
        <f t="shared" si="15"/>
        <v>2.2000000000000002</v>
      </c>
      <c r="BL25" s="43">
        <f t="shared" si="16"/>
        <v>2</v>
      </c>
      <c r="BN25" s="47">
        <v>1</v>
      </c>
      <c r="BO25" s="48" t="s">
        <v>4</v>
      </c>
      <c r="BP25" s="49">
        <v>0</v>
      </c>
      <c r="BQ25" s="27"/>
      <c r="BR25" s="42">
        <f t="shared" si="17"/>
        <v>2.2000000000000002</v>
      </c>
      <c r="BS25" s="43">
        <f t="shared" si="18"/>
        <v>1</v>
      </c>
      <c r="BU25" s="47">
        <v>2</v>
      </c>
      <c r="BV25" s="48" t="s">
        <v>4</v>
      </c>
      <c r="BW25" s="49">
        <v>0</v>
      </c>
      <c r="BX25" s="27"/>
      <c r="BY25" s="42">
        <f t="shared" si="19"/>
        <v>2.2000000000000002</v>
      </c>
      <c r="BZ25" s="43">
        <f t="shared" si="20"/>
        <v>2</v>
      </c>
      <c r="CB25" s="47">
        <v>3</v>
      </c>
      <c r="CC25" s="48" t="s">
        <v>4</v>
      </c>
      <c r="CD25" s="49">
        <v>2</v>
      </c>
      <c r="CE25" s="27"/>
      <c r="CF25" s="42">
        <f t="shared" si="21"/>
        <v>2.2000000000000002</v>
      </c>
      <c r="CG25" s="43">
        <f t="shared" si="22"/>
        <v>1</v>
      </c>
      <c r="CI25" s="47">
        <v>2</v>
      </c>
      <c r="CJ25" s="48" t="s">
        <v>4</v>
      </c>
      <c r="CK25" s="49">
        <v>0</v>
      </c>
      <c r="CL25" s="27"/>
      <c r="CM25" s="42">
        <f t="shared" si="23"/>
        <v>2.2000000000000002</v>
      </c>
      <c r="CN25" s="43">
        <f t="shared" si="24"/>
        <v>2</v>
      </c>
      <c r="CP25" s="47">
        <v>2</v>
      </c>
      <c r="CQ25" s="48" t="s">
        <v>4</v>
      </c>
      <c r="CR25" s="49">
        <v>0</v>
      </c>
      <c r="CS25" s="27"/>
      <c r="CT25" s="42">
        <f t="shared" si="25"/>
        <v>2.2000000000000002</v>
      </c>
      <c r="CU25" s="43">
        <f t="shared" si="26"/>
        <v>2</v>
      </c>
      <c r="CW25" s="47">
        <v>1</v>
      </c>
      <c r="CX25" s="48" t="s">
        <v>4</v>
      </c>
      <c r="CY25" s="49">
        <v>0</v>
      </c>
      <c r="CZ25" s="27"/>
      <c r="DA25" s="42">
        <f t="shared" si="27"/>
        <v>2.2000000000000002</v>
      </c>
      <c r="DB25" s="43">
        <f t="shared" si="28"/>
        <v>1</v>
      </c>
      <c r="DD25" s="47">
        <v>3</v>
      </c>
      <c r="DE25" s="48" t="s">
        <v>4</v>
      </c>
      <c r="DF25" s="49">
        <v>3</v>
      </c>
      <c r="DG25" s="27"/>
      <c r="DH25" s="42">
        <f t="shared" si="29"/>
        <v>0</v>
      </c>
      <c r="DI25" s="43">
        <f t="shared" si="30"/>
        <v>0</v>
      </c>
      <c r="DK25" s="47">
        <v>2</v>
      </c>
      <c r="DL25" s="48" t="s">
        <v>4</v>
      </c>
      <c r="DM25" s="49">
        <v>0</v>
      </c>
      <c r="DN25" s="27"/>
      <c r="DO25" s="42">
        <f t="shared" si="31"/>
        <v>2.2000000000000002</v>
      </c>
      <c r="DP25" s="43">
        <f t="shared" si="32"/>
        <v>2</v>
      </c>
      <c r="DR25" s="47">
        <v>3</v>
      </c>
      <c r="DS25" s="48" t="s">
        <v>4</v>
      </c>
      <c r="DT25" s="49">
        <v>0</v>
      </c>
      <c r="DU25" s="27"/>
      <c r="DV25" s="42">
        <f t="shared" si="33"/>
        <v>2.2000000000000002</v>
      </c>
      <c r="DW25" s="43">
        <f t="shared" si="34"/>
        <v>3</v>
      </c>
      <c r="DY25" s="47">
        <v>1</v>
      </c>
      <c r="DZ25" s="48" t="s">
        <v>4</v>
      </c>
      <c r="EA25" s="49">
        <v>0</v>
      </c>
      <c r="EB25" s="27"/>
      <c r="EC25" s="42">
        <f t="shared" si="35"/>
        <v>2.2000000000000002</v>
      </c>
      <c r="ED25" s="43">
        <f t="shared" si="36"/>
        <v>1</v>
      </c>
      <c r="EF25" s="47">
        <v>1</v>
      </c>
      <c r="EG25" s="48" t="s">
        <v>4</v>
      </c>
      <c r="EH25" s="49">
        <v>1</v>
      </c>
      <c r="EI25" s="27"/>
      <c r="EJ25" s="42">
        <f t="shared" si="37"/>
        <v>0</v>
      </c>
      <c r="EK25" s="43">
        <f t="shared" si="38"/>
        <v>0</v>
      </c>
      <c r="EM25" s="47">
        <v>5</v>
      </c>
      <c r="EN25" s="48" t="s">
        <v>4</v>
      </c>
      <c r="EO25" s="49">
        <v>1</v>
      </c>
      <c r="EP25" s="27"/>
      <c r="EQ25" s="42">
        <f t="shared" si="39"/>
        <v>2.2000000000000002</v>
      </c>
      <c r="ER25" s="43">
        <f t="shared" si="40"/>
        <v>4</v>
      </c>
      <c r="ET25" s="47">
        <v>1</v>
      </c>
      <c r="EU25" s="48" t="s">
        <v>4</v>
      </c>
      <c r="EV25" s="49">
        <v>0</v>
      </c>
      <c r="EW25" s="27"/>
      <c r="EX25" s="42">
        <f t="shared" si="41"/>
        <v>2.2000000000000002</v>
      </c>
      <c r="EY25" s="43">
        <f t="shared" si="42"/>
        <v>1</v>
      </c>
      <c r="FA25" s="47">
        <v>2</v>
      </c>
      <c r="FB25" s="48" t="s">
        <v>4</v>
      </c>
      <c r="FC25" s="49">
        <v>0</v>
      </c>
      <c r="FD25" s="27"/>
      <c r="FE25" s="42">
        <f t="shared" si="43"/>
        <v>2.2000000000000002</v>
      </c>
      <c r="FF25" s="43">
        <f t="shared" si="44"/>
        <v>2</v>
      </c>
      <c r="FH25" s="47">
        <v>2</v>
      </c>
      <c r="FI25" s="48" t="s">
        <v>4</v>
      </c>
      <c r="FJ25" s="49">
        <v>0</v>
      </c>
      <c r="FK25" s="27"/>
      <c r="FL25" s="42">
        <f t="shared" si="45"/>
        <v>2.2000000000000002</v>
      </c>
      <c r="FM25" s="43">
        <f t="shared" si="46"/>
        <v>2</v>
      </c>
      <c r="FO25" s="47">
        <v>3</v>
      </c>
      <c r="FP25" s="48" t="s">
        <v>4</v>
      </c>
      <c r="FQ25" s="49">
        <v>1</v>
      </c>
      <c r="FR25" s="27"/>
      <c r="FS25" s="42">
        <f t="shared" si="47"/>
        <v>3.3000000000000003</v>
      </c>
      <c r="FT25" s="43">
        <f t="shared" si="48"/>
        <v>2</v>
      </c>
      <c r="FV25" s="47">
        <v>3</v>
      </c>
      <c r="FW25" s="48" t="s">
        <v>4</v>
      </c>
      <c r="FX25" s="49">
        <v>0</v>
      </c>
      <c r="FY25" s="27"/>
      <c r="FZ25" s="42">
        <f t="shared" si="49"/>
        <v>2.2000000000000002</v>
      </c>
      <c r="GA25" s="43">
        <f t="shared" si="50"/>
        <v>3</v>
      </c>
      <c r="GC25" s="47">
        <v>2</v>
      </c>
      <c r="GD25" s="48" t="s">
        <v>4</v>
      </c>
      <c r="GE25" s="49">
        <v>0</v>
      </c>
      <c r="GF25" s="27"/>
      <c r="GG25" s="42">
        <f t="shared" si="51"/>
        <v>2.2000000000000002</v>
      </c>
      <c r="GH25" s="43">
        <f t="shared" si="52"/>
        <v>2</v>
      </c>
      <c r="GJ25" s="47">
        <v>2</v>
      </c>
      <c r="GK25" s="48" t="s">
        <v>4</v>
      </c>
      <c r="GL25" s="49">
        <v>0</v>
      </c>
      <c r="GM25" s="27"/>
      <c r="GN25" s="42">
        <f t="shared" si="53"/>
        <v>2.2000000000000002</v>
      </c>
      <c r="GO25" s="43">
        <f t="shared" si="54"/>
        <v>2</v>
      </c>
      <c r="GQ25" s="47">
        <v>3</v>
      </c>
      <c r="GR25" s="48" t="s">
        <v>4</v>
      </c>
      <c r="GS25" s="49">
        <v>0</v>
      </c>
      <c r="GT25" s="27"/>
      <c r="GU25" s="42">
        <f t="shared" si="55"/>
        <v>2.2000000000000002</v>
      </c>
      <c r="GV25" s="43">
        <f t="shared" si="56"/>
        <v>3</v>
      </c>
      <c r="GX25" s="47">
        <v>3</v>
      </c>
      <c r="GY25" s="48" t="s">
        <v>4</v>
      </c>
      <c r="GZ25" s="49">
        <v>1</v>
      </c>
      <c r="HA25" s="27"/>
      <c r="HB25" s="42">
        <f t="shared" si="57"/>
        <v>3.3000000000000003</v>
      </c>
      <c r="HC25" s="43">
        <f t="shared" si="58"/>
        <v>2</v>
      </c>
      <c r="HE25" s="47">
        <v>1</v>
      </c>
      <c r="HF25" s="48" t="s">
        <v>4</v>
      </c>
      <c r="HG25" s="49">
        <v>0</v>
      </c>
      <c r="HH25" s="27"/>
      <c r="HI25" s="42">
        <f t="shared" si="59"/>
        <v>2.2000000000000002</v>
      </c>
      <c r="HJ25" s="43">
        <f t="shared" si="60"/>
        <v>1</v>
      </c>
      <c r="HL25" s="47">
        <v>2</v>
      </c>
      <c r="HM25" s="48" t="s">
        <v>4</v>
      </c>
      <c r="HN25" s="49">
        <v>0</v>
      </c>
      <c r="HO25" s="27"/>
      <c r="HP25" s="42">
        <f t="shared" si="61"/>
        <v>2.2000000000000002</v>
      </c>
      <c r="HQ25" s="43">
        <f t="shared" si="62"/>
        <v>2</v>
      </c>
      <c r="HS25" s="47">
        <v>2</v>
      </c>
      <c r="HT25" s="48" t="s">
        <v>4</v>
      </c>
      <c r="HU25" s="49">
        <v>0</v>
      </c>
      <c r="HV25" s="27"/>
      <c r="HW25" s="42">
        <f t="shared" si="63"/>
        <v>2.2000000000000002</v>
      </c>
      <c r="HX25" s="43">
        <f t="shared" si="64"/>
        <v>2</v>
      </c>
      <c r="HZ25" s="47">
        <v>3</v>
      </c>
      <c r="IA25" s="48" t="s">
        <v>4</v>
      </c>
      <c r="IB25" s="49">
        <v>0</v>
      </c>
      <c r="IC25" s="27"/>
      <c r="ID25" s="42">
        <f t="shared" si="65"/>
        <v>2.2000000000000002</v>
      </c>
      <c r="IE25" s="43">
        <f t="shared" si="66"/>
        <v>3</v>
      </c>
      <c r="IG25" s="47">
        <v>3</v>
      </c>
      <c r="IH25" s="48" t="s">
        <v>4</v>
      </c>
      <c r="II25" s="49">
        <v>1</v>
      </c>
      <c r="IJ25" s="27"/>
      <c r="IK25" s="42">
        <f t="shared" si="67"/>
        <v>3.3000000000000003</v>
      </c>
      <c r="IL25" s="43">
        <f t="shared" si="68"/>
        <v>2</v>
      </c>
      <c r="IN25" s="47">
        <v>2</v>
      </c>
      <c r="IO25" s="48" t="s">
        <v>4</v>
      </c>
      <c r="IP25" s="49">
        <v>0</v>
      </c>
      <c r="IQ25" s="27"/>
      <c r="IR25" s="42">
        <f t="shared" si="69"/>
        <v>2.2000000000000002</v>
      </c>
      <c r="IS25" s="43">
        <f t="shared" si="70"/>
        <v>2</v>
      </c>
      <c r="IU25" s="47">
        <v>2</v>
      </c>
      <c r="IV25" s="48" t="s">
        <v>4</v>
      </c>
      <c r="IW25" s="49">
        <v>0</v>
      </c>
      <c r="IX25" s="27"/>
      <c r="IY25" s="42">
        <f t="shared" si="71"/>
        <v>2.2000000000000002</v>
      </c>
      <c r="IZ25" s="43">
        <f t="shared" si="72"/>
        <v>2</v>
      </c>
      <c r="JB25" s="47">
        <v>1</v>
      </c>
      <c r="JC25" s="48" t="s">
        <v>4</v>
      </c>
      <c r="JD25" s="49">
        <v>1</v>
      </c>
      <c r="JE25" s="27"/>
      <c r="JF25" s="42">
        <f t="shared" si="73"/>
        <v>0</v>
      </c>
      <c r="JG25" s="43">
        <f t="shared" si="74"/>
        <v>0</v>
      </c>
      <c r="JI25" s="47">
        <v>1</v>
      </c>
      <c r="JJ25" s="48" t="s">
        <v>4</v>
      </c>
      <c r="JK25" s="49">
        <v>1</v>
      </c>
      <c r="JL25" s="27"/>
      <c r="JM25" s="42">
        <f t="shared" si="75"/>
        <v>0</v>
      </c>
      <c r="JN25" s="43">
        <f t="shared" si="76"/>
        <v>0</v>
      </c>
      <c r="JP25" s="47">
        <v>2</v>
      </c>
      <c r="JQ25" s="48" t="s">
        <v>4</v>
      </c>
      <c r="JR25" s="49">
        <v>1</v>
      </c>
      <c r="JS25" s="27"/>
      <c r="JT25" s="42">
        <f t="shared" si="77"/>
        <v>2.2000000000000002</v>
      </c>
      <c r="JU25" s="43">
        <f t="shared" si="78"/>
        <v>1</v>
      </c>
      <c r="JW25" s="47">
        <v>2</v>
      </c>
      <c r="JX25" s="48" t="s">
        <v>4</v>
      </c>
      <c r="JY25" s="49">
        <v>1</v>
      </c>
      <c r="JZ25" s="27"/>
      <c r="KA25" s="42">
        <f t="shared" si="79"/>
        <v>2.2000000000000002</v>
      </c>
      <c r="KB25" s="43">
        <f t="shared" si="80"/>
        <v>1</v>
      </c>
      <c r="KD25" s="47">
        <v>2</v>
      </c>
      <c r="KE25" s="48" t="s">
        <v>4</v>
      </c>
      <c r="KF25" s="49">
        <v>0</v>
      </c>
      <c r="KG25" s="27"/>
      <c r="KH25" s="42">
        <f t="shared" si="81"/>
        <v>2.2000000000000002</v>
      </c>
      <c r="KI25" s="43">
        <f t="shared" si="82"/>
        <v>2</v>
      </c>
      <c r="KK25" s="47">
        <v>1</v>
      </c>
      <c r="KL25" s="48" t="s">
        <v>4</v>
      </c>
      <c r="KM25" s="49">
        <v>0</v>
      </c>
      <c r="KN25" s="27"/>
      <c r="KO25" s="42">
        <f t="shared" si="83"/>
        <v>2.2000000000000002</v>
      </c>
      <c r="KP25" s="43">
        <f t="shared" si="84"/>
        <v>1</v>
      </c>
      <c r="KR25" s="47">
        <v>1</v>
      </c>
      <c r="KS25" s="48" t="s">
        <v>4</v>
      </c>
      <c r="KT25" s="49">
        <v>0</v>
      </c>
      <c r="KU25" s="27"/>
      <c r="KV25" s="42">
        <f t="shared" si="85"/>
        <v>2.2000000000000002</v>
      </c>
      <c r="KW25" s="43">
        <f t="shared" si="86"/>
        <v>1</v>
      </c>
      <c r="KY25" s="47">
        <v>2</v>
      </c>
      <c r="KZ25" s="48" t="s">
        <v>4</v>
      </c>
      <c r="LA25" s="49">
        <v>1</v>
      </c>
      <c r="LB25" s="27"/>
      <c r="LC25" s="42">
        <f t="shared" si="87"/>
        <v>2.2000000000000002</v>
      </c>
      <c r="LD25" s="43">
        <f t="shared" si="88"/>
        <v>1</v>
      </c>
      <c r="LF25" s="47">
        <v>3</v>
      </c>
      <c r="LG25" s="48" t="s">
        <v>4</v>
      </c>
      <c r="LH25" s="49">
        <v>1</v>
      </c>
      <c r="LI25" s="27"/>
      <c r="LJ25" s="42">
        <f t="shared" si="89"/>
        <v>3.3000000000000003</v>
      </c>
      <c r="LK25" s="43">
        <f t="shared" si="90"/>
        <v>2</v>
      </c>
      <c r="LM25" s="47">
        <v>1</v>
      </c>
      <c r="LN25" s="48" t="s">
        <v>4</v>
      </c>
      <c r="LO25" s="49">
        <v>1</v>
      </c>
      <c r="LP25" s="27"/>
      <c r="LQ25" s="42">
        <f t="shared" si="91"/>
        <v>0</v>
      </c>
      <c r="LR25" s="43">
        <f t="shared" si="92"/>
        <v>0</v>
      </c>
      <c r="LT25" s="47">
        <v>2</v>
      </c>
      <c r="LU25" s="48" t="s">
        <v>4</v>
      </c>
      <c r="LV25" s="49">
        <v>0</v>
      </c>
      <c r="LW25" s="27"/>
      <c r="LX25" s="42">
        <f t="shared" si="93"/>
        <v>2.2000000000000002</v>
      </c>
      <c r="LY25" s="43">
        <f t="shared" si="94"/>
        <v>2</v>
      </c>
      <c r="MA25" s="47">
        <v>3</v>
      </c>
      <c r="MB25" s="48" t="s">
        <v>4</v>
      </c>
      <c r="MC25" s="49">
        <v>0</v>
      </c>
      <c r="MD25" s="27"/>
      <c r="ME25" s="42">
        <f t="shared" si="95"/>
        <v>2.2000000000000002</v>
      </c>
      <c r="MF25" s="43">
        <f t="shared" si="96"/>
        <v>3</v>
      </c>
      <c r="MH25" s="47">
        <v>2</v>
      </c>
      <c r="MI25" s="48" t="s">
        <v>4</v>
      </c>
      <c r="MJ25" s="49">
        <v>0</v>
      </c>
      <c r="MK25" s="27"/>
      <c r="ML25" s="42">
        <f t="shared" si="97"/>
        <v>2.2000000000000002</v>
      </c>
      <c r="MM25" s="43">
        <f t="shared" si="98"/>
        <v>2</v>
      </c>
      <c r="MO25" s="47">
        <v>2</v>
      </c>
      <c r="MP25" s="48" t="s">
        <v>4</v>
      </c>
      <c r="MQ25" s="49">
        <v>1</v>
      </c>
      <c r="MR25" s="27"/>
      <c r="MS25" s="42">
        <f t="shared" si="99"/>
        <v>2.2000000000000002</v>
      </c>
      <c r="MT25" s="43">
        <f t="shared" si="100"/>
        <v>1</v>
      </c>
      <c r="MV25" s="47">
        <v>3</v>
      </c>
      <c r="MW25" s="48" t="s">
        <v>4</v>
      </c>
      <c r="MX25" s="49">
        <v>0</v>
      </c>
      <c r="MY25" s="27"/>
      <c r="MZ25" s="42">
        <f t="shared" si="101"/>
        <v>2.2000000000000002</v>
      </c>
      <c r="NA25" s="43">
        <f t="shared" si="102"/>
        <v>3</v>
      </c>
      <c r="NC25" s="47">
        <v>1</v>
      </c>
      <c r="ND25" s="48" t="s">
        <v>4</v>
      </c>
      <c r="NE25" s="49">
        <v>0</v>
      </c>
      <c r="NF25" s="27"/>
      <c r="NG25" s="42">
        <f t="shared" si="103"/>
        <v>2.2000000000000002</v>
      </c>
      <c r="NH25" s="43">
        <f t="shared" si="104"/>
        <v>1</v>
      </c>
      <c r="NJ25" s="47">
        <v>1</v>
      </c>
      <c r="NK25" s="48" t="s">
        <v>4</v>
      </c>
      <c r="NL25" s="49">
        <v>0</v>
      </c>
      <c r="NM25" s="27"/>
      <c r="NN25" s="42">
        <f t="shared" si="105"/>
        <v>2.2000000000000002</v>
      </c>
      <c r="NO25" s="43">
        <f t="shared" si="106"/>
        <v>1</v>
      </c>
      <c r="NQ25" s="47">
        <v>2</v>
      </c>
      <c r="NR25" s="48" t="s">
        <v>4</v>
      </c>
      <c r="NS25" s="49">
        <v>0</v>
      </c>
      <c r="NT25" s="27"/>
      <c r="NU25" s="42">
        <f t="shared" si="107"/>
        <v>2.2000000000000002</v>
      </c>
      <c r="NV25" s="43">
        <f t="shared" si="108"/>
        <v>2</v>
      </c>
      <c r="NX25" s="47">
        <v>4</v>
      </c>
      <c r="NY25" s="48" t="s">
        <v>4</v>
      </c>
      <c r="NZ25" s="49">
        <v>0</v>
      </c>
      <c r="OA25" s="27"/>
      <c r="OB25" s="42">
        <f t="shared" si="109"/>
        <v>2.2000000000000002</v>
      </c>
      <c r="OC25" s="43">
        <f t="shared" si="110"/>
        <v>4</v>
      </c>
      <c r="OE25" s="47">
        <v>2</v>
      </c>
      <c r="OF25" s="48" t="s">
        <v>4</v>
      </c>
      <c r="OG25" s="49">
        <v>1</v>
      </c>
      <c r="OH25" s="27"/>
      <c r="OI25" s="42">
        <f t="shared" si="111"/>
        <v>2.2000000000000002</v>
      </c>
      <c r="OJ25" s="43">
        <f t="shared" si="112"/>
        <v>1</v>
      </c>
      <c r="OL25" s="47">
        <v>1</v>
      </c>
      <c r="OM25" s="48" t="s">
        <v>4</v>
      </c>
      <c r="ON25" s="49">
        <v>0</v>
      </c>
      <c r="OO25" s="27"/>
      <c r="OP25" s="42">
        <f t="shared" si="113"/>
        <v>2.2000000000000002</v>
      </c>
      <c r="OQ25" s="43">
        <f t="shared" si="114"/>
        <v>1</v>
      </c>
      <c r="OS25" s="47">
        <v>2</v>
      </c>
      <c r="OT25" s="48" t="s">
        <v>4</v>
      </c>
      <c r="OU25" s="49">
        <v>0</v>
      </c>
      <c r="OV25" s="27"/>
      <c r="OW25" s="42">
        <f t="shared" si="115"/>
        <v>2.2000000000000002</v>
      </c>
      <c r="OX25" s="43">
        <f t="shared" si="116"/>
        <v>2</v>
      </c>
      <c r="OZ25" s="47">
        <v>4</v>
      </c>
      <c r="PA25" s="48" t="s">
        <v>4</v>
      </c>
      <c r="PB25" s="49">
        <v>0</v>
      </c>
      <c r="PC25" s="27"/>
      <c r="PD25" s="42">
        <f t="shared" si="117"/>
        <v>2.2000000000000002</v>
      </c>
      <c r="PE25" s="43">
        <f t="shared" si="118"/>
        <v>4</v>
      </c>
      <c r="PG25" s="47">
        <v>3</v>
      </c>
      <c r="PH25" s="48" t="s">
        <v>4</v>
      </c>
      <c r="PI25" s="49">
        <v>1</v>
      </c>
      <c r="PJ25" s="27"/>
      <c r="PK25" s="42">
        <f t="shared" si="119"/>
        <v>3.3000000000000003</v>
      </c>
      <c r="PL25" s="43">
        <f t="shared" si="120"/>
        <v>2</v>
      </c>
      <c r="PN25" s="47">
        <v>2</v>
      </c>
      <c r="PO25" s="48" t="s">
        <v>4</v>
      </c>
      <c r="PP25" s="49">
        <v>1</v>
      </c>
      <c r="PQ25" s="27"/>
      <c r="PR25" s="42">
        <f t="shared" si="121"/>
        <v>2.2000000000000002</v>
      </c>
      <c r="PS25" s="43">
        <f t="shared" si="122"/>
        <v>1</v>
      </c>
      <c r="PU25" s="47">
        <v>2</v>
      </c>
      <c r="PV25" s="48" t="s">
        <v>4</v>
      </c>
      <c r="PW25" s="49">
        <v>0</v>
      </c>
      <c r="PX25" s="27"/>
      <c r="PY25" s="42">
        <f t="shared" si="123"/>
        <v>2.2000000000000002</v>
      </c>
      <c r="PZ25" s="43">
        <f t="shared" si="124"/>
        <v>2</v>
      </c>
      <c r="QB25" s="47">
        <v>3</v>
      </c>
      <c r="QC25" s="48" t="s">
        <v>4</v>
      </c>
      <c r="QD25" s="49">
        <v>0</v>
      </c>
      <c r="QE25" s="27"/>
      <c r="QF25" s="42">
        <f t="shared" si="125"/>
        <v>2.2000000000000002</v>
      </c>
      <c r="QG25" s="43">
        <f t="shared" si="126"/>
        <v>3</v>
      </c>
      <c r="QI25" s="47">
        <v>2</v>
      </c>
      <c r="QJ25" s="48" t="s">
        <v>4</v>
      </c>
      <c r="QK25" s="49">
        <v>0</v>
      </c>
      <c r="QL25" s="27"/>
      <c r="QM25" s="42">
        <f t="shared" si="127"/>
        <v>2.2000000000000002</v>
      </c>
      <c r="QN25" s="43">
        <f t="shared" si="128"/>
        <v>2</v>
      </c>
      <c r="QP25" s="47">
        <v>3</v>
      </c>
      <c r="QQ25" s="48" t="s">
        <v>4</v>
      </c>
      <c r="QR25" s="49">
        <v>0</v>
      </c>
      <c r="QS25" s="27"/>
      <c r="QT25" s="42">
        <f t="shared" si="129"/>
        <v>2.2000000000000002</v>
      </c>
      <c r="QU25" s="43">
        <f t="shared" si="130"/>
        <v>3</v>
      </c>
      <c r="QW25" s="47">
        <v>1</v>
      </c>
      <c r="QX25" s="48" t="s">
        <v>4</v>
      </c>
      <c r="QY25" s="49">
        <v>1</v>
      </c>
      <c r="QZ25" s="27"/>
      <c r="RA25" s="42">
        <f t="shared" si="131"/>
        <v>0</v>
      </c>
      <c r="RB25" s="43">
        <f t="shared" si="132"/>
        <v>0</v>
      </c>
      <c r="RD25" s="47">
        <v>2</v>
      </c>
      <c r="RE25" s="48" t="s">
        <v>4</v>
      </c>
      <c r="RF25" s="49">
        <v>1</v>
      </c>
      <c r="RG25" s="27"/>
      <c r="RH25" s="42">
        <f t="shared" si="133"/>
        <v>2.2000000000000002</v>
      </c>
      <c r="RI25" s="43">
        <f t="shared" si="134"/>
        <v>1</v>
      </c>
      <c r="RK25" s="47">
        <v>0</v>
      </c>
      <c r="RL25" s="48" t="s">
        <v>4</v>
      </c>
      <c r="RM25" s="49">
        <v>2</v>
      </c>
      <c r="RN25" s="27"/>
      <c r="RO25" s="42">
        <f t="shared" si="135"/>
        <v>0</v>
      </c>
      <c r="RP25" s="43">
        <f t="shared" si="136"/>
        <v>-2</v>
      </c>
      <c r="RR25" s="47">
        <v>2</v>
      </c>
      <c r="RS25" s="48" t="s">
        <v>4</v>
      </c>
      <c r="RT25" s="49">
        <v>0</v>
      </c>
      <c r="RU25" s="27"/>
      <c r="RV25" s="42">
        <f t="shared" si="137"/>
        <v>2.2000000000000002</v>
      </c>
      <c r="RW25" s="43">
        <f t="shared" si="138"/>
        <v>2</v>
      </c>
      <c r="RY25" s="47">
        <v>2</v>
      </c>
      <c r="RZ25" s="48" t="s">
        <v>4</v>
      </c>
      <c r="SA25" s="49">
        <v>0</v>
      </c>
      <c r="SB25" s="27"/>
      <c r="SC25" s="42">
        <f t="shared" si="139"/>
        <v>2.2000000000000002</v>
      </c>
      <c r="SD25" s="43">
        <f t="shared" si="140"/>
        <v>2</v>
      </c>
      <c r="SF25" s="47">
        <v>2</v>
      </c>
      <c r="SG25" s="48" t="s">
        <v>4</v>
      </c>
      <c r="SH25" s="49">
        <v>0</v>
      </c>
      <c r="SI25" s="27"/>
      <c r="SJ25" s="42">
        <f t="shared" si="141"/>
        <v>2.2000000000000002</v>
      </c>
      <c r="SK25" s="43">
        <f t="shared" si="142"/>
        <v>2</v>
      </c>
      <c r="SM25" s="47">
        <v>2</v>
      </c>
      <c r="SN25" s="48" t="s">
        <v>4</v>
      </c>
      <c r="SO25" s="49">
        <v>0</v>
      </c>
      <c r="SP25" s="27"/>
      <c r="SQ25" s="42">
        <f t="shared" si="143"/>
        <v>2.2000000000000002</v>
      </c>
      <c r="SR25" s="43">
        <f t="shared" si="144"/>
        <v>2</v>
      </c>
    </row>
    <row r="26" spans="1:512" customFormat="1" ht="16" customHeight="1" x14ac:dyDescent="0.2">
      <c r="A26" s="34">
        <v>46190</v>
      </c>
      <c r="B26" s="35">
        <v>0.79166666666666663</v>
      </c>
      <c r="C26" s="79" t="s">
        <v>9</v>
      </c>
      <c r="D26" s="80" t="s">
        <v>57</v>
      </c>
      <c r="E26" s="3">
        <v>1</v>
      </c>
      <c r="F26" s="37" t="s">
        <v>4</v>
      </c>
      <c r="G26" s="4">
        <v>1</v>
      </c>
      <c r="H26" s="16">
        <v>2.2000000000000002</v>
      </c>
      <c r="I26" s="32">
        <f t="shared" si="0"/>
        <v>0</v>
      </c>
      <c r="J26" s="47">
        <v>2</v>
      </c>
      <c r="K26" s="48" t="s">
        <v>4</v>
      </c>
      <c r="L26" s="49">
        <v>0</v>
      </c>
      <c r="M26" s="27"/>
      <c r="N26" s="42">
        <f t="shared" si="1"/>
        <v>0</v>
      </c>
      <c r="O26" s="43">
        <f t="shared" si="2"/>
        <v>2</v>
      </c>
      <c r="P26" s="32"/>
      <c r="Q26" s="47">
        <v>3</v>
      </c>
      <c r="R26" s="48" t="s">
        <v>4</v>
      </c>
      <c r="S26" s="49">
        <v>1</v>
      </c>
      <c r="T26" s="27"/>
      <c r="U26" s="42">
        <f t="shared" si="3"/>
        <v>0</v>
      </c>
      <c r="V26" s="43">
        <f t="shared" si="4"/>
        <v>2</v>
      </c>
      <c r="X26" s="47">
        <v>3</v>
      </c>
      <c r="Y26" s="48" t="s">
        <v>4</v>
      </c>
      <c r="Z26" s="49">
        <v>1</v>
      </c>
      <c r="AA26" s="27"/>
      <c r="AB26" s="42">
        <f t="shared" si="5"/>
        <v>0</v>
      </c>
      <c r="AC26" s="43">
        <f t="shared" si="6"/>
        <v>2</v>
      </c>
      <c r="AE26" s="47">
        <v>3</v>
      </c>
      <c r="AF26" s="48" t="s">
        <v>4</v>
      </c>
      <c r="AG26" s="49">
        <v>2</v>
      </c>
      <c r="AH26" s="27"/>
      <c r="AI26" s="42">
        <f t="shared" si="7"/>
        <v>0</v>
      </c>
      <c r="AJ26" s="43">
        <f t="shared" si="8"/>
        <v>1</v>
      </c>
      <c r="AL26" s="47">
        <v>3</v>
      </c>
      <c r="AM26" s="48" t="s">
        <v>4</v>
      </c>
      <c r="AN26" s="49">
        <v>0</v>
      </c>
      <c r="AO26" s="27"/>
      <c r="AP26" s="42">
        <f t="shared" si="9"/>
        <v>0</v>
      </c>
      <c r="AQ26" s="43">
        <f t="shared" si="10"/>
        <v>3</v>
      </c>
      <c r="AS26" s="47">
        <v>1</v>
      </c>
      <c r="AT26" s="48" t="s">
        <v>4</v>
      </c>
      <c r="AU26" s="49">
        <v>0</v>
      </c>
      <c r="AV26" s="27"/>
      <c r="AW26" s="42">
        <f t="shared" si="11"/>
        <v>0</v>
      </c>
      <c r="AX26" s="43">
        <f t="shared" si="12"/>
        <v>1</v>
      </c>
      <c r="AZ26" s="86">
        <v>5</v>
      </c>
      <c r="BA26" s="48" t="s">
        <v>4</v>
      </c>
      <c r="BB26" s="49">
        <v>1</v>
      </c>
      <c r="BC26" s="27"/>
      <c r="BD26" s="42">
        <f t="shared" si="13"/>
        <v>0</v>
      </c>
      <c r="BE26" s="43">
        <f t="shared" si="14"/>
        <v>4</v>
      </c>
      <c r="BG26" s="47">
        <v>2</v>
      </c>
      <c r="BH26" s="48" t="s">
        <v>4</v>
      </c>
      <c r="BI26" s="49">
        <v>0</v>
      </c>
      <c r="BJ26" s="27"/>
      <c r="BK26" s="42">
        <f t="shared" si="15"/>
        <v>0</v>
      </c>
      <c r="BL26" s="43">
        <f t="shared" si="16"/>
        <v>2</v>
      </c>
      <c r="BN26" s="47">
        <v>3</v>
      </c>
      <c r="BO26" s="48" t="s">
        <v>4</v>
      </c>
      <c r="BP26" s="49">
        <v>1</v>
      </c>
      <c r="BQ26" s="27"/>
      <c r="BR26" s="42">
        <f t="shared" si="17"/>
        <v>0</v>
      </c>
      <c r="BS26" s="43">
        <f t="shared" si="18"/>
        <v>2</v>
      </c>
      <c r="BU26" s="47">
        <v>2</v>
      </c>
      <c r="BV26" s="48" t="s">
        <v>4</v>
      </c>
      <c r="BW26" s="49">
        <v>0</v>
      </c>
      <c r="BX26" s="27"/>
      <c r="BY26" s="42">
        <f t="shared" si="19"/>
        <v>0</v>
      </c>
      <c r="BZ26" s="43">
        <f t="shared" si="20"/>
        <v>2</v>
      </c>
      <c r="CB26" s="47">
        <v>3</v>
      </c>
      <c r="CC26" s="48" t="s">
        <v>4</v>
      </c>
      <c r="CD26" s="49">
        <v>1</v>
      </c>
      <c r="CE26" s="27"/>
      <c r="CF26" s="42">
        <f t="shared" si="21"/>
        <v>0</v>
      </c>
      <c r="CG26" s="43">
        <f t="shared" si="22"/>
        <v>2</v>
      </c>
      <c r="CI26" s="47">
        <v>2</v>
      </c>
      <c r="CJ26" s="48" t="s">
        <v>4</v>
      </c>
      <c r="CK26" s="49">
        <v>0</v>
      </c>
      <c r="CL26" s="27"/>
      <c r="CM26" s="42">
        <f t="shared" si="23"/>
        <v>0</v>
      </c>
      <c r="CN26" s="43">
        <f t="shared" si="24"/>
        <v>2</v>
      </c>
      <c r="CP26" s="47">
        <v>3</v>
      </c>
      <c r="CQ26" s="48" t="s">
        <v>4</v>
      </c>
      <c r="CR26" s="49">
        <v>0</v>
      </c>
      <c r="CS26" s="27"/>
      <c r="CT26" s="42">
        <f t="shared" si="25"/>
        <v>0</v>
      </c>
      <c r="CU26" s="43">
        <f t="shared" si="26"/>
        <v>3</v>
      </c>
      <c r="CW26" s="47">
        <v>3</v>
      </c>
      <c r="CX26" s="48" t="s">
        <v>4</v>
      </c>
      <c r="CY26" s="49">
        <v>0</v>
      </c>
      <c r="CZ26" s="27"/>
      <c r="DA26" s="42">
        <f t="shared" si="27"/>
        <v>0</v>
      </c>
      <c r="DB26" s="43">
        <f t="shared" si="28"/>
        <v>3</v>
      </c>
      <c r="DD26" s="47">
        <v>2</v>
      </c>
      <c r="DE26" s="48" t="s">
        <v>4</v>
      </c>
      <c r="DF26" s="49">
        <v>1</v>
      </c>
      <c r="DG26" s="27"/>
      <c r="DH26" s="42">
        <f t="shared" si="29"/>
        <v>0</v>
      </c>
      <c r="DI26" s="43">
        <f t="shared" si="30"/>
        <v>1</v>
      </c>
      <c r="DK26" s="47">
        <v>3</v>
      </c>
      <c r="DL26" s="48" t="s">
        <v>4</v>
      </c>
      <c r="DM26" s="49">
        <v>0</v>
      </c>
      <c r="DN26" s="27"/>
      <c r="DO26" s="42">
        <f t="shared" si="31"/>
        <v>0</v>
      </c>
      <c r="DP26" s="43">
        <f t="shared" si="32"/>
        <v>3</v>
      </c>
      <c r="DR26" s="47">
        <v>4</v>
      </c>
      <c r="DS26" s="48" t="s">
        <v>4</v>
      </c>
      <c r="DT26" s="49">
        <v>0</v>
      </c>
      <c r="DU26" s="27"/>
      <c r="DV26" s="42">
        <f t="shared" si="33"/>
        <v>0</v>
      </c>
      <c r="DW26" s="43">
        <f t="shared" si="34"/>
        <v>4</v>
      </c>
      <c r="DY26" s="47">
        <v>3</v>
      </c>
      <c r="DZ26" s="48" t="s">
        <v>4</v>
      </c>
      <c r="EA26" s="49">
        <v>0</v>
      </c>
      <c r="EB26" s="27"/>
      <c r="EC26" s="42">
        <f t="shared" si="35"/>
        <v>0</v>
      </c>
      <c r="ED26" s="43">
        <f t="shared" si="36"/>
        <v>3</v>
      </c>
      <c r="EF26" s="47">
        <v>1</v>
      </c>
      <c r="EG26" s="48" t="s">
        <v>4</v>
      </c>
      <c r="EH26" s="49">
        <v>1</v>
      </c>
      <c r="EI26" s="27"/>
      <c r="EJ26" s="42">
        <f t="shared" si="37"/>
        <v>3.3000000000000003</v>
      </c>
      <c r="EK26" s="43">
        <f t="shared" si="38"/>
        <v>0</v>
      </c>
      <c r="EM26" s="47">
        <v>6</v>
      </c>
      <c r="EN26" s="48" t="s">
        <v>4</v>
      </c>
      <c r="EO26" s="49">
        <v>0</v>
      </c>
      <c r="EP26" s="27"/>
      <c r="EQ26" s="42">
        <f t="shared" si="39"/>
        <v>0</v>
      </c>
      <c r="ER26" s="43">
        <f t="shared" si="40"/>
        <v>6</v>
      </c>
      <c r="ET26" s="47">
        <v>2</v>
      </c>
      <c r="EU26" s="48" t="s">
        <v>4</v>
      </c>
      <c r="EV26" s="49">
        <v>0</v>
      </c>
      <c r="EW26" s="27"/>
      <c r="EX26" s="42">
        <f t="shared" si="41"/>
        <v>0</v>
      </c>
      <c r="EY26" s="43">
        <f t="shared" si="42"/>
        <v>2</v>
      </c>
      <c r="FA26" s="47">
        <v>3</v>
      </c>
      <c r="FB26" s="48" t="s">
        <v>4</v>
      </c>
      <c r="FC26" s="49">
        <v>0</v>
      </c>
      <c r="FD26" s="27"/>
      <c r="FE26" s="42">
        <f t="shared" si="43"/>
        <v>0</v>
      </c>
      <c r="FF26" s="43">
        <f t="shared" si="44"/>
        <v>3</v>
      </c>
      <c r="FH26" s="47">
        <v>2</v>
      </c>
      <c r="FI26" s="48" t="s">
        <v>4</v>
      </c>
      <c r="FJ26" s="49">
        <v>0</v>
      </c>
      <c r="FK26" s="27"/>
      <c r="FL26" s="42">
        <f t="shared" si="45"/>
        <v>0</v>
      </c>
      <c r="FM26" s="43">
        <f t="shared" si="46"/>
        <v>2</v>
      </c>
      <c r="FO26" s="47">
        <v>2</v>
      </c>
      <c r="FP26" s="48" t="s">
        <v>4</v>
      </c>
      <c r="FQ26" s="49">
        <v>0</v>
      </c>
      <c r="FR26" s="27"/>
      <c r="FS26" s="42">
        <f t="shared" si="47"/>
        <v>0</v>
      </c>
      <c r="FT26" s="43">
        <f t="shared" si="48"/>
        <v>2</v>
      </c>
      <c r="FV26" s="47">
        <v>2</v>
      </c>
      <c r="FW26" s="48" t="s">
        <v>4</v>
      </c>
      <c r="FX26" s="49">
        <v>2</v>
      </c>
      <c r="FY26" s="27"/>
      <c r="FZ26" s="42">
        <f t="shared" si="49"/>
        <v>2.2000000000000002</v>
      </c>
      <c r="GA26" s="43">
        <f t="shared" si="50"/>
        <v>0</v>
      </c>
      <c r="GC26" s="47">
        <v>3</v>
      </c>
      <c r="GD26" s="48" t="s">
        <v>4</v>
      </c>
      <c r="GE26" s="49">
        <v>1</v>
      </c>
      <c r="GF26" s="27"/>
      <c r="GG26" s="42">
        <f t="shared" si="51"/>
        <v>0</v>
      </c>
      <c r="GH26" s="43">
        <f t="shared" si="52"/>
        <v>2</v>
      </c>
      <c r="GJ26" s="47">
        <v>3</v>
      </c>
      <c r="GK26" s="48" t="s">
        <v>4</v>
      </c>
      <c r="GL26" s="49">
        <v>0</v>
      </c>
      <c r="GM26" s="27"/>
      <c r="GN26" s="42">
        <f t="shared" si="53"/>
        <v>0</v>
      </c>
      <c r="GO26" s="43">
        <f t="shared" si="54"/>
        <v>3</v>
      </c>
      <c r="GQ26" s="47">
        <v>3</v>
      </c>
      <c r="GR26" s="48" t="s">
        <v>4</v>
      </c>
      <c r="GS26" s="49">
        <v>0</v>
      </c>
      <c r="GT26" s="27"/>
      <c r="GU26" s="42">
        <f t="shared" si="55"/>
        <v>0</v>
      </c>
      <c r="GV26" s="43">
        <f t="shared" si="56"/>
        <v>3</v>
      </c>
      <c r="GX26" s="47">
        <v>3</v>
      </c>
      <c r="GY26" s="48" t="s">
        <v>4</v>
      </c>
      <c r="GZ26" s="49">
        <v>0</v>
      </c>
      <c r="HA26" s="27"/>
      <c r="HB26" s="42">
        <f t="shared" si="57"/>
        <v>0</v>
      </c>
      <c r="HC26" s="43">
        <f t="shared" si="58"/>
        <v>3</v>
      </c>
      <c r="HE26" s="47">
        <v>3</v>
      </c>
      <c r="HF26" s="48" t="s">
        <v>4</v>
      </c>
      <c r="HG26" s="49">
        <v>0</v>
      </c>
      <c r="HH26" s="27"/>
      <c r="HI26" s="42">
        <f t="shared" si="59"/>
        <v>0</v>
      </c>
      <c r="HJ26" s="43">
        <f t="shared" si="60"/>
        <v>3</v>
      </c>
      <c r="HL26" s="47">
        <v>3</v>
      </c>
      <c r="HM26" s="48" t="s">
        <v>4</v>
      </c>
      <c r="HN26" s="49">
        <v>0</v>
      </c>
      <c r="HO26" s="27"/>
      <c r="HP26" s="42">
        <f t="shared" si="61"/>
        <v>0</v>
      </c>
      <c r="HQ26" s="43">
        <f t="shared" si="62"/>
        <v>3</v>
      </c>
      <c r="HS26" s="47">
        <v>3</v>
      </c>
      <c r="HT26" s="48" t="s">
        <v>4</v>
      </c>
      <c r="HU26" s="49">
        <v>0</v>
      </c>
      <c r="HV26" s="27"/>
      <c r="HW26" s="42">
        <f t="shared" si="63"/>
        <v>0</v>
      </c>
      <c r="HX26" s="43">
        <f t="shared" si="64"/>
        <v>3</v>
      </c>
      <c r="HZ26" s="47">
        <v>4</v>
      </c>
      <c r="IA26" s="48" t="s">
        <v>4</v>
      </c>
      <c r="IB26" s="49">
        <v>0</v>
      </c>
      <c r="IC26" s="27"/>
      <c r="ID26" s="42">
        <f t="shared" si="65"/>
        <v>0</v>
      </c>
      <c r="IE26" s="43">
        <f t="shared" si="66"/>
        <v>4</v>
      </c>
      <c r="IG26" s="47">
        <v>1</v>
      </c>
      <c r="IH26" s="48" t="s">
        <v>4</v>
      </c>
      <c r="II26" s="49">
        <v>0</v>
      </c>
      <c r="IJ26" s="27"/>
      <c r="IK26" s="42">
        <f t="shared" si="67"/>
        <v>0</v>
      </c>
      <c r="IL26" s="43">
        <f t="shared" si="68"/>
        <v>1</v>
      </c>
      <c r="IN26" s="47">
        <v>3</v>
      </c>
      <c r="IO26" s="48" t="s">
        <v>4</v>
      </c>
      <c r="IP26" s="49">
        <v>0</v>
      </c>
      <c r="IQ26" s="27"/>
      <c r="IR26" s="42">
        <f t="shared" si="69"/>
        <v>0</v>
      </c>
      <c r="IS26" s="43">
        <f t="shared" si="70"/>
        <v>3</v>
      </c>
      <c r="IU26" s="47">
        <v>2</v>
      </c>
      <c r="IV26" s="48" t="s">
        <v>4</v>
      </c>
      <c r="IW26" s="49">
        <v>0</v>
      </c>
      <c r="IX26" s="27"/>
      <c r="IY26" s="42">
        <f t="shared" si="71"/>
        <v>0</v>
      </c>
      <c r="IZ26" s="43">
        <f t="shared" si="72"/>
        <v>2</v>
      </c>
      <c r="JB26" s="47">
        <v>2</v>
      </c>
      <c r="JC26" s="48" t="s">
        <v>4</v>
      </c>
      <c r="JD26" s="49">
        <v>0</v>
      </c>
      <c r="JE26" s="27"/>
      <c r="JF26" s="42">
        <f t="shared" si="73"/>
        <v>0</v>
      </c>
      <c r="JG26" s="43">
        <f t="shared" si="74"/>
        <v>2</v>
      </c>
      <c r="JI26" s="47">
        <v>2</v>
      </c>
      <c r="JJ26" s="48" t="s">
        <v>4</v>
      </c>
      <c r="JK26" s="49">
        <v>1</v>
      </c>
      <c r="JL26" s="27"/>
      <c r="JM26" s="42">
        <f t="shared" si="75"/>
        <v>0</v>
      </c>
      <c r="JN26" s="43">
        <f t="shared" si="76"/>
        <v>1</v>
      </c>
      <c r="JP26" s="47">
        <v>3</v>
      </c>
      <c r="JQ26" s="48" t="s">
        <v>4</v>
      </c>
      <c r="JR26" s="49">
        <v>1</v>
      </c>
      <c r="JS26" s="27"/>
      <c r="JT26" s="42">
        <f t="shared" si="77"/>
        <v>0</v>
      </c>
      <c r="JU26" s="43">
        <f t="shared" si="78"/>
        <v>2</v>
      </c>
      <c r="JW26" s="47">
        <v>4</v>
      </c>
      <c r="JX26" s="48" t="s">
        <v>4</v>
      </c>
      <c r="JY26" s="49">
        <v>1</v>
      </c>
      <c r="JZ26" s="27"/>
      <c r="KA26" s="42">
        <f t="shared" si="79"/>
        <v>0</v>
      </c>
      <c r="KB26" s="43">
        <f t="shared" si="80"/>
        <v>3</v>
      </c>
      <c r="KD26" s="47">
        <v>2</v>
      </c>
      <c r="KE26" s="48" t="s">
        <v>4</v>
      </c>
      <c r="KF26" s="49">
        <v>0</v>
      </c>
      <c r="KG26" s="27"/>
      <c r="KH26" s="42">
        <f t="shared" si="81"/>
        <v>0</v>
      </c>
      <c r="KI26" s="43">
        <f t="shared" si="82"/>
        <v>2</v>
      </c>
      <c r="KK26" s="47">
        <v>2</v>
      </c>
      <c r="KL26" s="48" t="s">
        <v>4</v>
      </c>
      <c r="KM26" s="49">
        <v>0</v>
      </c>
      <c r="KN26" s="27"/>
      <c r="KO26" s="42">
        <f t="shared" si="83"/>
        <v>0</v>
      </c>
      <c r="KP26" s="43">
        <f t="shared" si="84"/>
        <v>2</v>
      </c>
      <c r="KR26" s="47">
        <v>2</v>
      </c>
      <c r="KS26" s="48" t="s">
        <v>4</v>
      </c>
      <c r="KT26" s="49">
        <v>0</v>
      </c>
      <c r="KU26" s="27"/>
      <c r="KV26" s="42">
        <f t="shared" si="85"/>
        <v>0</v>
      </c>
      <c r="KW26" s="43">
        <f t="shared" si="86"/>
        <v>2</v>
      </c>
      <c r="KY26" s="47">
        <v>2</v>
      </c>
      <c r="KZ26" s="48" t="s">
        <v>4</v>
      </c>
      <c r="LA26" s="49">
        <v>1</v>
      </c>
      <c r="LB26" s="27"/>
      <c r="LC26" s="42">
        <f t="shared" si="87"/>
        <v>0</v>
      </c>
      <c r="LD26" s="43">
        <f t="shared" si="88"/>
        <v>1</v>
      </c>
      <c r="LF26" s="47">
        <v>4</v>
      </c>
      <c r="LG26" s="48" t="s">
        <v>4</v>
      </c>
      <c r="LH26" s="49">
        <v>0</v>
      </c>
      <c r="LI26" s="27"/>
      <c r="LJ26" s="42">
        <f t="shared" si="89"/>
        <v>0</v>
      </c>
      <c r="LK26" s="43">
        <f t="shared" si="90"/>
        <v>4</v>
      </c>
      <c r="LM26" s="47">
        <v>2</v>
      </c>
      <c r="LN26" s="48" t="s">
        <v>4</v>
      </c>
      <c r="LO26" s="49">
        <v>1</v>
      </c>
      <c r="LP26" s="27"/>
      <c r="LQ26" s="42">
        <f t="shared" si="91"/>
        <v>0</v>
      </c>
      <c r="LR26" s="43">
        <f t="shared" si="92"/>
        <v>1</v>
      </c>
      <c r="LT26" s="47">
        <v>2</v>
      </c>
      <c r="LU26" s="48" t="s">
        <v>4</v>
      </c>
      <c r="LV26" s="49">
        <v>0</v>
      </c>
      <c r="LW26" s="27"/>
      <c r="LX26" s="42">
        <f t="shared" si="93"/>
        <v>0</v>
      </c>
      <c r="LY26" s="43">
        <f t="shared" si="94"/>
        <v>2</v>
      </c>
      <c r="MA26" s="47">
        <v>3</v>
      </c>
      <c r="MB26" s="48" t="s">
        <v>4</v>
      </c>
      <c r="MC26" s="49">
        <v>0</v>
      </c>
      <c r="MD26" s="27"/>
      <c r="ME26" s="42">
        <f t="shared" si="95"/>
        <v>0</v>
      </c>
      <c r="MF26" s="43">
        <f t="shared" si="96"/>
        <v>3</v>
      </c>
      <c r="MH26" s="47">
        <v>3</v>
      </c>
      <c r="MI26" s="48" t="s">
        <v>4</v>
      </c>
      <c r="MJ26" s="49">
        <v>0</v>
      </c>
      <c r="MK26" s="27"/>
      <c r="ML26" s="42">
        <f t="shared" si="97"/>
        <v>0</v>
      </c>
      <c r="MM26" s="43">
        <f t="shared" si="98"/>
        <v>3</v>
      </c>
      <c r="MO26" s="47">
        <v>4</v>
      </c>
      <c r="MP26" s="48" t="s">
        <v>4</v>
      </c>
      <c r="MQ26" s="49">
        <v>0</v>
      </c>
      <c r="MR26" s="27"/>
      <c r="MS26" s="42">
        <f t="shared" si="99"/>
        <v>0</v>
      </c>
      <c r="MT26" s="43">
        <f t="shared" si="100"/>
        <v>4</v>
      </c>
      <c r="MV26" s="47">
        <v>3</v>
      </c>
      <c r="MW26" s="48" t="s">
        <v>4</v>
      </c>
      <c r="MX26" s="49">
        <v>1</v>
      </c>
      <c r="MY26" s="27"/>
      <c r="MZ26" s="42">
        <f t="shared" si="101"/>
        <v>0</v>
      </c>
      <c r="NA26" s="43">
        <f t="shared" si="102"/>
        <v>2</v>
      </c>
      <c r="NC26" s="47">
        <v>3</v>
      </c>
      <c r="ND26" s="48" t="s">
        <v>4</v>
      </c>
      <c r="NE26" s="49">
        <v>0</v>
      </c>
      <c r="NF26" s="27"/>
      <c r="NG26" s="42">
        <f t="shared" si="103"/>
        <v>0</v>
      </c>
      <c r="NH26" s="43">
        <f t="shared" si="104"/>
        <v>3</v>
      </c>
      <c r="NJ26" s="47">
        <v>2</v>
      </c>
      <c r="NK26" s="48" t="s">
        <v>4</v>
      </c>
      <c r="NL26" s="49">
        <v>2</v>
      </c>
      <c r="NM26" s="27"/>
      <c r="NN26" s="42">
        <f t="shared" si="105"/>
        <v>2.2000000000000002</v>
      </c>
      <c r="NO26" s="43">
        <f t="shared" si="106"/>
        <v>0</v>
      </c>
      <c r="NQ26" s="47">
        <v>5</v>
      </c>
      <c r="NR26" s="48" t="s">
        <v>4</v>
      </c>
      <c r="NS26" s="49">
        <v>0</v>
      </c>
      <c r="NT26" s="27"/>
      <c r="NU26" s="42">
        <f t="shared" si="107"/>
        <v>0</v>
      </c>
      <c r="NV26" s="43">
        <f t="shared" si="108"/>
        <v>5</v>
      </c>
      <c r="NX26" s="47">
        <v>3</v>
      </c>
      <c r="NY26" s="48" t="s">
        <v>4</v>
      </c>
      <c r="NZ26" s="49">
        <v>1</v>
      </c>
      <c r="OA26" s="27"/>
      <c r="OB26" s="42">
        <f t="shared" si="109"/>
        <v>0</v>
      </c>
      <c r="OC26" s="43">
        <f t="shared" si="110"/>
        <v>2</v>
      </c>
      <c r="OE26" s="47">
        <v>4</v>
      </c>
      <c r="OF26" s="48" t="s">
        <v>4</v>
      </c>
      <c r="OG26" s="49">
        <v>0</v>
      </c>
      <c r="OH26" s="27"/>
      <c r="OI26" s="42">
        <f t="shared" si="111"/>
        <v>0</v>
      </c>
      <c r="OJ26" s="43">
        <f t="shared" si="112"/>
        <v>4</v>
      </c>
      <c r="OL26" s="47">
        <v>3</v>
      </c>
      <c r="OM26" s="48" t="s">
        <v>4</v>
      </c>
      <c r="ON26" s="49">
        <v>0</v>
      </c>
      <c r="OO26" s="27"/>
      <c r="OP26" s="42">
        <f t="shared" si="113"/>
        <v>0</v>
      </c>
      <c r="OQ26" s="43">
        <f t="shared" si="114"/>
        <v>3</v>
      </c>
      <c r="OS26" s="47">
        <v>4</v>
      </c>
      <c r="OT26" s="48" t="s">
        <v>4</v>
      </c>
      <c r="OU26" s="49">
        <v>0</v>
      </c>
      <c r="OV26" s="27"/>
      <c r="OW26" s="42">
        <f t="shared" si="115"/>
        <v>0</v>
      </c>
      <c r="OX26" s="43">
        <f t="shared" si="116"/>
        <v>4</v>
      </c>
      <c r="OZ26" s="47">
        <v>2</v>
      </c>
      <c r="PA26" s="48" t="s">
        <v>4</v>
      </c>
      <c r="PB26" s="49">
        <v>0</v>
      </c>
      <c r="PC26" s="27"/>
      <c r="PD26" s="42">
        <f t="shared" si="117"/>
        <v>0</v>
      </c>
      <c r="PE26" s="43">
        <f t="shared" si="118"/>
        <v>2</v>
      </c>
      <c r="PG26" s="47">
        <v>3</v>
      </c>
      <c r="PH26" s="48" t="s">
        <v>4</v>
      </c>
      <c r="PI26" s="49">
        <v>0</v>
      </c>
      <c r="PJ26" s="27"/>
      <c r="PK26" s="42">
        <f t="shared" si="119"/>
        <v>0</v>
      </c>
      <c r="PL26" s="43">
        <f t="shared" si="120"/>
        <v>3</v>
      </c>
      <c r="PN26" s="47">
        <v>2</v>
      </c>
      <c r="PO26" s="48" t="s">
        <v>4</v>
      </c>
      <c r="PP26" s="49">
        <v>0</v>
      </c>
      <c r="PQ26" s="27"/>
      <c r="PR26" s="42">
        <f t="shared" si="121"/>
        <v>0</v>
      </c>
      <c r="PS26" s="43">
        <f t="shared" si="122"/>
        <v>2</v>
      </c>
      <c r="PU26" s="47">
        <v>3</v>
      </c>
      <c r="PV26" s="48" t="s">
        <v>4</v>
      </c>
      <c r="PW26" s="49">
        <v>1</v>
      </c>
      <c r="PX26" s="27"/>
      <c r="PY26" s="42">
        <f t="shared" si="123"/>
        <v>0</v>
      </c>
      <c r="PZ26" s="43">
        <f t="shared" si="124"/>
        <v>2</v>
      </c>
      <c r="QB26" s="47">
        <v>3</v>
      </c>
      <c r="QC26" s="48" t="s">
        <v>4</v>
      </c>
      <c r="QD26" s="49">
        <v>0</v>
      </c>
      <c r="QE26" s="27"/>
      <c r="QF26" s="42">
        <f t="shared" si="125"/>
        <v>0</v>
      </c>
      <c r="QG26" s="43">
        <f t="shared" si="126"/>
        <v>3</v>
      </c>
      <c r="QI26" s="47">
        <v>3</v>
      </c>
      <c r="QJ26" s="48" t="s">
        <v>4</v>
      </c>
      <c r="QK26" s="49">
        <v>0</v>
      </c>
      <c r="QL26" s="27"/>
      <c r="QM26" s="42">
        <f t="shared" si="127"/>
        <v>0</v>
      </c>
      <c r="QN26" s="43">
        <f t="shared" si="128"/>
        <v>3</v>
      </c>
      <c r="QP26" s="47">
        <v>2</v>
      </c>
      <c r="QQ26" s="48" t="s">
        <v>4</v>
      </c>
      <c r="QR26" s="49">
        <v>1</v>
      </c>
      <c r="QS26" s="27"/>
      <c r="QT26" s="42">
        <f t="shared" si="129"/>
        <v>0</v>
      </c>
      <c r="QU26" s="43">
        <f t="shared" si="130"/>
        <v>1</v>
      </c>
      <c r="QW26" s="47">
        <v>3</v>
      </c>
      <c r="QX26" s="48" t="s">
        <v>4</v>
      </c>
      <c r="QY26" s="49">
        <v>0</v>
      </c>
      <c r="QZ26" s="27"/>
      <c r="RA26" s="42">
        <f t="shared" si="131"/>
        <v>0</v>
      </c>
      <c r="RB26" s="43">
        <f t="shared" si="132"/>
        <v>3</v>
      </c>
      <c r="RD26" s="47">
        <v>3</v>
      </c>
      <c r="RE26" s="48" t="s">
        <v>4</v>
      </c>
      <c r="RF26" s="49">
        <v>0</v>
      </c>
      <c r="RG26" s="27"/>
      <c r="RH26" s="42">
        <f t="shared" si="133"/>
        <v>0</v>
      </c>
      <c r="RI26" s="43">
        <f t="shared" si="134"/>
        <v>3</v>
      </c>
      <c r="RK26" s="47">
        <v>3</v>
      </c>
      <c r="RL26" s="48" t="s">
        <v>4</v>
      </c>
      <c r="RM26" s="49">
        <v>0</v>
      </c>
      <c r="RN26" s="27"/>
      <c r="RO26" s="42">
        <f t="shared" si="135"/>
        <v>0</v>
      </c>
      <c r="RP26" s="43">
        <f t="shared" si="136"/>
        <v>3</v>
      </c>
      <c r="RR26" s="47">
        <v>4</v>
      </c>
      <c r="RS26" s="48" t="s">
        <v>4</v>
      </c>
      <c r="RT26" s="49">
        <v>0</v>
      </c>
      <c r="RU26" s="27"/>
      <c r="RV26" s="42">
        <f t="shared" si="137"/>
        <v>0</v>
      </c>
      <c r="RW26" s="43">
        <f t="shared" si="138"/>
        <v>4</v>
      </c>
      <c r="RY26" s="47">
        <v>4</v>
      </c>
      <c r="RZ26" s="48" t="s">
        <v>4</v>
      </c>
      <c r="SA26" s="49">
        <v>0</v>
      </c>
      <c r="SB26" s="27"/>
      <c r="SC26" s="42">
        <f t="shared" si="139"/>
        <v>0</v>
      </c>
      <c r="SD26" s="43">
        <f t="shared" si="140"/>
        <v>4</v>
      </c>
      <c r="SF26" s="47">
        <v>4</v>
      </c>
      <c r="SG26" s="48" t="s">
        <v>4</v>
      </c>
      <c r="SH26" s="49">
        <v>0</v>
      </c>
      <c r="SI26" s="27"/>
      <c r="SJ26" s="42">
        <f t="shared" si="141"/>
        <v>0</v>
      </c>
      <c r="SK26" s="43">
        <f t="shared" si="142"/>
        <v>4</v>
      </c>
      <c r="SM26" s="47">
        <v>4</v>
      </c>
      <c r="SN26" s="48" t="s">
        <v>4</v>
      </c>
      <c r="SO26" s="49">
        <v>2</v>
      </c>
      <c r="SP26" s="27"/>
      <c r="SQ26" s="42">
        <f t="shared" si="143"/>
        <v>0</v>
      </c>
      <c r="SR26" s="43">
        <f t="shared" si="144"/>
        <v>2</v>
      </c>
    </row>
    <row r="27" spans="1:512" customFormat="1" ht="16" customHeight="1" x14ac:dyDescent="0.2">
      <c r="A27" s="34">
        <v>46190</v>
      </c>
      <c r="B27" s="35">
        <v>0.91666666666666663</v>
      </c>
      <c r="C27" s="79" t="s">
        <v>8</v>
      </c>
      <c r="D27" s="81" t="s">
        <v>22</v>
      </c>
      <c r="E27" s="3">
        <v>4</v>
      </c>
      <c r="F27" s="37" t="s">
        <v>4</v>
      </c>
      <c r="G27" s="4">
        <v>2</v>
      </c>
      <c r="H27" s="16">
        <v>2.2000000000000002</v>
      </c>
      <c r="I27" s="32">
        <f t="shared" si="0"/>
        <v>2</v>
      </c>
      <c r="J27" s="47">
        <v>1</v>
      </c>
      <c r="K27" s="48" t="s">
        <v>4</v>
      </c>
      <c r="L27" s="49">
        <v>0</v>
      </c>
      <c r="M27" s="27"/>
      <c r="N27" s="42">
        <f t="shared" si="1"/>
        <v>2.2000000000000002</v>
      </c>
      <c r="O27" s="43">
        <f t="shared" si="2"/>
        <v>1</v>
      </c>
      <c r="P27" s="32"/>
      <c r="Q27" s="47">
        <v>2</v>
      </c>
      <c r="R27" s="48" t="s">
        <v>4</v>
      </c>
      <c r="S27" s="49">
        <v>0</v>
      </c>
      <c r="T27" s="27"/>
      <c r="U27" s="42">
        <f t="shared" si="3"/>
        <v>2.2000000000000002</v>
      </c>
      <c r="V27" s="43">
        <f t="shared" si="4"/>
        <v>2</v>
      </c>
      <c r="X27" s="47">
        <v>3</v>
      </c>
      <c r="Y27" s="48" t="s">
        <v>4</v>
      </c>
      <c r="Z27" s="49">
        <v>1</v>
      </c>
      <c r="AA27" s="27"/>
      <c r="AB27" s="42">
        <f t="shared" si="5"/>
        <v>2.2000000000000002</v>
      </c>
      <c r="AC27" s="43">
        <f t="shared" si="6"/>
        <v>2</v>
      </c>
      <c r="AE27" s="47">
        <v>3</v>
      </c>
      <c r="AF27" s="48" t="s">
        <v>4</v>
      </c>
      <c r="AG27" s="49">
        <v>1</v>
      </c>
      <c r="AH27" s="27"/>
      <c r="AI27" s="42">
        <f t="shared" si="7"/>
        <v>2.2000000000000002</v>
      </c>
      <c r="AJ27" s="43">
        <f t="shared" si="8"/>
        <v>2</v>
      </c>
      <c r="AL27" s="47">
        <v>2</v>
      </c>
      <c r="AM27" s="48" t="s">
        <v>4</v>
      </c>
      <c r="AN27" s="49">
        <v>1</v>
      </c>
      <c r="AO27" s="27"/>
      <c r="AP27" s="42">
        <f t="shared" si="9"/>
        <v>2.2000000000000002</v>
      </c>
      <c r="AQ27" s="43">
        <f t="shared" si="10"/>
        <v>1</v>
      </c>
      <c r="AS27" s="47">
        <v>2</v>
      </c>
      <c r="AT27" s="48" t="s">
        <v>4</v>
      </c>
      <c r="AU27" s="49">
        <v>1</v>
      </c>
      <c r="AV27" s="27"/>
      <c r="AW27" s="42">
        <f t="shared" si="11"/>
        <v>2.2000000000000002</v>
      </c>
      <c r="AX27" s="43">
        <f t="shared" si="12"/>
        <v>1</v>
      </c>
      <c r="AZ27" s="86">
        <v>2</v>
      </c>
      <c r="BA27" s="48" t="s">
        <v>4</v>
      </c>
      <c r="BB27" s="49">
        <v>0</v>
      </c>
      <c r="BC27" s="27"/>
      <c r="BD27" s="42">
        <f t="shared" si="13"/>
        <v>2.2000000000000002</v>
      </c>
      <c r="BE27" s="43">
        <f t="shared" si="14"/>
        <v>2</v>
      </c>
      <c r="BG27" s="47">
        <v>2</v>
      </c>
      <c r="BH27" s="48" t="s">
        <v>4</v>
      </c>
      <c r="BI27" s="49">
        <v>1</v>
      </c>
      <c r="BJ27" s="27"/>
      <c r="BK27" s="42">
        <f t="shared" si="15"/>
        <v>2.2000000000000002</v>
      </c>
      <c r="BL27" s="43">
        <f t="shared" si="16"/>
        <v>1</v>
      </c>
      <c r="BN27" s="47">
        <v>2</v>
      </c>
      <c r="BO27" s="48" t="s">
        <v>4</v>
      </c>
      <c r="BP27" s="49">
        <v>1</v>
      </c>
      <c r="BQ27" s="27"/>
      <c r="BR27" s="42">
        <f t="shared" si="17"/>
        <v>2.2000000000000002</v>
      </c>
      <c r="BS27" s="43">
        <f t="shared" si="18"/>
        <v>1</v>
      </c>
      <c r="BU27" s="47">
        <v>3</v>
      </c>
      <c r="BV27" s="48" t="s">
        <v>4</v>
      </c>
      <c r="BW27" s="49">
        <v>1</v>
      </c>
      <c r="BX27" s="27"/>
      <c r="BY27" s="42">
        <f t="shared" si="19"/>
        <v>2.2000000000000002</v>
      </c>
      <c r="BZ27" s="43">
        <f t="shared" si="20"/>
        <v>2</v>
      </c>
      <c r="CB27" s="47">
        <v>2</v>
      </c>
      <c r="CC27" s="48" t="s">
        <v>4</v>
      </c>
      <c r="CD27" s="49">
        <v>1</v>
      </c>
      <c r="CE27" s="27"/>
      <c r="CF27" s="42">
        <f t="shared" si="21"/>
        <v>2.2000000000000002</v>
      </c>
      <c r="CG27" s="43">
        <f t="shared" si="22"/>
        <v>1</v>
      </c>
      <c r="CI27" s="47">
        <v>1</v>
      </c>
      <c r="CJ27" s="48" t="s">
        <v>4</v>
      </c>
      <c r="CK27" s="49">
        <v>1</v>
      </c>
      <c r="CL27" s="27"/>
      <c r="CM27" s="42">
        <f t="shared" si="23"/>
        <v>0</v>
      </c>
      <c r="CN27" s="43">
        <f t="shared" si="24"/>
        <v>0</v>
      </c>
      <c r="CP27" s="47">
        <v>1</v>
      </c>
      <c r="CQ27" s="48" t="s">
        <v>4</v>
      </c>
      <c r="CR27" s="49">
        <v>0</v>
      </c>
      <c r="CS27" s="27"/>
      <c r="CT27" s="42">
        <f t="shared" si="25"/>
        <v>2.2000000000000002</v>
      </c>
      <c r="CU27" s="43">
        <f t="shared" si="26"/>
        <v>1</v>
      </c>
      <c r="CW27" s="47">
        <v>2</v>
      </c>
      <c r="CX27" s="48" t="s">
        <v>4</v>
      </c>
      <c r="CY27" s="49">
        <v>1</v>
      </c>
      <c r="CZ27" s="27"/>
      <c r="DA27" s="42">
        <f t="shared" si="27"/>
        <v>2.2000000000000002</v>
      </c>
      <c r="DB27" s="43">
        <f t="shared" si="28"/>
        <v>1</v>
      </c>
      <c r="DD27" s="47">
        <v>1</v>
      </c>
      <c r="DE27" s="48" t="s">
        <v>4</v>
      </c>
      <c r="DF27" s="49">
        <v>1</v>
      </c>
      <c r="DG27" s="27"/>
      <c r="DH27" s="42">
        <f t="shared" si="29"/>
        <v>0</v>
      </c>
      <c r="DI27" s="43">
        <f t="shared" si="30"/>
        <v>0</v>
      </c>
      <c r="DK27" s="47">
        <v>2</v>
      </c>
      <c r="DL27" s="48" t="s">
        <v>4</v>
      </c>
      <c r="DM27" s="49">
        <v>2</v>
      </c>
      <c r="DN27" s="27"/>
      <c r="DO27" s="42">
        <f t="shared" si="31"/>
        <v>0</v>
      </c>
      <c r="DP27" s="43">
        <f t="shared" si="32"/>
        <v>0</v>
      </c>
      <c r="DR27" s="47">
        <v>2</v>
      </c>
      <c r="DS27" s="48" t="s">
        <v>4</v>
      </c>
      <c r="DT27" s="49">
        <v>1</v>
      </c>
      <c r="DU27" s="27"/>
      <c r="DV27" s="42">
        <f t="shared" si="33"/>
        <v>2.2000000000000002</v>
      </c>
      <c r="DW27" s="43">
        <f t="shared" si="34"/>
        <v>1</v>
      </c>
      <c r="DY27" s="47">
        <v>2</v>
      </c>
      <c r="DZ27" s="48" t="s">
        <v>4</v>
      </c>
      <c r="EA27" s="49">
        <v>0</v>
      </c>
      <c r="EB27" s="27"/>
      <c r="EC27" s="42">
        <f t="shared" si="35"/>
        <v>2.2000000000000002</v>
      </c>
      <c r="ED27" s="43">
        <f t="shared" si="36"/>
        <v>2</v>
      </c>
      <c r="EF27" s="47">
        <v>2</v>
      </c>
      <c r="EG27" s="48" t="s">
        <v>4</v>
      </c>
      <c r="EH27" s="49">
        <v>0</v>
      </c>
      <c r="EI27" s="27"/>
      <c r="EJ27" s="42">
        <f t="shared" si="37"/>
        <v>2.2000000000000002</v>
      </c>
      <c r="EK27" s="43">
        <f t="shared" si="38"/>
        <v>2</v>
      </c>
      <c r="EM27" s="47">
        <v>3</v>
      </c>
      <c r="EN27" s="48" t="s">
        <v>4</v>
      </c>
      <c r="EO27" s="49">
        <v>1</v>
      </c>
      <c r="EP27" s="27"/>
      <c r="EQ27" s="42">
        <f t="shared" si="39"/>
        <v>2.2000000000000002</v>
      </c>
      <c r="ER27" s="43">
        <f t="shared" si="40"/>
        <v>2</v>
      </c>
      <c r="ET27" s="47">
        <v>2</v>
      </c>
      <c r="EU27" s="48" t="s">
        <v>4</v>
      </c>
      <c r="EV27" s="49">
        <v>1</v>
      </c>
      <c r="EW27" s="27"/>
      <c r="EX27" s="42">
        <f t="shared" si="41"/>
        <v>2.2000000000000002</v>
      </c>
      <c r="EY27" s="43">
        <f t="shared" si="42"/>
        <v>1</v>
      </c>
      <c r="FA27" s="47">
        <v>2</v>
      </c>
      <c r="FB27" s="48" t="s">
        <v>4</v>
      </c>
      <c r="FC27" s="49">
        <v>1</v>
      </c>
      <c r="FD27" s="27"/>
      <c r="FE27" s="42">
        <f t="shared" si="43"/>
        <v>2.2000000000000002</v>
      </c>
      <c r="FF27" s="43">
        <f t="shared" si="44"/>
        <v>1</v>
      </c>
      <c r="FH27" s="47">
        <v>2</v>
      </c>
      <c r="FI27" s="48" t="s">
        <v>4</v>
      </c>
      <c r="FJ27" s="49">
        <v>0</v>
      </c>
      <c r="FK27" s="27"/>
      <c r="FL27" s="42">
        <f t="shared" si="45"/>
        <v>2.2000000000000002</v>
      </c>
      <c r="FM27" s="43">
        <f t="shared" si="46"/>
        <v>2</v>
      </c>
      <c r="FO27" s="47">
        <v>3</v>
      </c>
      <c r="FP27" s="48" t="s">
        <v>4</v>
      </c>
      <c r="FQ27" s="49">
        <v>1</v>
      </c>
      <c r="FR27" s="27"/>
      <c r="FS27" s="42">
        <f t="shared" si="47"/>
        <v>2.2000000000000002</v>
      </c>
      <c r="FT27" s="43">
        <f t="shared" si="48"/>
        <v>2</v>
      </c>
      <c r="FV27" s="47">
        <v>2</v>
      </c>
      <c r="FW27" s="48" t="s">
        <v>4</v>
      </c>
      <c r="FX27" s="49">
        <v>1</v>
      </c>
      <c r="FY27" s="27"/>
      <c r="FZ27" s="42">
        <f t="shared" si="49"/>
        <v>2.2000000000000002</v>
      </c>
      <c r="GA27" s="43">
        <f t="shared" si="50"/>
        <v>1</v>
      </c>
      <c r="GC27" s="47">
        <v>1</v>
      </c>
      <c r="GD27" s="48" t="s">
        <v>4</v>
      </c>
      <c r="GE27" s="49">
        <v>1</v>
      </c>
      <c r="GF27" s="27"/>
      <c r="GG27" s="42">
        <f t="shared" si="51"/>
        <v>0</v>
      </c>
      <c r="GH27" s="43">
        <f t="shared" si="52"/>
        <v>0</v>
      </c>
      <c r="GJ27" s="47">
        <v>1</v>
      </c>
      <c r="GK27" s="48" t="s">
        <v>4</v>
      </c>
      <c r="GL27" s="49">
        <v>1</v>
      </c>
      <c r="GM27" s="27"/>
      <c r="GN27" s="42">
        <f t="shared" si="53"/>
        <v>0</v>
      </c>
      <c r="GO27" s="43">
        <f t="shared" si="54"/>
        <v>0</v>
      </c>
      <c r="GQ27" s="47">
        <v>2</v>
      </c>
      <c r="GR27" s="48" t="s">
        <v>4</v>
      </c>
      <c r="GS27" s="49">
        <v>1</v>
      </c>
      <c r="GT27" s="27"/>
      <c r="GU27" s="42">
        <f t="shared" si="55"/>
        <v>2.2000000000000002</v>
      </c>
      <c r="GV27" s="43">
        <f t="shared" si="56"/>
        <v>1</v>
      </c>
      <c r="GX27" s="47">
        <v>2</v>
      </c>
      <c r="GY27" s="48" t="s">
        <v>4</v>
      </c>
      <c r="GZ27" s="49">
        <v>0</v>
      </c>
      <c r="HA27" s="27"/>
      <c r="HB27" s="42">
        <f t="shared" si="57"/>
        <v>2.2000000000000002</v>
      </c>
      <c r="HC27" s="43">
        <f t="shared" si="58"/>
        <v>2</v>
      </c>
      <c r="HE27" s="47">
        <v>3</v>
      </c>
      <c r="HF27" s="48" t="s">
        <v>4</v>
      </c>
      <c r="HG27" s="49">
        <v>1</v>
      </c>
      <c r="HH27" s="27"/>
      <c r="HI27" s="42">
        <f t="shared" si="59"/>
        <v>2.2000000000000002</v>
      </c>
      <c r="HJ27" s="43">
        <f t="shared" si="60"/>
        <v>2</v>
      </c>
      <c r="HL27" s="47">
        <v>3</v>
      </c>
      <c r="HM27" s="48" t="s">
        <v>4</v>
      </c>
      <c r="HN27" s="49">
        <v>0</v>
      </c>
      <c r="HO27" s="27"/>
      <c r="HP27" s="42">
        <f t="shared" si="61"/>
        <v>2.2000000000000002</v>
      </c>
      <c r="HQ27" s="43">
        <f t="shared" si="62"/>
        <v>3</v>
      </c>
      <c r="HS27" s="47">
        <v>2</v>
      </c>
      <c r="HT27" s="48" t="s">
        <v>4</v>
      </c>
      <c r="HU27" s="49">
        <v>1</v>
      </c>
      <c r="HV27" s="27"/>
      <c r="HW27" s="42">
        <f t="shared" si="63"/>
        <v>2.2000000000000002</v>
      </c>
      <c r="HX27" s="43">
        <f t="shared" si="64"/>
        <v>1</v>
      </c>
      <c r="HZ27" s="47">
        <v>2</v>
      </c>
      <c r="IA27" s="48" t="s">
        <v>4</v>
      </c>
      <c r="IB27" s="49">
        <v>1</v>
      </c>
      <c r="IC27" s="27"/>
      <c r="ID27" s="42">
        <f t="shared" si="65"/>
        <v>2.2000000000000002</v>
      </c>
      <c r="IE27" s="43">
        <f t="shared" si="66"/>
        <v>1</v>
      </c>
      <c r="IG27" s="47">
        <v>3</v>
      </c>
      <c r="IH27" s="48" t="s">
        <v>4</v>
      </c>
      <c r="II27" s="49">
        <v>1</v>
      </c>
      <c r="IJ27" s="27"/>
      <c r="IK27" s="42">
        <f t="shared" si="67"/>
        <v>2.2000000000000002</v>
      </c>
      <c r="IL27" s="43">
        <f t="shared" si="68"/>
        <v>2</v>
      </c>
      <c r="IN27" s="47">
        <v>3</v>
      </c>
      <c r="IO27" s="48" t="s">
        <v>4</v>
      </c>
      <c r="IP27" s="49">
        <v>0</v>
      </c>
      <c r="IQ27" s="27"/>
      <c r="IR27" s="42">
        <f t="shared" si="69"/>
        <v>2.2000000000000002</v>
      </c>
      <c r="IS27" s="43">
        <f t="shared" si="70"/>
        <v>3</v>
      </c>
      <c r="IU27" s="47">
        <v>2</v>
      </c>
      <c r="IV27" s="48" t="s">
        <v>4</v>
      </c>
      <c r="IW27" s="49">
        <v>0</v>
      </c>
      <c r="IX27" s="27"/>
      <c r="IY27" s="42">
        <f t="shared" si="71"/>
        <v>2.2000000000000002</v>
      </c>
      <c r="IZ27" s="43">
        <f t="shared" si="72"/>
        <v>2</v>
      </c>
      <c r="JB27" s="47">
        <v>2</v>
      </c>
      <c r="JC27" s="48" t="s">
        <v>4</v>
      </c>
      <c r="JD27" s="49">
        <v>1</v>
      </c>
      <c r="JE27" s="27"/>
      <c r="JF27" s="42">
        <f t="shared" si="73"/>
        <v>2.2000000000000002</v>
      </c>
      <c r="JG27" s="43">
        <f t="shared" si="74"/>
        <v>1</v>
      </c>
      <c r="JI27" s="47">
        <v>2</v>
      </c>
      <c r="JJ27" s="48" t="s">
        <v>4</v>
      </c>
      <c r="JK27" s="49">
        <v>2</v>
      </c>
      <c r="JL27" s="27"/>
      <c r="JM27" s="42">
        <f t="shared" si="75"/>
        <v>0</v>
      </c>
      <c r="JN27" s="43">
        <f t="shared" si="76"/>
        <v>0</v>
      </c>
      <c r="JP27" s="47">
        <v>3</v>
      </c>
      <c r="JQ27" s="48" t="s">
        <v>4</v>
      </c>
      <c r="JR27" s="49">
        <v>2</v>
      </c>
      <c r="JS27" s="27"/>
      <c r="JT27" s="42">
        <f t="shared" si="77"/>
        <v>2.2000000000000002</v>
      </c>
      <c r="JU27" s="43">
        <f t="shared" si="78"/>
        <v>1</v>
      </c>
      <c r="JW27" s="47">
        <v>3</v>
      </c>
      <c r="JX27" s="48" t="s">
        <v>4</v>
      </c>
      <c r="JY27" s="49">
        <v>2</v>
      </c>
      <c r="JZ27" s="27"/>
      <c r="KA27" s="42">
        <f t="shared" si="79"/>
        <v>2.2000000000000002</v>
      </c>
      <c r="KB27" s="43">
        <f t="shared" si="80"/>
        <v>1</v>
      </c>
      <c r="KD27" s="47">
        <v>3</v>
      </c>
      <c r="KE27" s="48" t="s">
        <v>4</v>
      </c>
      <c r="KF27" s="49">
        <v>1</v>
      </c>
      <c r="KG27" s="27"/>
      <c r="KH27" s="42">
        <f t="shared" si="81"/>
        <v>2.2000000000000002</v>
      </c>
      <c r="KI27" s="43">
        <f t="shared" si="82"/>
        <v>2</v>
      </c>
      <c r="KK27" s="47">
        <v>1</v>
      </c>
      <c r="KL27" s="48" t="s">
        <v>4</v>
      </c>
      <c r="KM27" s="49">
        <v>0</v>
      </c>
      <c r="KN27" s="27"/>
      <c r="KO27" s="42">
        <f t="shared" si="83"/>
        <v>2.2000000000000002</v>
      </c>
      <c r="KP27" s="43">
        <f t="shared" si="84"/>
        <v>1</v>
      </c>
      <c r="KR27" s="47">
        <v>2</v>
      </c>
      <c r="KS27" s="48" t="s">
        <v>4</v>
      </c>
      <c r="KT27" s="49">
        <v>1</v>
      </c>
      <c r="KU27" s="27"/>
      <c r="KV27" s="42">
        <f t="shared" si="85"/>
        <v>2.2000000000000002</v>
      </c>
      <c r="KW27" s="43">
        <f t="shared" si="86"/>
        <v>1</v>
      </c>
      <c r="KY27" s="47">
        <v>2</v>
      </c>
      <c r="KZ27" s="48" t="s">
        <v>4</v>
      </c>
      <c r="LA27" s="49">
        <v>1</v>
      </c>
      <c r="LB27" s="27"/>
      <c r="LC27" s="42">
        <f t="shared" si="87"/>
        <v>2.2000000000000002</v>
      </c>
      <c r="LD27" s="43">
        <f t="shared" si="88"/>
        <v>1</v>
      </c>
      <c r="LF27" s="47">
        <v>2</v>
      </c>
      <c r="LG27" s="48" t="s">
        <v>4</v>
      </c>
      <c r="LH27" s="49">
        <v>1</v>
      </c>
      <c r="LI27" s="27"/>
      <c r="LJ27" s="42">
        <f t="shared" si="89"/>
        <v>2.2000000000000002</v>
      </c>
      <c r="LK27" s="43">
        <f t="shared" si="90"/>
        <v>1</v>
      </c>
      <c r="LM27" s="47">
        <v>2</v>
      </c>
      <c r="LN27" s="48" t="s">
        <v>4</v>
      </c>
      <c r="LO27" s="49">
        <v>2</v>
      </c>
      <c r="LP27" s="27"/>
      <c r="LQ27" s="42">
        <f t="shared" si="91"/>
        <v>0</v>
      </c>
      <c r="LR27" s="43">
        <f t="shared" si="92"/>
        <v>0</v>
      </c>
      <c r="LT27" s="47">
        <v>2</v>
      </c>
      <c r="LU27" s="48" t="s">
        <v>4</v>
      </c>
      <c r="LV27" s="49">
        <v>1</v>
      </c>
      <c r="LW27" s="27"/>
      <c r="LX27" s="42">
        <f t="shared" si="93"/>
        <v>2.2000000000000002</v>
      </c>
      <c r="LY27" s="43">
        <f t="shared" si="94"/>
        <v>1</v>
      </c>
      <c r="MA27" s="47">
        <v>3</v>
      </c>
      <c r="MB27" s="48" t="s">
        <v>4</v>
      </c>
      <c r="MC27" s="49">
        <v>1</v>
      </c>
      <c r="MD27" s="27"/>
      <c r="ME27" s="42">
        <f t="shared" si="95"/>
        <v>2.2000000000000002</v>
      </c>
      <c r="MF27" s="43">
        <f t="shared" si="96"/>
        <v>2</v>
      </c>
      <c r="MH27" s="47">
        <v>3</v>
      </c>
      <c r="MI27" s="48" t="s">
        <v>4</v>
      </c>
      <c r="MJ27" s="49">
        <v>2</v>
      </c>
      <c r="MK27" s="27"/>
      <c r="ML27" s="42">
        <f t="shared" si="97"/>
        <v>2.2000000000000002</v>
      </c>
      <c r="MM27" s="43">
        <f t="shared" si="98"/>
        <v>1</v>
      </c>
      <c r="MO27" s="47">
        <v>1</v>
      </c>
      <c r="MP27" s="48" t="s">
        <v>4</v>
      </c>
      <c r="MQ27" s="49">
        <v>1</v>
      </c>
      <c r="MR27" s="27"/>
      <c r="MS27" s="42">
        <f t="shared" si="99"/>
        <v>0</v>
      </c>
      <c r="MT27" s="43">
        <f t="shared" si="100"/>
        <v>0</v>
      </c>
      <c r="MV27" s="47">
        <v>2</v>
      </c>
      <c r="MW27" s="48" t="s">
        <v>4</v>
      </c>
      <c r="MX27" s="49">
        <v>1</v>
      </c>
      <c r="MY27" s="27"/>
      <c r="MZ27" s="42">
        <f t="shared" si="101"/>
        <v>2.2000000000000002</v>
      </c>
      <c r="NA27" s="43">
        <f t="shared" si="102"/>
        <v>1</v>
      </c>
      <c r="NC27" s="47">
        <v>4</v>
      </c>
      <c r="ND27" s="48" t="s">
        <v>4</v>
      </c>
      <c r="NE27" s="49">
        <v>2</v>
      </c>
      <c r="NF27" s="27"/>
      <c r="NG27" s="42">
        <f t="shared" si="103"/>
        <v>3.3000000000000003</v>
      </c>
      <c r="NH27" s="43">
        <f t="shared" si="104"/>
        <v>2</v>
      </c>
      <c r="NJ27" s="47">
        <v>4</v>
      </c>
      <c r="NK27" s="48" t="s">
        <v>4</v>
      </c>
      <c r="NL27" s="49">
        <v>4</v>
      </c>
      <c r="NM27" s="27"/>
      <c r="NN27" s="42">
        <f t="shared" si="105"/>
        <v>0</v>
      </c>
      <c r="NO27" s="43">
        <f t="shared" si="106"/>
        <v>0</v>
      </c>
      <c r="NQ27" s="47">
        <v>2</v>
      </c>
      <c r="NR27" s="48" t="s">
        <v>4</v>
      </c>
      <c r="NS27" s="49">
        <v>1</v>
      </c>
      <c r="NT27" s="27"/>
      <c r="NU27" s="42">
        <f t="shared" si="107"/>
        <v>2.2000000000000002</v>
      </c>
      <c r="NV27" s="43">
        <f t="shared" si="108"/>
        <v>1</v>
      </c>
      <c r="NX27" s="47">
        <v>2</v>
      </c>
      <c r="NY27" s="48" t="s">
        <v>4</v>
      </c>
      <c r="NZ27" s="49">
        <v>0</v>
      </c>
      <c r="OA27" s="27"/>
      <c r="OB27" s="42">
        <f t="shared" si="109"/>
        <v>2.2000000000000002</v>
      </c>
      <c r="OC27" s="43">
        <f t="shared" si="110"/>
        <v>2</v>
      </c>
      <c r="OE27" s="47">
        <v>2</v>
      </c>
      <c r="OF27" s="48" t="s">
        <v>4</v>
      </c>
      <c r="OG27" s="49">
        <v>1</v>
      </c>
      <c r="OH27" s="27"/>
      <c r="OI27" s="42">
        <f t="shared" si="111"/>
        <v>2.2000000000000002</v>
      </c>
      <c r="OJ27" s="43">
        <f t="shared" si="112"/>
        <v>1</v>
      </c>
      <c r="OL27" s="47">
        <v>1</v>
      </c>
      <c r="OM27" s="48" t="s">
        <v>4</v>
      </c>
      <c r="ON27" s="49">
        <v>1</v>
      </c>
      <c r="OO27" s="27"/>
      <c r="OP27" s="42">
        <f t="shared" si="113"/>
        <v>0</v>
      </c>
      <c r="OQ27" s="43">
        <f t="shared" si="114"/>
        <v>0</v>
      </c>
      <c r="OS27" s="47">
        <v>2</v>
      </c>
      <c r="OT27" s="48" t="s">
        <v>4</v>
      </c>
      <c r="OU27" s="49">
        <v>2</v>
      </c>
      <c r="OV27" s="27"/>
      <c r="OW27" s="42">
        <f t="shared" si="115"/>
        <v>0</v>
      </c>
      <c r="OX27" s="43">
        <f t="shared" si="116"/>
        <v>0</v>
      </c>
      <c r="OZ27" s="47">
        <v>2</v>
      </c>
      <c r="PA27" s="48" t="s">
        <v>4</v>
      </c>
      <c r="PB27" s="49">
        <v>1</v>
      </c>
      <c r="PC27" s="27"/>
      <c r="PD27" s="42">
        <f t="shared" si="117"/>
        <v>2.2000000000000002</v>
      </c>
      <c r="PE27" s="43">
        <f t="shared" si="118"/>
        <v>1</v>
      </c>
      <c r="PG27" s="47">
        <v>2</v>
      </c>
      <c r="PH27" s="48" t="s">
        <v>4</v>
      </c>
      <c r="PI27" s="49">
        <v>0</v>
      </c>
      <c r="PJ27" s="27"/>
      <c r="PK27" s="42">
        <f t="shared" si="119"/>
        <v>2.2000000000000002</v>
      </c>
      <c r="PL27" s="43">
        <f t="shared" si="120"/>
        <v>2</v>
      </c>
      <c r="PN27" s="47">
        <v>2</v>
      </c>
      <c r="PO27" s="48" t="s">
        <v>4</v>
      </c>
      <c r="PP27" s="49">
        <v>1</v>
      </c>
      <c r="PQ27" s="27"/>
      <c r="PR27" s="42">
        <f t="shared" si="121"/>
        <v>2.2000000000000002</v>
      </c>
      <c r="PS27" s="43">
        <f t="shared" si="122"/>
        <v>1</v>
      </c>
      <c r="PU27" s="47">
        <v>3</v>
      </c>
      <c r="PV27" s="48" t="s">
        <v>4</v>
      </c>
      <c r="PW27" s="49">
        <v>2</v>
      </c>
      <c r="PX27" s="27"/>
      <c r="PY27" s="42">
        <f t="shared" si="123"/>
        <v>2.2000000000000002</v>
      </c>
      <c r="PZ27" s="43">
        <f t="shared" si="124"/>
        <v>1</v>
      </c>
      <c r="QB27" s="47">
        <v>1</v>
      </c>
      <c r="QC27" s="48" t="s">
        <v>4</v>
      </c>
      <c r="QD27" s="49">
        <v>1</v>
      </c>
      <c r="QE27" s="27"/>
      <c r="QF27" s="42">
        <f t="shared" si="125"/>
        <v>0</v>
      </c>
      <c r="QG27" s="43">
        <f t="shared" si="126"/>
        <v>0</v>
      </c>
      <c r="QI27" s="47">
        <v>2</v>
      </c>
      <c r="QJ27" s="48" t="s">
        <v>4</v>
      </c>
      <c r="QK27" s="49">
        <v>1</v>
      </c>
      <c r="QL27" s="27"/>
      <c r="QM27" s="42">
        <f t="shared" si="127"/>
        <v>2.2000000000000002</v>
      </c>
      <c r="QN27" s="43">
        <f t="shared" si="128"/>
        <v>1</v>
      </c>
      <c r="QP27" s="47">
        <v>1</v>
      </c>
      <c r="QQ27" s="48" t="s">
        <v>4</v>
      </c>
      <c r="QR27" s="49">
        <v>1</v>
      </c>
      <c r="QS27" s="27"/>
      <c r="QT27" s="42">
        <f t="shared" si="129"/>
        <v>0</v>
      </c>
      <c r="QU27" s="43">
        <f t="shared" si="130"/>
        <v>0</v>
      </c>
      <c r="QW27" s="47">
        <v>2</v>
      </c>
      <c r="QX27" s="48" t="s">
        <v>4</v>
      </c>
      <c r="QY27" s="49">
        <v>0</v>
      </c>
      <c r="QZ27" s="27"/>
      <c r="RA27" s="42">
        <f t="shared" si="131"/>
        <v>2.2000000000000002</v>
      </c>
      <c r="RB27" s="43">
        <f t="shared" si="132"/>
        <v>2</v>
      </c>
      <c r="RD27" s="47">
        <v>1</v>
      </c>
      <c r="RE27" s="48" t="s">
        <v>4</v>
      </c>
      <c r="RF27" s="49">
        <v>3</v>
      </c>
      <c r="RG27" s="27"/>
      <c r="RH27" s="42">
        <f t="shared" si="133"/>
        <v>0</v>
      </c>
      <c r="RI27" s="43">
        <f t="shared" si="134"/>
        <v>-2</v>
      </c>
      <c r="RK27" s="47">
        <v>1</v>
      </c>
      <c r="RL27" s="48" t="s">
        <v>4</v>
      </c>
      <c r="RM27" s="49">
        <v>4</v>
      </c>
      <c r="RN27" s="27"/>
      <c r="RO27" s="42">
        <f t="shared" si="135"/>
        <v>0</v>
      </c>
      <c r="RP27" s="43">
        <f t="shared" si="136"/>
        <v>-3</v>
      </c>
      <c r="RR27" s="47">
        <v>2</v>
      </c>
      <c r="RS27" s="48" t="s">
        <v>4</v>
      </c>
      <c r="RT27" s="49">
        <v>1</v>
      </c>
      <c r="RU27" s="27"/>
      <c r="RV27" s="42">
        <f t="shared" si="137"/>
        <v>2.2000000000000002</v>
      </c>
      <c r="RW27" s="43">
        <f t="shared" si="138"/>
        <v>1</v>
      </c>
      <c r="RY27" s="47">
        <v>2</v>
      </c>
      <c r="RZ27" s="48" t="s">
        <v>4</v>
      </c>
      <c r="SA27" s="49">
        <v>1</v>
      </c>
      <c r="SB27" s="27"/>
      <c r="SC27" s="42">
        <f t="shared" si="139"/>
        <v>2.2000000000000002</v>
      </c>
      <c r="SD27" s="43">
        <f t="shared" si="140"/>
        <v>1</v>
      </c>
      <c r="SF27" s="47">
        <v>1</v>
      </c>
      <c r="SG27" s="48" t="s">
        <v>4</v>
      </c>
      <c r="SH27" s="49">
        <v>2</v>
      </c>
      <c r="SI27" s="27"/>
      <c r="SJ27" s="42">
        <f t="shared" si="141"/>
        <v>0</v>
      </c>
      <c r="SK27" s="43">
        <f t="shared" si="142"/>
        <v>-1</v>
      </c>
      <c r="SM27" s="47">
        <v>3</v>
      </c>
      <c r="SN27" s="48" t="s">
        <v>4</v>
      </c>
      <c r="SO27" s="49">
        <v>2</v>
      </c>
      <c r="SP27" s="27"/>
      <c r="SQ27" s="42">
        <f t="shared" si="143"/>
        <v>2.2000000000000002</v>
      </c>
      <c r="SR27" s="43">
        <f t="shared" si="144"/>
        <v>1</v>
      </c>
    </row>
    <row r="28" spans="1:512" customFormat="1" ht="16" customHeight="1" x14ac:dyDescent="0.2">
      <c r="A28" s="34">
        <v>46191</v>
      </c>
      <c r="B28" s="35">
        <v>4.1666666666666664E-2</v>
      </c>
      <c r="C28" s="79" t="s">
        <v>58</v>
      </c>
      <c r="D28" s="80" t="s">
        <v>59</v>
      </c>
      <c r="E28" s="3">
        <v>1</v>
      </c>
      <c r="F28" s="37" t="s">
        <v>4</v>
      </c>
      <c r="G28" s="4">
        <v>0</v>
      </c>
      <c r="H28" s="16">
        <v>2.4</v>
      </c>
      <c r="I28" s="32">
        <f t="shared" si="0"/>
        <v>1</v>
      </c>
      <c r="J28" s="47">
        <v>3</v>
      </c>
      <c r="K28" s="48" t="s">
        <v>4</v>
      </c>
      <c r="L28" s="49">
        <v>1</v>
      </c>
      <c r="M28" s="27"/>
      <c r="N28" s="42">
        <f t="shared" si="1"/>
        <v>2.4</v>
      </c>
      <c r="O28" s="43">
        <f t="shared" si="2"/>
        <v>2</v>
      </c>
      <c r="P28" s="32"/>
      <c r="Q28" s="47">
        <v>0</v>
      </c>
      <c r="R28" s="48" t="s">
        <v>4</v>
      </c>
      <c r="S28" s="49">
        <v>0</v>
      </c>
      <c r="T28" s="27"/>
      <c r="U28" s="42">
        <f t="shared" si="3"/>
        <v>0</v>
      </c>
      <c r="V28" s="43">
        <f t="shared" si="4"/>
        <v>0</v>
      </c>
      <c r="X28" s="47">
        <v>2</v>
      </c>
      <c r="Y28" s="48" t="s">
        <v>4</v>
      </c>
      <c r="Z28" s="49">
        <v>2</v>
      </c>
      <c r="AA28" s="27"/>
      <c r="AB28" s="42">
        <f t="shared" si="5"/>
        <v>0</v>
      </c>
      <c r="AC28" s="43">
        <f t="shared" si="6"/>
        <v>0</v>
      </c>
      <c r="AE28" s="47">
        <v>2</v>
      </c>
      <c r="AF28" s="48" t="s">
        <v>4</v>
      </c>
      <c r="AG28" s="49">
        <v>1</v>
      </c>
      <c r="AH28" s="27"/>
      <c r="AI28" s="42">
        <f t="shared" si="7"/>
        <v>2.4</v>
      </c>
      <c r="AJ28" s="43">
        <f t="shared" si="8"/>
        <v>1</v>
      </c>
      <c r="AL28" s="47">
        <v>2</v>
      </c>
      <c r="AM28" s="48" t="s">
        <v>4</v>
      </c>
      <c r="AN28" s="49">
        <v>0</v>
      </c>
      <c r="AO28" s="27"/>
      <c r="AP28" s="42">
        <f t="shared" si="9"/>
        <v>2.4</v>
      </c>
      <c r="AQ28" s="43">
        <f t="shared" si="10"/>
        <v>2</v>
      </c>
      <c r="AS28" s="47">
        <v>2</v>
      </c>
      <c r="AT28" s="48" t="s">
        <v>4</v>
      </c>
      <c r="AU28" s="49">
        <v>2</v>
      </c>
      <c r="AV28" s="27"/>
      <c r="AW28" s="42">
        <f t="shared" si="11"/>
        <v>0</v>
      </c>
      <c r="AX28" s="43">
        <f t="shared" si="12"/>
        <v>0</v>
      </c>
      <c r="AZ28" s="86">
        <v>3</v>
      </c>
      <c r="BA28" s="48" t="s">
        <v>4</v>
      </c>
      <c r="BB28" s="49">
        <v>1</v>
      </c>
      <c r="BC28" s="27"/>
      <c r="BD28" s="42">
        <f t="shared" si="13"/>
        <v>2.4</v>
      </c>
      <c r="BE28" s="43">
        <f t="shared" si="14"/>
        <v>2</v>
      </c>
      <c r="BG28" s="47">
        <v>2</v>
      </c>
      <c r="BH28" s="48" t="s">
        <v>4</v>
      </c>
      <c r="BI28" s="49">
        <v>1</v>
      </c>
      <c r="BJ28" s="27"/>
      <c r="BK28" s="42">
        <f t="shared" si="15"/>
        <v>2.4</v>
      </c>
      <c r="BL28" s="43">
        <f t="shared" si="16"/>
        <v>1</v>
      </c>
      <c r="BN28" s="47">
        <v>2</v>
      </c>
      <c r="BO28" s="48" t="s">
        <v>4</v>
      </c>
      <c r="BP28" s="49">
        <v>0</v>
      </c>
      <c r="BQ28" s="27"/>
      <c r="BR28" s="42">
        <f t="shared" si="17"/>
        <v>2.4</v>
      </c>
      <c r="BS28" s="43">
        <f t="shared" si="18"/>
        <v>2</v>
      </c>
      <c r="BU28" s="47">
        <v>0</v>
      </c>
      <c r="BV28" s="48" t="s">
        <v>4</v>
      </c>
      <c r="BW28" s="49">
        <v>0</v>
      </c>
      <c r="BX28" s="27"/>
      <c r="BY28" s="42">
        <f t="shared" si="19"/>
        <v>0</v>
      </c>
      <c r="BZ28" s="43">
        <f t="shared" si="20"/>
        <v>0</v>
      </c>
      <c r="CB28" s="47">
        <v>2</v>
      </c>
      <c r="CC28" s="48" t="s">
        <v>4</v>
      </c>
      <c r="CD28" s="49">
        <v>2</v>
      </c>
      <c r="CE28" s="27"/>
      <c r="CF28" s="42">
        <f t="shared" si="21"/>
        <v>0</v>
      </c>
      <c r="CG28" s="43">
        <f t="shared" si="22"/>
        <v>0</v>
      </c>
      <c r="CI28" s="47">
        <v>2</v>
      </c>
      <c r="CJ28" s="48" t="s">
        <v>4</v>
      </c>
      <c r="CK28" s="49">
        <v>1</v>
      </c>
      <c r="CL28" s="27"/>
      <c r="CM28" s="42">
        <f t="shared" si="23"/>
        <v>2.4</v>
      </c>
      <c r="CN28" s="43">
        <f t="shared" si="24"/>
        <v>1</v>
      </c>
      <c r="CP28" s="47">
        <v>1</v>
      </c>
      <c r="CQ28" s="48" t="s">
        <v>4</v>
      </c>
      <c r="CR28" s="49">
        <v>1</v>
      </c>
      <c r="CS28" s="27"/>
      <c r="CT28" s="42">
        <f t="shared" si="25"/>
        <v>0</v>
      </c>
      <c r="CU28" s="43">
        <f t="shared" si="26"/>
        <v>0</v>
      </c>
      <c r="CW28" s="47">
        <v>1</v>
      </c>
      <c r="CX28" s="48" t="s">
        <v>4</v>
      </c>
      <c r="CY28" s="49">
        <v>0</v>
      </c>
      <c r="CZ28" s="27"/>
      <c r="DA28" s="42">
        <f t="shared" si="27"/>
        <v>3.5999999999999996</v>
      </c>
      <c r="DB28" s="43">
        <f t="shared" si="28"/>
        <v>1</v>
      </c>
      <c r="DD28" s="47">
        <v>2</v>
      </c>
      <c r="DE28" s="48" t="s">
        <v>4</v>
      </c>
      <c r="DF28" s="49">
        <v>0</v>
      </c>
      <c r="DG28" s="27"/>
      <c r="DH28" s="42">
        <f t="shared" si="29"/>
        <v>2.4</v>
      </c>
      <c r="DI28" s="43">
        <f t="shared" si="30"/>
        <v>2</v>
      </c>
      <c r="DK28" s="47">
        <v>1</v>
      </c>
      <c r="DL28" s="48" t="s">
        <v>4</v>
      </c>
      <c r="DM28" s="49">
        <v>0</v>
      </c>
      <c r="DN28" s="27"/>
      <c r="DO28" s="42">
        <f t="shared" si="31"/>
        <v>3.5999999999999996</v>
      </c>
      <c r="DP28" s="43">
        <f t="shared" si="32"/>
        <v>1</v>
      </c>
      <c r="DR28" s="47">
        <v>2</v>
      </c>
      <c r="DS28" s="48" t="s">
        <v>4</v>
      </c>
      <c r="DT28" s="49">
        <v>0</v>
      </c>
      <c r="DU28" s="27"/>
      <c r="DV28" s="42">
        <f t="shared" si="33"/>
        <v>2.4</v>
      </c>
      <c r="DW28" s="43">
        <f t="shared" si="34"/>
        <v>2</v>
      </c>
      <c r="DY28" s="47">
        <v>3</v>
      </c>
      <c r="DZ28" s="48" t="s">
        <v>4</v>
      </c>
      <c r="EA28" s="49">
        <v>2</v>
      </c>
      <c r="EB28" s="27"/>
      <c r="EC28" s="42">
        <f t="shared" si="35"/>
        <v>2.4</v>
      </c>
      <c r="ED28" s="43">
        <f t="shared" si="36"/>
        <v>1</v>
      </c>
      <c r="EF28" s="47">
        <v>1</v>
      </c>
      <c r="EG28" s="48" t="s">
        <v>4</v>
      </c>
      <c r="EH28" s="49">
        <v>2</v>
      </c>
      <c r="EI28" s="27"/>
      <c r="EJ28" s="42">
        <f t="shared" si="37"/>
        <v>0</v>
      </c>
      <c r="EK28" s="43">
        <f t="shared" si="38"/>
        <v>-1</v>
      </c>
      <c r="EM28" s="47">
        <v>2</v>
      </c>
      <c r="EN28" s="48" t="s">
        <v>4</v>
      </c>
      <c r="EO28" s="49">
        <v>1</v>
      </c>
      <c r="EP28" s="27"/>
      <c r="EQ28" s="42">
        <f t="shared" si="39"/>
        <v>2.4</v>
      </c>
      <c r="ER28" s="43">
        <f t="shared" si="40"/>
        <v>1</v>
      </c>
      <c r="ET28" s="47">
        <v>1</v>
      </c>
      <c r="EU28" s="48" t="s">
        <v>4</v>
      </c>
      <c r="EV28" s="49">
        <v>1</v>
      </c>
      <c r="EW28" s="27"/>
      <c r="EX28" s="42">
        <f t="shared" si="41"/>
        <v>0</v>
      </c>
      <c r="EY28" s="43">
        <f t="shared" si="42"/>
        <v>0</v>
      </c>
      <c r="FA28" s="47">
        <v>2</v>
      </c>
      <c r="FB28" s="48" t="s">
        <v>4</v>
      </c>
      <c r="FC28" s="49">
        <v>1</v>
      </c>
      <c r="FD28" s="27"/>
      <c r="FE28" s="42">
        <f t="shared" si="43"/>
        <v>2.4</v>
      </c>
      <c r="FF28" s="43">
        <f t="shared" si="44"/>
        <v>1</v>
      </c>
      <c r="FH28" s="47">
        <v>2</v>
      </c>
      <c r="FI28" s="48" t="s">
        <v>4</v>
      </c>
      <c r="FJ28" s="49">
        <v>1</v>
      </c>
      <c r="FK28" s="27"/>
      <c r="FL28" s="42">
        <f t="shared" si="45"/>
        <v>2.4</v>
      </c>
      <c r="FM28" s="43">
        <f t="shared" si="46"/>
        <v>1</v>
      </c>
      <c r="FO28" s="47">
        <v>1</v>
      </c>
      <c r="FP28" s="48" t="s">
        <v>4</v>
      </c>
      <c r="FQ28" s="49">
        <v>1</v>
      </c>
      <c r="FR28" s="27"/>
      <c r="FS28" s="42">
        <f t="shared" si="47"/>
        <v>0</v>
      </c>
      <c r="FT28" s="43">
        <f t="shared" si="48"/>
        <v>0</v>
      </c>
      <c r="FV28" s="47">
        <v>3</v>
      </c>
      <c r="FW28" s="48" t="s">
        <v>4</v>
      </c>
      <c r="FX28" s="49">
        <v>0</v>
      </c>
      <c r="FY28" s="27"/>
      <c r="FZ28" s="42">
        <f t="shared" si="49"/>
        <v>2.4</v>
      </c>
      <c r="GA28" s="43">
        <f t="shared" si="50"/>
        <v>3</v>
      </c>
      <c r="GC28" s="47">
        <v>2</v>
      </c>
      <c r="GD28" s="48" t="s">
        <v>4</v>
      </c>
      <c r="GE28" s="49">
        <v>1</v>
      </c>
      <c r="GF28" s="27"/>
      <c r="GG28" s="42">
        <f t="shared" si="51"/>
        <v>2.4</v>
      </c>
      <c r="GH28" s="43">
        <f t="shared" si="52"/>
        <v>1</v>
      </c>
      <c r="GJ28" s="47">
        <v>2</v>
      </c>
      <c r="GK28" s="48" t="s">
        <v>4</v>
      </c>
      <c r="GL28" s="49">
        <v>1</v>
      </c>
      <c r="GM28" s="27"/>
      <c r="GN28" s="42">
        <f t="shared" si="53"/>
        <v>2.4</v>
      </c>
      <c r="GO28" s="43">
        <f t="shared" si="54"/>
        <v>1</v>
      </c>
      <c r="GQ28" s="47">
        <v>2</v>
      </c>
      <c r="GR28" s="48" t="s">
        <v>4</v>
      </c>
      <c r="GS28" s="49">
        <v>0</v>
      </c>
      <c r="GT28" s="27"/>
      <c r="GU28" s="42">
        <f t="shared" si="55"/>
        <v>2.4</v>
      </c>
      <c r="GV28" s="43">
        <f t="shared" si="56"/>
        <v>2</v>
      </c>
      <c r="GX28" s="47">
        <v>3</v>
      </c>
      <c r="GY28" s="48" t="s">
        <v>4</v>
      </c>
      <c r="GZ28" s="49">
        <v>1</v>
      </c>
      <c r="HA28" s="27"/>
      <c r="HB28" s="42">
        <f t="shared" si="57"/>
        <v>2.4</v>
      </c>
      <c r="HC28" s="43">
        <f t="shared" si="58"/>
        <v>2</v>
      </c>
      <c r="HE28" s="47">
        <v>2</v>
      </c>
      <c r="HF28" s="48" t="s">
        <v>4</v>
      </c>
      <c r="HG28" s="49">
        <v>0</v>
      </c>
      <c r="HH28" s="27"/>
      <c r="HI28" s="42">
        <f t="shared" si="59"/>
        <v>2.4</v>
      </c>
      <c r="HJ28" s="43">
        <f t="shared" si="60"/>
        <v>2</v>
      </c>
      <c r="HL28" s="47">
        <v>3</v>
      </c>
      <c r="HM28" s="48" t="s">
        <v>4</v>
      </c>
      <c r="HN28" s="49">
        <v>1</v>
      </c>
      <c r="HO28" s="27"/>
      <c r="HP28" s="42">
        <f t="shared" si="61"/>
        <v>2.4</v>
      </c>
      <c r="HQ28" s="43">
        <f t="shared" si="62"/>
        <v>2</v>
      </c>
      <c r="HS28" s="47">
        <v>1</v>
      </c>
      <c r="HT28" s="48" t="s">
        <v>4</v>
      </c>
      <c r="HU28" s="49">
        <v>1</v>
      </c>
      <c r="HV28" s="27"/>
      <c r="HW28" s="42">
        <f t="shared" si="63"/>
        <v>0</v>
      </c>
      <c r="HX28" s="43">
        <f t="shared" si="64"/>
        <v>0</v>
      </c>
      <c r="HZ28" s="47">
        <v>2</v>
      </c>
      <c r="IA28" s="48" t="s">
        <v>4</v>
      </c>
      <c r="IB28" s="49">
        <v>1</v>
      </c>
      <c r="IC28" s="27"/>
      <c r="ID28" s="42">
        <f t="shared" si="65"/>
        <v>2.4</v>
      </c>
      <c r="IE28" s="43">
        <f t="shared" si="66"/>
        <v>1</v>
      </c>
      <c r="IG28" s="47">
        <v>2</v>
      </c>
      <c r="IH28" s="48" t="s">
        <v>4</v>
      </c>
      <c r="II28" s="49">
        <v>2</v>
      </c>
      <c r="IJ28" s="27"/>
      <c r="IK28" s="42">
        <f t="shared" si="67"/>
        <v>0</v>
      </c>
      <c r="IL28" s="43">
        <f t="shared" si="68"/>
        <v>0</v>
      </c>
      <c r="IN28" s="47">
        <v>1</v>
      </c>
      <c r="IO28" s="48" t="s">
        <v>4</v>
      </c>
      <c r="IP28" s="49">
        <v>0</v>
      </c>
      <c r="IQ28" s="27"/>
      <c r="IR28" s="42">
        <f t="shared" si="69"/>
        <v>3.5999999999999996</v>
      </c>
      <c r="IS28" s="43">
        <f t="shared" si="70"/>
        <v>1</v>
      </c>
      <c r="IU28" s="47">
        <v>2</v>
      </c>
      <c r="IV28" s="48" t="s">
        <v>4</v>
      </c>
      <c r="IW28" s="49">
        <v>0</v>
      </c>
      <c r="IX28" s="27"/>
      <c r="IY28" s="42">
        <f t="shared" si="71"/>
        <v>2.4</v>
      </c>
      <c r="IZ28" s="43">
        <f t="shared" si="72"/>
        <v>2</v>
      </c>
      <c r="JB28" s="47">
        <v>2</v>
      </c>
      <c r="JC28" s="48" t="s">
        <v>4</v>
      </c>
      <c r="JD28" s="49">
        <v>0</v>
      </c>
      <c r="JE28" s="27"/>
      <c r="JF28" s="42">
        <f t="shared" si="73"/>
        <v>2.4</v>
      </c>
      <c r="JG28" s="43">
        <f t="shared" si="74"/>
        <v>2</v>
      </c>
      <c r="JI28" s="47">
        <v>3</v>
      </c>
      <c r="JJ28" s="48" t="s">
        <v>4</v>
      </c>
      <c r="JK28" s="49">
        <v>5</v>
      </c>
      <c r="JL28" s="27"/>
      <c r="JM28" s="42">
        <f t="shared" si="75"/>
        <v>0</v>
      </c>
      <c r="JN28" s="43">
        <f t="shared" si="76"/>
        <v>-2</v>
      </c>
      <c r="JP28" s="47">
        <v>2</v>
      </c>
      <c r="JQ28" s="48" t="s">
        <v>4</v>
      </c>
      <c r="JR28" s="49">
        <v>1</v>
      </c>
      <c r="JS28" s="27"/>
      <c r="JT28" s="42">
        <f t="shared" si="77"/>
        <v>2.4</v>
      </c>
      <c r="JU28" s="43">
        <f t="shared" si="78"/>
        <v>1</v>
      </c>
      <c r="JW28" s="47">
        <v>3</v>
      </c>
      <c r="JX28" s="48" t="s">
        <v>4</v>
      </c>
      <c r="JY28" s="49">
        <v>3</v>
      </c>
      <c r="JZ28" s="27"/>
      <c r="KA28" s="42">
        <f t="shared" si="79"/>
        <v>0</v>
      </c>
      <c r="KB28" s="43">
        <f t="shared" si="80"/>
        <v>0</v>
      </c>
      <c r="KD28" s="47">
        <v>2</v>
      </c>
      <c r="KE28" s="48" t="s">
        <v>4</v>
      </c>
      <c r="KF28" s="49">
        <v>1</v>
      </c>
      <c r="KG28" s="27"/>
      <c r="KH28" s="42">
        <f t="shared" si="81"/>
        <v>2.4</v>
      </c>
      <c r="KI28" s="43">
        <f t="shared" si="82"/>
        <v>1</v>
      </c>
      <c r="KK28" s="47">
        <v>0</v>
      </c>
      <c r="KL28" s="48" t="s">
        <v>4</v>
      </c>
      <c r="KM28" s="49">
        <v>0</v>
      </c>
      <c r="KN28" s="27"/>
      <c r="KO28" s="42">
        <f t="shared" si="83"/>
        <v>0</v>
      </c>
      <c r="KP28" s="43">
        <f t="shared" si="84"/>
        <v>0</v>
      </c>
      <c r="KR28" s="47">
        <v>0</v>
      </c>
      <c r="KS28" s="48" t="s">
        <v>4</v>
      </c>
      <c r="KT28" s="49">
        <v>1</v>
      </c>
      <c r="KU28" s="27"/>
      <c r="KV28" s="42">
        <f t="shared" si="85"/>
        <v>0</v>
      </c>
      <c r="KW28" s="43">
        <f t="shared" si="86"/>
        <v>-1</v>
      </c>
      <c r="KY28" s="47">
        <v>2</v>
      </c>
      <c r="KZ28" s="48" t="s">
        <v>4</v>
      </c>
      <c r="LA28" s="49">
        <v>1</v>
      </c>
      <c r="LB28" s="27"/>
      <c r="LC28" s="42">
        <f t="shared" si="87"/>
        <v>2.4</v>
      </c>
      <c r="LD28" s="43">
        <f t="shared" si="88"/>
        <v>1</v>
      </c>
      <c r="LF28" s="47">
        <v>1</v>
      </c>
      <c r="LG28" s="48" t="s">
        <v>4</v>
      </c>
      <c r="LH28" s="49">
        <v>0</v>
      </c>
      <c r="LI28" s="27"/>
      <c r="LJ28" s="42">
        <f t="shared" si="89"/>
        <v>3.5999999999999996</v>
      </c>
      <c r="LK28" s="43">
        <f t="shared" si="90"/>
        <v>1</v>
      </c>
      <c r="LM28" s="47">
        <v>3</v>
      </c>
      <c r="LN28" s="48" t="s">
        <v>4</v>
      </c>
      <c r="LO28" s="49">
        <v>1</v>
      </c>
      <c r="LP28" s="27"/>
      <c r="LQ28" s="42">
        <f t="shared" si="91"/>
        <v>2.4</v>
      </c>
      <c r="LR28" s="43">
        <f t="shared" si="92"/>
        <v>2</v>
      </c>
      <c r="LT28" s="47">
        <v>1</v>
      </c>
      <c r="LU28" s="48" t="s">
        <v>4</v>
      </c>
      <c r="LV28" s="49">
        <v>0</v>
      </c>
      <c r="LW28" s="27"/>
      <c r="LX28" s="42">
        <f t="shared" si="93"/>
        <v>3.5999999999999996</v>
      </c>
      <c r="LY28" s="43">
        <f t="shared" si="94"/>
        <v>1</v>
      </c>
      <c r="MA28" s="47">
        <v>4</v>
      </c>
      <c r="MB28" s="48" t="s">
        <v>4</v>
      </c>
      <c r="MC28" s="49">
        <v>1</v>
      </c>
      <c r="MD28" s="27"/>
      <c r="ME28" s="42">
        <f t="shared" si="95"/>
        <v>2.4</v>
      </c>
      <c r="MF28" s="43">
        <f t="shared" si="96"/>
        <v>3</v>
      </c>
      <c r="MH28" s="47">
        <v>2</v>
      </c>
      <c r="MI28" s="48" t="s">
        <v>4</v>
      </c>
      <c r="MJ28" s="49">
        <v>1</v>
      </c>
      <c r="MK28" s="27"/>
      <c r="ML28" s="42">
        <f t="shared" si="97"/>
        <v>2.4</v>
      </c>
      <c r="MM28" s="43">
        <f t="shared" si="98"/>
        <v>1</v>
      </c>
      <c r="MO28" s="47">
        <v>0</v>
      </c>
      <c r="MP28" s="48" t="s">
        <v>4</v>
      </c>
      <c r="MQ28" s="49">
        <v>0</v>
      </c>
      <c r="MR28" s="27"/>
      <c r="MS28" s="42">
        <f t="shared" si="99"/>
        <v>0</v>
      </c>
      <c r="MT28" s="43">
        <f t="shared" si="100"/>
        <v>0</v>
      </c>
      <c r="MV28" s="47">
        <v>1</v>
      </c>
      <c r="MW28" s="48" t="s">
        <v>4</v>
      </c>
      <c r="MX28" s="49">
        <v>0</v>
      </c>
      <c r="MY28" s="27"/>
      <c r="MZ28" s="42">
        <f t="shared" si="101"/>
        <v>3.5999999999999996</v>
      </c>
      <c r="NA28" s="43">
        <f t="shared" si="102"/>
        <v>1</v>
      </c>
      <c r="NC28" s="47">
        <v>5</v>
      </c>
      <c r="ND28" s="48" t="s">
        <v>4</v>
      </c>
      <c r="NE28" s="49">
        <v>0</v>
      </c>
      <c r="NF28" s="27"/>
      <c r="NG28" s="42">
        <f t="shared" si="103"/>
        <v>2.4</v>
      </c>
      <c r="NH28" s="43">
        <f t="shared" si="104"/>
        <v>5</v>
      </c>
      <c r="NJ28" s="47">
        <v>0</v>
      </c>
      <c r="NK28" s="48" t="s">
        <v>4</v>
      </c>
      <c r="NL28" s="49">
        <v>0</v>
      </c>
      <c r="NM28" s="27"/>
      <c r="NN28" s="42">
        <f t="shared" si="105"/>
        <v>0</v>
      </c>
      <c r="NO28" s="43">
        <f t="shared" si="106"/>
        <v>0</v>
      </c>
      <c r="NQ28" s="47">
        <v>2</v>
      </c>
      <c r="NR28" s="48" t="s">
        <v>4</v>
      </c>
      <c r="NS28" s="49">
        <v>0</v>
      </c>
      <c r="NT28" s="27"/>
      <c r="NU28" s="42">
        <f t="shared" si="107"/>
        <v>2.4</v>
      </c>
      <c r="NV28" s="43">
        <f t="shared" si="108"/>
        <v>2</v>
      </c>
      <c r="NX28" s="47">
        <v>2</v>
      </c>
      <c r="NY28" s="48" t="s">
        <v>4</v>
      </c>
      <c r="NZ28" s="49">
        <v>0</v>
      </c>
      <c r="OA28" s="27"/>
      <c r="OB28" s="42">
        <f t="shared" si="109"/>
        <v>2.4</v>
      </c>
      <c r="OC28" s="43">
        <f t="shared" si="110"/>
        <v>2</v>
      </c>
      <c r="OE28" s="47">
        <v>2</v>
      </c>
      <c r="OF28" s="48" t="s">
        <v>4</v>
      </c>
      <c r="OG28" s="49">
        <v>2</v>
      </c>
      <c r="OH28" s="27"/>
      <c r="OI28" s="42">
        <f t="shared" si="111"/>
        <v>0</v>
      </c>
      <c r="OJ28" s="43">
        <f t="shared" si="112"/>
        <v>0</v>
      </c>
      <c r="OL28" s="47">
        <v>0</v>
      </c>
      <c r="OM28" s="48" t="s">
        <v>4</v>
      </c>
      <c r="ON28" s="49">
        <v>1</v>
      </c>
      <c r="OO28" s="27"/>
      <c r="OP28" s="42">
        <f t="shared" si="113"/>
        <v>0</v>
      </c>
      <c r="OQ28" s="43">
        <f t="shared" si="114"/>
        <v>-1</v>
      </c>
      <c r="OS28" s="47">
        <v>1</v>
      </c>
      <c r="OT28" s="48" t="s">
        <v>4</v>
      </c>
      <c r="OU28" s="49">
        <v>0</v>
      </c>
      <c r="OV28" s="27"/>
      <c r="OW28" s="42">
        <f t="shared" si="115"/>
        <v>3.5999999999999996</v>
      </c>
      <c r="OX28" s="43">
        <f t="shared" si="116"/>
        <v>1</v>
      </c>
      <c r="OZ28" s="47">
        <v>1</v>
      </c>
      <c r="PA28" s="48" t="s">
        <v>4</v>
      </c>
      <c r="PB28" s="49">
        <v>0</v>
      </c>
      <c r="PC28" s="27"/>
      <c r="PD28" s="42">
        <f t="shared" si="117"/>
        <v>3.5999999999999996</v>
      </c>
      <c r="PE28" s="43">
        <f t="shared" si="118"/>
        <v>1</v>
      </c>
      <c r="PG28" s="47">
        <v>2</v>
      </c>
      <c r="PH28" s="48" t="s">
        <v>4</v>
      </c>
      <c r="PI28" s="49">
        <v>0</v>
      </c>
      <c r="PJ28" s="27"/>
      <c r="PK28" s="42">
        <f t="shared" si="119"/>
        <v>2.4</v>
      </c>
      <c r="PL28" s="43">
        <f t="shared" si="120"/>
        <v>2</v>
      </c>
      <c r="PN28" s="47">
        <v>2</v>
      </c>
      <c r="PO28" s="48" t="s">
        <v>4</v>
      </c>
      <c r="PP28" s="49">
        <v>1</v>
      </c>
      <c r="PQ28" s="27"/>
      <c r="PR28" s="42">
        <f t="shared" si="121"/>
        <v>2.4</v>
      </c>
      <c r="PS28" s="43">
        <f t="shared" si="122"/>
        <v>1</v>
      </c>
      <c r="PU28" s="47">
        <v>2</v>
      </c>
      <c r="PV28" s="48" t="s">
        <v>4</v>
      </c>
      <c r="PW28" s="49">
        <v>2</v>
      </c>
      <c r="PX28" s="27"/>
      <c r="PY28" s="42">
        <f t="shared" si="123"/>
        <v>0</v>
      </c>
      <c r="PZ28" s="43">
        <f t="shared" si="124"/>
        <v>0</v>
      </c>
      <c r="QB28" s="47">
        <v>1</v>
      </c>
      <c r="QC28" s="48" t="s">
        <v>4</v>
      </c>
      <c r="QD28" s="49">
        <v>0</v>
      </c>
      <c r="QE28" s="27"/>
      <c r="QF28" s="42">
        <f t="shared" si="125"/>
        <v>3.5999999999999996</v>
      </c>
      <c r="QG28" s="43">
        <f t="shared" si="126"/>
        <v>1</v>
      </c>
      <c r="QI28" s="47">
        <v>2</v>
      </c>
      <c r="QJ28" s="48" t="s">
        <v>4</v>
      </c>
      <c r="QK28" s="49">
        <v>1</v>
      </c>
      <c r="QL28" s="27"/>
      <c r="QM28" s="42">
        <f t="shared" si="127"/>
        <v>2.4</v>
      </c>
      <c r="QN28" s="43">
        <f t="shared" si="128"/>
        <v>1</v>
      </c>
      <c r="QP28" s="47">
        <v>4</v>
      </c>
      <c r="QQ28" s="48" t="s">
        <v>4</v>
      </c>
      <c r="QR28" s="49">
        <v>0</v>
      </c>
      <c r="QS28" s="27"/>
      <c r="QT28" s="42">
        <f t="shared" si="129"/>
        <v>2.4</v>
      </c>
      <c r="QU28" s="43">
        <f t="shared" si="130"/>
        <v>4</v>
      </c>
      <c r="QW28" s="47">
        <v>0</v>
      </c>
      <c r="QX28" s="48" t="s">
        <v>4</v>
      </c>
      <c r="QY28" s="49">
        <v>1</v>
      </c>
      <c r="QZ28" s="27"/>
      <c r="RA28" s="42">
        <f t="shared" si="131"/>
        <v>0</v>
      </c>
      <c r="RB28" s="43">
        <f t="shared" si="132"/>
        <v>-1</v>
      </c>
      <c r="RD28" s="47">
        <v>5</v>
      </c>
      <c r="RE28" s="48" t="s">
        <v>4</v>
      </c>
      <c r="RF28" s="49">
        <v>3</v>
      </c>
      <c r="RG28" s="27"/>
      <c r="RH28" s="42">
        <f t="shared" si="133"/>
        <v>2.4</v>
      </c>
      <c r="RI28" s="43">
        <f t="shared" si="134"/>
        <v>2</v>
      </c>
      <c r="RK28" s="47">
        <v>1</v>
      </c>
      <c r="RL28" s="48" t="s">
        <v>4</v>
      </c>
      <c r="RM28" s="49">
        <v>1</v>
      </c>
      <c r="RN28" s="27"/>
      <c r="RO28" s="42">
        <f t="shared" si="135"/>
        <v>0</v>
      </c>
      <c r="RP28" s="43">
        <f t="shared" si="136"/>
        <v>0</v>
      </c>
      <c r="RR28" s="47">
        <v>1</v>
      </c>
      <c r="RS28" s="48" t="s">
        <v>4</v>
      </c>
      <c r="RT28" s="49">
        <v>1</v>
      </c>
      <c r="RU28" s="27"/>
      <c r="RV28" s="42">
        <f t="shared" si="137"/>
        <v>0</v>
      </c>
      <c r="RW28" s="43">
        <f t="shared" si="138"/>
        <v>0</v>
      </c>
      <c r="RY28" s="47">
        <v>1</v>
      </c>
      <c r="RZ28" s="48" t="s">
        <v>4</v>
      </c>
      <c r="SA28" s="49">
        <v>1</v>
      </c>
      <c r="SB28" s="27"/>
      <c r="SC28" s="42">
        <f t="shared" si="139"/>
        <v>0</v>
      </c>
      <c r="SD28" s="43">
        <f t="shared" si="140"/>
        <v>0</v>
      </c>
      <c r="SF28" s="47">
        <v>1</v>
      </c>
      <c r="SG28" s="48" t="s">
        <v>4</v>
      </c>
      <c r="SH28" s="49">
        <v>1</v>
      </c>
      <c r="SI28" s="27"/>
      <c r="SJ28" s="42">
        <f t="shared" si="141"/>
        <v>0</v>
      </c>
      <c r="SK28" s="43">
        <f t="shared" si="142"/>
        <v>0</v>
      </c>
      <c r="SM28" s="47">
        <v>2</v>
      </c>
      <c r="SN28" s="48" t="s">
        <v>4</v>
      </c>
      <c r="SO28" s="49">
        <v>1</v>
      </c>
      <c r="SP28" s="27"/>
      <c r="SQ28" s="42">
        <f t="shared" si="143"/>
        <v>2.4</v>
      </c>
      <c r="SR28" s="43">
        <f t="shared" si="144"/>
        <v>1</v>
      </c>
    </row>
    <row r="29" spans="1:512" customFormat="1" ht="16" customHeight="1" x14ac:dyDescent="0.2">
      <c r="A29" s="34">
        <v>46191</v>
      </c>
      <c r="B29" s="35">
        <v>0.16666666666666666</v>
      </c>
      <c r="C29" s="79" t="s">
        <v>60</v>
      </c>
      <c r="D29" s="80" t="s">
        <v>61</v>
      </c>
      <c r="E29" s="3">
        <v>1</v>
      </c>
      <c r="F29" s="37" t="s">
        <v>4</v>
      </c>
      <c r="G29" s="4">
        <v>3</v>
      </c>
      <c r="H29" s="16">
        <v>2.4</v>
      </c>
      <c r="I29" s="32">
        <f t="shared" si="0"/>
        <v>-2</v>
      </c>
      <c r="J29" s="47">
        <v>0</v>
      </c>
      <c r="K29" s="48" t="s">
        <v>4</v>
      </c>
      <c r="L29" s="49">
        <v>3</v>
      </c>
      <c r="M29" s="27"/>
      <c r="N29" s="42">
        <f t="shared" si="1"/>
        <v>2.4</v>
      </c>
      <c r="O29" s="43">
        <f t="shared" si="2"/>
        <v>-3</v>
      </c>
      <c r="P29" s="32"/>
      <c r="Q29" s="47">
        <v>1</v>
      </c>
      <c r="R29" s="48" t="s">
        <v>4</v>
      </c>
      <c r="S29" s="49">
        <v>2</v>
      </c>
      <c r="T29" s="27"/>
      <c r="U29" s="42">
        <f t="shared" si="3"/>
        <v>2.4</v>
      </c>
      <c r="V29" s="43">
        <f t="shared" si="4"/>
        <v>-1</v>
      </c>
      <c r="X29" s="47">
        <v>2</v>
      </c>
      <c r="Y29" s="48" t="s">
        <v>4</v>
      </c>
      <c r="Z29" s="49">
        <v>1</v>
      </c>
      <c r="AA29" s="27"/>
      <c r="AB29" s="42">
        <f t="shared" si="5"/>
        <v>0</v>
      </c>
      <c r="AC29" s="43">
        <f t="shared" si="6"/>
        <v>1</v>
      </c>
      <c r="AE29" s="47">
        <v>0</v>
      </c>
      <c r="AF29" s="48" t="s">
        <v>4</v>
      </c>
      <c r="AG29" s="49">
        <v>1</v>
      </c>
      <c r="AH29" s="27"/>
      <c r="AI29" s="42">
        <f t="shared" si="7"/>
        <v>2.4</v>
      </c>
      <c r="AJ29" s="43">
        <f t="shared" si="8"/>
        <v>-1</v>
      </c>
      <c r="AL29" s="47">
        <v>1</v>
      </c>
      <c r="AM29" s="48" t="s">
        <v>4</v>
      </c>
      <c r="AN29" s="49">
        <v>2</v>
      </c>
      <c r="AO29" s="27"/>
      <c r="AP29" s="42">
        <f t="shared" si="9"/>
        <v>2.4</v>
      </c>
      <c r="AQ29" s="43">
        <f t="shared" si="10"/>
        <v>-1</v>
      </c>
      <c r="AS29" s="47">
        <v>0</v>
      </c>
      <c r="AT29" s="48" t="s">
        <v>4</v>
      </c>
      <c r="AU29" s="49">
        <v>4</v>
      </c>
      <c r="AV29" s="27"/>
      <c r="AW29" s="42">
        <f t="shared" si="11"/>
        <v>2.4</v>
      </c>
      <c r="AX29" s="43">
        <f t="shared" si="12"/>
        <v>-4</v>
      </c>
      <c r="AZ29" s="86">
        <v>0</v>
      </c>
      <c r="BA29" s="48" t="s">
        <v>4</v>
      </c>
      <c r="BB29" s="49">
        <v>2</v>
      </c>
      <c r="BC29" s="27"/>
      <c r="BD29" s="42">
        <f t="shared" si="13"/>
        <v>2.4</v>
      </c>
      <c r="BE29" s="43">
        <f t="shared" si="14"/>
        <v>-2</v>
      </c>
      <c r="BG29" s="47">
        <v>0</v>
      </c>
      <c r="BH29" s="48" t="s">
        <v>4</v>
      </c>
      <c r="BI29" s="49">
        <v>2</v>
      </c>
      <c r="BJ29" s="27"/>
      <c r="BK29" s="42">
        <f t="shared" si="15"/>
        <v>2.4</v>
      </c>
      <c r="BL29" s="43">
        <f t="shared" si="16"/>
        <v>-2</v>
      </c>
      <c r="BN29" s="47">
        <v>0</v>
      </c>
      <c r="BO29" s="48" t="s">
        <v>4</v>
      </c>
      <c r="BP29" s="49">
        <v>3</v>
      </c>
      <c r="BQ29" s="27"/>
      <c r="BR29" s="42">
        <f t="shared" si="17"/>
        <v>2.4</v>
      </c>
      <c r="BS29" s="43">
        <f t="shared" si="18"/>
        <v>-3</v>
      </c>
      <c r="BU29" s="47">
        <v>1</v>
      </c>
      <c r="BV29" s="48" t="s">
        <v>4</v>
      </c>
      <c r="BW29" s="49">
        <v>0</v>
      </c>
      <c r="BX29" s="27"/>
      <c r="BY29" s="42">
        <f t="shared" si="19"/>
        <v>0</v>
      </c>
      <c r="BZ29" s="43">
        <f t="shared" si="20"/>
        <v>1</v>
      </c>
      <c r="CB29" s="47">
        <v>0</v>
      </c>
      <c r="CC29" s="48" t="s">
        <v>4</v>
      </c>
      <c r="CD29" s="49">
        <v>2</v>
      </c>
      <c r="CE29" s="27"/>
      <c r="CF29" s="42">
        <f t="shared" si="21"/>
        <v>2.4</v>
      </c>
      <c r="CG29" s="43">
        <f t="shared" si="22"/>
        <v>-2</v>
      </c>
      <c r="CI29" s="47">
        <v>1</v>
      </c>
      <c r="CJ29" s="48" t="s">
        <v>4</v>
      </c>
      <c r="CK29" s="49">
        <v>0</v>
      </c>
      <c r="CL29" s="27"/>
      <c r="CM29" s="42">
        <f t="shared" si="23"/>
        <v>0</v>
      </c>
      <c r="CN29" s="43">
        <f t="shared" si="24"/>
        <v>1</v>
      </c>
      <c r="CP29" s="47">
        <v>0</v>
      </c>
      <c r="CQ29" s="48" t="s">
        <v>4</v>
      </c>
      <c r="CR29" s="49">
        <v>3</v>
      </c>
      <c r="CS29" s="27"/>
      <c r="CT29" s="42">
        <f t="shared" si="25"/>
        <v>2.4</v>
      </c>
      <c r="CU29" s="43">
        <f t="shared" si="26"/>
        <v>-3</v>
      </c>
      <c r="CW29" s="47">
        <v>0</v>
      </c>
      <c r="CX29" s="48" t="s">
        <v>4</v>
      </c>
      <c r="CY29" s="49">
        <v>2</v>
      </c>
      <c r="CZ29" s="27"/>
      <c r="DA29" s="42">
        <f t="shared" si="27"/>
        <v>2.4</v>
      </c>
      <c r="DB29" s="43">
        <f t="shared" si="28"/>
        <v>-2</v>
      </c>
      <c r="DD29" s="47">
        <v>0</v>
      </c>
      <c r="DE29" s="48" t="s">
        <v>4</v>
      </c>
      <c r="DF29" s="49">
        <v>0</v>
      </c>
      <c r="DG29" s="27"/>
      <c r="DH29" s="42">
        <f t="shared" si="29"/>
        <v>0</v>
      </c>
      <c r="DI29" s="43">
        <f t="shared" si="30"/>
        <v>0</v>
      </c>
      <c r="DK29" s="47">
        <v>0</v>
      </c>
      <c r="DL29" s="48" t="s">
        <v>4</v>
      </c>
      <c r="DM29" s="49">
        <v>1</v>
      </c>
      <c r="DN29" s="27"/>
      <c r="DO29" s="42">
        <f t="shared" si="31"/>
        <v>2.4</v>
      </c>
      <c r="DP29" s="43">
        <f t="shared" si="32"/>
        <v>-1</v>
      </c>
      <c r="DR29" s="47">
        <v>0</v>
      </c>
      <c r="DS29" s="48" t="s">
        <v>4</v>
      </c>
      <c r="DT29" s="49">
        <v>2</v>
      </c>
      <c r="DU29" s="27"/>
      <c r="DV29" s="42">
        <f t="shared" si="33"/>
        <v>2.4</v>
      </c>
      <c r="DW29" s="43">
        <f t="shared" si="34"/>
        <v>-2</v>
      </c>
      <c r="DY29" s="47">
        <v>0</v>
      </c>
      <c r="DZ29" s="48" t="s">
        <v>4</v>
      </c>
      <c r="EA29" s="49">
        <v>2</v>
      </c>
      <c r="EB29" s="27"/>
      <c r="EC29" s="42">
        <f t="shared" si="35"/>
        <v>2.4</v>
      </c>
      <c r="ED29" s="43">
        <f t="shared" si="36"/>
        <v>-2</v>
      </c>
      <c r="EF29" s="47">
        <v>0</v>
      </c>
      <c r="EG29" s="48" t="s">
        <v>4</v>
      </c>
      <c r="EH29" s="49">
        <v>1</v>
      </c>
      <c r="EI29" s="27"/>
      <c r="EJ29" s="42">
        <f t="shared" si="37"/>
        <v>2.4</v>
      </c>
      <c r="EK29" s="43">
        <f t="shared" si="38"/>
        <v>-1</v>
      </c>
      <c r="EM29" s="47">
        <v>1</v>
      </c>
      <c r="EN29" s="48" t="s">
        <v>4</v>
      </c>
      <c r="EO29" s="49">
        <v>4</v>
      </c>
      <c r="EP29" s="27"/>
      <c r="EQ29" s="42">
        <f t="shared" si="39"/>
        <v>2.4</v>
      </c>
      <c r="ER29" s="43">
        <f t="shared" si="40"/>
        <v>-3</v>
      </c>
      <c r="ET29" s="47">
        <v>0</v>
      </c>
      <c r="EU29" s="48" t="s">
        <v>4</v>
      </c>
      <c r="EV29" s="49">
        <v>2</v>
      </c>
      <c r="EW29" s="27"/>
      <c r="EX29" s="42">
        <f t="shared" si="41"/>
        <v>2.4</v>
      </c>
      <c r="EY29" s="43">
        <f t="shared" si="42"/>
        <v>-2</v>
      </c>
      <c r="FA29" s="47">
        <v>1</v>
      </c>
      <c r="FB29" s="48" t="s">
        <v>4</v>
      </c>
      <c r="FC29" s="49">
        <v>2</v>
      </c>
      <c r="FD29" s="27"/>
      <c r="FE29" s="42">
        <f t="shared" si="43"/>
        <v>2.4</v>
      </c>
      <c r="FF29" s="43">
        <f t="shared" si="44"/>
        <v>-1</v>
      </c>
      <c r="FH29" s="47">
        <v>1</v>
      </c>
      <c r="FI29" s="48" t="s">
        <v>4</v>
      </c>
      <c r="FJ29" s="49">
        <v>2</v>
      </c>
      <c r="FK29" s="27"/>
      <c r="FL29" s="42">
        <f t="shared" si="45"/>
        <v>2.4</v>
      </c>
      <c r="FM29" s="43">
        <f t="shared" si="46"/>
        <v>-1</v>
      </c>
      <c r="FO29" s="47">
        <v>0</v>
      </c>
      <c r="FP29" s="48" t="s">
        <v>4</v>
      </c>
      <c r="FQ29" s="49">
        <v>2</v>
      </c>
      <c r="FR29" s="27"/>
      <c r="FS29" s="42">
        <f t="shared" si="47"/>
        <v>2.4</v>
      </c>
      <c r="FT29" s="43">
        <f t="shared" si="48"/>
        <v>-2</v>
      </c>
      <c r="FV29" s="47">
        <v>0</v>
      </c>
      <c r="FW29" s="48" t="s">
        <v>4</v>
      </c>
      <c r="FX29" s="49">
        <v>3</v>
      </c>
      <c r="FY29" s="27"/>
      <c r="FZ29" s="42">
        <f t="shared" si="49"/>
        <v>2.4</v>
      </c>
      <c r="GA29" s="43">
        <f t="shared" si="50"/>
        <v>-3</v>
      </c>
      <c r="GC29" s="47">
        <v>0</v>
      </c>
      <c r="GD29" s="48" t="s">
        <v>4</v>
      </c>
      <c r="GE29" s="49">
        <v>2</v>
      </c>
      <c r="GF29" s="27"/>
      <c r="GG29" s="42">
        <f t="shared" si="51"/>
        <v>2.4</v>
      </c>
      <c r="GH29" s="43">
        <f t="shared" si="52"/>
        <v>-2</v>
      </c>
      <c r="GJ29" s="47">
        <v>0</v>
      </c>
      <c r="GK29" s="48" t="s">
        <v>4</v>
      </c>
      <c r="GL29" s="49">
        <v>2</v>
      </c>
      <c r="GM29" s="27"/>
      <c r="GN29" s="42">
        <f t="shared" si="53"/>
        <v>2.4</v>
      </c>
      <c r="GO29" s="43">
        <f t="shared" si="54"/>
        <v>-2</v>
      </c>
      <c r="GQ29" s="47">
        <v>1</v>
      </c>
      <c r="GR29" s="48" t="s">
        <v>4</v>
      </c>
      <c r="GS29" s="49">
        <v>2</v>
      </c>
      <c r="GT29" s="27"/>
      <c r="GU29" s="42">
        <f t="shared" si="55"/>
        <v>2.4</v>
      </c>
      <c r="GV29" s="43">
        <f t="shared" si="56"/>
        <v>-1</v>
      </c>
      <c r="GX29" s="47">
        <v>0</v>
      </c>
      <c r="GY29" s="48" t="s">
        <v>4</v>
      </c>
      <c r="GZ29" s="49">
        <v>3</v>
      </c>
      <c r="HA29" s="27"/>
      <c r="HB29" s="42">
        <f t="shared" si="57"/>
        <v>2.4</v>
      </c>
      <c r="HC29" s="43">
        <f t="shared" si="58"/>
        <v>-3</v>
      </c>
      <c r="HE29" s="47">
        <v>1</v>
      </c>
      <c r="HF29" s="48" t="s">
        <v>4</v>
      </c>
      <c r="HG29" s="49">
        <v>3</v>
      </c>
      <c r="HH29" s="27"/>
      <c r="HI29" s="42">
        <f t="shared" si="59"/>
        <v>3.5999999999999996</v>
      </c>
      <c r="HJ29" s="43">
        <f t="shared" si="60"/>
        <v>-2</v>
      </c>
      <c r="HL29" s="47">
        <v>0</v>
      </c>
      <c r="HM29" s="48" t="s">
        <v>4</v>
      </c>
      <c r="HN29" s="49">
        <v>3</v>
      </c>
      <c r="HO29" s="27"/>
      <c r="HP29" s="42">
        <f t="shared" si="61"/>
        <v>2.4</v>
      </c>
      <c r="HQ29" s="43">
        <f t="shared" si="62"/>
        <v>-3</v>
      </c>
      <c r="HS29" s="47">
        <v>0</v>
      </c>
      <c r="HT29" s="48" t="s">
        <v>4</v>
      </c>
      <c r="HU29" s="49">
        <v>1</v>
      </c>
      <c r="HV29" s="27"/>
      <c r="HW29" s="42">
        <f t="shared" si="63"/>
        <v>2.4</v>
      </c>
      <c r="HX29" s="43">
        <f t="shared" si="64"/>
        <v>-1</v>
      </c>
      <c r="HZ29" s="47">
        <v>0</v>
      </c>
      <c r="IA29" s="48" t="s">
        <v>4</v>
      </c>
      <c r="IB29" s="49">
        <v>3</v>
      </c>
      <c r="IC29" s="27"/>
      <c r="ID29" s="42">
        <f t="shared" si="65"/>
        <v>2.4</v>
      </c>
      <c r="IE29" s="43">
        <f t="shared" si="66"/>
        <v>-3</v>
      </c>
      <c r="IG29" s="47">
        <v>0</v>
      </c>
      <c r="IH29" s="48" t="s">
        <v>4</v>
      </c>
      <c r="II29" s="49">
        <v>3</v>
      </c>
      <c r="IJ29" s="27"/>
      <c r="IK29" s="42">
        <f t="shared" si="67"/>
        <v>2.4</v>
      </c>
      <c r="IL29" s="43">
        <f t="shared" si="68"/>
        <v>-3</v>
      </c>
      <c r="IN29" s="47">
        <v>0</v>
      </c>
      <c r="IO29" s="48" t="s">
        <v>4</v>
      </c>
      <c r="IP29" s="49">
        <v>1</v>
      </c>
      <c r="IQ29" s="27"/>
      <c r="IR29" s="42">
        <f t="shared" si="69"/>
        <v>2.4</v>
      </c>
      <c r="IS29" s="43">
        <f t="shared" si="70"/>
        <v>-1</v>
      </c>
      <c r="IU29" s="47">
        <v>0</v>
      </c>
      <c r="IV29" s="48" t="s">
        <v>4</v>
      </c>
      <c r="IW29" s="49">
        <v>2</v>
      </c>
      <c r="IX29" s="27"/>
      <c r="IY29" s="42">
        <f t="shared" si="71"/>
        <v>2.4</v>
      </c>
      <c r="IZ29" s="43">
        <f t="shared" si="72"/>
        <v>-2</v>
      </c>
      <c r="JB29" s="47">
        <v>0</v>
      </c>
      <c r="JC29" s="48" t="s">
        <v>4</v>
      </c>
      <c r="JD29" s="49">
        <v>1</v>
      </c>
      <c r="JE29" s="27"/>
      <c r="JF29" s="42">
        <f t="shared" si="73"/>
        <v>2.4</v>
      </c>
      <c r="JG29" s="43">
        <f t="shared" si="74"/>
        <v>-1</v>
      </c>
      <c r="JI29" s="47">
        <v>1</v>
      </c>
      <c r="JJ29" s="48" t="s">
        <v>4</v>
      </c>
      <c r="JK29" s="49">
        <v>4</v>
      </c>
      <c r="JL29" s="27"/>
      <c r="JM29" s="42">
        <f t="shared" si="75"/>
        <v>2.4</v>
      </c>
      <c r="JN29" s="43">
        <f t="shared" si="76"/>
        <v>-3</v>
      </c>
      <c r="JP29" s="47">
        <v>0</v>
      </c>
      <c r="JQ29" s="48" t="s">
        <v>4</v>
      </c>
      <c r="JR29" s="49">
        <v>3</v>
      </c>
      <c r="JS29" s="27"/>
      <c r="JT29" s="42">
        <f t="shared" si="77"/>
        <v>2.4</v>
      </c>
      <c r="JU29" s="43">
        <f t="shared" si="78"/>
        <v>-3</v>
      </c>
      <c r="JW29" s="47">
        <v>1</v>
      </c>
      <c r="JX29" s="48" t="s">
        <v>4</v>
      </c>
      <c r="JY29" s="49">
        <v>2</v>
      </c>
      <c r="JZ29" s="27"/>
      <c r="KA29" s="42">
        <f t="shared" si="79"/>
        <v>2.4</v>
      </c>
      <c r="KB29" s="43">
        <f t="shared" si="80"/>
        <v>-1</v>
      </c>
      <c r="KD29" s="47">
        <v>1</v>
      </c>
      <c r="KE29" s="48" t="s">
        <v>4</v>
      </c>
      <c r="KF29" s="49">
        <v>3</v>
      </c>
      <c r="KG29" s="27"/>
      <c r="KH29" s="42">
        <f t="shared" si="81"/>
        <v>3.5999999999999996</v>
      </c>
      <c r="KI29" s="43">
        <f t="shared" si="82"/>
        <v>-2</v>
      </c>
      <c r="KK29" s="47">
        <v>0</v>
      </c>
      <c r="KL29" s="48" t="s">
        <v>4</v>
      </c>
      <c r="KM29" s="49">
        <v>1</v>
      </c>
      <c r="KN29" s="27"/>
      <c r="KO29" s="42">
        <f t="shared" si="83"/>
        <v>2.4</v>
      </c>
      <c r="KP29" s="43">
        <f t="shared" si="84"/>
        <v>-1</v>
      </c>
      <c r="KR29" s="47">
        <v>0</v>
      </c>
      <c r="KS29" s="48" t="s">
        <v>4</v>
      </c>
      <c r="KT29" s="49">
        <v>2</v>
      </c>
      <c r="KU29" s="27"/>
      <c r="KV29" s="42">
        <f t="shared" si="85"/>
        <v>2.4</v>
      </c>
      <c r="KW29" s="43">
        <f t="shared" si="86"/>
        <v>-2</v>
      </c>
      <c r="KY29" s="47">
        <v>1</v>
      </c>
      <c r="KZ29" s="48" t="s">
        <v>4</v>
      </c>
      <c r="LA29" s="49">
        <v>2</v>
      </c>
      <c r="LB29" s="27"/>
      <c r="LC29" s="42">
        <f t="shared" si="87"/>
        <v>2.4</v>
      </c>
      <c r="LD29" s="43">
        <f t="shared" si="88"/>
        <v>-1</v>
      </c>
      <c r="LF29" s="47">
        <v>0</v>
      </c>
      <c r="LG29" s="48" t="s">
        <v>4</v>
      </c>
      <c r="LH29" s="49">
        <v>4</v>
      </c>
      <c r="LI29" s="27"/>
      <c r="LJ29" s="42">
        <f t="shared" si="89"/>
        <v>2.4</v>
      </c>
      <c r="LK29" s="43">
        <f t="shared" si="90"/>
        <v>-4</v>
      </c>
      <c r="LM29" s="47">
        <v>2</v>
      </c>
      <c r="LN29" s="48" t="s">
        <v>4</v>
      </c>
      <c r="LO29" s="49">
        <v>4</v>
      </c>
      <c r="LP29" s="27"/>
      <c r="LQ29" s="42">
        <f t="shared" si="91"/>
        <v>2.4</v>
      </c>
      <c r="LR29" s="43">
        <f t="shared" si="92"/>
        <v>-2</v>
      </c>
      <c r="LT29" s="47">
        <v>0</v>
      </c>
      <c r="LU29" s="48" t="s">
        <v>4</v>
      </c>
      <c r="LV29" s="49">
        <v>2</v>
      </c>
      <c r="LW29" s="27"/>
      <c r="LX29" s="42">
        <f t="shared" si="93"/>
        <v>2.4</v>
      </c>
      <c r="LY29" s="43">
        <f t="shared" si="94"/>
        <v>-2</v>
      </c>
      <c r="MA29" s="47">
        <v>2</v>
      </c>
      <c r="MB29" s="48" t="s">
        <v>4</v>
      </c>
      <c r="MC29" s="49">
        <v>2</v>
      </c>
      <c r="MD29" s="27"/>
      <c r="ME29" s="42">
        <f t="shared" si="95"/>
        <v>0</v>
      </c>
      <c r="MF29" s="43">
        <f t="shared" si="96"/>
        <v>0</v>
      </c>
      <c r="MH29" s="47">
        <v>1</v>
      </c>
      <c r="MI29" s="48" t="s">
        <v>4</v>
      </c>
      <c r="MJ29" s="49">
        <v>1</v>
      </c>
      <c r="MK29" s="27"/>
      <c r="ML29" s="42">
        <f t="shared" si="97"/>
        <v>0</v>
      </c>
      <c r="MM29" s="43">
        <f t="shared" si="98"/>
        <v>0</v>
      </c>
      <c r="MO29" s="47">
        <v>0</v>
      </c>
      <c r="MP29" s="48" t="s">
        <v>4</v>
      </c>
      <c r="MQ29" s="49">
        <v>1</v>
      </c>
      <c r="MR29" s="27"/>
      <c r="MS29" s="42">
        <f t="shared" si="99"/>
        <v>2.4</v>
      </c>
      <c r="MT29" s="43">
        <f t="shared" si="100"/>
        <v>-1</v>
      </c>
      <c r="MV29" s="47">
        <v>1</v>
      </c>
      <c r="MW29" s="48" t="s">
        <v>4</v>
      </c>
      <c r="MX29" s="49">
        <v>3</v>
      </c>
      <c r="MY29" s="27"/>
      <c r="MZ29" s="42">
        <f t="shared" si="101"/>
        <v>3.5999999999999996</v>
      </c>
      <c r="NA29" s="43">
        <f t="shared" si="102"/>
        <v>-2</v>
      </c>
      <c r="NC29" s="47">
        <v>2</v>
      </c>
      <c r="ND29" s="48" t="s">
        <v>4</v>
      </c>
      <c r="NE29" s="49">
        <v>3</v>
      </c>
      <c r="NF29" s="27"/>
      <c r="NG29" s="42">
        <f t="shared" si="103"/>
        <v>2.4</v>
      </c>
      <c r="NH29" s="43">
        <f t="shared" si="104"/>
        <v>-1</v>
      </c>
      <c r="NJ29" s="47">
        <v>4</v>
      </c>
      <c r="NK29" s="48" t="s">
        <v>4</v>
      </c>
      <c r="NL29" s="49">
        <v>1</v>
      </c>
      <c r="NM29" s="27"/>
      <c r="NN29" s="42">
        <f t="shared" si="105"/>
        <v>0</v>
      </c>
      <c r="NO29" s="43">
        <f t="shared" si="106"/>
        <v>3</v>
      </c>
      <c r="NQ29" s="47">
        <v>0</v>
      </c>
      <c r="NR29" s="48" t="s">
        <v>4</v>
      </c>
      <c r="NS29" s="49">
        <v>0</v>
      </c>
      <c r="NT29" s="27"/>
      <c r="NU29" s="42">
        <f t="shared" si="107"/>
        <v>0</v>
      </c>
      <c r="NV29" s="43">
        <f t="shared" si="108"/>
        <v>0</v>
      </c>
      <c r="NX29" s="47">
        <v>1</v>
      </c>
      <c r="NY29" s="48" t="s">
        <v>4</v>
      </c>
      <c r="NZ29" s="49">
        <v>3</v>
      </c>
      <c r="OA29" s="27"/>
      <c r="OB29" s="42">
        <f t="shared" si="109"/>
        <v>3.5999999999999996</v>
      </c>
      <c r="OC29" s="43">
        <f t="shared" si="110"/>
        <v>-2</v>
      </c>
      <c r="OE29" s="47">
        <v>1</v>
      </c>
      <c r="OF29" s="48" t="s">
        <v>4</v>
      </c>
      <c r="OG29" s="49">
        <v>3</v>
      </c>
      <c r="OH29" s="27"/>
      <c r="OI29" s="42">
        <f t="shared" si="111"/>
        <v>3.5999999999999996</v>
      </c>
      <c r="OJ29" s="43">
        <f t="shared" si="112"/>
        <v>-2</v>
      </c>
      <c r="OL29" s="47">
        <v>0</v>
      </c>
      <c r="OM29" s="48" t="s">
        <v>4</v>
      </c>
      <c r="ON29" s="49">
        <v>2</v>
      </c>
      <c r="OO29" s="27"/>
      <c r="OP29" s="42">
        <f t="shared" si="113"/>
        <v>2.4</v>
      </c>
      <c r="OQ29" s="43">
        <f t="shared" si="114"/>
        <v>-2</v>
      </c>
      <c r="OS29" s="47">
        <v>0</v>
      </c>
      <c r="OT29" s="48" t="s">
        <v>4</v>
      </c>
      <c r="OU29" s="49">
        <v>2</v>
      </c>
      <c r="OV29" s="27"/>
      <c r="OW29" s="42">
        <f t="shared" si="115"/>
        <v>2.4</v>
      </c>
      <c r="OX29" s="43">
        <f t="shared" si="116"/>
        <v>-2</v>
      </c>
      <c r="OZ29" s="47">
        <v>1</v>
      </c>
      <c r="PA29" s="48" t="s">
        <v>4</v>
      </c>
      <c r="PB29" s="49">
        <v>2</v>
      </c>
      <c r="PC29" s="27"/>
      <c r="PD29" s="42">
        <f t="shared" si="117"/>
        <v>2.4</v>
      </c>
      <c r="PE29" s="43">
        <f t="shared" si="118"/>
        <v>-1</v>
      </c>
      <c r="PG29" s="47">
        <v>1</v>
      </c>
      <c r="PH29" s="48" t="s">
        <v>4</v>
      </c>
      <c r="PI29" s="49">
        <v>2</v>
      </c>
      <c r="PJ29" s="27"/>
      <c r="PK29" s="42">
        <f t="shared" si="119"/>
        <v>2.4</v>
      </c>
      <c r="PL29" s="43">
        <f t="shared" si="120"/>
        <v>-1</v>
      </c>
      <c r="PN29" s="47">
        <v>0</v>
      </c>
      <c r="PO29" s="48" t="s">
        <v>4</v>
      </c>
      <c r="PP29" s="49">
        <v>2</v>
      </c>
      <c r="PQ29" s="27"/>
      <c r="PR29" s="42">
        <f t="shared" si="121"/>
        <v>2.4</v>
      </c>
      <c r="PS29" s="43">
        <f t="shared" si="122"/>
        <v>-2</v>
      </c>
      <c r="PU29" s="47">
        <v>1</v>
      </c>
      <c r="PV29" s="48" t="s">
        <v>4</v>
      </c>
      <c r="PW29" s="49">
        <v>3</v>
      </c>
      <c r="PX29" s="27"/>
      <c r="PY29" s="42">
        <f t="shared" si="123"/>
        <v>3.5999999999999996</v>
      </c>
      <c r="PZ29" s="43">
        <f t="shared" si="124"/>
        <v>-2</v>
      </c>
      <c r="QB29" s="47">
        <v>0</v>
      </c>
      <c r="QC29" s="48" t="s">
        <v>4</v>
      </c>
      <c r="QD29" s="49">
        <v>2</v>
      </c>
      <c r="QE29" s="27"/>
      <c r="QF29" s="42">
        <f t="shared" si="125"/>
        <v>2.4</v>
      </c>
      <c r="QG29" s="43">
        <f t="shared" si="126"/>
        <v>-2</v>
      </c>
      <c r="QI29" s="47">
        <v>1</v>
      </c>
      <c r="QJ29" s="48" t="s">
        <v>4</v>
      </c>
      <c r="QK29" s="49">
        <v>2</v>
      </c>
      <c r="QL29" s="27"/>
      <c r="QM29" s="42">
        <f t="shared" si="127"/>
        <v>2.4</v>
      </c>
      <c r="QN29" s="43">
        <f t="shared" si="128"/>
        <v>-1</v>
      </c>
      <c r="QP29" s="47">
        <v>0</v>
      </c>
      <c r="QQ29" s="48" t="s">
        <v>4</v>
      </c>
      <c r="QR29" s="49">
        <v>2</v>
      </c>
      <c r="QS29" s="27"/>
      <c r="QT29" s="42">
        <f t="shared" si="129"/>
        <v>2.4</v>
      </c>
      <c r="QU29" s="43">
        <f t="shared" si="130"/>
        <v>-2</v>
      </c>
      <c r="QW29" s="47">
        <v>0</v>
      </c>
      <c r="QX29" s="48" t="s">
        <v>4</v>
      </c>
      <c r="QY29" s="49">
        <v>2</v>
      </c>
      <c r="QZ29" s="27"/>
      <c r="RA29" s="42">
        <f t="shared" si="131"/>
        <v>2.4</v>
      </c>
      <c r="RB29" s="43">
        <f t="shared" si="132"/>
        <v>-2</v>
      </c>
      <c r="RD29" s="47">
        <v>0</v>
      </c>
      <c r="RE29" s="48" t="s">
        <v>4</v>
      </c>
      <c r="RF29" s="49">
        <v>2</v>
      </c>
      <c r="RG29" s="27"/>
      <c r="RH29" s="42">
        <f t="shared" si="133"/>
        <v>2.4</v>
      </c>
      <c r="RI29" s="43">
        <f t="shared" si="134"/>
        <v>-2</v>
      </c>
      <c r="RK29" s="47">
        <v>1</v>
      </c>
      <c r="RL29" s="48" t="s">
        <v>4</v>
      </c>
      <c r="RM29" s="49">
        <v>2</v>
      </c>
      <c r="RN29" s="27"/>
      <c r="RO29" s="42">
        <f t="shared" si="135"/>
        <v>2.4</v>
      </c>
      <c r="RP29" s="43">
        <f t="shared" si="136"/>
        <v>-1</v>
      </c>
      <c r="RR29" s="47">
        <v>0</v>
      </c>
      <c r="RS29" s="48" t="s">
        <v>4</v>
      </c>
      <c r="RT29" s="49">
        <v>2</v>
      </c>
      <c r="RU29" s="27"/>
      <c r="RV29" s="42">
        <f t="shared" si="137"/>
        <v>2.4</v>
      </c>
      <c r="RW29" s="43">
        <f t="shared" si="138"/>
        <v>-2</v>
      </c>
      <c r="RY29" s="47">
        <v>0</v>
      </c>
      <c r="RZ29" s="48" t="s">
        <v>4</v>
      </c>
      <c r="SA29" s="49">
        <v>2</v>
      </c>
      <c r="SB29" s="27"/>
      <c r="SC29" s="42">
        <f t="shared" si="139"/>
        <v>2.4</v>
      </c>
      <c r="SD29" s="43">
        <f t="shared" si="140"/>
        <v>-2</v>
      </c>
      <c r="SF29" s="47">
        <v>0</v>
      </c>
      <c r="SG29" s="48" t="s">
        <v>4</v>
      </c>
      <c r="SH29" s="49">
        <v>2</v>
      </c>
      <c r="SI29" s="27"/>
      <c r="SJ29" s="42">
        <f t="shared" si="141"/>
        <v>2.4</v>
      </c>
      <c r="SK29" s="43">
        <f t="shared" si="142"/>
        <v>-2</v>
      </c>
      <c r="SM29" s="47">
        <v>1</v>
      </c>
      <c r="SN29" s="48" t="s">
        <v>4</v>
      </c>
      <c r="SO29" s="49">
        <v>3</v>
      </c>
      <c r="SP29" s="27"/>
      <c r="SQ29" s="42">
        <f t="shared" si="143"/>
        <v>3.5999999999999996</v>
      </c>
      <c r="SR29" s="43">
        <f t="shared" si="144"/>
        <v>-2</v>
      </c>
    </row>
    <row r="30" spans="1:512" customFormat="1" ht="7" customHeight="1" x14ac:dyDescent="0.15">
      <c r="A30" s="34"/>
      <c r="B30" s="35"/>
      <c r="C30" s="79"/>
      <c r="D30" s="80"/>
      <c r="F30" s="6"/>
      <c r="G30" s="5"/>
      <c r="H30" s="8"/>
      <c r="I30" s="32"/>
      <c r="J30" s="47"/>
      <c r="K30" s="48"/>
      <c r="L30" s="49"/>
      <c r="M30" s="27"/>
      <c r="N30" s="42"/>
      <c r="O30" s="43"/>
      <c r="P30" s="32"/>
      <c r="Q30" s="47"/>
      <c r="R30" s="48"/>
      <c r="S30" s="49"/>
      <c r="T30" s="27"/>
      <c r="U30" s="42"/>
      <c r="V30" s="43"/>
      <c r="X30" s="47"/>
      <c r="Y30" s="48"/>
      <c r="Z30" s="49"/>
      <c r="AA30" s="27"/>
      <c r="AB30" s="42"/>
      <c r="AC30" s="43"/>
      <c r="AE30" s="47"/>
      <c r="AF30" s="48"/>
      <c r="AG30" s="49"/>
      <c r="AH30" s="27"/>
      <c r="AI30" s="42"/>
      <c r="AJ30" s="43"/>
      <c r="AL30" s="47"/>
      <c r="AM30" s="48"/>
      <c r="AN30" s="49"/>
      <c r="AO30" s="27"/>
      <c r="AP30" s="42"/>
      <c r="AQ30" s="43"/>
      <c r="AS30" s="47"/>
      <c r="AT30" s="48"/>
      <c r="AU30" s="49"/>
      <c r="AV30" s="27"/>
      <c r="AW30" s="42"/>
      <c r="AX30" s="43"/>
      <c r="AZ30" s="47"/>
      <c r="BA30" s="48"/>
      <c r="BB30" s="49"/>
      <c r="BC30" s="27"/>
      <c r="BD30" s="42"/>
      <c r="BE30" s="43"/>
      <c r="BG30" s="47"/>
      <c r="BH30" s="48"/>
      <c r="BI30" s="49"/>
      <c r="BJ30" s="27"/>
      <c r="BK30" s="42"/>
      <c r="BL30" s="43"/>
      <c r="BN30" s="47"/>
      <c r="BO30" s="48"/>
      <c r="BP30" s="49"/>
      <c r="BQ30" s="27"/>
      <c r="BR30" s="42"/>
      <c r="BS30" s="43"/>
      <c r="BU30" s="47"/>
      <c r="BV30" s="48"/>
      <c r="BW30" s="49"/>
      <c r="BX30" s="27"/>
      <c r="BY30" s="42"/>
      <c r="BZ30" s="43"/>
      <c r="CB30" s="47"/>
      <c r="CC30" s="48"/>
      <c r="CD30" s="49"/>
      <c r="CE30" s="27"/>
      <c r="CF30" s="42"/>
      <c r="CG30" s="43"/>
      <c r="CI30" s="47"/>
      <c r="CJ30" s="48"/>
      <c r="CK30" s="49"/>
      <c r="CL30" s="27"/>
      <c r="CM30" s="42"/>
      <c r="CN30" s="43"/>
      <c r="CP30" s="47"/>
      <c r="CQ30" s="48"/>
      <c r="CR30" s="49"/>
      <c r="CS30" s="27"/>
      <c r="CT30" s="42"/>
      <c r="CU30" s="43"/>
      <c r="CW30" s="47"/>
      <c r="CX30" s="48"/>
      <c r="CY30" s="49"/>
      <c r="CZ30" s="27"/>
      <c r="DA30" s="42"/>
      <c r="DB30" s="43"/>
      <c r="DD30" s="47"/>
      <c r="DE30" s="48"/>
      <c r="DF30" s="49"/>
      <c r="DG30" s="27"/>
      <c r="DH30" s="42"/>
      <c r="DI30" s="43"/>
      <c r="DK30" s="47"/>
      <c r="DL30" s="48"/>
      <c r="DM30" s="49"/>
      <c r="DN30" s="27"/>
      <c r="DO30" s="42"/>
      <c r="DP30" s="43"/>
      <c r="DR30" s="47"/>
      <c r="DS30" s="48"/>
      <c r="DT30" s="49"/>
      <c r="DU30" s="27"/>
      <c r="DV30" s="42"/>
      <c r="DW30" s="43"/>
      <c r="DY30" s="47"/>
      <c r="DZ30" s="48"/>
      <c r="EA30" s="49"/>
      <c r="EB30" s="27"/>
      <c r="EC30" s="42"/>
      <c r="ED30" s="43"/>
      <c r="EF30" s="47"/>
      <c r="EG30" s="48"/>
      <c r="EH30" s="49"/>
      <c r="EI30" s="27"/>
      <c r="EJ30" s="42"/>
      <c r="EK30" s="43"/>
      <c r="EM30" s="47"/>
      <c r="EN30" s="48"/>
      <c r="EO30" s="49"/>
      <c r="EP30" s="27"/>
      <c r="EQ30" s="42"/>
      <c r="ER30" s="43"/>
      <c r="ET30" s="47"/>
      <c r="EU30" s="48"/>
      <c r="EV30" s="49"/>
      <c r="EW30" s="27"/>
      <c r="EX30" s="42"/>
      <c r="EY30" s="43"/>
      <c r="FA30" s="47"/>
      <c r="FB30" s="48"/>
      <c r="FC30" s="49"/>
      <c r="FD30" s="27"/>
      <c r="FE30" s="42"/>
      <c r="FF30" s="43"/>
      <c r="FH30" s="47"/>
      <c r="FI30" s="48"/>
      <c r="FJ30" s="49"/>
      <c r="FK30" s="27"/>
      <c r="FL30" s="42"/>
      <c r="FM30" s="43"/>
      <c r="FO30" s="47"/>
      <c r="FP30" s="48"/>
      <c r="FQ30" s="49"/>
      <c r="FR30" s="27"/>
      <c r="FS30" s="42"/>
      <c r="FT30" s="43"/>
      <c r="FV30" s="47"/>
      <c r="FW30" s="48"/>
      <c r="FX30" s="49"/>
      <c r="FY30" s="27"/>
      <c r="FZ30" s="42"/>
      <c r="GA30" s="43"/>
      <c r="GC30" s="47"/>
      <c r="GD30" s="48"/>
      <c r="GE30" s="49"/>
      <c r="GF30" s="27"/>
      <c r="GG30" s="42"/>
      <c r="GH30" s="43"/>
      <c r="GJ30" s="47"/>
      <c r="GK30" s="48"/>
      <c r="GL30" s="49"/>
      <c r="GM30" s="27"/>
      <c r="GN30" s="42"/>
      <c r="GO30" s="43"/>
      <c r="GQ30" s="47"/>
      <c r="GR30" s="48"/>
      <c r="GS30" s="49"/>
      <c r="GT30" s="27"/>
      <c r="GU30" s="42"/>
      <c r="GV30" s="43"/>
      <c r="GX30" s="47"/>
      <c r="GY30" s="48"/>
      <c r="GZ30" s="49"/>
      <c r="HA30" s="27"/>
      <c r="HB30" s="42"/>
      <c r="HC30" s="43"/>
      <c r="HE30" s="47"/>
      <c r="HF30" s="48"/>
      <c r="HG30" s="49"/>
      <c r="HH30" s="27"/>
      <c r="HI30" s="42"/>
      <c r="HJ30" s="43"/>
      <c r="HL30" s="47"/>
      <c r="HM30" s="48"/>
      <c r="HN30" s="49"/>
      <c r="HO30" s="27"/>
      <c r="HP30" s="42"/>
      <c r="HQ30" s="43"/>
      <c r="HS30" s="47"/>
      <c r="HT30" s="48"/>
      <c r="HU30" s="49"/>
      <c r="HV30" s="27"/>
      <c r="HW30" s="42"/>
      <c r="HX30" s="43"/>
      <c r="HZ30" s="47"/>
      <c r="IA30" s="48"/>
      <c r="IB30" s="49"/>
      <c r="IC30" s="27"/>
      <c r="ID30" s="42"/>
      <c r="IE30" s="43"/>
      <c r="IG30" s="47"/>
      <c r="IH30" s="48"/>
      <c r="II30" s="49"/>
      <c r="IJ30" s="27"/>
      <c r="IK30" s="42"/>
      <c r="IL30" s="43"/>
      <c r="IN30" s="47"/>
      <c r="IO30" s="48"/>
      <c r="IP30" s="49"/>
      <c r="IQ30" s="27"/>
      <c r="IR30" s="42"/>
      <c r="IS30" s="43"/>
      <c r="IU30" s="47"/>
      <c r="IV30" s="48"/>
      <c r="IW30" s="49"/>
      <c r="IX30" s="27"/>
      <c r="IY30" s="42"/>
      <c r="IZ30" s="43"/>
      <c r="JB30" s="47"/>
      <c r="JC30" s="48"/>
      <c r="JD30" s="49"/>
      <c r="JE30" s="27"/>
      <c r="JF30" s="42"/>
      <c r="JG30" s="43"/>
      <c r="JI30" s="47"/>
      <c r="JJ30" s="48"/>
      <c r="JK30" s="49"/>
      <c r="JL30" s="27"/>
      <c r="JM30" s="42"/>
      <c r="JN30" s="43"/>
      <c r="JP30" s="47"/>
      <c r="JQ30" s="48"/>
      <c r="JR30" s="49"/>
      <c r="JS30" s="27"/>
      <c r="JT30" s="42"/>
      <c r="JU30" s="43"/>
      <c r="JW30" s="47"/>
      <c r="JX30" s="48"/>
      <c r="JY30" s="49"/>
      <c r="JZ30" s="27"/>
      <c r="KA30" s="42"/>
      <c r="KB30" s="43"/>
      <c r="KD30" s="47"/>
      <c r="KE30" s="48"/>
      <c r="KF30" s="49"/>
      <c r="KG30" s="27"/>
      <c r="KH30" s="42"/>
      <c r="KI30" s="43"/>
      <c r="KK30" s="47"/>
      <c r="KL30" s="48"/>
      <c r="KM30" s="49"/>
      <c r="KN30" s="27"/>
      <c r="KO30" s="42"/>
      <c r="KP30" s="43"/>
      <c r="KR30" s="47"/>
      <c r="KS30" s="48"/>
      <c r="KT30" s="49"/>
      <c r="KU30" s="27"/>
      <c r="KV30" s="42"/>
      <c r="KW30" s="43"/>
      <c r="KY30" s="47"/>
      <c r="KZ30" s="48"/>
      <c r="LA30" s="49"/>
      <c r="LB30" s="27"/>
      <c r="LC30" s="42"/>
      <c r="LD30" s="43"/>
      <c r="LF30" s="47"/>
      <c r="LG30" s="48"/>
      <c r="LH30" s="49"/>
      <c r="LI30" s="27"/>
      <c r="LJ30" s="42"/>
      <c r="LK30" s="43"/>
      <c r="LM30" s="47"/>
      <c r="LN30" s="48"/>
      <c r="LO30" s="49"/>
      <c r="LP30" s="27"/>
      <c r="LQ30" s="42"/>
      <c r="LR30" s="43"/>
      <c r="LT30" s="47"/>
      <c r="LU30" s="48"/>
      <c r="LV30" s="49"/>
      <c r="LW30" s="27"/>
      <c r="LX30" s="42"/>
      <c r="LY30" s="43"/>
      <c r="MA30" s="47"/>
      <c r="MB30" s="48"/>
      <c r="MC30" s="49"/>
      <c r="MD30" s="27"/>
      <c r="ME30" s="42"/>
      <c r="MF30" s="43"/>
      <c r="MH30" s="47"/>
      <c r="MI30" s="48"/>
      <c r="MJ30" s="49"/>
      <c r="MK30" s="27"/>
      <c r="ML30" s="42"/>
      <c r="MM30" s="43"/>
      <c r="MO30" s="47"/>
      <c r="MP30" s="48"/>
      <c r="MQ30" s="49"/>
      <c r="MR30" s="27"/>
      <c r="MS30" s="42"/>
      <c r="MT30" s="43"/>
      <c r="MV30" s="47"/>
      <c r="MW30" s="48"/>
      <c r="MX30" s="49"/>
      <c r="MY30" s="27"/>
      <c r="MZ30" s="42"/>
      <c r="NA30" s="43"/>
      <c r="NC30" s="47"/>
      <c r="ND30" s="48"/>
      <c r="NE30" s="49"/>
      <c r="NF30" s="27"/>
      <c r="NG30" s="42"/>
      <c r="NH30" s="43"/>
      <c r="NJ30" s="47"/>
      <c r="NK30" s="48"/>
      <c r="NL30" s="49"/>
      <c r="NM30" s="27"/>
      <c r="NN30" s="42"/>
      <c r="NO30" s="43"/>
      <c r="NQ30" s="47"/>
      <c r="NR30" s="48"/>
      <c r="NS30" s="49"/>
      <c r="NT30" s="27"/>
      <c r="NU30" s="42"/>
      <c r="NV30" s="43"/>
      <c r="NX30" s="47"/>
      <c r="NY30" s="48"/>
      <c r="NZ30" s="49"/>
      <c r="OA30" s="27"/>
      <c r="OB30" s="42"/>
      <c r="OC30" s="43"/>
      <c r="OE30" s="47"/>
      <c r="OF30" s="48"/>
      <c r="OG30" s="49"/>
      <c r="OH30" s="27"/>
      <c r="OI30" s="42"/>
      <c r="OJ30" s="43"/>
      <c r="OL30" s="47"/>
      <c r="OM30" s="48"/>
      <c r="ON30" s="49"/>
      <c r="OO30" s="27"/>
      <c r="OP30" s="42"/>
      <c r="OQ30" s="43"/>
      <c r="OS30" s="47"/>
      <c r="OT30" s="48"/>
      <c r="OU30" s="49"/>
      <c r="OV30" s="27"/>
      <c r="OW30" s="42"/>
      <c r="OX30" s="43"/>
      <c r="OZ30" s="47"/>
      <c r="PA30" s="48"/>
      <c r="PB30" s="49"/>
      <c r="PC30" s="27"/>
      <c r="PD30" s="42"/>
      <c r="PE30" s="43"/>
      <c r="PG30" s="47"/>
      <c r="PH30" s="48"/>
      <c r="PI30" s="49"/>
      <c r="PJ30" s="27"/>
      <c r="PK30" s="42"/>
      <c r="PL30" s="43"/>
      <c r="PN30" s="47"/>
      <c r="PO30" s="48"/>
      <c r="PP30" s="49"/>
      <c r="PQ30" s="27"/>
      <c r="PR30" s="42"/>
      <c r="PS30" s="43"/>
      <c r="PU30" s="47"/>
      <c r="PV30" s="48"/>
      <c r="PW30" s="49"/>
      <c r="PX30" s="27"/>
      <c r="PY30" s="42"/>
      <c r="PZ30" s="43"/>
      <c r="QB30" s="47"/>
      <c r="QC30" s="48"/>
      <c r="QD30" s="49"/>
      <c r="QE30" s="27"/>
      <c r="QF30" s="42"/>
      <c r="QG30" s="43"/>
      <c r="QI30" s="47"/>
      <c r="QJ30" s="48"/>
      <c r="QK30" s="49"/>
      <c r="QL30" s="27"/>
      <c r="QM30" s="42"/>
      <c r="QN30" s="43"/>
      <c r="QP30" s="47"/>
      <c r="QQ30" s="48"/>
      <c r="QR30" s="49"/>
      <c r="QS30" s="27"/>
      <c r="QT30" s="42"/>
      <c r="QU30" s="43"/>
      <c r="QW30" s="47"/>
      <c r="QX30" s="48"/>
      <c r="QY30" s="49"/>
      <c r="QZ30" s="27"/>
      <c r="RA30" s="42"/>
      <c r="RB30" s="43"/>
      <c r="RD30" s="47"/>
      <c r="RE30" s="48"/>
      <c r="RF30" s="49"/>
      <c r="RG30" s="27"/>
      <c r="RH30" s="42"/>
      <c r="RI30" s="43"/>
      <c r="RK30" s="47"/>
      <c r="RL30" s="48"/>
      <c r="RM30" s="49"/>
      <c r="RN30" s="27"/>
      <c r="RO30" s="42"/>
      <c r="RP30" s="43"/>
      <c r="RR30" s="47"/>
      <c r="RS30" s="48"/>
      <c r="RT30" s="49"/>
      <c r="RU30" s="27"/>
      <c r="RV30" s="42"/>
      <c r="RW30" s="43"/>
      <c r="RY30" s="47"/>
      <c r="RZ30" s="48"/>
      <c r="SA30" s="49"/>
      <c r="SB30" s="27"/>
      <c r="SC30" s="42"/>
      <c r="SD30" s="43"/>
      <c r="SF30" s="47"/>
      <c r="SG30" s="48"/>
      <c r="SH30" s="49"/>
      <c r="SI30" s="27"/>
      <c r="SJ30" s="42"/>
      <c r="SK30" s="43"/>
      <c r="SM30" s="47"/>
      <c r="SN30" s="48"/>
      <c r="SO30" s="49"/>
      <c r="SP30" s="27"/>
      <c r="SQ30" s="42"/>
      <c r="SR30" s="43"/>
    </row>
    <row r="31" spans="1:512" customFormat="1" ht="16" customHeight="1" x14ac:dyDescent="0.15">
      <c r="A31" s="34">
        <v>46191</v>
      </c>
      <c r="B31" s="35">
        <v>0.75</v>
      </c>
      <c r="C31" s="79" t="s">
        <v>26</v>
      </c>
      <c r="D31" s="80" t="s">
        <v>29</v>
      </c>
      <c r="E31" s="2">
        <v>1</v>
      </c>
      <c r="F31" s="50" t="s">
        <v>4</v>
      </c>
      <c r="G31" s="1">
        <v>1</v>
      </c>
      <c r="H31" s="16">
        <v>2.4</v>
      </c>
      <c r="I31" s="32">
        <f t="shared" si="0"/>
        <v>0</v>
      </c>
      <c r="J31" s="47">
        <v>1</v>
      </c>
      <c r="K31" s="48" t="s">
        <v>4</v>
      </c>
      <c r="L31" s="49">
        <v>0</v>
      </c>
      <c r="M31" s="27"/>
      <c r="N31" s="42">
        <f t="shared" si="1"/>
        <v>0</v>
      </c>
      <c r="O31" s="43">
        <f t="shared" si="2"/>
        <v>1</v>
      </c>
      <c r="P31" s="32"/>
      <c r="Q31" s="47">
        <v>2</v>
      </c>
      <c r="R31" s="48" t="s">
        <v>4</v>
      </c>
      <c r="S31" s="49">
        <v>1</v>
      </c>
      <c r="T31" s="27"/>
      <c r="U31" s="42">
        <f t="shared" ref="U31:U54" si="145">IF(OR($G31="",S31=""),"",IF(AND($E31=Q31,$G31=S31),$H31*1.5,IF(AND($I31&gt;0,V31&gt;0),$H31,IF(AND($I31&lt;0,V31&lt;0),$H31,IF(AND($I31=0,V31=0),$H31,0)))))</f>
        <v>0</v>
      </c>
      <c r="V31" s="43">
        <f t="shared" ref="V31:V54" si="146">Q31-S31</f>
        <v>1</v>
      </c>
      <c r="X31" s="47">
        <v>3</v>
      </c>
      <c r="Y31" s="48" t="s">
        <v>4</v>
      </c>
      <c r="Z31" s="49">
        <v>1</v>
      </c>
      <c r="AA31" s="27"/>
      <c r="AB31" s="42">
        <f t="shared" ref="AB31:AB54" si="147">IF(OR($G31="",Z31=""),"",IF(AND($E31=X31,$G31=Z31),$H31*1.5,IF(AND($I31&gt;0,AC31&gt;0),$H31,IF(AND($I31&lt;0,AC31&lt;0),$H31,IF(AND($I31=0,AC31=0),$H31,0)))))</f>
        <v>0</v>
      </c>
      <c r="AC31" s="43">
        <f t="shared" ref="AC31:AC54" si="148">X31-Z31</f>
        <v>2</v>
      </c>
      <c r="AE31" s="47">
        <v>2</v>
      </c>
      <c r="AF31" s="48" t="s">
        <v>4</v>
      </c>
      <c r="AG31" s="49">
        <v>2</v>
      </c>
      <c r="AH31" s="27"/>
      <c r="AI31" s="42">
        <f t="shared" ref="AI31:AI54" si="149">IF(OR($G31="",AG31=""),"",IF(AND($E31=AE31,$G31=AG31),$H31*1.5,IF(AND($I31&gt;0,AJ31&gt;0),$H31,IF(AND($I31&lt;0,AJ31&lt;0),$H31,IF(AND($I31=0,AJ31=0),$H31,0)))))</f>
        <v>2.4</v>
      </c>
      <c r="AJ31" s="43">
        <f t="shared" ref="AJ31:AJ54" si="150">AE31-AG31</f>
        <v>0</v>
      </c>
      <c r="AL31" s="47">
        <v>1</v>
      </c>
      <c r="AM31" s="48" t="s">
        <v>4</v>
      </c>
      <c r="AN31" s="49">
        <v>1</v>
      </c>
      <c r="AO31" s="27"/>
      <c r="AP31" s="42">
        <f t="shared" ref="AP31:AP54" si="151">IF(OR($G31="",AN31=""),"",IF(AND($E31=AL31,$G31=AN31),$H31*1.5,IF(AND($I31&gt;0,AQ31&gt;0),$H31,IF(AND($I31&lt;0,AQ31&lt;0),$H31,IF(AND($I31=0,AQ31=0),$H31,0)))))</f>
        <v>3.5999999999999996</v>
      </c>
      <c r="AQ31" s="43">
        <f t="shared" ref="AQ31:AQ54" si="152">AL31-AN31</f>
        <v>0</v>
      </c>
      <c r="AS31" s="47">
        <v>0</v>
      </c>
      <c r="AT31" s="48" t="s">
        <v>4</v>
      </c>
      <c r="AU31" s="49">
        <v>1</v>
      </c>
      <c r="AV31" s="27"/>
      <c r="AW31" s="42">
        <f t="shared" ref="AW31:AW54" si="153">IF(OR($G31="",AU31=""),"",IF(AND($E31=AS31,$G31=AU31),$H31*1.5,IF(AND($I31&gt;0,AX31&gt;0),$H31,IF(AND($I31&lt;0,AX31&lt;0),$H31,IF(AND($I31=0,AX31=0),$H31,0)))))</f>
        <v>0</v>
      </c>
      <c r="AX31" s="43">
        <f t="shared" ref="AX31:AX54" si="154">AS31-AU31</f>
        <v>-1</v>
      </c>
      <c r="AZ31" s="47">
        <v>1</v>
      </c>
      <c r="BA31" s="48" t="s">
        <v>4</v>
      </c>
      <c r="BB31" s="49">
        <v>0</v>
      </c>
      <c r="BC31" s="27"/>
      <c r="BD31" s="42">
        <f t="shared" ref="BD31:BD54" si="155">IF(OR($G31="",BB31=""),"",IF(AND($E31=AZ31,$G31=BB31),$H31*1.5,IF(AND($I31&gt;0,BE31&gt;0),$H31,IF(AND($I31&lt;0,BE31&lt;0),$H31,IF(AND($I31=0,BE31=0),$H31,0)))))</f>
        <v>0</v>
      </c>
      <c r="BE31" s="43">
        <f t="shared" ref="BE31:BE54" si="156">AZ31-BB31</f>
        <v>1</v>
      </c>
      <c r="BG31" s="47">
        <v>0</v>
      </c>
      <c r="BH31" s="48" t="s">
        <v>4</v>
      </c>
      <c r="BI31" s="49">
        <v>1</v>
      </c>
      <c r="BJ31" s="27"/>
      <c r="BK31" s="42">
        <f t="shared" ref="BK31:BK54" si="157">IF(OR($G31="",BI31=""),"",IF(AND($E31=BG31,$G31=BI31),$H31*1.5,IF(AND($I31&gt;0,BL31&gt;0),$H31,IF(AND($I31&lt;0,BL31&lt;0),$H31,IF(AND($I31=0,BL31=0),$H31,0)))))</f>
        <v>0</v>
      </c>
      <c r="BL31" s="43">
        <f t="shared" ref="BL31:BL54" si="158">BG31-BI31</f>
        <v>-1</v>
      </c>
      <c r="BN31" s="47">
        <v>1</v>
      </c>
      <c r="BO31" s="48" t="s">
        <v>4</v>
      </c>
      <c r="BP31" s="49">
        <v>1</v>
      </c>
      <c r="BQ31" s="27"/>
      <c r="BR31" s="42">
        <f t="shared" ref="BR31:BR54" si="159">IF(OR($G31="",BP31=""),"",IF(AND($E31=BN31,$G31=BP31),$H31*1.5,IF(AND($I31&gt;0,BS31&gt;0),$H31,IF(AND($I31&lt;0,BS31&lt;0),$H31,IF(AND($I31=0,BS31=0),$H31,0)))))</f>
        <v>3.5999999999999996</v>
      </c>
      <c r="BS31" s="43">
        <f t="shared" ref="BS31:BS54" si="160">BN31-BP31</f>
        <v>0</v>
      </c>
      <c r="BU31" s="47">
        <v>1</v>
      </c>
      <c r="BV31" s="48" t="s">
        <v>4</v>
      </c>
      <c r="BW31" s="49">
        <v>1</v>
      </c>
      <c r="BX31" s="27"/>
      <c r="BY31" s="42">
        <f t="shared" ref="BY31:BY54" si="161">IF(OR($G31="",BW31=""),"",IF(AND($E31=BU31,$G31=BW31),$H31*1.5,IF(AND($I31&gt;0,BZ31&gt;0),$H31,IF(AND($I31&lt;0,BZ31&lt;0),$H31,IF(AND($I31=0,BZ31=0),$H31,0)))))</f>
        <v>3.5999999999999996</v>
      </c>
      <c r="BZ31" s="43">
        <f t="shared" ref="BZ31:BZ54" si="162">BU31-BW31</f>
        <v>0</v>
      </c>
      <c r="CB31" s="47">
        <v>2</v>
      </c>
      <c r="CC31" s="48" t="s">
        <v>4</v>
      </c>
      <c r="CD31" s="49">
        <v>0</v>
      </c>
      <c r="CE31" s="27"/>
      <c r="CF31" s="42">
        <f t="shared" ref="CF31:CF54" si="163">IF(OR($G31="",CD31=""),"",IF(AND($E31=CB31,$G31=CD31),$H31*1.5,IF(AND($I31&gt;0,CG31&gt;0),$H31,IF(AND($I31&lt;0,CG31&lt;0),$H31,IF(AND($I31=0,CG31=0),$H31,0)))))</f>
        <v>0</v>
      </c>
      <c r="CG31" s="43">
        <f t="shared" ref="CG31:CG54" si="164">CB31-CD31</f>
        <v>2</v>
      </c>
      <c r="CI31" s="47">
        <v>1</v>
      </c>
      <c r="CJ31" s="48" t="s">
        <v>4</v>
      </c>
      <c r="CK31" s="49">
        <v>0</v>
      </c>
      <c r="CL31" s="27"/>
      <c r="CM31" s="42">
        <f t="shared" ref="CM31:CM54" si="165">IF(OR($G31="",CK31=""),"",IF(AND($E31=CI31,$G31=CK31),$H31*1.5,IF(AND($I31&gt;0,CN31&gt;0),$H31,IF(AND($I31&lt;0,CN31&lt;0),$H31,IF(AND($I31=0,CN31=0),$H31,0)))))</f>
        <v>0</v>
      </c>
      <c r="CN31" s="43">
        <f t="shared" ref="CN31:CN54" si="166">CI31-CK31</f>
        <v>1</v>
      </c>
      <c r="CP31" s="47">
        <v>1</v>
      </c>
      <c r="CQ31" s="48" t="s">
        <v>4</v>
      </c>
      <c r="CR31" s="49">
        <v>0</v>
      </c>
      <c r="CS31" s="27"/>
      <c r="CT31" s="42">
        <f t="shared" ref="CT31:CT54" si="167">IF(OR($G31="",CR31=""),"",IF(AND($E31=CP31,$G31=CR31),$H31*1.5,IF(AND($I31&gt;0,CU31&gt;0),$H31,IF(AND($I31&lt;0,CU31&lt;0),$H31,IF(AND($I31=0,CU31=0),$H31,0)))))</f>
        <v>0</v>
      </c>
      <c r="CU31" s="43">
        <f t="shared" ref="CU31:CU54" si="168">CP31-CR31</f>
        <v>1</v>
      </c>
      <c r="CW31" s="47">
        <v>1</v>
      </c>
      <c r="CX31" s="48" t="s">
        <v>4</v>
      </c>
      <c r="CY31" s="49">
        <v>1</v>
      </c>
      <c r="CZ31" s="27"/>
      <c r="DA31" s="42">
        <f t="shared" ref="DA31:DA54" si="169">IF(OR($G31="",CY31=""),"",IF(AND($E31=CW31,$G31=CY31),$H31*1.5,IF(AND($I31&gt;0,DB31&gt;0),$H31,IF(AND($I31&lt;0,DB31&lt;0),$H31,IF(AND($I31=0,DB31=0),$H31,0)))))</f>
        <v>3.5999999999999996</v>
      </c>
      <c r="DB31" s="43">
        <f t="shared" ref="DB31:DB54" si="170">CW31-CY31</f>
        <v>0</v>
      </c>
      <c r="DD31" s="47">
        <v>1</v>
      </c>
      <c r="DE31" s="48" t="s">
        <v>4</v>
      </c>
      <c r="DF31" s="49">
        <v>0</v>
      </c>
      <c r="DG31" s="27"/>
      <c r="DH31" s="42">
        <f t="shared" ref="DH31:DH54" si="171">IF(OR($G31="",DF31=""),"",IF(AND($E31=DD31,$G31=DF31),$H31*1.5,IF(AND($I31&gt;0,DI31&gt;0),$H31,IF(AND($I31&lt;0,DI31&lt;0),$H31,IF(AND($I31=0,DI31=0),$H31,0)))))</f>
        <v>0</v>
      </c>
      <c r="DI31" s="43">
        <f t="shared" ref="DI31:DI54" si="172">DD31-DF31</f>
        <v>1</v>
      </c>
      <c r="DK31" s="47">
        <v>1</v>
      </c>
      <c r="DL31" s="48" t="s">
        <v>4</v>
      </c>
      <c r="DM31" s="49">
        <v>1</v>
      </c>
      <c r="DN31" s="27"/>
      <c r="DO31" s="42">
        <f t="shared" ref="DO31:DO54" si="173">IF(OR($G31="",DM31=""),"",IF(AND($E31=DK31,$G31=DM31),$H31*1.5,IF(AND($I31&gt;0,DP31&gt;0),$H31,IF(AND($I31&lt;0,DP31&lt;0),$H31,IF(AND($I31=0,DP31=0),$H31,0)))))</f>
        <v>3.5999999999999996</v>
      </c>
      <c r="DP31" s="43">
        <f t="shared" ref="DP31:DP54" si="174">DK31-DM31</f>
        <v>0</v>
      </c>
      <c r="DR31" s="47">
        <v>2</v>
      </c>
      <c r="DS31" s="48" t="s">
        <v>4</v>
      </c>
      <c r="DT31" s="49">
        <v>0</v>
      </c>
      <c r="DU31" s="27"/>
      <c r="DV31" s="42">
        <f t="shared" ref="DV31:DV54" si="175">IF(OR($G31="",DT31=""),"",IF(AND($E31=DR31,$G31=DT31),$H31*1.5,IF(AND($I31&gt;0,DW31&gt;0),$H31,IF(AND($I31&lt;0,DW31&lt;0),$H31,IF(AND($I31=0,DW31=0),$H31,0)))))</f>
        <v>0</v>
      </c>
      <c r="DW31" s="43">
        <f t="shared" ref="DW31:DW54" si="176">DR31-DT31</f>
        <v>2</v>
      </c>
      <c r="DY31" s="47">
        <v>1</v>
      </c>
      <c r="DZ31" s="48" t="s">
        <v>4</v>
      </c>
      <c r="EA31" s="49">
        <v>1</v>
      </c>
      <c r="EB31" s="27"/>
      <c r="EC31" s="42">
        <f t="shared" ref="EC31:EC54" si="177">IF(OR($G31="",EA31=""),"",IF(AND($E31=DY31,$G31=EA31),$H31*1.5,IF(AND($I31&gt;0,ED31&gt;0),$H31,IF(AND($I31&lt;0,ED31&lt;0),$H31,IF(AND($I31=0,ED31=0),$H31,0)))))</f>
        <v>3.5999999999999996</v>
      </c>
      <c r="ED31" s="43">
        <f t="shared" ref="ED31:ED54" si="178">DY31-EA31</f>
        <v>0</v>
      </c>
      <c r="EF31" s="47">
        <v>1</v>
      </c>
      <c r="EG31" s="48" t="s">
        <v>4</v>
      </c>
      <c r="EH31" s="49">
        <v>1</v>
      </c>
      <c r="EI31" s="27"/>
      <c r="EJ31" s="42">
        <f t="shared" ref="EJ31:EJ54" si="179">IF(OR($G31="",EH31=""),"",IF(AND($E31=EF31,$G31=EH31),$H31*1.5,IF(AND($I31&gt;0,EK31&gt;0),$H31,IF(AND($I31&lt;0,EK31&lt;0),$H31,IF(AND($I31=0,EK31=0),$H31,0)))))</f>
        <v>3.5999999999999996</v>
      </c>
      <c r="EK31" s="43">
        <f t="shared" ref="EK31:EK54" si="180">EF31-EH31</f>
        <v>0</v>
      </c>
      <c r="EM31" s="47">
        <v>2</v>
      </c>
      <c r="EN31" s="48" t="s">
        <v>4</v>
      </c>
      <c r="EO31" s="49">
        <v>1</v>
      </c>
      <c r="EP31" s="27"/>
      <c r="EQ31" s="42">
        <f t="shared" ref="EQ31:EQ54" si="181">IF(OR($G31="",EO31=""),"",IF(AND($E31=EM31,$G31=EO31),$H31*1.5,IF(AND($I31&gt;0,ER31&gt;0),$H31,IF(AND($I31&lt;0,ER31&lt;0),$H31,IF(AND($I31=0,ER31=0),$H31,0)))))</f>
        <v>0</v>
      </c>
      <c r="ER31" s="43">
        <f t="shared" ref="ER31:ER54" si="182">EM31-EO31</f>
        <v>1</v>
      </c>
      <c r="ET31" s="47">
        <v>1</v>
      </c>
      <c r="EU31" s="48" t="s">
        <v>4</v>
      </c>
      <c r="EV31" s="49">
        <v>2</v>
      </c>
      <c r="EW31" s="27"/>
      <c r="EX31" s="42">
        <f t="shared" ref="EX31:EX54" si="183">IF(OR($G31="",EV31=""),"",IF(AND($E31=ET31,$G31=EV31),$H31*1.5,IF(AND($I31&gt;0,EY31&gt;0),$H31,IF(AND($I31&lt;0,EY31&lt;0),$H31,IF(AND($I31=0,EY31=0),$H31,0)))))</f>
        <v>0</v>
      </c>
      <c r="EY31" s="43">
        <f t="shared" ref="EY31:EY54" si="184">ET31-EV31</f>
        <v>-1</v>
      </c>
      <c r="FA31" s="47">
        <v>0</v>
      </c>
      <c r="FB31" s="48" t="s">
        <v>4</v>
      </c>
      <c r="FC31" s="49">
        <v>0</v>
      </c>
      <c r="FD31" s="27"/>
      <c r="FE31" s="42">
        <f t="shared" ref="FE31:FE54" si="185">IF(OR($G31="",FC31=""),"",IF(AND($E31=FA31,$G31=FC31),$H31*1.5,IF(AND($I31&gt;0,FF31&gt;0),$H31,IF(AND($I31&lt;0,FF31&lt;0),$H31,IF(AND($I31=0,FF31=0),$H31,0)))))</f>
        <v>2.4</v>
      </c>
      <c r="FF31" s="43">
        <f t="shared" ref="FF31:FF54" si="186">FA31-FC31</f>
        <v>0</v>
      </c>
      <c r="FH31" s="47">
        <v>2</v>
      </c>
      <c r="FI31" s="48" t="s">
        <v>4</v>
      </c>
      <c r="FJ31" s="49">
        <v>0</v>
      </c>
      <c r="FK31" s="27"/>
      <c r="FL31" s="42">
        <f t="shared" ref="FL31:FL54" si="187">IF(OR($G31="",FJ31=""),"",IF(AND($E31=FH31,$G31=FJ31),$H31*1.5,IF(AND($I31&gt;0,FM31&gt;0),$H31,IF(AND($I31&lt;0,FM31&lt;0),$H31,IF(AND($I31=0,FM31=0),$H31,0)))))</f>
        <v>0</v>
      </c>
      <c r="FM31" s="43">
        <f t="shared" ref="FM31:FM54" si="188">FH31-FJ31</f>
        <v>2</v>
      </c>
      <c r="FO31" s="47">
        <v>2</v>
      </c>
      <c r="FP31" s="48" t="s">
        <v>4</v>
      </c>
      <c r="FQ31" s="49">
        <v>1</v>
      </c>
      <c r="FR31" s="27"/>
      <c r="FS31" s="42">
        <f t="shared" ref="FS31:FS54" si="189">IF(OR($G31="",FQ31=""),"",IF(AND($E31=FO31,$G31=FQ31),$H31*1.5,IF(AND($I31&gt;0,FT31&gt;0),$H31,IF(AND($I31&lt;0,FT31&lt;0),$H31,IF(AND($I31=0,FT31=0),$H31,0)))))</f>
        <v>0</v>
      </c>
      <c r="FT31" s="43">
        <f t="shared" ref="FT31:FT54" si="190">FO31-FQ31</f>
        <v>1</v>
      </c>
      <c r="FV31" s="47">
        <v>2</v>
      </c>
      <c r="FW31" s="48" t="s">
        <v>4</v>
      </c>
      <c r="FX31" s="49">
        <v>0</v>
      </c>
      <c r="FY31" s="27"/>
      <c r="FZ31" s="42">
        <f t="shared" ref="FZ31:FZ54" si="191">IF(OR($G31="",FX31=""),"",IF(AND($E31=FV31,$G31=FX31),$H31*1.5,IF(AND($I31&gt;0,GA31&gt;0),$H31,IF(AND($I31&lt;0,GA31&lt;0),$H31,IF(AND($I31=0,GA31=0),$H31,0)))))</f>
        <v>0</v>
      </c>
      <c r="GA31" s="43">
        <f t="shared" ref="GA31:GA54" si="192">FV31-FX31</f>
        <v>2</v>
      </c>
      <c r="GC31" s="47">
        <v>2</v>
      </c>
      <c r="GD31" s="48" t="s">
        <v>4</v>
      </c>
      <c r="GE31" s="49">
        <v>1</v>
      </c>
      <c r="GF31" s="27"/>
      <c r="GG31" s="42">
        <f t="shared" ref="GG31:GG54" si="193">IF(OR($G31="",GE31=""),"",IF(AND($E31=GC31,$G31=GE31),$H31*1.5,IF(AND($I31&gt;0,GH31&gt;0),$H31,IF(AND($I31&lt;0,GH31&lt;0),$H31,IF(AND($I31=0,GH31=0),$H31,0)))))</f>
        <v>0</v>
      </c>
      <c r="GH31" s="43">
        <f t="shared" ref="GH31:GH54" si="194">GC31-GE31</f>
        <v>1</v>
      </c>
      <c r="GJ31" s="47">
        <v>2</v>
      </c>
      <c r="GK31" s="48" t="s">
        <v>4</v>
      </c>
      <c r="GL31" s="49">
        <v>0</v>
      </c>
      <c r="GM31" s="27"/>
      <c r="GN31" s="42">
        <f t="shared" ref="GN31:GN54" si="195">IF(OR($G31="",GL31=""),"",IF(AND($E31=GJ31,$G31=GL31),$H31*1.5,IF(AND($I31&gt;0,GO31&gt;0),$H31,IF(AND($I31&lt;0,GO31&lt;0),$H31,IF(AND($I31=0,GO31=0),$H31,0)))))</f>
        <v>0</v>
      </c>
      <c r="GO31" s="43">
        <f t="shared" ref="GO31:GO54" si="196">GJ31-GL31</f>
        <v>2</v>
      </c>
      <c r="GQ31" s="47">
        <v>2</v>
      </c>
      <c r="GR31" s="48" t="s">
        <v>4</v>
      </c>
      <c r="GS31" s="49">
        <v>0</v>
      </c>
      <c r="GT31" s="27"/>
      <c r="GU31" s="42">
        <f t="shared" ref="GU31:GU54" si="197">IF(OR($G31="",GS31=""),"",IF(AND($E31=GQ31,$G31=GS31),$H31*1.5,IF(AND($I31&gt;0,GV31&gt;0),$H31,IF(AND($I31&lt;0,GV31&lt;0),$H31,IF(AND($I31=0,GV31=0),$H31,0)))))</f>
        <v>0</v>
      </c>
      <c r="GV31" s="43">
        <f t="shared" ref="GV31:GV54" si="198">GQ31-GS31</f>
        <v>2</v>
      </c>
      <c r="GX31" s="47">
        <v>1</v>
      </c>
      <c r="GY31" s="48" t="s">
        <v>4</v>
      </c>
      <c r="GZ31" s="49">
        <v>1</v>
      </c>
      <c r="HA31" s="27"/>
      <c r="HB31" s="42">
        <f t="shared" ref="HB31:HB54" si="199">IF(OR($G31="",GZ31=""),"",IF(AND($E31=GX31,$G31=GZ31),$H31*1.5,IF(AND($I31&gt;0,HC31&gt;0),$H31,IF(AND($I31&lt;0,HC31&lt;0),$H31,IF(AND($I31=0,HC31=0),$H31,0)))))</f>
        <v>3.5999999999999996</v>
      </c>
      <c r="HC31" s="43">
        <f t="shared" ref="HC31:HC54" si="200">GX31-GZ31</f>
        <v>0</v>
      </c>
      <c r="HE31" s="47">
        <v>2</v>
      </c>
      <c r="HF31" s="48" t="s">
        <v>4</v>
      </c>
      <c r="HG31" s="49">
        <v>1</v>
      </c>
      <c r="HH31" s="27"/>
      <c r="HI31" s="42">
        <f t="shared" ref="HI31:HI54" si="201">IF(OR($G31="",HG31=""),"",IF(AND($E31=HE31,$G31=HG31),$H31*1.5,IF(AND($I31&gt;0,HJ31&gt;0),$H31,IF(AND($I31&lt;0,HJ31&lt;0),$H31,IF(AND($I31=0,HJ31=0),$H31,0)))))</f>
        <v>0</v>
      </c>
      <c r="HJ31" s="43">
        <f t="shared" ref="HJ31:HJ54" si="202">HE31-HG31</f>
        <v>1</v>
      </c>
      <c r="HL31" s="47">
        <v>2</v>
      </c>
      <c r="HM31" s="48" t="s">
        <v>4</v>
      </c>
      <c r="HN31" s="49">
        <v>0</v>
      </c>
      <c r="HO31" s="27"/>
      <c r="HP31" s="42">
        <f t="shared" ref="HP31:HP54" si="203">IF(OR($G31="",HN31=""),"",IF(AND($E31=HL31,$G31=HN31),$H31*1.5,IF(AND($I31&gt;0,HQ31&gt;0),$H31,IF(AND($I31&lt;0,HQ31&lt;0),$H31,IF(AND($I31=0,HQ31=0),$H31,0)))))</f>
        <v>0</v>
      </c>
      <c r="HQ31" s="43">
        <f t="shared" ref="HQ31:HQ54" si="204">HL31-HN31</f>
        <v>2</v>
      </c>
      <c r="HS31" s="47">
        <v>2</v>
      </c>
      <c r="HT31" s="48" t="s">
        <v>4</v>
      </c>
      <c r="HU31" s="49">
        <v>0</v>
      </c>
      <c r="HV31" s="27"/>
      <c r="HW31" s="42">
        <f t="shared" ref="HW31:HW54" si="205">IF(OR($G31="",HU31=""),"",IF(AND($E31=HS31,$G31=HU31),$H31*1.5,IF(AND($I31&gt;0,HX31&gt;0),$H31,IF(AND($I31&lt;0,HX31&lt;0),$H31,IF(AND($I31=0,HX31=0),$H31,0)))))</f>
        <v>0</v>
      </c>
      <c r="HX31" s="43">
        <f t="shared" ref="HX31:HX54" si="206">HS31-HU31</f>
        <v>2</v>
      </c>
      <c r="HZ31" s="47">
        <v>2</v>
      </c>
      <c r="IA31" s="48" t="s">
        <v>4</v>
      </c>
      <c r="IB31" s="49">
        <v>1</v>
      </c>
      <c r="IC31" s="27"/>
      <c r="ID31" s="42">
        <f t="shared" ref="ID31:ID54" si="207">IF(OR($G31="",IB31=""),"",IF(AND($E31=HZ31,$G31=IB31),$H31*1.5,IF(AND($I31&gt;0,IE31&gt;0),$H31,IF(AND($I31&lt;0,IE31&lt;0),$H31,IF(AND($I31=0,IE31=0),$H31,0)))))</f>
        <v>0</v>
      </c>
      <c r="IE31" s="43">
        <f t="shared" ref="IE31:IE54" si="208">HZ31-IB31</f>
        <v>1</v>
      </c>
      <c r="IG31" s="47">
        <v>4</v>
      </c>
      <c r="IH31" s="48" t="s">
        <v>4</v>
      </c>
      <c r="II31" s="49">
        <v>0</v>
      </c>
      <c r="IJ31" s="27"/>
      <c r="IK31" s="42">
        <f t="shared" ref="IK31:IK54" si="209">IF(OR($G31="",II31=""),"",IF(AND($E31=IG31,$G31=II31),$H31*1.5,IF(AND($I31&gt;0,IL31&gt;0),$H31,IF(AND($I31&lt;0,IL31&lt;0),$H31,IF(AND($I31=0,IL31=0),$H31,0)))))</f>
        <v>0</v>
      </c>
      <c r="IL31" s="43">
        <f t="shared" ref="IL31:IL54" si="210">IG31-II31</f>
        <v>4</v>
      </c>
      <c r="IN31" s="47">
        <v>0</v>
      </c>
      <c r="IO31" s="48" t="s">
        <v>4</v>
      </c>
      <c r="IP31" s="49">
        <v>0</v>
      </c>
      <c r="IQ31" s="27"/>
      <c r="IR31" s="42">
        <f t="shared" ref="IR31:IR54" si="211">IF(OR($G31="",IP31=""),"",IF(AND($E31=IN31,$G31=IP31),$H31*1.5,IF(AND($I31&gt;0,IS31&gt;0),$H31,IF(AND($I31&lt;0,IS31&lt;0),$H31,IF(AND($I31=0,IS31=0),$H31,0)))))</f>
        <v>2.4</v>
      </c>
      <c r="IS31" s="43">
        <f t="shared" ref="IS31:IS54" si="212">IN31-IP31</f>
        <v>0</v>
      </c>
      <c r="IU31" s="47">
        <v>2</v>
      </c>
      <c r="IV31" s="48" t="s">
        <v>4</v>
      </c>
      <c r="IW31" s="49">
        <v>0</v>
      </c>
      <c r="IX31" s="27"/>
      <c r="IY31" s="42">
        <f t="shared" ref="IY31:IY54" si="213">IF(OR($G31="",IW31=""),"",IF(AND($E31=IU31,$G31=IW31),$H31*1.5,IF(AND($I31&gt;0,IZ31&gt;0),$H31,IF(AND($I31&lt;0,IZ31&lt;0),$H31,IF(AND($I31=0,IZ31=0),$H31,0)))))</f>
        <v>0</v>
      </c>
      <c r="IZ31" s="43">
        <f t="shared" ref="IZ31:IZ54" si="214">IU31-IW31</f>
        <v>2</v>
      </c>
      <c r="JB31" s="47">
        <v>1</v>
      </c>
      <c r="JC31" s="48" t="s">
        <v>4</v>
      </c>
      <c r="JD31" s="49">
        <v>0</v>
      </c>
      <c r="JE31" s="27"/>
      <c r="JF31" s="42">
        <f t="shared" ref="JF31:JF54" si="215">IF(OR($G31="",JD31=""),"",IF(AND($E31=JB31,$G31=JD31),$H31*1.5,IF(AND($I31&gt;0,JG31&gt;0),$H31,IF(AND($I31&lt;0,JG31&lt;0),$H31,IF(AND($I31=0,JG31=0),$H31,0)))))</f>
        <v>0</v>
      </c>
      <c r="JG31" s="43">
        <f t="shared" ref="JG31:JG54" si="216">JB31-JD31</f>
        <v>1</v>
      </c>
      <c r="JI31" s="47">
        <v>2</v>
      </c>
      <c r="JJ31" s="48" t="s">
        <v>4</v>
      </c>
      <c r="JK31" s="49">
        <v>0</v>
      </c>
      <c r="JL31" s="27"/>
      <c r="JM31" s="42">
        <f t="shared" ref="JM31:JM54" si="217">IF(OR($G31="",JK31=""),"",IF(AND($E31=JI31,$G31=JK31),$H31*1.5,IF(AND($I31&gt;0,JN31&gt;0),$H31,IF(AND($I31&lt;0,JN31&lt;0),$H31,IF(AND($I31=0,JN31=0),$H31,0)))))</f>
        <v>0</v>
      </c>
      <c r="JN31" s="43">
        <f t="shared" ref="JN31:JN54" si="218">JI31-JK31</f>
        <v>2</v>
      </c>
      <c r="JP31" s="47">
        <v>0</v>
      </c>
      <c r="JQ31" s="48" t="s">
        <v>4</v>
      </c>
      <c r="JR31" s="49">
        <v>0</v>
      </c>
      <c r="JS31" s="27"/>
      <c r="JT31" s="42">
        <f t="shared" ref="JT31:JT54" si="219">IF(OR($G31="",JR31=""),"",IF(AND($E31=JP31,$G31=JR31),$H31*1.5,IF(AND($I31&gt;0,JU31&gt;0),$H31,IF(AND($I31&lt;0,JU31&lt;0),$H31,IF(AND($I31=0,JU31=0),$H31,0)))))</f>
        <v>2.4</v>
      </c>
      <c r="JU31" s="43">
        <f t="shared" ref="JU31:JU54" si="220">JP31-JR31</f>
        <v>0</v>
      </c>
      <c r="JW31" s="47">
        <v>1</v>
      </c>
      <c r="JX31" s="48" t="s">
        <v>4</v>
      </c>
      <c r="JY31" s="49">
        <v>2</v>
      </c>
      <c r="JZ31" s="27"/>
      <c r="KA31" s="42">
        <f t="shared" ref="KA31:KA54" si="221">IF(OR($G31="",JY31=""),"",IF(AND($E31=JW31,$G31=JY31),$H31*1.5,IF(AND($I31&gt;0,KB31&gt;0),$H31,IF(AND($I31&lt;0,KB31&lt;0),$H31,IF(AND($I31=0,KB31=0),$H31,0)))))</f>
        <v>0</v>
      </c>
      <c r="KB31" s="43">
        <f t="shared" ref="KB31:KB54" si="222">JW31-JY31</f>
        <v>-1</v>
      </c>
      <c r="KD31" s="47">
        <v>2</v>
      </c>
      <c r="KE31" s="48" t="s">
        <v>4</v>
      </c>
      <c r="KF31" s="49">
        <v>2</v>
      </c>
      <c r="KG31" s="27"/>
      <c r="KH31" s="42">
        <f t="shared" ref="KH31:KH54" si="223">IF(OR($G31="",KF31=""),"",IF(AND($E31=KD31,$G31=KF31),$H31*1.5,IF(AND($I31&gt;0,KI31&gt;0),$H31,IF(AND($I31&lt;0,KI31&lt;0),$H31,IF(AND($I31=0,KI31=0),$H31,0)))))</f>
        <v>2.4</v>
      </c>
      <c r="KI31" s="43">
        <f t="shared" ref="KI31:KI54" si="224">KD31-KF31</f>
        <v>0</v>
      </c>
      <c r="KK31" s="47">
        <v>0</v>
      </c>
      <c r="KL31" s="48" t="s">
        <v>4</v>
      </c>
      <c r="KM31" s="49">
        <v>1</v>
      </c>
      <c r="KN31" s="27"/>
      <c r="KO31" s="42">
        <f t="shared" ref="KO31:KO54" si="225">IF(OR($G31="",KM31=""),"",IF(AND($E31=KK31,$G31=KM31),$H31*1.5,IF(AND($I31&gt;0,KP31&gt;0),$H31,IF(AND($I31&lt;0,KP31&lt;0),$H31,IF(AND($I31=0,KP31=0),$H31,0)))))</f>
        <v>0</v>
      </c>
      <c r="KP31" s="43">
        <f t="shared" ref="KP31:KP54" si="226">KK31-KM31</f>
        <v>-1</v>
      </c>
      <c r="KR31" s="47">
        <v>2</v>
      </c>
      <c r="KS31" s="48" t="s">
        <v>4</v>
      </c>
      <c r="KT31" s="49">
        <v>0</v>
      </c>
      <c r="KU31" s="27"/>
      <c r="KV31" s="42">
        <f t="shared" ref="KV31:KV54" si="227">IF(OR($G31="",KT31=""),"",IF(AND($E31=KR31,$G31=KT31),$H31*1.5,IF(AND($I31&gt;0,KW31&gt;0),$H31,IF(AND($I31&lt;0,KW31&lt;0),$H31,IF(AND($I31=0,KW31=0),$H31,0)))))</f>
        <v>0</v>
      </c>
      <c r="KW31" s="43">
        <f t="shared" ref="KW31:KW54" si="228">KR31-KT31</f>
        <v>2</v>
      </c>
      <c r="KY31" s="47">
        <v>2</v>
      </c>
      <c r="KZ31" s="48" t="s">
        <v>4</v>
      </c>
      <c r="LA31" s="49">
        <v>1</v>
      </c>
      <c r="LB31" s="27"/>
      <c r="LC31" s="42">
        <f t="shared" ref="LC31:LC54" si="229">IF(OR($G31="",LA31=""),"",IF(AND($E31=KY31,$G31=LA31),$H31*1.5,IF(AND($I31&gt;0,LD31&gt;0),$H31,IF(AND($I31&lt;0,LD31&lt;0),$H31,IF(AND($I31=0,LD31=0),$H31,0)))))</f>
        <v>0</v>
      </c>
      <c r="LD31" s="43">
        <f t="shared" ref="LD31:LD54" si="230">KY31-LA31</f>
        <v>1</v>
      </c>
      <c r="LF31" s="47">
        <v>2</v>
      </c>
      <c r="LG31" s="48" t="s">
        <v>4</v>
      </c>
      <c r="LH31" s="49">
        <v>1</v>
      </c>
      <c r="LI31" s="27"/>
      <c r="LJ31" s="42">
        <f t="shared" ref="LJ31:LJ54" si="231">IF(OR($G31="",LH31=""),"",IF(AND($E31=LF31,$G31=LH31),$H31*1.5,IF(AND($I31&gt;0,LK31&gt;0),$H31,IF(AND($I31&lt;0,LK31&lt;0),$H31,IF(AND($I31=0,LK31=0),$H31,0)))))</f>
        <v>0</v>
      </c>
      <c r="LK31" s="43">
        <f t="shared" ref="LK31:LK54" si="232">LF31-LH31</f>
        <v>1</v>
      </c>
      <c r="LM31" s="47">
        <v>1</v>
      </c>
      <c r="LN31" s="48" t="s">
        <v>4</v>
      </c>
      <c r="LO31" s="49">
        <v>1</v>
      </c>
      <c r="LP31" s="27"/>
      <c r="LQ31" s="42">
        <f t="shared" ref="LQ31:LQ54" si="233">IF(OR($G31="",LO31=""),"",IF(AND($E31=LM31,$G31=LO31),$H31*1.5,IF(AND($I31&gt;0,LR31&gt;0),$H31,IF(AND($I31&lt;0,LR31&lt;0),$H31,IF(AND($I31=0,LR31=0),$H31,0)))))</f>
        <v>3.5999999999999996</v>
      </c>
      <c r="LR31" s="43">
        <f t="shared" ref="LR31:LR54" si="234">LM31-LO31</f>
        <v>0</v>
      </c>
      <c r="LT31" s="47">
        <v>2</v>
      </c>
      <c r="LU31" s="48" t="s">
        <v>4</v>
      </c>
      <c r="LV31" s="49">
        <v>0</v>
      </c>
      <c r="LW31" s="27"/>
      <c r="LX31" s="42">
        <f t="shared" ref="LX31:LX54" si="235">IF(OR($G31="",LV31=""),"",IF(AND($E31=LT31,$G31=LV31),$H31*1.5,IF(AND($I31&gt;0,LY31&gt;0),$H31,IF(AND($I31&lt;0,LY31&lt;0),$H31,IF(AND($I31=0,LY31=0),$H31,0)))))</f>
        <v>0</v>
      </c>
      <c r="LY31" s="43">
        <f t="shared" ref="LY31:LY54" si="236">LT31-LV31</f>
        <v>2</v>
      </c>
      <c r="MA31" s="47">
        <v>3</v>
      </c>
      <c r="MB31" s="48" t="s">
        <v>4</v>
      </c>
      <c r="MC31" s="49">
        <v>1</v>
      </c>
      <c r="MD31" s="27"/>
      <c r="ME31" s="42">
        <f t="shared" ref="ME31:ME54" si="237">IF(OR($G31="",MC31=""),"",IF(AND($E31=MA31,$G31=MC31),$H31*1.5,IF(AND($I31&gt;0,MF31&gt;0),$H31,IF(AND($I31&lt;0,MF31&lt;0),$H31,IF(AND($I31=0,MF31=0),$H31,0)))))</f>
        <v>0</v>
      </c>
      <c r="MF31" s="43">
        <f t="shared" ref="MF31:MF54" si="238">MA31-MC31</f>
        <v>2</v>
      </c>
      <c r="MH31" s="47">
        <v>2</v>
      </c>
      <c r="MI31" s="48" t="s">
        <v>4</v>
      </c>
      <c r="MJ31" s="49">
        <v>0</v>
      </c>
      <c r="MK31" s="27"/>
      <c r="ML31" s="42">
        <f t="shared" ref="ML31:ML54" si="239">IF(OR($G31="",MJ31=""),"",IF(AND($E31=MH31,$G31=MJ31),$H31*1.5,IF(AND($I31&gt;0,MM31&gt;0),$H31,IF(AND($I31&lt;0,MM31&lt;0),$H31,IF(AND($I31=0,MM31=0),$H31,0)))))</f>
        <v>0</v>
      </c>
      <c r="MM31" s="43">
        <f t="shared" ref="MM31:MM54" si="240">MH31-MJ31</f>
        <v>2</v>
      </c>
      <c r="MO31" s="47">
        <v>2</v>
      </c>
      <c r="MP31" s="48" t="s">
        <v>4</v>
      </c>
      <c r="MQ31" s="49">
        <v>0</v>
      </c>
      <c r="MR31" s="27"/>
      <c r="MS31" s="42">
        <f t="shared" ref="MS31:MS54" si="241">IF(OR($G31="",MQ31=""),"",IF(AND($E31=MO31,$G31=MQ31),$H31*1.5,IF(AND($I31&gt;0,MT31&gt;0),$H31,IF(AND($I31&lt;0,MT31&lt;0),$H31,IF(AND($I31=0,MT31=0),$H31,0)))))</f>
        <v>0</v>
      </c>
      <c r="MT31" s="43">
        <f t="shared" ref="MT31:MT54" si="242">MO31-MQ31</f>
        <v>2</v>
      </c>
      <c r="MV31" s="47">
        <v>2</v>
      </c>
      <c r="MW31" s="48" t="s">
        <v>4</v>
      </c>
      <c r="MX31" s="49">
        <v>1</v>
      </c>
      <c r="MY31" s="27"/>
      <c r="MZ31" s="42">
        <f t="shared" ref="MZ31:MZ54" si="243">IF(OR($G31="",MX31=""),"",IF(AND($E31=MV31,$G31=MX31),$H31*1.5,IF(AND($I31&gt;0,NA31&gt;0),$H31,IF(AND($I31&lt;0,NA31&lt;0),$H31,IF(AND($I31=0,NA31=0),$H31,0)))))</f>
        <v>0</v>
      </c>
      <c r="NA31" s="43">
        <f t="shared" ref="NA31:NA54" si="244">MV31-MX31</f>
        <v>1</v>
      </c>
      <c r="NC31" s="47">
        <v>2</v>
      </c>
      <c r="ND31" s="48" t="s">
        <v>4</v>
      </c>
      <c r="NE31" s="49">
        <v>3</v>
      </c>
      <c r="NF31" s="27"/>
      <c r="NG31" s="42">
        <f t="shared" ref="NG31:NG54" si="245">IF(OR($G31="",NE31=""),"",IF(AND($E31=NC31,$G31=NE31),$H31*1.5,IF(AND($I31&gt;0,NH31&gt;0),$H31,IF(AND($I31&lt;0,NH31&lt;0),$H31,IF(AND($I31=0,NH31=0),$H31,0)))))</f>
        <v>0</v>
      </c>
      <c r="NH31" s="43">
        <f t="shared" ref="NH31:NH54" si="246">NC31-NE31</f>
        <v>-1</v>
      </c>
      <c r="NJ31" s="47">
        <v>2</v>
      </c>
      <c r="NK31" s="48" t="s">
        <v>4</v>
      </c>
      <c r="NL31" s="49">
        <v>2</v>
      </c>
      <c r="NM31" s="27"/>
      <c r="NN31" s="42">
        <f t="shared" ref="NN31:NN54" si="247">IF(OR($G31="",NL31=""),"",IF(AND($E31=NJ31,$G31=NL31),$H31*1.5,IF(AND($I31&gt;0,NO31&gt;0),$H31,IF(AND($I31&lt;0,NO31&lt;0),$H31,IF(AND($I31=0,NO31=0),$H31,0)))))</f>
        <v>2.4</v>
      </c>
      <c r="NO31" s="43">
        <f t="shared" ref="NO31:NO54" si="248">NJ31-NL31</f>
        <v>0</v>
      </c>
      <c r="NQ31" s="47">
        <v>1</v>
      </c>
      <c r="NR31" s="48" t="s">
        <v>4</v>
      </c>
      <c r="NS31" s="49">
        <v>0</v>
      </c>
      <c r="NT31" s="27"/>
      <c r="NU31" s="42">
        <f t="shared" ref="NU31:NU54" si="249">IF(OR($G31="",NS31=""),"",IF(AND($E31=NQ31,$G31=NS31),$H31*1.5,IF(AND($I31&gt;0,NV31&gt;0),$H31,IF(AND($I31&lt;0,NV31&lt;0),$H31,IF(AND($I31=0,NV31=0),$H31,0)))))</f>
        <v>0</v>
      </c>
      <c r="NV31" s="43">
        <f t="shared" ref="NV31:NV54" si="250">NQ31-NS31</f>
        <v>1</v>
      </c>
      <c r="NX31" s="47">
        <v>1</v>
      </c>
      <c r="NY31" s="48" t="s">
        <v>4</v>
      </c>
      <c r="NZ31" s="49">
        <v>1</v>
      </c>
      <c r="OA31" s="27"/>
      <c r="OB31" s="42">
        <f t="shared" ref="OB31:OB54" si="251">IF(OR($G31="",NZ31=""),"",IF(AND($E31=NX31,$G31=NZ31),$H31*1.5,IF(AND($I31&gt;0,OC31&gt;0),$H31,IF(AND($I31&lt;0,OC31&lt;0),$H31,IF(AND($I31=0,OC31=0),$H31,0)))))</f>
        <v>3.5999999999999996</v>
      </c>
      <c r="OC31" s="43">
        <f t="shared" ref="OC31:OC54" si="252">NX31-NZ31</f>
        <v>0</v>
      </c>
      <c r="OE31" s="47">
        <v>2</v>
      </c>
      <c r="OF31" s="48" t="s">
        <v>4</v>
      </c>
      <c r="OG31" s="49">
        <v>1</v>
      </c>
      <c r="OH31" s="27"/>
      <c r="OI31" s="42">
        <f t="shared" ref="OI31:OI54" si="253">IF(OR($G31="",OG31=""),"",IF(AND($E31=OE31,$G31=OG31),$H31*1.5,IF(AND($I31&gt;0,OJ31&gt;0),$H31,IF(AND($I31&lt;0,OJ31&lt;0),$H31,IF(AND($I31=0,OJ31=0),$H31,0)))))</f>
        <v>0</v>
      </c>
      <c r="OJ31" s="43">
        <f t="shared" ref="OJ31:OJ54" si="254">OE31-OG31</f>
        <v>1</v>
      </c>
      <c r="OL31" s="47">
        <v>2</v>
      </c>
      <c r="OM31" s="48" t="s">
        <v>4</v>
      </c>
      <c r="ON31" s="49">
        <v>0</v>
      </c>
      <c r="OO31" s="27"/>
      <c r="OP31" s="42">
        <f t="shared" ref="OP31:OP54" si="255">IF(OR($G31="",ON31=""),"",IF(AND($E31=OL31,$G31=ON31),$H31*1.5,IF(AND($I31&gt;0,OQ31&gt;0),$H31,IF(AND($I31&lt;0,OQ31&lt;0),$H31,IF(AND($I31=0,OQ31=0),$H31,0)))))</f>
        <v>0</v>
      </c>
      <c r="OQ31" s="43">
        <f t="shared" ref="OQ31:OQ54" si="256">OL31-ON31</f>
        <v>2</v>
      </c>
      <c r="OS31" s="47">
        <v>2</v>
      </c>
      <c r="OT31" s="48" t="s">
        <v>4</v>
      </c>
      <c r="OU31" s="49">
        <v>0</v>
      </c>
      <c r="OV31" s="27"/>
      <c r="OW31" s="42">
        <f t="shared" ref="OW31:OW54" si="257">IF(OR($G31="",OU31=""),"",IF(AND($E31=OS31,$G31=OU31),$H31*1.5,IF(AND($I31&gt;0,OX31&gt;0),$H31,IF(AND($I31&lt;0,OX31&lt;0),$H31,IF(AND($I31=0,OX31=0),$H31,0)))))</f>
        <v>0</v>
      </c>
      <c r="OX31" s="43">
        <f t="shared" ref="OX31:OX54" si="258">OS31-OU31</f>
        <v>2</v>
      </c>
      <c r="OZ31" s="47">
        <v>1</v>
      </c>
      <c r="PA31" s="48" t="s">
        <v>4</v>
      </c>
      <c r="PB31" s="49">
        <v>0</v>
      </c>
      <c r="PC31" s="27"/>
      <c r="PD31" s="42">
        <f t="shared" ref="PD31:PD54" si="259">IF(OR($G31="",PB31=""),"",IF(AND($E31=OZ31,$G31=PB31),$H31*1.5,IF(AND($I31&gt;0,PE31&gt;0),$H31,IF(AND($I31&lt;0,PE31&lt;0),$H31,IF(AND($I31=0,PE31=0),$H31,0)))))</f>
        <v>0</v>
      </c>
      <c r="PE31" s="43">
        <f t="shared" ref="PE31:PE54" si="260">OZ31-PB31</f>
        <v>1</v>
      </c>
      <c r="PG31" s="47">
        <v>1</v>
      </c>
      <c r="PH31" s="48" t="s">
        <v>4</v>
      </c>
      <c r="PI31" s="49">
        <v>1</v>
      </c>
      <c r="PJ31" s="27"/>
      <c r="PK31" s="42">
        <f t="shared" ref="PK31:PK54" si="261">IF(OR($G31="",PI31=""),"",IF(AND($E31=PG31,$G31=PI31),$H31*1.5,IF(AND($I31&gt;0,PL31&gt;0),$H31,IF(AND($I31&lt;0,PL31&lt;0),$H31,IF(AND($I31=0,PL31=0),$H31,0)))))</f>
        <v>3.5999999999999996</v>
      </c>
      <c r="PL31" s="43">
        <f t="shared" ref="PL31:PL54" si="262">PG31-PI31</f>
        <v>0</v>
      </c>
      <c r="PN31" s="47">
        <v>2</v>
      </c>
      <c r="PO31" s="48" t="s">
        <v>4</v>
      </c>
      <c r="PP31" s="49">
        <v>1</v>
      </c>
      <c r="PQ31" s="27"/>
      <c r="PR31" s="42">
        <f t="shared" ref="PR31:PR54" si="263">IF(OR($G31="",PP31=""),"",IF(AND($E31=PN31,$G31=PP31),$H31*1.5,IF(AND($I31&gt;0,PS31&gt;0),$H31,IF(AND($I31&lt;0,PS31&lt;0),$H31,IF(AND($I31=0,PS31=0),$H31,0)))))</f>
        <v>0</v>
      </c>
      <c r="PS31" s="43">
        <f t="shared" ref="PS31:PS54" si="264">PN31-PP31</f>
        <v>1</v>
      </c>
      <c r="PU31" s="47">
        <v>3</v>
      </c>
      <c r="PV31" s="48" t="s">
        <v>4</v>
      </c>
      <c r="PW31" s="49">
        <v>1</v>
      </c>
      <c r="PX31" s="27"/>
      <c r="PY31" s="42">
        <f t="shared" ref="PY31:PY54" si="265">IF(OR($G31="",PW31=""),"",IF(AND($E31=PU31,$G31=PW31),$H31*1.5,IF(AND($I31&gt;0,PZ31&gt;0),$H31,IF(AND($I31&lt;0,PZ31&lt;0),$H31,IF(AND($I31=0,PZ31=0),$H31,0)))))</f>
        <v>0</v>
      </c>
      <c r="PZ31" s="43">
        <f t="shared" ref="PZ31:PZ54" si="266">PU31-PW31</f>
        <v>2</v>
      </c>
      <c r="QB31" s="47">
        <v>2</v>
      </c>
      <c r="QC31" s="48" t="s">
        <v>4</v>
      </c>
      <c r="QD31" s="49">
        <v>1</v>
      </c>
      <c r="QE31" s="27"/>
      <c r="QF31" s="42">
        <f t="shared" ref="QF31:QF54" si="267">IF(OR($G31="",QD31=""),"",IF(AND($E31=QB31,$G31=QD31),$H31*1.5,IF(AND($I31&gt;0,QG31&gt;0),$H31,IF(AND($I31&lt;0,QG31&lt;0),$H31,IF(AND($I31=0,QG31=0),$H31,0)))))</f>
        <v>0</v>
      </c>
      <c r="QG31" s="43">
        <f t="shared" ref="QG31:QG54" si="268">QB31-QD31</f>
        <v>1</v>
      </c>
      <c r="QI31" s="47">
        <v>2</v>
      </c>
      <c r="QJ31" s="48" t="s">
        <v>4</v>
      </c>
      <c r="QK31" s="49">
        <v>0</v>
      </c>
      <c r="QL31" s="27"/>
      <c r="QM31" s="42">
        <f t="shared" ref="QM31:QM54" si="269">IF(OR($G31="",QK31=""),"",IF(AND($E31=QI31,$G31=QK31),$H31*1.5,IF(AND($I31&gt;0,QN31&gt;0),$H31,IF(AND($I31&lt;0,QN31&lt;0),$H31,IF(AND($I31=0,QN31=0),$H31,0)))))</f>
        <v>0</v>
      </c>
      <c r="QN31" s="43">
        <f t="shared" ref="QN31:QN54" si="270">QI31-QK31</f>
        <v>2</v>
      </c>
      <c r="QP31" s="47">
        <v>0</v>
      </c>
      <c r="QQ31" s="48" t="s">
        <v>4</v>
      </c>
      <c r="QR31" s="49">
        <v>2</v>
      </c>
      <c r="QS31" s="27"/>
      <c r="QT31" s="42">
        <f t="shared" ref="QT31:QT54" si="271">IF(OR($G31="",QR31=""),"",IF(AND($E31=QP31,$G31=QR31),$H31*1.5,IF(AND($I31&gt;0,QU31&gt;0),$H31,IF(AND($I31&lt;0,QU31&lt;0),$H31,IF(AND($I31=0,QU31=0),$H31,0)))))</f>
        <v>0</v>
      </c>
      <c r="QU31" s="43">
        <f t="shared" ref="QU31:QU54" si="272">QP31-QR31</f>
        <v>-2</v>
      </c>
      <c r="QW31" s="47">
        <v>0</v>
      </c>
      <c r="QX31" s="48" t="s">
        <v>4</v>
      </c>
      <c r="QY31" s="49">
        <v>1</v>
      </c>
      <c r="QZ31" s="27"/>
      <c r="RA31" s="42">
        <f t="shared" ref="RA31:RA54" si="273">IF(OR($G31="",QY31=""),"",IF(AND($E31=QW31,$G31=QY31),$H31*1.5,IF(AND($I31&gt;0,RB31&gt;0),$H31,IF(AND($I31&lt;0,RB31&lt;0),$H31,IF(AND($I31=0,RB31=0),$H31,0)))))</f>
        <v>0</v>
      </c>
      <c r="RB31" s="43">
        <f t="shared" ref="RB31:RB54" si="274">QW31-QY31</f>
        <v>-1</v>
      </c>
      <c r="RD31" s="47"/>
      <c r="RE31" s="48" t="s">
        <v>4</v>
      </c>
      <c r="RF31" s="49"/>
      <c r="RG31" s="27"/>
      <c r="RH31" s="42" t="str">
        <f t="shared" ref="RH31:RH54" si="275">IF(OR($G31="",RF31=""),"",IF(AND($E31=RD31,$G31=RF31),$H31*1.5,IF(AND($I31&gt;0,RI31&gt;0),$H31,IF(AND($I31&lt;0,RI31&lt;0),$H31,IF(AND($I31=0,RI31=0),$H31,0)))))</f>
        <v/>
      </c>
      <c r="RI31" s="43">
        <f t="shared" ref="RI31:RI54" si="276">RD31-RF31</f>
        <v>0</v>
      </c>
      <c r="RK31" s="47">
        <v>2</v>
      </c>
      <c r="RL31" s="48" t="s">
        <v>4</v>
      </c>
      <c r="RM31" s="49">
        <v>0</v>
      </c>
      <c r="RN31" s="27"/>
      <c r="RO31" s="42">
        <f t="shared" ref="RO31:RO54" si="277">IF(OR($G31="",RM31=""),"",IF(AND($E31=RK31,$G31=RM31),$H31*1.5,IF(AND($I31&gt;0,RP31&gt;0),$H31,IF(AND($I31&lt;0,RP31&lt;0),$H31,IF(AND($I31=0,RP31=0),$H31,0)))))</f>
        <v>0</v>
      </c>
      <c r="RP31" s="43">
        <f t="shared" ref="RP31:RP54" si="278">RK31-RM31</f>
        <v>2</v>
      </c>
      <c r="RR31" s="47">
        <v>1</v>
      </c>
      <c r="RS31" s="48" t="s">
        <v>4</v>
      </c>
      <c r="RT31" s="49">
        <v>0</v>
      </c>
      <c r="RU31" s="27"/>
      <c r="RV31" s="42">
        <f t="shared" ref="RV31:RV54" si="279">IF(OR($G31="",RT31=""),"",IF(AND($E31=RR31,$G31=RT31),$H31*1.5,IF(AND($I31&gt;0,RW31&gt;0),$H31,IF(AND($I31&lt;0,RW31&lt;0),$H31,IF(AND($I31=0,RW31=0),$H31,0)))))</f>
        <v>0</v>
      </c>
      <c r="RW31" s="43">
        <f t="shared" ref="RW31:RW54" si="280">RR31-RT31</f>
        <v>1</v>
      </c>
      <c r="RY31" s="47">
        <v>1</v>
      </c>
      <c r="RZ31" s="48" t="s">
        <v>4</v>
      </c>
      <c r="SA31" s="49">
        <v>0</v>
      </c>
      <c r="SB31" s="27"/>
      <c r="SC31" s="42">
        <f t="shared" ref="SC31:SC54" si="281">IF(OR($G31="",SA31=""),"",IF(AND($E31=RY31,$G31=SA31),$H31*1.5,IF(AND($I31&gt;0,SD31&gt;0),$H31,IF(AND($I31&lt;0,SD31&lt;0),$H31,IF(AND($I31=0,SD31=0),$H31,0)))))</f>
        <v>0</v>
      </c>
      <c r="SD31" s="43">
        <f t="shared" ref="SD31:SD54" si="282">RY31-SA31</f>
        <v>1</v>
      </c>
      <c r="SF31" s="47">
        <v>1</v>
      </c>
      <c r="SG31" s="48" t="s">
        <v>4</v>
      </c>
      <c r="SH31" s="49">
        <v>0</v>
      </c>
      <c r="SI31" s="27"/>
      <c r="SJ31" s="42">
        <f t="shared" ref="SJ31:SJ54" si="283">IF(OR($G31="",SH31=""),"",IF(AND($E31=SF31,$G31=SH31),$H31*1.5,IF(AND($I31&gt;0,SK31&gt;0),$H31,IF(AND($I31&lt;0,SK31&lt;0),$H31,IF(AND($I31=0,SK31=0),$H31,0)))))</f>
        <v>0</v>
      </c>
      <c r="SK31" s="43">
        <f t="shared" ref="SK31:SK54" si="284">SF31-SH31</f>
        <v>1</v>
      </c>
      <c r="SM31" s="47">
        <v>2</v>
      </c>
      <c r="SN31" s="48" t="s">
        <v>4</v>
      </c>
      <c r="SO31" s="49">
        <v>1</v>
      </c>
      <c r="SP31" s="27"/>
      <c r="SQ31" s="42">
        <f t="shared" ref="SQ31:SQ54" si="285">IF(OR($G31="",SO31=""),"",IF(AND($E31=SM31,$G31=SO31),$H31*1.5,IF(AND($I31&gt;0,SR31&gt;0),$H31,IF(AND($I31&lt;0,SR31&lt;0),$H31,IF(AND($I31=0,SR31=0),$H31,0)))))</f>
        <v>0</v>
      </c>
      <c r="SR31" s="43">
        <f t="shared" ref="SR31:SR54" si="286">SM31-SO31</f>
        <v>1</v>
      </c>
    </row>
    <row r="32" spans="1:512" customFormat="1" ht="16" customHeight="1" x14ac:dyDescent="0.15">
      <c r="A32" s="34">
        <v>46191</v>
      </c>
      <c r="B32" s="35">
        <v>0.875</v>
      </c>
      <c r="C32" s="51" t="s">
        <v>21</v>
      </c>
      <c r="D32" s="81" t="s">
        <v>315</v>
      </c>
      <c r="E32" s="2">
        <v>4</v>
      </c>
      <c r="F32" s="50" t="s">
        <v>4</v>
      </c>
      <c r="G32" s="1">
        <v>1</v>
      </c>
      <c r="H32" s="16">
        <v>2.4</v>
      </c>
      <c r="I32" s="32">
        <f t="shared" si="0"/>
        <v>3</v>
      </c>
      <c r="J32" s="47">
        <v>0</v>
      </c>
      <c r="K32" s="48" t="s">
        <v>4</v>
      </c>
      <c r="L32" s="49">
        <v>0</v>
      </c>
      <c r="M32" s="27"/>
      <c r="N32" s="42">
        <f t="shared" si="1"/>
        <v>0</v>
      </c>
      <c r="O32" s="43">
        <f t="shared" si="2"/>
        <v>0</v>
      </c>
      <c r="P32" s="32"/>
      <c r="Q32" s="47">
        <v>2</v>
      </c>
      <c r="R32" s="48" t="s">
        <v>4</v>
      </c>
      <c r="S32" s="49">
        <v>0</v>
      </c>
      <c r="T32" s="27"/>
      <c r="U32" s="42">
        <f t="shared" si="145"/>
        <v>2.4</v>
      </c>
      <c r="V32" s="43">
        <f t="shared" si="146"/>
        <v>2</v>
      </c>
      <c r="X32" s="47">
        <v>2</v>
      </c>
      <c r="Y32" s="48" t="s">
        <v>4</v>
      </c>
      <c r="Z32" s="49">
        <v>1</v>
      </c>
      <c r="AA32" s="27"/>
      <c r="AB32" s="42">
        <f t="shared" si="147"/>
        <v>2.4</v>
      </c>
      <c r="AC32" s="43">
        <f t="shared" si="148"/>
        <v>1</v>
      </c>
      <c r="AE32" s="47">
        <v>2</v>
      </c>
      <c r="AF32" s="48" t="s">
        <v>4</v>
      </c>
      <c r="AG32" s="49">
        <v>1</v>
      </c>
      <c r="AH32" s="27"/>
      <c r="AI32" s="42">
        <f t="shared" si="149"/>
        <v>2.4</v>
      </c>
      <c r="AJ32" s="43">
        <f t="shared" si="150"/>
        <v>1</v>
      </c>
      <c r="AL32" s="47">
        <v>2</v>
      </c>
      <c r="AM32" s="48" t="s">
        <v>4</v>
      </c>
      <c r="AN32" s="49">
        <v>0</v>
      </c>
      <c r="AO32" s="27"/>
      <c r="AP32" s="42">
        <f t="shared" si="151"/>
        <v>2.4</v>
      </c>
      <c r="AQ32" s="43">
        <f t="shared" si="152"/>
        <v>2</v>
      </c>
      <c r="AS32" s="47">
        <v>2</v>
      </c>
      <c r="AT32" s="48" t="s">
        <v>4</v>
      </c>
      <c r="AU32" s="49">
        <v>0</v>
      </c>
      <c r="AV32" s="27"/>
      <c r="AW32" s="42">
        <f t="shared" si="153"/>
        <v>2.4</v>
      </c>
      <c r="AX32" s="43">
        <f t="shared" si="154"/>
        <v>2</v>
      </c>
      <c r="AZ32" s="47">
        <v>2</v>
      </c>
      <c r="BA32" s="48" t="s">
        <v>4</v>
      </c>
      <c r="BB32" s="49">
        <v>0</v>
      </c>
      <c r="BC32" s="27"/>
      <c r="BD32" s="42">
        <f t="shared" si="155"/>
        <v>2.4</v>
      </c>
      <c r="BE32" s="43">
        <f t="shared" si="156"/>
        <v>2</v>
      </c>
      <c r="BG32" s="47">
        <v>2</v>
      </c>
      <c r="BH32" s="48" t="s">
        <v>4</v>
      </c>
      <c r="BI32" s="49">
        <v>0</v>
      </c>
      <c r="BJ32" s="27"/>
      <c r="BK32" s="42">
        <f t="shared" si="157"/>
        <v>2.4</v>
      </c>
      <c r="BL32" s="43">
        <f t="shared" si="158"/>
        <v>2</v>
      </c>
      <c r="BN32" s="47">
        <v>2</v>
      </c>
      <c r="BO32" s="48" t="s">
        <v>4</v>
      </c>
      <c r="BP32" s="49">
        <v>1</v>
      </c>
      <c r="BQ32" s="27"/>
      <c r="BR32" s="42">
        <f t="shared" si="159"/>
        <v>2.4</v>
      </c>
      <c r="BS32" s="43">
        <f t="shared" si="160"/>
        <v>1</v>
      </c>
      <c r="BU32" s="47">
        <v>2</v>
      </c>
      <c r="BV32" s="48" t="s">
        <v>4</v>
      </c>
      <c r="BW32" s="49">
        <v>1</v>
      </c>
      <c r="BX32" s="27"/>
      <c r="BY32" s="42">
        <f t="shared" si="161"/>
        <v>2.4</v>
      </c>
      <c r="BZ32" s="43">
        <f t="shared" si="162"/>
        <v>1</v>
      </c>
      <c r="CB32" s="47">
        <v>1</v>
      </c>
      <c r="CC32" s="48" t="s">
        <v>4</v>
      </c>
      <c r="CD32" s="49">
        <v>0</v>
      </c>
      <c r="CE32" s="27"/>
      <c r="CF32" s="42">
        <f t="shared" si="163"/>
        <v>2.4</v>
      </c>
      <c r="CG32" s="43">
        <f t="shared" si="164"/>
        <v>1</v>
      </c>
      <c r="CI32" s="47">
        <v>2</v>
      </c>
      <c r="CJ32" s="48" t="s">
        <v>4</v>
      </c>
      <c r="CK32" s="49">
        <v>0</v>
      </c>
      <c r="CL32" s="27"/>
      <c r="CM32" s="42">
        <f t="shared" si="165"/>
        <v>2.4</v>
      </c>
      <c r="CN32" s="43">
        <f t="shared" si="166"/>
        <v>2</v>
      </c>
      <c r="CP32" s="47">
        <v>3</v>
      </c>
      <c r="CQ32" s="48" t="s">
        <v>4</v>
      </c>
      <c r="CR32" s="49">
        <v>2</v>
      </c>
      <c r="CS32" s="27"/>
      <c r="CT32" s="42">
        <f t="shared" si="167"/>
        <v>2.4</v>
      </c>
      <c r="CU32" s="43">
        <f t="shared" si="168"/>
        <v>1</v>
      </c>
      <c r="CW32" s="47">
        <v>2</v>
      </c>
      <c r="CX32" s="48" t="s">
        <v>4</v>
      </c>
      <c r="CY32" s="49">
        <v>1</v>
      </c>
      <c r="CZ32" s="27"/>
      <c r="DA32" s="42">
        <f t="shared" si="169"/>
        <v>2.4</v>
      </c>
      <c r="DB32" s="43">
        <f t="shared" si="170"/>
        <v>1</v>
      </c>
      <c r="DD32" s="47">
        <v>1</v>
      </c>
      <c r="DE32" s="48" t="s">
        <v>4</v>
      </c>
      <c r="DF32" s="49">
        <v>0</v>
      </c>
      <c r="DG32" s="27"/>
      <c r="DH32" s="42">
        <f t="shared" si="171"/>
        <v>2.4</v>
      </c>
      <c r="DI32" s="43">
        <f t="shared" si="172"/>
        <v>1</v>
      </c>
      <c r="DK32" s="47">
        <v>1</v>
      </c>
      <c r="DL32" s="48" t="s">
        <v>4</v>
      </c>
      <c r="DM32" s="49">
        <v>0</v>
      </c>
      <c r="DN32" s="27"/>
      <c r="DO32" s="42">
        <f t="shared" si="173"/>
        <v>2.4</v>
      </c>
      <c r="DP32" s="43">
        <f t="shared" si="174"/>
        <v>1</v>
      </c>
      <c r="DR32" s="47">
        <v>3</v>
      </c>
      <c r="DS32" s="48" t="s">
        <v>4</v>
      </c>
      <c r="DT32" s="49">
        <v>2</v>
      </c>
      <c r="DU32" s="27"/>
      <c r="DV32" s="42">
        <f t="shared" si="175"/>
        <v>2.4</v>
      </c>
      <c r="DW32" s="43">
        <f t="shared" si="176"/>
        <v>1</v>
      </c>
      <c r="DY32" s="47">
        <v>2</v>
      </c>
      <c r="DZ32" s="48" t="s">
        <v>4</v>
      </c>
      <c r="EA32" s="49">
        <v>1</v>
      </c>
      <c r="EB32" s="27"/>
      <c r="EC32" s="42">
        <f t="shared" si="177"/>
        <v>2.4</v>
      </c>
      <c r="ED32" s="43">
        <f t="shared" si="178"/>
        <v>1</v>
      </c>
      <c r="EF32" s="47">
        <v>1</v>
      </c>
      <c r="EG32" s="48" t="s">
        <v>4</v>
      </c>
      <c r="EH32" s="49">
        <v>0</v>
      </c>
      <c r="EI32" s="27"/>
      <c r="EJ32" s="42">
        <f t="shared" si="179"/>
        <v>2.4</v>
      </c>
      <c r="EK32" s="43">
        <f t="shared" si="180"/>
        <v>1</v>
      </c>
      <c r="EM32" s="47">
        <v>4</v>
      </c>
      <c r="EN32" s="48" t="s">
        <v>4</v>
      </c>
      <c r="EO32" s="49">
        <v>2</v>
      </c>
      <c r="EP32" s="27"/>
      <c r="EQ32" s="42">
        <f t="shared" si="181"/>
        <v>2.4</v>
      </c>
      <c r="ER32" s="43">
        <f t="shared" si="182"/>
        <v>2</v>
      </c>
      <c r="ET32" s="47">
        <v>2</v>
      </c>
      <c r="EU32" s="48" t="s">
        <v>4</v>
      </c>
      <c r="EV32" s="49">
        <v>2</v>
      </c>
      <c r="EW32" s="27"/>
      <c r="EX32" s="42">
        <f t="shared" si="183"/>
        <v>0</v>
      </c>
      <c r="EY32" s="43">
        <f t="shared" si="184"/>
        <v>0</v>
      </c>
      <c r="FA32" s="47">
        <v>2</v>
      </c>
      <c r="FB32" s="48" t="s">
        <v>4</v>
      </c>
      <c r="FC32" s="49">
        <v>1</v>
      </c>
      <c r="FD32" s="27"/>
      <c r="FE32" s="42">
        <f t="shared" si="185"/>
        <v>2.4</v>
      </c>
      <c r="FF32" s="43">
        <f t="shared" si="186"/>
        <v>1</v>
      </c>
      <c r="FH32" s="47">
        <v>2</v>
      </c>
      <c r="FI32" s="48" t="s">
        <v>4</v>
      </c>
      <c r="FJ32" s="49">
        <v>0</v>
      </c>
      <c r="FK32" s="27"/>
      <c r="FL32" s="42">
        <f t="shared" si="187"/>
        <v>2.4</v>
      </c>
      <c r="FM32" s="43">
        <f t="shared" si="188"/>
        <v>2</v>
      </c>
      <c r="FO32" s="47">
        <v>3</v>
      </c>
      <c r="FP32" s="48" t="s">
        <v>4</v>
      </c>
      <c r="FQ32" s="49">
        <v>1</v>
      </c>
      <c r="FR32" s="27"/>
      <c r="FS32" s="42">
        <f t="shared" si="189"/>
        <v>2.4</v>
      </c>
      <c r="FT32" s="43">
        <f t="shared" si="190"/>
        <v>2</v>
      </c>
      <c r="FV32" s="47">
        <v>2</v>
      </c>
      <c r="FW32" s="48" t="s">
        <v>4</v>
      </c>
      <c r="FX32" s="49">
        <v>1</v>
      </c>
      <c r="FY32" s="27"/>
      <c r="FZ32" s="42">
        <f t="shared" si="191"/>
        <v>2.4</v>
      </c>
      <c r="GA32" s="43">
        <f t="shared" si="192"/>
        <v>1</v>
      </c>
      <c r="GC32" s="47">
        <v>2</v>
      </c>
      <c r="GD32" s="48" t="s">
        <v>4</v>
      </c>
      <c r="GE32" s="49">
        <v>2</v>
      </c>
      <c r="GF32" s="27"/>
      <c r="GG32" s="42">
        <f t="shared" si="193"/>
        <v>0</v>
      </c>
      <c r="GH32" s="43">
        <f t="shared" si="194"/>
        <v>0</v>
      </c>
      <c r="GJ32" s="47">
        <v>2</v>
      </c>
      <c r="GK32" s="48" t="s">
        <v>4</v>
      </c>
      <c r="GL32" s="49">
        <v>1</v>
      </c>
      <c r="GM32" s="27"/>
      <c r="GN32" s="42">
        <f t="shared" si="195"/>
        <v>2.4</v>
      </c>
      <c r="GO32" s="43">
        <f t="shared" si="196"/>
        <v>1</v>
      </c>
      <c r="GQ32" s="47">
        <v>2</v>
      </c>
      <c r="GR32" s="48" t="s">
        <v>4</v>
      </c>
      <c r="GS32" s="49">
        <v>0</v>
      </c>
      <c r="GT32" s="27"/>
      <c r="GU32" s="42">
        <f t="shared" si="197"/>
        <v>2.4</v>
      </c>
      <c r="GV32" s="43">
        <f t="shared" si="198"/>
        <v>2</v>
      </c>
      <c r="GX32" s="47">
        <v>2</v>
      </c>
      <c r="GY32" s="48" t="s">
        <v>4</v>
      </c>
      <c r="GZ32" s="49">
        <v>1</v>
      </c>
      <c r="HA32" s="27"/>
      <c r="HB32" s="42">
        <f t="shared" si="199"/>
        <v>2.4</v>
      </c>
      <c r="HC32" s="43">
        <f t="shared" si="200"/>
        <v>1</v>
      </c>
      <c r="HE32" s="47">
        <v>2</v>
      </c>
      <c r="HF32" s="48" t="s">
        <v>4</v>
      </c>
      <c r="HG32" s="49">
        <v>1</v>
      </c>
      <c r="HH32" s="27"/>
      <c r="HI32" s="42">
        <f t="shared" si="201"/>
        <v>2.4</v>
      </c>
      <c r="HJ32" s="43">
        <f t="shared" si="202"/>
        <v>1</v>
      </c>
      <c r="HL32" s="47">
        <v>1</v>
      </c>
      <c r="HM32" s="48" t="s">
        <v>4</v>
      </c>
      <c r="HN32" s="49">
        <v>1</v>
      </c>
      <c r="HO32" s="27"/>
      <c r="HP32" s="42">
        <f t="shared" si="203"/>
        <v>0</v>
      </c>
      <c r="HQ32" s="43">
        <f t="shared" si="204"/>
        <v>0</v>
      </c>
      <c r="HS32" s="47">
        <v>2</v>
      </c>
      <c r="HT32" s="48" t="s">
        <v>4</v>
      </c>
      <c r="HU32" s="49">
        <v>0</v>
      </c>
      <c r="HV32" s="27"/>
      <c r="HW32" s="42">
        <f t="shared" si="205"/>
        <v>2.4</v>
      </c>
      <c r="HX32" s="43">
        <f t="shared" si="206"/>
        <v>2</v>
      </c>
      <c r="HZ32" s="47">
        <v>3</v>
      </c>
      <c r="IA32" s="48" t="s">
        <v>4</v>
      </c>
      <c r="IB32" s="49">
        <v>1</v>
      </c>
      <c r="IC32" s="27"/>
      <c r="ID32" s="42">
        <f t="shared" si="207"/>
        <v>2.4</v>
      </c>
      <c r="IE32" s="43">
        <f t="shared" si="208"/>
        <v>2</v>
      </c>
      <c r="IG32" s="47">
        <v>1</v>
      </c>
      <c r="IH32" s="48" t="s">
        <v>4</v>
      </c>
      <c r="II32" s="49">
        <v>0</v>
      </c>
      <c r="IJ32" s="27"/>
      <c r="IK32" s="42">
        <f t="shared" si="209"/>
        <v>2.4</v>
      </c>
      <c r="IL32" s="43">
        <f t="shared" si="210"/>
        <v>1</v>
      </c>
      <c r="IN32" s="47">
        <v>2</v>
      </c>
      <c r="IO32" s="48" t="s">
        <v>4</v>
      </c>
      <c r="IP32" s="49">
        <v>0</v>
      </c>
      <c r="IQ32" s="27"/>
      <c r="IR32" s="42">
        <f t="shared" si="211"/>
        <v>2.4</v>
      </c>
      <c r="IS32" s="43">
        <f t="shared" si="212"/>
        <v>2</v>
      </c>
      <c r="IU32" s="47">
        <v>2</v>
      </c>
      <c r="IV32" s="48" t="s">
        <v>4</v>
      </c>
      <c r="IW32" s="49">
        <v>0</v>
      </c>
      <c r="IX32" s="27"/>
      <c r="IY32" s="42">
        <f t="shared" si="213"/>
        <v>2.4</v>
      </c>
      <c r="IZ32" s="43">
        <f t="shared" si="214"/>
        <v>2</v>
      </c>
      <c r="JB32" s="47">
        <v>2</v>
      </c>
      <c r="JC32" s="48" t="s">
        <v>4</v>
      </c>
      <c r="JD32" s="49">
        <v>1</v>
      </c>
      <c r="JE32" s="27"/>
      <c r="JF32" s="42">
        <f t="shared" si="215"/>
        <v>2.4</v>
      </c>
      <c r="JG32" s="43">
        <f t="shared" si="216"/>
        <v>1</v>
      </c>
      <c r="JI32" s="47">
        <v>1</v>
      </c>
      <c r="JJ32" s="48" t="s">
        <v>4</v>
      </c>
      <c r="JK32" s="49">
        <v>1</v>
      </c>
      <c r="JL32" s="27"/>
      <c r="JM32" s="42">
        <f t="shared" si="217"/>
        <v>0</v>
      </c>
      <c r="JN32" s="43">
        <f t="shared" si="218"/>
        <v>0</v>
      </c>
      <c r="JP32" s="47">
        <v>3</v>
      </c>
      <c r="JQ32" s="48" t="s">
        <v>4</v>
      </c>
      <c r="JR32" s="49">
        <v>1</v>
      </c>
      <c r="JS32" s="27"/>
      <c r="JT32" s="42">
        <f t="shared" si="219"/>
        <v>2.4</v>
      </c>
      <c r="JU32" s="43">
        <f t="shared" si="220"/>
        <v>2</v>
      </c>
      <c r="JW32" s="47">
        <v>2</v>
      </c>
      <c r="JX32" s="48" t="s">
        <v>4</v>
      </c>
      <c r="JY32" s="49">
        <v>2</v>
      </c>
      <c r="JZ32" s="27"/>
      <c r="KA32" s="42">
        <f t="shared" si="221"/>
        <v>0</v>
      </c>
      <c r="KB32" s="43">
        <f t="shared" si="222"/>
        <v>0</v>
      </c>
      <c r="KD32" s="47">
        <v>2</v>
      </c>
      <c r="KE32" s="48" t="s">
        <v>4</v>
      </c>
      <c r="KF32" s="49">
        <v>1</v>
      </c>
      <c r="KG32" s="27"/>
      <c r="KH32" s="42">
        <f t="shared" si="223"/>
        <v>2.4</v>
      </c>
      <c r="KI32" s="43">
        <f t="shared" si="224"/>
        <v>1</v>
      </c>
      <c r="KK32" s="47">
        <v>1</v>
      </c>
      <c r="KL32" s="48" t="s">
        <v>4</v>
      </c>
      <c r="KM32" s="49">
        <v>0</v>
      </c>
      <c r="KN32" s="27"/>
      <c r="KO32" s="42">
        <f t="shared" si="225"/>
        <v>2.4</v>
      </c>
      <c r="KP32" s="43">
        <f t="shared" si="226"/>
        <v>1</v>
      </c>
      <c r="KR32" s="47">
        <v>1</v>
      </c>
      <c r="KS32" s="48" t="s">
        <v>4</v>
      </c>
      <c r="KT32" s="49">
        <v>0</v>
      </c>
      <c r="KU32" s="27"/>
      <c r="KV32" s="42">
        <f t="shared" si="227"/>
        <v>2.4</v>
      </c>
      <c r="KW32" s="43">
        <f t="shared" si="228"/>
        <v>1</v>
      </c>
      <c r="KY32" s="47">
        <v>2</v>
      </c>
      <c r="KZ32" s="48" t="s">
        <v>4</v>
      </c>
      <c r="LA32" s="49">
        <v>1</v>
      </c>
      <c r="LB32" s="27"/>
      <c r="LC32" s="42">
        <f t="shared" si="229"/>
        <v>2.4</v>
      </c>
      <c r="LD32" s="43">
        <f t="shared" si="230"/>
        <v>1</v>
      </c>
      <c r="LF32" s="47">
        <v>3</v>
      </c>
      <c r="LG32" s="48" t="s">
        <v>4</v>
      </c>
      <c r="LH32" s="49">
        <v>1</v>
      </c>
      <c r="LI32" s="27"/>
      <c r="LJ32" s="42">
        <f t="shared" si="231"/>
        <v>2.4</v>
      </c>
      <c r="LK32" s="43">
        <f t="shared" si="232"/>
        <v>2</v>
      </c>
      <c r="LM32" s="47">
        <v>3</v>
      </c>
      <c r="LN32" s="48" t="s">
        <v>4</v>
      </c>
      <c r="LO32" s="49">
        <v>2</v>
      </c>
      <c r="LP32" s="27"/>
      <c r="LQ32" s="42">
        <f t="shared" si="233"/>
        <v>2.4</v>
      </c>
      <c r="LR32" s="43">
        <f t="shared" si="234"/>
        <v>1</v>
      </c>
      <c r="LT32" s="47">
        <v>2</v>
      </c>
      <c r="LU32" s="48" t="s">
        <v>4</v>
      </c>
      <c r="LV32" s="49">
        <v>0</v>
      </c>
      <c r="LW32" s="27"/>
      <c r="LX32" s="42">
        <f t="shared" si="235"/>
        <v>2.4</v>
      </c>
      <c r="LY32" s="43">
        <f t="shared" si="236"/>
        <v>2</v>
      </c>
      <c r="MA32" s="47">
        <v>3</v>
      </c>
      <c r="MB32" s="48" t="s">
        <v>4</v>
      </c>
      <c r="MC32" s="49">
        <v>1</v>
      </c>
      <c r="MD32" s="27"/>
      <c r="ME32" s="42">
        <f t="shared" si="237"/>
        <v>2.4</v>
      </c>
      <c r="MF32" s="43">
        <f t="shared" si="238"/>
        <v>2</v>
      </c>
      <c r="MH32" s="47">
        <v>3</v>
      </c>
      <c r="MI32" s="48" t="s">
        <v>4</v>
      </c>
      <c r="MJ32" s="49">
        <v>1</v>
      </c>
      <c r="MK32" s="27"/>
      <c r="ML32" s="42">
        <f t="shared" si="239"/>
        <v>2.4</v>
      </c>
      <c r="MM32" s="43">
        <f t="shared" si="240"/>
        <v>2</v>
      </c>
      <c r="MO32" s="47">
        <v>2</v>
      </c>
      <c r="MP32" s="48" t="s">
        <v>4</v>
      </c>
      <c r="MQ32" s="49">
        <v>0</v>
      </c>
      <c r="MR32" s="27"/>
      <c r="MS32" s="42">
        <f t="shared" si="241"/>
        <v>2.4</v>
      </c>
      <c r="MT32" s="43">
        <f t="shared" si="242"/>
        <v>2</v>
      </c>
      <c r="MV32" s="47">
        <v>2</v>
      </c>
      <c r="MW32" s="48" t="s">
        <v>4</v>
      </c>
      <c r="MX32" s="49">
        <v>1</v>
      </c>
      <c r="MY32" s="27"/>
      <c r="MZ32" s="42">
        <f t="shared" si="243"/>
        <v>2.4</v>
      </c>
      <c r="NA32" s="43">
        <f t="shared" si="244"/>
        <v>1</v>
      </c>
      <c r="NC32" s="47">
        <v>1</v>
      </c>
      <c r="ND32" s="48" t="s">
        <v>4</v>
      </c>
      <c r="NE32" s="49">
        <v>1</v>
      </c>
      <c r="NF32" s="27"/>
      <c r="NG32" s="42">
        <f t="shared" si="245"/>
        <v>0</v>
      </c>
      <c r="NH32" s="43">
        <f t="shared" si="246"/>
        <v>0</v>
      </c>
      <c r="NJ32" s="47">
        <v>2</v>
      </c>
      <c r="NK32" s="48" t="s">
        <v>4</v>
      </c>
      <c r="NL32" s="49">
        <v>1</v>
      </c>
      <c r="NM32" s="27"/>
      <c r="NN32" s="42">
        <f t="shared" si="247"/>
        <v>2.4</v>
      </c>
      <c r="NO32" s="43">
        <f t="shared" si="248"/>
        <v>1</v>
      </c>
      <c r="NQ32" s="47">
        <v>1</v>
      </c>
      <c r="NR32" s="48" t="s">
        <v>4</v>
      </c>
      <c r="NS32" s="49">
        <v>1</v>
      </c>
      <c r="NT32" s="27"/>
      <c r="NU32" s="42">
        <f t="shared" si="249"/>
        <v>0</v>
      </c>
      <c r="NV32" s="43">
        <f t="shared" si="250"/>
        <v>0</v>
      </c>
      <c r="NX32" s="47">
        <v>2</v>
      </c>
      <c r="NY32" s="48" t="s">
        <v>4</v>
      </c>
      <c r="NZ32" s="49">
        <v>1</v>
      </c>
      <c r="OA32" s="27"/>
      <c r="OB32" s="42">
        <f t="shared" si="251"/>
        <v>2.4</v>
      </c>
      <c r="OC32" s="43">
        <f t="shared" si="252"/>
        <v>1</v>
      </c>
      <c r="OE32" s="47">
        <v>2</v>
      </c>
      <c r="OF32" s="48" t="s">
        <v>4</v>
      </c>
      <c r="OG32" s="49">
        <v>2</v>
      </c>
      <c r="OH32" s="27"/>
      <c r="OI32" s="42">
        <f t="shared" si="253"/>
        <v>0</v>
      </c>
      <c r="OJ32" s="43">
        <f t="shared" si="254"/>
        <v>0</v>
      </c>
      <c r="OL32" s="47">
        <v>3</v>
      </c>
      <c r="OM32" s="48" t="s">
        <v>4</v>
      </c>
      <c r="ON32" s="49">
        <v>2</v>
      </c>
      <c r="OO32" s="27"/>
      <c r="OP32" s="42">
        <f t="shared" si="255"/>
        <v>2.4</v>
      </c>
      <c r="OQ32" s="43">
        <f t="shared" si="256"/>
        <v>1</v>
      </c>
      <c r="OS32" s="47">
        <v>1</v>
      </c>
      <c r="OT32" s="48" t="s">
        <v>4</v>
      </c>
      <c r="OU32" s="49">
        <v>1</v>
      </c>
      <c r="OV32" s="27"/>
      <c r="OW32" s="42">
        <f t="shared" si="257"/>
        <v>0</v>
      </c>
      <c r="OX32" s="43">
        <f t="shared" si="258"/>
        <v>0</v>
      </c>
      <c r="OZ32" s="47">
        <v>3</v>
      </c>
      <c r="PA32" s="48" t="s">
        <v>4</v>
      </c>
      <c r="PB32" s="49">
        <v>2</v>
      </c>
      <c r="PC32" s="27"/>
      <c r="PD32" s="42">
        <f t="shared" si="259"/>
        <v>2.4</v>
      </c>
      <c r="PE32" s="43">
        <f t="shared" si="260"/>
        <v>1</v>
      </c>
      <c r="PG32" s="47">
        <v>3</v>
      </c>
      <c r="PH32" s="48" t="s">
        <v>4</v>
      </c>
      <c r="PI32" s="49">
        <v>1</v>
      </c>
      <c r="PJ32" s="27"/>
      <c r="PK32" s="42">
        <f t="shared" si="261"/>
        <v>2.4</v>
      </c>
      <c r="PL32" s="43">
        <f t="shared" si="262"/>
        <v>2</v>
      </c>
      <c r="PN32" s="47">
        <v>1</v>
      </c>
      <c r="PO32" s="48" t="s">
        <v>4</v>
      </c>
      <c r="PP32" s="49">
        <v>1</v>
      </c>
      <c r="PQ32" s="27"/>
      <c r="PR32" s="42">
        <f t="shared" si="263"/>
        <v>0</v>
      </c>
      <c r="PS32" s="43">
        <f t="shared" si="264"/>
        <v>0</v>
      </c>
      <c r="PU32" s="47">
        <v>1</v>
      </c>
      <c r="PV32" s="48" t="s">
        <v>4</v>
      </c>
      <c r="PW32" s="49">
        <v>0</v>
      </c>
      <c r="PX32" s="27"/>
      <c r="PY32" s="42">
        <f t="shared" si="265"/>
        <v>2.4</v>
      </c>
      <c r="PZ32" s="43">
        <f t="shared" si="266"/>
        <v>1</v>
      </c>
      <c r="QB32" s="47">
        <v>2</v>
      </c>
      <c r="QC32" s="48" t="s">
        <v>4</v>
      </c>
      <c r="QD32" s="49">
        <v>0</v>
      </c>
      <c r="QE32" s="27"/>
      <c r="QF32" s="42">
        <f t="shared" si="267"/>
        <v>2.4</v>
      </c>
      <c r="QG32" s="43">
        <f t="shared" si="268"/>
        <v>2</v>
      </c>
      <c r="QI32" s="47">
        <v>2</v>
      </c>
      <c r="QJ32" s="48" t="s">
        <v>4</v>
      </c>
      <c r="QK32" s="49">
        <v>0</v>
      </c>
      <c r="QL32" s="27"/>
      <c r="QM32" s="42">
        <f t="shared" si="269"/>
        <v>2.4</v>
      </c>
      <c r="QN32" s="43">
        <f t="shared" si="270"/>
        <v>2</v>
      </c>
      <c r="QP32" s="47">
        <v>3</v>
      </c>
      <c r="QQ32" s="48" t="s">
        <v>4</v>
      </c>
      <c r="QR32" s="49">
        <v>0</v>
      </c>
      <c r="QS32" s="27"/>
      <c r="QT32" s="42">
        <f t="shared" si="271"/>
        <v>2.4</v>
      </c>
      <c r="QU32" s="43">
        <f t="shared" si="272"/>
        <v>3</v>
      </c>
      <c r="QW32" s="47">
        <v>2</v>
      </c>
      <c r="QX32" s="48" t="s">
        <v>4</v>
      </c>
      <c r="QY32" s="49">
        <v>0</v>
      </c>
      <c r="QZ32" s="27"/>
      <c r="RA32" s="42">
        <f t="shared" si="273"/>
        <v>2.4</v>
      </c>
      <c r="RB32" s="43">
        <f t="shared" si="274"/>
        <v>2</v>
      </c>
      <c r="RD32" s="47"/>
      <c r="RE32" s="48" t="s">
        <v>4</v>
      </c>
      <c r="RF32" s="49"/>
      <c r="RG32" s="27"/>
      <c r="RH32" s="42" t="str">
        <f t="shared" si="275"/>
        <v/>
      </c>
      <c r="RI32" s="43">
        <f t="shared" si="276"/>
        <v>0</v>
      </c>
      <c r="RK32" s="47">
        <v>1</v>
      </c>
      <c r="RL32" s="48" t="s">
        <v>4</v>
      </c>
      <c r="RM32" s="49">
        <v>1</v>
      </c>
      <c r="RN32" s="27"/>
      <c r="RO32" s="42">
        <f t="shared" si="277"/>
        <v>0</v>
      </c>
      <c r="RP32" s="43">
        <f t="shared" si="278"/>
        <v>0</v>
      </c>
      <c r="RR32" s="47">
        <v>1</v>
      </c>
      <c r="RS32" s="48" t="s">
        <v>4</v>
      </c>
      <c r="RT32" s="49">
        <v>1</v>
      </c>
      <c r="RU32" s="27"/>
      <c r="RV32" s="42">
        <f t="shared" si="279"/>
        <v>0</v>
      </c>
      <c r="RW32" s="43">
        <f t="shared" si="280"/>
        <v>0</v>
      </c>
      <c r="RY32" s="47">
        <v>1</v>
      </c>
      <c r="RZ32" s="48" t="s">
        <v>4</v>
      </c>
      <c r="SA32" s="49">
        <v>1</v>
      </c>
      <c r="SB32" s="27"/>
      <c r="SC32" s="42">
        <f t="shared" si="281"/>
        <v>0</v>
      </c>
      <c r="SD32" s="43">
        <f t="shared" si="282"/>
        <v>0</v>
      </c>
      <c r="SF32" s="47">
        <v>1</v>
      </c>
      <c r="SG32" s="48" t="s">
        <v>4</v>
      </c>
      <c r="SH32" s="49">
        <v>1</v>
      </c>
      <c r="SI32" s="27"/>
      <c r="SJ32" s="42">
        <f t="shared" si="283"/>
        <v>0</v>
      </c>
      <c r="SK32" s="43">
        <f t="shared" si="284"/>
        <v>0</v>
      </c>
      <c r="SM32" s="47">
        <v>2</v>
      </c>
      <c r="SN32" s="48" t="s">
        <v>4</v>
      </c>
      <c r="SO32" s="49">
        <v>1</v>
      </c>
      <c r="SP32" s="27"/>
      <c r="SQ32" s="42">
        <f t="shared" si="285"/>
        <v>2.4</v>
      </c>
      <c r="SR32" s="43">
        <f t="shared" si="286"/>
        <v>1</v>
      </c>
    </row>
    <row r="33" spans="1:512" customFormat="1" ht="16" customHeight="1" x14ac:dyDescent="0.15">
      <c r="A33" s="34">
        <v>46192</v>
      </c>
      <c r="B33" s="35">
        <v>0</v>
      </c>
      <c r="C33" s="51" t="s">
        <v>31</v>
      </c>
      <c r="D33" s="81" t="s">
        <v>34</v>
      </c>
      <c r="E33" s="2">
        <v>6</v>
      </c>
      <c r="F33" s="50" t="s">
        <v>4</v>
      </c>
      <c r="G33" s="1">
        <v>0</v>
      </c>
      <c r="H33" s="16">
        <v>2.6</v>
      </c>
      <c r="I33" s="32">
        <f t="shared" si="0"/>
        <v>6</v>
      </c>
      <c r="J33" s="47">
        <v>1</v>
      </c>
      <c r="K33" s="48" t="s">
        <v>4</v>
      </c>
      <c r="L33" s="49">
        <v>0</v>
      </c>
      <c r="M33" s="27"/>
      <c r="N33" s="42">
        <f t="shared" si="1"/>
        <v>2.6</v>
      </c>
      <c r="O33" s="43">
        <f t="shared" si="2"/>
        <v>1</v>
      </c>
      <c r="P33" s="32"/>
      <c r="Q33" s="47">
        <v>3</v>
      </c>
      <c r="R33" s="48" t="s">
        <v>4</v>
      </c>
      <c r="S33" s="49">
        <v>1</v>
      </c>
      <c r="T33" s="27"/>
      <c r="U33" s="42">
        <f t="shared" si="145"/>
        <v>2.6</v>
      </c>
      <c r="V33" s="43">
        <f t="shared" si="146"/>
        <v>2</v>
      </c>
      <c r="X33" s="47">
        <v>1</v>
      </c>
      <c r="Y33" s="48" t="s">
        <v>4</v>
      </c>
      <c r="Z33" s="49">
        <v>0</v>
      </c>
      <c r="AA33" s="27"/>
      <c r="AB33" s="42">
        <f t="shared" si="147"/>
        <v>2.6</v>
      </c>
      <c r="AC33" s="43">
        <f t="shared" si="148"/>
        <v>1</v>
      </c>
      <c r="AE33" s="47">
        <v>2</v>
      </c>
      <c r="AF33" s="48" t="s">
        <v>4</v>
      </c>
      <c r="AG33" s="49">
        <v>0</v>
      </c>
      <c r="AH33" s="27"/>
      <c r="AI33" s="42">
        <f t="shared" si="149"/>
        <v>2.6</v>
      </c>
      <c r="AJ33" s="43">
        <f t="shared" si="150"/>
        <v>2</v>
      </c>
      <c r="AL33" s="47">
        <v>2</v>
      </c>
      <c r="AM33" s="48" t="s">
        <v>4</v>
      </c>
      <c r="AN33" s="49">
        <v>0</v>
      </c>
      <c r="AO33" s="27"/>
      <c r="AP33" s="42">
        <f t="shared" si="151"/>
        <v>2.6</v>
      </c>
      <c r="AQ33" s="43">
        <f t="shared" si="152"/>
        <v>2</v>
      </c>
      <c r="AS33" s="47">
        <v>3</v>
      </c>
      <c r="AT33" s="48" t="s">
        <v>4</v>
      </c>
      <c r="AU33" s="49">
        <v>1</v>
      </c>
      <c r="AV33" s="27"/>
      <c r="AW33" s="42">
        <f t="shared" si="153"/>
        <v>2.6</v>
      </c>
      <c r="AX33" s="43">
        <f t="shared" si="154"/>
        <v>2</v>
      </c>
      <c r="AZ33" s="47">
        <v>3</v>
      </c>
      <c r="BA33" s="48" t="s">
        <v>4</v>
      </c>
      <c r="BB33" s="49">
        <v>2</v>
      </c>
      <c r="BC33" s="27"/>
      <c r="BD33" s="42">
        <f t="shared" si="155"/>
        <v>2.6</v>
      </c>
      <c r="BE33" s="43">
        <f t="shared" si="156"/>
        <v>1</v>
      </c>
      <c r="BG33" s="47">
        <v>3</v>
      </c>
      <c r="BH33" s="48" t="s">
        <v>4</v>
      </c>
      <c r="BI33" s="49">
        <v>0</v>
      </c>
      <c r="BJ33" s="27"/>
      <c r="BK33" s="42">
        <f t="shared" si="157"/>
        <v>2.6</v>
      </c>
      <c r="BL33" s="43">
        <f t="shared" si="158"/>
        <v>3</v>
      </c>
      <c r="BN33" s="47">
        <v>1</v>
      </c>
      <c r="BO33" s="48" t="s">
        <v>4</v>
      </c>
      <c r="BP33" s="49">
        <v>0</v>
      </c>
      <c r="BQ33" s="27"/>
      <c r="BR33" s="42">
        <f t="shared" si="159"/>
        <v>2.6</v>
      </c>
      <c r="BS33" s="43">
        <f t="shared" si="160"/>
        <v>1</v>
      </c>
      <c r="BU33" s="47">
        <v>2</v>
      </c>
      <c r="BV33" s="48" t="s">
        <v>4</v>
      </c>
      <c r="BW33" s="49">
        <v>1</v>
      </c>
      <c r="BX33" s="27"/>
      <c r="BY33" s="42">
        <f t="shared" si="161"/>
        <v>2.6</v>
      </c>
      <c r="BZ33" s="43">
        <f t="shared" si="162"/>
        <v>1</v>
      </c>
      <c r="CB33" s="47">
        <v>2</v>
      </c>
      <c r="CC33" s="48" t="s">
        <v>4</v>
      </c>
      <c r="CD33" s="49">
        <v>1</v>
      </c>
      <c r="CE33" s="27"/>
      <c r="CF33" s="42">
        <f t="shared" si="163"/>
        <v>2.6</v>
      </c>
      <c r="CG33" s="43">
        <f t="shared" si="164"/>
        <v>1</v>
      </c>
      <c r="CI33" s="47">
        <v>1</v>
      </c>
      <c r="CJ33" s="48" t="s">
        <v>4</v>
      </c>
      <c r="CK33" s="49">
        <v>1</v>
      </c>
      <c r="CL33" s="27"/>
      <c r="CM33" s="42">
        <f t="shared" si="165"/>
        <v>0</v>
      </c>
      <c r="CN33" s="43">
        <f t="shared" si="166"/>
        <v>0</v>
      </c>
      <c r="CP33" s="47">
        <v>3</v>
      </c>
      <c r="CQ33" s="48" t="s">
        <v>4</v>
      </c>
      <c r="CR33" s="49">
        <v>0</v>
      </c>
      <c r="CS33" s="27"/>
      <c r="CT33" s="42">
        <f t="shared" si="167"/>
        <v>2.6</v>
      </c>
      <c r="CU33" s="43">
        <f t="shared" si="168"/>
        <v>3</v>
      </c>
      <c r="CW33" s="47">
        <v>1</v>
      </c>
      <c r="CX33" s="48" t="s">
        <v>4</v>
      </c>
      <c r="CY33" s="49">
        <v>0</v>
      </c>
      <c r="CZ33" s="27"/>
      <c r="DA33" s="42">
        <f t="shared" si="169"/>
        <v>2.6</v>
      </c>
      <c r="DB33" s="43">
        <f t="shared" si="170"/>
        <v>1</v>
      </c>
      <c r="DD33" s="47">
        <v>2</v>
      </c>
      <c r="DE33" s="48" t="s">
        <v>4</v>
      </c>
      <c r="DF33" s="49">
        <v>0</v>
      </c>
      <c r="DG33" s="27"/>
      <c r="DH33" s="42">
        <f t="shared" si="171"/>
        <v>2.6</v>
      </c>
      <c r="DI33" s="43">
        <f t="shared" si="172"/>
        <v>2</v>
      </c>
      <c r="DK33" s="47">
        <v>1</v>
      </c>
      <c r="DL33" s="48" t="s">
        <v>4</v>
      </c>
      <c r="DM33" s="49">
        <v>0</v>
      </c>
      <c r="DN33" s="27"/>
      <c r="DO33" s="42">
        <f t="shared" si="173"/>
        <v>2.6</v>
      </c>
      <c r="DP33" s="43">
        <f t="shared" si="174"/>
        <v>1</v>
      </c>
      <c r="DR33" s="47">
        <v>4</v>
      </c>
      <c r="DS33" s="48" t="s">
        <v>4</v>
      </c>
      <c r="DT33" s="49">
        <v>0</v>
      </c>
      <c r="DU33" s="27"/>
      <c r="DV33" s="42">
        <f t="shared" si="175"/>
        <v>2.6</v>
      </c>
      <c r="DW33" s="43">
        <f t="shared" si="176"/>
        <v>4</v>
      </c>
      <c r="DY33" s="47">
        <v>1</v>
      </c>
      <c r="DZ33" s="48" t="s">
        <v>4</v>
      </c>
      <c r="EA33" s="49">
        <v>0</v>
      </c>
      <c r="EB33" s="27"/>
      <c r="EC33" s="42">
        <f t="shared" si="177"/>
        <v>2.6</v>
      </c>
      <c r="ED33" s="43">
        <f t="shared" si="178"/>
        <v>1</v>
      </c>
      <c r="EF33" s="47">
        <v>1</v>
      </c>
      <c r="EG33" s="48" t="s">
        <v>4</v>
      </c>
      <c r="EH33" s="49">
        <v>0</v>
      </c>
      <c r="EI33" s="27"/>
      <c r="EJ33" s="42">
        <f t="shared" si="179"/>
        <v>2.6</v>
      </c>
      <c r="EK33" s="43">
        <f t="shared" si="180"/>
        <v>1</v>
      </c>
      <c r="EM33" s="47">
        <v>1</v>
      </c>
      <c r="EN33" s="48" t="s">
        <v>4</v>
      </c>
      <c r="EO33" s="49">
        <v>1</v>
      </c>
      <c r="EP33" s="27"/>
      <c r="EQ33" s="42">
        <f t="shared" si="181"/>
        <v>0</v>
      </c>
      <c r="ER33" s="43">
        <f t="shared" si="182"/>
        <v>0</v>
      </c>
      <c r="ET33" s="47">
        <v>0</v>
      </c>
      <c r="EU33" s="48" t="s">
        <v>4</v>
      </c>
      <c r="EV33" s="49">
        <v>1</v>
      </c>
      <c r="EW33" s="27"/>
      <c r="EX33" s="42">
        <f t="shared" si="183"/>
        <v>0</v>
      </c>
      <c r="EY33" s="43">
        <f t="shared" si="184"/>
        <v>-1</v>
      </c>
      <c r="FA33" s="47">
        <v>2</v>
      </c>
      <c r="FB33" s="48" t="s">
        <v>4</v>
      </c>
      <c r="FC33" s="49">
        <v>0</v>
      </c>
      <c r="FD33" s="27"/>
      <c r="FE33" s="42">
        <f t="shared" si="185"/>
        <v>2.6</v>
      </c>
      <c r="FF33" s="43">
        <f t="shared" si="186"/>
        <v>2</v>
      </c>
      <c r="FH33" s="47">
        <v>2</v>
      </c>
      <c r="FI33" s="48" t="s">
        <v>4</v>
      </c>
      <c r="FJ33" s="49">
        <v>0</v>
      </c>
      <c r="FK33" s="27"/>
      <c r="FL33" s="42">
        <f t="shared" si="187"/>
        <v>2.6</v>
      </c>
      <c r="FM33" s="43">
        <f t="shared" si="188"/>
        <v>2</v>
      </c>
      <c r="FO33" s="47">
        <v>1</v>
      </c>
      <c r="FP33" s="48" t="s">
        <v>4</v>
      </c>
      <c r="FQ33" s="49">
        <v>0</v>
      </c>
      <c r="FR33" s="27"/>
      <c r="FS33" s="42">
        <f t="shared" si="189"/>
        <v>2.6</v>
      </c>
      <c r="FT33" s="43">
        <f t="shared" si="190"/>
        <v>1</v>
      </c>
      <c r="FV33" s="47">
        <v>2</v>
      </c>
      <c r="FW33" s="48" t="s">
        <v>4</v>
      </c>
      <c r="FX33" s="49">
        <v>0</v>
      </c>
      <c r="FY33" s="27"/>
      <c r="FZ33" s="42">
        <f t="shared" si="191"/>
        <v>2.6</v>
      </c>
      <c r="GA33" s="43">
        <f t="shared" si="192"/>
        <v>2</v>
      </c>
      <c r="GC33" s="47">
        <v>2</v>
      </c>
      <c r="GD33" s="48" t="s">
        <v>4</v>
      </c>
      <c r="GE33" s="49">
        <v>1</v>
      </c>
      <c r="GF33" s="27"/>
      <c r="GG33" s="42">
        <f t="shared" si="193"/>
        <v>2.6</v>
      </c>
      <c r="GH33" s="43">
        <f t="shared" si="194"/>
        <v>1</v>
      </c>
      <c r="GJ33" s="47">
        <v>2</v>
      </c>
      <c r="GK33" s="48" t="s">
        <v>4</v>
      </c>
      <c r="GL33" s="49">
        <v>1</v>
      </c>
      <c r="GM33" s="27"/>
      <c r="GN33" s="42">
        <f t="shared" si="195"/>
        <v>2.6</v>
      </c>
      <c r="GO33" s="43">
        <f t="shared" si="196"/>
        <v>1</v>
      </c>
      <c r="GQ33" s="47">
        <v>3</v>
      </c>
      <c r="GR33" s="48" t="s">
        <v>4</v>
      </c>
      <c r="GS33" s="49">
        <v>0</v>
      </c>
      <c r="GT33" s="27"/>
      <c r="GU33" s="42">
        <f t="shared" si="197"/>
        <v>2.6</v>
      </c>
      <c r="GV33" s="43">
        <f t="shared" si="198"/>
        <v>3</v>
      </c>
      <c r="GX33" s="47">
        <v>1</v>
      </c>
      <c r="GY33" s="48" t="s">
        <v>4</v>
      </c>
      <c r="GZ33" s="49">
        <v>0</v>
      </c>
      <c r="HA33" s="27"/>
      <c r="HB33" s="42">
        <f t="shared" si="199"/>
        <v>2.6</v>
      </c>
      <c r="HC33" s="43">
        <f t="shared" si="200"/>
        <v>1</v>
      </c>
      <c r="HE33" s="47">
        <v>2</v>
      </c>
      <c r="HF33" s="48" t="s">
        <v>4</v>
      </c>
      <c r="HG33" s="49">
        <v>0</v>
      </c>
      <c r="HH33" s="27"/>
      <c r="HI33" s="42">
        <f t="shared" si="201"/>
        <v>2.6</v>
      </c>
      <c r="HJ33" s="43">
        <f t="shared" si="202"/>
        <v>2</v>
      </c>
      <c r="HL33" s="47">
        <v>3</v>
      </c>
      <c r="HM33" s="48" t="s">
        <v>4</v>
      </c>
      <c r="HN33" s="49">
        <v>0</v>
      </c>
      <c r="HO33" s="27"/>
      <c r="HP33" s="42">
        <f t="shared" si="203"/>
        <v>2.6</v>
      </c>
      <c r="HQ33" s="43">
        <f t="shared" si="204"/>
        <v>3</v>
      </c>
      <c r="HS33" s="47">
        <v>2</v>
      </c>
      <c r="HT33" s="48" t="s">
        <v>4</v>
      </c>
      <c r="HU33" s="49">
        <v>1</v>
      </c>
      <c r="HV33" s="27"/>
      <c r="HW33" s="42">
        <f t="shared" si="205"/>
        <v>2.6</v>
      </c>
      <c r="HX33" s="43">
        <f t="shared" si="206"/>
        <v>1</v>
      </c>
      <c r="HZ33" s="47">
        <v>3</v>
      </c>
      <c r="IA33" s="48" t="s">
        <v>4</v>
      </c>
      <c r="IB33" s="49">
        <v>1</v>
      </c>
      <c r="IC33" s="27"/>
      <c r="ID33" s="42">
        <f t="shared" si="207"/>
        <v>2.6</v>
      </c>
      <c r="IE33" s="43">
        <f t="shared" si="208"/>
        <v>2</v>
      </c>
      <c r="IG33" s="47">
        <v>2</v>
      </c>
      <c r="IH33" s="48" t="s">
        <v>4</v>
      </c>
      <c r="II33" s="49">
        <v>2</v>
      </c>
      <c r="IJ33" s="27"/>
      <c r="IK33" s="42">
        <f t="shared" si="209"/>
        <v>0</v>
      </c>
      <c r="IL33" s="43">
        <f t="shared" si="210"/>
        <v>0</v>
      </c>
      <c r="IN33" s="47">
        <v>1</v>
      </c>
      <c r="IO33" s="48" t="s">
        <v>4</v>
      </c>
      <c r="IP33" s="49">
        <v>0</v>
      </c>
      <c r="IQ33" s="27"/>
      <c r="IR33" s="42">
        <f t="shared" si="211"/>
        <v>2.6</v>
      </c>
      <c r="IS33" s="43">
        <f t="shared" si="212"/>
        <v>1</v>
      </c>
      <c r="IU33" s="47">
        <v>2</v>
      </c>
      <c r="IV33" s="48" t="s">
        <v>4</v>
      </c>
      <c r="IW33" s="49">
        <v>0</v>
      </c>
      <c r="IX33" s="27"/>
      <c r="IY33" s="42">
        <f t="shared" si="213"/>
        <v>2.6</v>
      </c>
      <c r="IZ33" s="43">
        <f t="shared" si="214"/>
        <v>2</v>
      </c>
      <c r="JB33" s="47">
        <v>1</v>
      </c>
      <c r="JC33" s="48" t="s">
        <v>4</v>
      </c>
      <c r="JD33" s="49">
        <v>0</v>
      </c>
      <c r="JE33" s="27"/>
      <c r="JF33" s="42">
        <f t="shared" si="215"/>
        <v>2.6</v>
      </c>
      <c r="JG33" s="43">
        <f t="shared" si="216"/>
        <v>1</v>
      </c>
      <c r="JI33" s="47">
        <v>1</v>
      </c>
      <c r="JJ33" s="48" t="s">
        <v>4</v>
      </c>
      <c r="JK33" s="49">
        <v>0</v>
      </c>
      <c r="JL33" s="27"/>
      <c r="JM33" s="42">
        <f t="shared" si="217"/>
        <v>2.6</v>
      </c>
      <c r="JN33" s="43">
        <f t="shared" si="218"/>
        <v>1</v>
      </c>
      <c r="JP33" s="47">
        <v>2</v>
      </c>
      <c r="JQ33" s="48" t="s">
        <v>4</v>
      </c>
      <c r="JR33" s="49">
        <v>0</v>
      </c>
      <c r="JS33" s="27"/>
      <c r="JT33" s="42">
        <f t="shared" si="219"/>
        <v>2.6</v>
      </c>
      <c r="JU33" s="43">
        <f t="shared" si="220"/>
        <v>2</v>
      </c>
      <c r="JW33" s="47">
        <v>1</v>
      </c>
      <c r="JX33" s="48" t="s">
        <v>4</v>
      </c>
      <c r="JY33" s="49">
        <v>2</v>
      </c>
      <c r="JZ33" s="27"/>
      <c r="KA33" s="42">
        <f t="shared" si="221"/>
        <v>0</v>
      </c>
      <c r="KB33" s="43">
        <f t="shared" si="222"/>
        <v>-1</v>
      </c>
      <c r="KD33" s="47">
        <v>2</v>
      </c>
      <c r="KE33" s="48" t="s">
        <v>4</v>
      </c>
      <c r="KF33" s="49">
        <v>0</v>
      </c>
      <c r="KG33" s="27"/>
      <c r="KH33" s="42">
        <f t="shared" si="223"/>
        <v>2.6</v>
      </c>
      <c r="KI33" s="43">
        <f t="shared" si="224"/>
        <v>2</v>
      </c>
      <c r="KK33" s="47">
        <v>1</v>
      </c>
      <c r="KL33" s="48" t="s">
        <v>4</v>
      </c>
      <c r="KM33" s="49">
        <v>0</v>
      </c>
      <c r="KN33" s="27"/>
      <c r="KO33" s="42">
        <f t="shared" si="225"/>
        <v>2.6</v>
      </c>
      <c r="KP33" s="43">
        <f t="shared" si="226"/>
        <v>1</v>
      </c>
      <c r="KR33" s="47">
        <v>0</v>
      </c>
      <c r="KS33" s="48" t="s">
        <v>4</v>
      </c>
      <c r="KT33" s="49">
        <v>1</v>
      </c>
      <c r="KU33" s="27"/>
      <c r="KV33" s="42">
        <f t="shared" si="227"/>
        <v>0</v>
      </c>
      <c r="KW33" s="43">
        <f t="shared" si="228"/>
        <v>-1</v>
      </c>
      <c r="KY33" s="47">
        <v>2</v>
      </c>
      <c r="KZ33" s="48" t="s">
        <v>4</v>
      </c>
      <c r="LA33" s="49">
        <v>1</v>
      </c>
      <c r="LB33" s="27"/>
      <c r="LC33" s="42">
        <f t="shared" si="229"/>
        <v>2.6</v>
      </c>
      <c r="LD33" s="43">
        <f t="shared" si="230"/>
        <v>1</v>
      </c>
      <c r="LF33" s="47">
        <v>1</v>
      </c>
      <c r="LG33" s="48" t="s">
        <v>4</v>
      </c>
      <c r="LH33" s="49">
        <v>0</v>
      </c>
      <c r="LI33" s="27"/>
      <c r="LJ33" s="42">
        <f t="shared" si="231"/>
        <v>2.6</v>
      </c>
      <c r="LK33" s="43">
        <f t="shared" si="232"/>
        <v>1</v>
      </c>
      <c r="LM33" s="47">
        <v>0</v>
      </c>
      <c r="LN33" s="48" t="s">
        <v>4</v>
      </c>
      <c r="LO33" s="49">
        <v>0</v>
      </c>
      <c r="LP33" s="27"/>
      <c r="LQ33" s="42">
        <f t="shared" si="233"/>
        <v>0</v>
      </c>
      <c r="LR33" s="43">
        <f t="shared" si="234"/>
        <v>0</v>
      </c>
      <c r="LT33" s="47">
        <v>2</v>
      </c>
      <c r="LU33" s="48" t="s">
        <v>4</v>
      </c>
      <c r="LV33" s="49">
        <v>0</v>
      </c>
      <c r="LW33" s="27"/>
      <c r="LX33" s="42">
        <f t="shared" si="235"/>
        <v>2.6</v>
      </c>
      <c r="LY33" s="43">
        <f t="shared" si="236"/>
        <v>2</v>
      </c>
      <c r="MA33" s="47">
        <v>2</v>
      </c>
      <c r="MB33" s="48" t="s">
        <v>4</v>
      </c>
      <c r="MC33" s="49">
        <v>2</v>
      </c>
      <c r="MD33" s="27"/>
      <c r="ME33" s="42">
        <f t="shared" si="237"/>
        <v>0</v>
      </c>
      <c r="MF33" s="43">
        <f t="shared" si="238"/>
        <v>0</v>
      </c>
      <c r="MH33" s="47">
        <v>1</v>
      </c>
      <c r="MI33" s="48" t="s">
        <v>4</v>
      </c>
      <c r="MJ33" s="49">
        <v>1</v>
      </c>
      <c r="MK33" s="27"/>
      <c r="ML33" s="42">
        <f t="shared" si="239"/>
        <v>0</v>
      </c>
      <c r="MM33" s="43">
        <f t="shared" si="240"/>
        <v>0</v>
      </c>
      <c r="MO33" s="47">
        <v>3</v>
      </c>
      <c r="MP33" s="48" t="s">
        <v>4</v>
      </c>
      <c r="MQ33" s="49">
        <v>0</v>
      </c>
      <c r="MR33" s="27"/>
      <c r="MS33" s="42">
        <f t="shared" si="241"/>
        <v>2.6</v>
      </c>
      <c r="MT33" s="43">
        <f t="shared" si="242"/>
        <v>3</v>
      </c>
      <c r="MV33" s="47">
        <v>2</v>
      </c>
      <c r="MW33" s="48" t="s">
        <v>4</v>
      </c>
      <c r="MX33" s="49">
        <v>0</v>
      </c>
      <c r="MY33" s="27"/>
      <c r="MZ33" s="42">
        <f t="shared" si="243"/>
        <v>2.6</v>
      </c>
      <c r="NA33" s="43">
        <f t="shared" si="244"/>
        <v>2</v>
      </c>
      <c r="NC33" s="47">
        <v>2</v>
      </c>
      <c r="ND33" s="48" t="s">
        <v>4</v>
      </c>
      <c r="NE33" s="49">
        <v>1</v>
      </c>
      <c r="NF33" s="27"/>
      <c r="NG33" s="42">
        <f t="shared" si="245"/>
        <v>2.6</v>
      </c>
      <c r="NH33" s="43">
        <f t="shared" si="246"/>
        <v>1</v>
      </c>
      <c r="NJ33" s="47">
        <v>2</v>
      </c>
      <c r="NK33" s="48" t="s">
        <v>4</v>
      </c>
      <c r="NL33" s="49">
        <v>2</v>
      </c>
      <c r="NM33" s="27"/>
      <c r="NN33" s="42">
        <f t="shared" si="247"/>
        <v>0</v>
      </c>
      <c r="NO33" s="43">
        <f t="shared" si="248"/>
        <v>0</v>
      </c>
      <c r="NQ33" s="47">
        <v>1</v>
      </c>
      <c r="NR33" s="48" t="s">
        <v>4</v>
      </c>
      <c r="NS33" s="49">
        <v>1</v>
      </c>
      <c r="NT33" s="27"/>
      <c r="NU33" s="42">
        <f t="shared" si="249"/>
        <v>0</v>
      </c>
      <c r="NV33" s="43">
        <f t="shared" si="250"/>
        <v>0</v>
      </c>
      <c r="NX33" s="47">
        <v>2</v>
      </c>
      <c r="NY33" s="48" t="s">
        <v>4</v>
      </c>
      <c r="NZ33" s="49">
        <v>1</v>
      </c>
      <c r="OA33" s="27"/>
      <c r="OB33" s="42">
        <f t="shared" si="251"/>
        <v>2.6</v>
      </c>
      <c r="OC33" s="43">
        <f t="shared" si="252"/>
        <v>1</v>
      </c>
      <c r="OE33" s="47">
        <v>2</v>
      </c>
      <c r="OF33" s="48" t="s">
        <v>4</v>
      </c>
      <c r="OG33" s="49">
        <v>2</v>
      </c>
      <c r="OH33" s="27"/>
      <c r="OI33" s="42">
        <f t="shared" si="253"/>
        <v>0</v>
      </c>
      <c r="OJ33" s="43">
        <f t="shared" si="254"/>
        <v>0</v>
      </c>
      <c r="OL33" s="47">
        <v>1</v>
      </c>
      <c r="OM33" s="48" t="s">
        <v>4</v>
      </c>
      <c r="ON33" s="49">
        <v>0</v>
      </c>
      <c r="OO33" s="27"/>
      <c r="OP33" s="42">
        <f t="shared" si="255"/>
        <v>2.6</v>
      </c>
      <c r="OQ33" s="43">
        <f t="shared" si="256"/>
        <v>1</v>
      </c>
      <c r="OS33" s="47">
        <v>2</v>
      </c>
      <c r="OT33" s="48" t="s">
        <v>4</v>
      </c>
      <c r="OU33" s="49">
        <v>1</v>
      </c>
      <c r="OV33" s="27"/>
      <c r="OW33" s="42">
        <f t="shared" si="257"/>
        <v>2.6</v>
      </c>
      <c r="OX33" s="43">
        <f t="shared" si="258"/>
        <v>1</v>
      </c>
      <c r="OZ33" s="47">
        <v>2</v>
      </c>
      <c r="PA33" s="48" t="s">
        <v>4</v>
      </c>
      <c r="PB33" s="49">
        <v>0</v>
      </c>
      <c r="PC33" s="27"/>
      <c r="PD33" s="42">
        <f t="shared" si="259"/>
        <v>2.6</v>
      </c>
      <c r="PE33" s="43">
        <f t="shared" si="260"/>
        <v>2</v>
      </c>
      <c r="PG33" s="47">
        <v>1</v>
      </c>
      <c r="PH33" s="48" t="s">
        <v>4</v>
      </c>
      <c r="PI33" s="49">
        <v>1</v>
      </c>
      <c r="PJ33" s="27"/>
      <c r="PK33" s="42">
        <f t="shared" si="261"/>
        <v>0</v>
      </c>
      <c r="PL33" s="43">
        <f t="shared" si="262"/>
        <v>0</v>
      </c>
      <c r="PN33" s="47">
        <v>1</v>
      </c>
      <c r="PO33" s="48" t="s">
        <v>4</v>
      </c>
      <c r="PP33" s="49">
        <v>0</v>
      </c>
      <c r="PQ33" s="27"/>
      <c r="PR33" s="42">
        <f t="shared" si="263"/>
        <v>2.6</v>
      </c>
      <c r="PS33" s="43">
        <f t="shared" si="264"/>
        <v>1</v>
      </c>
      <c r="PU33" s="47">
        <v>0</v>
      </c>
      <c r="PV33" s="48" t="s">
        <v>4</v>
      </c>
      <c r="PW33" s="49">
        <v>0</v>
      </c>
      <c r="PX33" s="27"/>
      <c r="PY33" s="42">
        <f t="shared" si="265"/>
        <v>0</v>
      </c>
      <c r="PZ33" s="43">
        <f t="shared" si="266"/>
        <v>0</v>
      </c>
      <c r="QB33" s="47">
        <v>1</v>
      </c>
      <c r="QC33" s="48" t="s">
        <v>4</v>
      </c>
      <c r="QD33" s="49">
        <v>0</v>
      </c>
      <c r="QE33" s="27"/>
      <c r="QF33" s="42">
        <f t="shared" si="267"/>
        <v>2.6</v>
      </c>
      <c r="QG33" s="43">
        <f t="shared" si="268"/>
        <v>1</v>
      </c>
      <c r="QI33" s="47">
        <v>1</v>
      </c>
      <c r="QJ33" s="48" t="s">
        <v>4</v>
      </c>
      <c r="QK33" s="49">
        <v>0</v>
      </c>
      <c r="QL33" s="27"/>
      <c r="QM33" s="42">
        <f t="shared" si="269"/>
        <v>2.6</v>
      </c>
      <c r="QN33" s="43">
        <f t="shared" si="270"/>
        <v>1</v>
      </c>
      <c r="QP33" s="47">
        <v>2</v>
      </c>
      <c r="QQ33" s="48" t="s">
        <v>4</v>
      </c>
      <c r="QR33" s="49">
        <v>0</v>
      </c>
      <c r="QS33" s="27"/>
      <c r="QT33" s="42">
        <f t="shared" si="271"/>
        <v>2.6</v>
      </c>
      <c r="QU33" s="43">
        <f t="shared" si="272"/>
        <v>2</v>
      </c>
      <c r="QW33" s="47">
        <v>1</v>
      </c>
      <c r="QX33" s="48" t="s">
        <v>4</v>
      </c>
      <c r="QY33" s="49">
        <v>1</v>
      </c>
      <c r="QZ33" s="27"/>
      <c r="RA33" s="42">
        <f t="shared" si="273"/>
        <v>0</v>
      </c>
      <c r="RB33" s="43">
        <f t="shared" si="274"/>
        <v>0</v>
      </c>
      <c r="RD33" s="47"/>
      <c r="RE33" s="48" t="s">
        <v>4</v>
      </c>
      <c r="RF33" s="49"/>
      <c r="RG33" s="27"/>
      <c r="RH33" s="42" t="str">
        <f t="shared" si="275"/>
        <v/>
      </c>
      <c r="RI33" s="43">
        <f t="shared" si="276"/>
        <v>0</v>
      </c>
      <c r="RK33" s="47">
        <v>1</v>
      </c>
      <c r="RL33" s="48" t="s">
        <v>4</v>
      </c>
      <c r="RM33" s="49">
        <v>1</v>
      </c>
      <c r="RN33" s="27"/>
      <c r="RO33" s="42">
        <f t="shared" si="277"/>
        <v>0</v>
      </c>
      <c r="RP33" s="43">
        <f t="shared" si="278"/>
        <v>0</v>
      </c>
      <c r="RR33" s="47">
        <v>2</v>
      </c>
      <c r="RS33" s="48" t="s">
        <v>4</v>
      </c>
      <c r="RT33" s="49">
        <v>1</v>
      </c>
      <c r="RU33" s="27"/>
      <c r="RV33" s="42">
        <f t="shared" si="279"/>
        <v>2.6</v>
      </c>
      <c r="RW33" s="43">
        <f t="shared" si="280"/>
        <v>1</v>
      </c>
      <c r="RY33" s="47">
        <v>2</v>
      </c>
      <c r="RZ33" s="48" t="s">
        <v>4</v>
      </c>
      <c r="SA33" s="49">
        <v>1</v>
      </c>
      <c r="SB33" s="27"/>
      <c r="SC33" s="42">
        <f t="shared" si="281"/>
        <v>2.6</v>
      </c>
      <c r="SD33" s="43">
        <f t="shared" si="282"/>
        <v>1</v>
      </c>
      <c r="SF33" s="47">
        <v>2</v>
      </c>
      <c r="SG33" s="48" t="s">
        <v>4</v>
      </c>
      <c r="SH33" s="49">
        <v>1</v>
      </c>
      <c r="SI33" s="27"/>
      <c r="SJ33" s="42">
        <f t="shared" si="283"/>
        <v>2.6</v>
      </c>
      <c r="SK33" s="43">
        <f t="shared" si="284"/>
        <v>1</v>
      </c>
      <c r="SM33" s="47">
        <v>1</v>
      </c>
      <c r="SN33" s="48" t="s">
        <v>4</v>
      </c>
      <c r="SO33" s="49">
        <v>1</v>
      </c>
      <c r="SP33" s="27"/>
      <c r="SQ33" s="42">
        <f t="shared" si="285"/>
        <v>0</v>
      </c>
      <c r="SR33" s="43">
        <f t="shared" si="286"/>
        <v>0</v>
      </c>
    </row>
    <row r="34" spans="1:512" customFormat="1" ht="16" customHeight="1" x14ac:dyDescent="0.15">
      <c r="A34" s="34">
        <v>46192</v>
      </c>
      <c r="B34" s="35">
        <v>0.125</v>
      </c>
      <c r="C34" s="79" t="s">
        <v>28</v>
      </c>
      <c r="D34" s="80" t="s">
        <v>30</v>
      </c>
      <c r="E34" s="2">
        <v>1</v>
      </c>
      <c r="F34" s="50" t="s">
        <v>4</v>
      </c>
      <c r="G34" s="1">
        <v>0</v>
      </c>
      <c r="H34" s="16">
        <v>2.6</v>
      </c>
      <c r="I34" s="32">
        <f t="shared" si="0"/>
        <v>1</v>
      </c>
      <c r="J34" s="47">
        <v>1</v>
      </c>
      <c r="K34" s="48" t="s">
        <v>4</v>
      </c>
      <c r="L34" s="49">
        <v>1</v>
      </c>
      <c r="M34" s="27"/>
      <c r="N34" s="42">
        <f t="shared" si="1"/>
        <v>0</v>
      </c>
      <c r="O34" s="43">
        <f t="shared" si="2"/>
        <v>0</v>
      </c>
      <c r="P34" s="32"/>
      <c r="Q34" s="47">
        <v>2</v>
      </c>
      <c r="R34" s="48" t="s">
        <v>4</v>
      </c>
      <c r="S34" s="49">
        <v>1</v>
      </c>
      <c r="T34" s="27"/>
      <c r="U34" s="42">
        <f t="shared" si="145"/>
        <v>2.6</v>
      </c>
      <c r="V34" s="43">
        <f t="shared" si="146"/>
        <v>1</v>
      </c>
      <c r="X34" s="47">
        <v>0</v>
      </c>
      <c r="Y34" s="48" t="s">
        <v>4</v>
      </c>
      <c r="Z34" s="49">
        <v>0</v>
      </c>
      <c r="AA34" s="27"/>
      <c r="AB34" s="42">
        <f t="shared" si="147"/>
        <v>0</v>
      </c>
      <c r="AC34" s="43">
        <f t="shared" si="148"/>
        <v>0</v>
      </c>
      <c r="AE34" s="47">
        <v>2</v>
      </c>
      <c r="AF34" s="48" t="s">
        <v>4</v>
      </c>
      <c r="AG34" s="49">
        <v>0</v>
      </c>
      <c r="AH34" s="27"/>
      <c r="AI34" s="42">
        <f t="shared" si="149"/>
        <v>2.6</v>
      </c>
      <c r="AJ34" s="43">
        <f t="shared" si="150"/>
        <v>2</v>
      </c>
      <c r="AL34" s="47">
        <v>2</v>
      </c>
      <c r="AM34" s="48" t="s">
        <v>4</v>
      </c>
      <c r="AN34" s="49">
        <v>1</v>
      </c>
      <c r="AO34" s="27"/>
      <c r="AP34" s="42">
        <f t="shared" si="151"/>
        <v>2.6</v>
      </c>
      <c r="AQ34" s="43">
        <f t="shared" si="152"/>
        <v>1</v>
      </c>
      <c r="AS34" s="47">
        <v>1</v>
      </c>
      <c r="AT34" s="48" t="s">
        <v>4</v>
      </c>
      <c r="AU34" s="49">
        <v>1</v>
      </c>
      <c r="AV34" s="27"/>
      <c r="AW34" s="42">
        <f t="shared" si="153"/>
        <v>0</v>
      </c>
      <c r="AX34" s="43">
        <f t="shared" si="154"/>
        <v>0</v>
      </c>
      <c r="AZ34" s="47">
        <v>1</v>
      </c>
      <c r="BA34" s="48" t="s">
        <v>4</v>
      </c>
      <c r="BB34" s="49">
        <v>2</v>
      </c>
      <c r="BC34" s="27"/>
      <c r="BD34" s="42">
        <f t="shared" si="155"/>
        <v>0</v>
      </c>
      <c r="BE34" s="43">
        <f t="shared" si="156"/>
        <v>-1</v>
      </c>
      <c r="BG34" s="47">
        <v>4</v>
      </c>
      <c r="BH34" s="48" t="s">
        <v>4</v>
      </c>
      <c r="BI34" s="49">
        <v>0</v>
      </c>
      <c r="BJ34" s="27"/>
      <c r="BK34" s="42">
        <f t="shared" si="157"/>
        <v>2.6</v>
      </c>
      <c r="BL34" s="43">
        <f t="shared" si="158"/>
        <v>4</v>
      </c>
      <c r="BN34" s="47">
        <v>2</v>
      </c>
      <c r="BO34" s="48" t="s">
        <v>4</v>
      </c>
      <c r="BP34" s="49">
        <v>0</v>
      </c>
      <c r="BQ34" s="27"/>
      <c r="BR34" s="42">
        <f t="shared" si="159"/>
        <v>2.6</v>
      </c>
      <c r="BS34" s="43">
        <f t="shared" si="160"/>
        <v>2</v>
      </c>
      <c r="BU34" s="47">
        <v>2</v>
      </c>
      <c r="BV34" s="48" t="s">
        <v>4</v>
      </c>
      <c r="BW34" s="49">
        <v>2</v>
      </c>
      <c r="BX34" s="27"/>
      <c r="BY34" s="42">
        <f t="shared" si="161"/>
        <v>0</v>
      </c>
      <c r="BZ34" s="43">
        <f t="shared" si="162"/>
        <v>0</v>
      </c>
      <c r="CB34" s="47">
        <v>1</v>
      </c>
      <c r="CC34" s="48" t="s">
        <v>4</v>
      </c>
      <c r="CD34" s="49">
        <v>2</v>
      </c>
      <c r="CE34" s="27"/>
      <c r="CF34" s="42">
        <f t="shared" si="163"/>
        <v>0</v>
      </c>
      <c r="CG34" s="43">
        <f t="shared" si="164"/>
        <v>-1</v>
      </c>
      <c r="CI34" s="47">
        <v>2</v>
      </c>
      <c r="CJ34" s="48" t="s">
        <v>4</v>
      </c>
      <c r="CK34" s="49">
        <v>1</v>
      </c>
      <c r="CL34" s="27"/>
      <c r="CM34" s="42">
        <f t="shared" si="165"/>
        <v>2.6</v>
      </c>
      <c r="CN34" s="43">
        <f t="shared" si="166"/>
        <v>1</v>
      </c>
      <c r="CP34" s="47">
        <v>2</v>
      </c>
      <c r="CQ34" s="48" t="s">
        <v>4</v>
      </c>
      <c r="CR34" s="49">
        <v>1</v>
      </c>
      <c r="CS34" s="27"/>
      <c r="CT34" s="42">
        <f t="shared" si="167"/>
        <v>2.6</v>
      </c>
      <c r="CU34" s="43">
        <f t="shared" si="168"/>
        <v>1</v>
      </c>
      <c r="CW34" s="47">
        <v>1</v>
      </c>
      <c r="CX34" s="48" t="s">
        <v>4</v>
      </c>
      <c r="CY34" s="49">
        <v>0</v>
      </c>
      <c r="CZ34" s="27"/>
      <c r="DA34" s="42">
        <f t="shared" si="169"/>
        <v>3.9000000000000004</v>
      </c>
      <c r="DB34" s="43">
        <f t="shared" si="170"/>
        <v>1</v>
      </c>
      <c r="DD34" s="47">
        <v>1</v>
      </c>
      <c r="DE34" s="48" t="s">
        <v>4</v>
      </c>
      <c r="DF34" s="49">
        <v>0</v>
      </c>
      <c r="DG34" s="27"/>
      <c r="DH34" s="42">
        <f t="shared" si="171"/>
        <v>3.9000000000000004</v>
      </c>
      <c r="DI34" s="43">
        <f t="shared" si="172"/>
        <v>1</v>
      </c>
      <c r="DK34" s="47">
        <v>1</v>
      </c>
      <c r="DL34" s="48" t="s">
        <v>4</v>
      </c>
      <c r="DM34" s="49">
        <v>1</v>
      </c>
      <c r="DN34" s="27"/>
      <c r="DO34" s="42">
        <f t="shared" si="173"/>
        <v>0</v>
      </c>
      <c r="DP34" s="43">
        <f t="shared" si="174"/>
        <v>0</v>
      </c>
      <c r="DR34" s="47">
        <v>3</v>
      </c>
      <c r="DS34" s="48" t="s">
        <v>4</v>
      </c>
      <c r="DT34" s="49">
        <v>2</v>
      </c>
      <c r="DU34" s="27"/>
      <c r="DV34" s="42">
        <f t="shared" si="175"/>
        <v>2.6</v>
      </c>
      <c r="DW34" s="43">
        <f t="shared" si="176"/>
        <v>1</v>
      </c>
      <c r="DY34" s="47">
        <v>2</v>
      </c>
      <c r="DZ34" s="48" t="s">
        <v>4</v>
      </c>
      <c r="EA34" s="49">
        <v>2</v>
      </c>
      <c r="EB34" s="27"/>
      <c r="EC34" s="42">
        <f t="shared" si="177"/>
        <v>0</v>
      </c>
      <c r="ED34" s="43">
        <f t="shared" si="178"/>
        <v>0</v>
      </c>
      <c r="EF34" s="47">
        <v>1</v>
      </c>
      <c r="EG34" s="48" t="s">
        <v>4</v>
      </c>
      <c r="EH34" s="49">
        <v>0</v>
      </c>
      <c r="EI34" s="27"/>
      <c r="EJ34" s="42">
        <f t="shared" si="179"/>
        <v>3.9000000000000004</v>
      </c>
      <c r="EK34" s="43">
        <f t="shared" si="180"/>
        <v>1</v>
      </c>
      <c r="EM34" s="47">
        <v>2</v>
      </c>
      <c r="EN34" s="48" t="s">
        <v>4</v>
      </c>
      <c r="EO34" s="49">
        <v>1</v>
      </c>
      <c r="EP34" s="27"/>
      <c r="EQ34" s="42">
        <f t="shared" si="181"/>
        <v>2.6</v>
      </c>
      <c r="ER34" s="43">
        <f t="shared" si="182"/>
        <v>1</v>
      </c>
      <c r="ET34" s="47">
        <v>1</v>
      </c>
      <c r="EU34" s="48" t="s">
        <v>4</v>
      </c>
      <c r="EV34" s="49">
        <v>0</v>
      </c>
      <c r="EW34" s="27"/>
      <c r="EX34" s="42">
        <f t="shared" si="183"/>
        <v>3.9000000000000004</v>
      </c>
      <c r="EY34" s="43">
        <f t="shared" si="184"/>
        <v>1</v>
      </c>
      <c r="FA34" s="47">
        <v>2</v>
      </c>
      <c r="FB34" s="48" t="s">
        <v>4</v>
      </c>
      <c r="FC34" s="49">
        <v>1</v>
      </c>
      <c r="FD34" s="27"/>
      <c r="FE34" s="42">
        <f t="shared" si="185"/>
        <v>2.6</v>
      </c>
      <c r="FF34" s="43">
        <f t="shared" si="186"/>
        <v>1</v>
      </c>
      <c r="FH34" s="47">
        <v>2</v>
      </c>
      <c r="FI34" s="48" t="s">
        <v>4</v>
      </c>
      <c r="FJ34" s="49">
        <v>1</v>
      </c>
      <c r="FK34" s="27"/>
      <c r="FL34" s="42">
        <f t="shared" si="187"/>
        <v>2.6</v>
      </c>
      <c r="FM34" s="43">
        <f t="shared" si="188"/>
        <v>1</v>
      </c>
      <c r="FO34" s="47">
        <v>1</v>
      </c>
      <c r="FP34" s="48" t="s">
        <v>4</v>
      </c>
      <c r="FQ34" s="49">
        <v>0</v>
      </c>
      <c r="FR34" s="27"/>
      <c r="FS34" s="42">
        <f t="shared" si="189"/>
        <v>3.9000000000000004</v>
      </c>
      <c r="FT34" s="43">
        <f t="shared" si="190"/>
        <v>1</v>
      </c>
      <c r="FV34" s="47">
        <v>2</v>
      </c>
      <c r="FW34" s="48" t="s">
        <v>4</v>
      </c>
      <c r="FX34" s="49">
        <v>3</v>
      </c>
      <c r="FY34" s="27"/>
      <c r="FZ34" s="42">
        <f t="shared" si="191"/>
        <v>0</v>
      </c>
      <c r="GA34" s="43">
        <f t="shared" si="192"/>
        <v>-1</v>
      </c>
      <c r="GC34" s="47">
        <v>1</v>
      </c>
      <c r="GD34" s="48" t="s">
        <v>4</v>
      </c>
      <c r="GE34" s="49">
        <v>1</v>
      </c>
      <c r="GF34" s="27"/>
      <c r="GG34" s="42">
        <f t="shared" si="193"/>
        <v>0</v>
      </c>
      <c r="GH34" s="43">
        <f t="shared" si="194"/>
        <v>0</v>
      </c>
      <c r="GJ34" s="47">
        <v>2</v>
      </c>
      <c r="GK34" s="48" t="s">
        <v>4</v>
      </c>
      <c r="GL34" s="49">
        <v>1</v>
      </c>
      <c r="GM34" s="27"/>
      <c r="GN34" s="42">
        <f t="shared" si="195"/>
        <v>2.6</v>
      </c>
      <c r="GO34" s="43">
        <f t="shared" si="196"/>
        <v>1</v>
      </c>
      <c r="GQ34" s="47">
        <v>2</v>
      </c>
      <c r="GR34" s="48" t="s">
        <v>4</v>
      </c>
      <c r="GS34" s="49">
        <v>0</v>
      </c>
      <c r="GT34" s="27"/>
      <c r="GU34" s="42">
        <f t="shared" si="197"/>
        <v>2.6</v>
      </c>
      <c r="GV34" s="43">
        <f t="shared" si="198"/>
        <v>2</v>
      </c>
      <c r="GX34" s="47">
        <v>2</v>
      </c>
      <c r="GY34" s="48" t="s">
        <v>4</v>
      </c>
      <c r="GZ34" s="49">
        <v>2</v>
      </c>
      <c r="HA34" s="27"/>
      <c r="HB34" s="42">
        <f t="shared" si="199"/>
        <v>0</v>
      </c>
      <c r="HC34" s="43">
        <f t="shared" si="200"/>
        <v>0</v>
      </c>
      <c r="HE34" s="47">
        <v>1</v>
      </c>
      <c r="HF34" s="48" t="s">
        <v>4</v>
      </c>
      <c r="HG34" s="49">
        <v>0</v>
      </c>
      <c r="HH34" s="27"/>
      <c r="HI34" s="42">
        <f t="shared" si="201"/>
        <v>3.9000000000000004</v>
      </c>
      <c r="HJ34" s="43">
        <f t="shared" si="202"/>
        <v>1</v>
      </c>
      <c r="HL34" s="47">
        <v>2</v>
      </c>
      <c r="HM34" s="48" t="s">
        <v>4</v>
      </c>
      <c r="HN34" s="49">
        <v>0</v>
      </c>
      <c r="HO34" s="27"/>
      <c r="HP34" s="42">
        <f t="shared" si="203"/>
        <v>2.6</v>
      </c>
      <c r="HQ34" s="43">
        <f t="shared" si="204"/>
        <v>2</v>
      </c>
      <c r="HS34" s="47">
        <v>1</v>
      </c>
      <c r="HT34" s="48" t="s">
        <v>4</v>
      </c>
      <c r="HU34" s="49">
        <v>0</v>
      </c>
      <c r="HV34" s="27"/>
      <c r="HW34" s="42">
        <f t="shared" si="205"/>
        <v>3.9000000000000004</v>
      </c>
      <c r="HX34" s="43">
        <f t="shared" si="206"/>
        <v>1</v>
      </c>
      <c r="HZ34" s="47">
        <v>2</v>
      </c>
      <c r="IA34" s="48" t="s">
        <v>4</v>
      </c>
      <c r="IB34" s="49">
        <v>2</v>
      </c>
      <c r="IC34" s="27"/>
      <c r="ID34" s="42">
        <f t="shared" si="207"/>
        <v>0</v>
      </c>
      <c r="IE34" s="43">
        <f t="shared" si="208"/>
        <v>0</v>
      </c>
      <c r="IG34" s="47">
        <v>3</v>
      </c>
      <c r="IH34" s="48" t="s">
        <v>4</v>
      </c>
      <c r="II34" s="49">
        <v>2</v>
      </c>
      <c r="IJ34" s="27"/>
      <c r="IK34" s="42">
        <f t="shared" si="209"/>
        <v>2.6</v>
      </c>
      <c r="IL34" s="43">
        <f t="shared" si="210"/>
        <v>1</v>
      </c>
      <c r="IN34" s="47">
        <v>3</v>
      </c>
      <c r="IO34" s="48" t="s">
        <v>4</v>
      </c>
      <c r="IP34" s="49">
        <v>1</v>
      </c>
      <c r="IQ34" s="27"/>
      <c r="IR34" s="42">
        <f t="shared" si="211"/>
        <v>2.6</v>
      </c>
      <c r="IS34" s="43">
        <f t="shared" si="212"/>
        <v>2</v>
      </c>
      <c r="IU34" s="47">
        <v>2</v>
      </c>
      <c r="IV34" s="48" t="s">
        <v>4</v>
      </c>
      <c r="IW34" s="49">
        <v>0</v>
      </c>
      <c r="IX34" s="27"/>
      <c r="IY34" s="42">
        <f t="shared" si="213"/>
        <v>2.6</v>
      </c>
      <c r="IZ34" s="43">
        <f t="shared" si="214"/>
        <v>2</v>
      </c>
      <c r="JB34" s="47">
        <v>1</v>
      </c>
      <c r="JC34" s="48" t="s">
        <v>4</v>
      </c>
      <c r="JD34" s="49">
        <v>2</v>
      </c>
      <c r="JE34" s="27"/>
      <c r="JF34" s="42">
        <f t="shared" si="215"/>
        <v>0</v>
      </c>
      <c r="JG34" s="43">
        <f t="shared" si="216"/>
        <v>-1</v>
      </c>
      <c r="JI34" s="47">
        <v>1</v>
      </c>
      <c r="JJ34" s="48" t="s">
        <v>4</v>
      </c>
      <c r="JK34" s="49">
        <v>2</v>
      </c>
      <c r="JL34" s="27"/>
      <c r="JM34" s="42">
        <f t="shared" si="217"/>
        <v>0</v>
      </c>
      <c r="JN34" s="43">
        <f t="shared" si="218"/>
        <v>-1</v>
      </c>
      <c r="JP34" s="47">
        <v>1</v>
      </c>
      <c r="JQ34" s="48" t="s">
        <v>4</v>
      </c>
      <c r="JR34" s="49">
        <v>2</v>
      </c>
      <c r="JS34" s="27"/>
      <c r="JT34" s="42">
        <f t="shared" si="219"/>
        <v>0</v>
      </c>
      <c r="JU34" s="43">
        <f t="shared" si="220"/>
        <v>-1</v>
      </c>
      <c r="JW34" s="47">
        <v>2</v>
      </c>
      <c r="JX34" s="48" t="s">
        <v>4</v>
      </c>
      <c r="JY34" s="49">
        <v>1</v>
      </c>
      <c r="JZ34" s="27"/>
      <c r="KA34" s="42">
        <f t="shared" si="221"/>
        <v>2.6</v>
      </c>
      <c r="KB34" s="43">
        <f t="shared" si="222"/>
        <v>1</v>
      </c>
      <c r="KD34" s="47">
        <v>2</v>
      </c>
      <c r="KE34" s="48" t="s">
        <v>4</v>
      </c>
      <c r="KF34" s="49">
        <v>1</v>
      </c>
      <c r="KG34" s="27"/>
      <c r="KH34" s="42">
        <f t="shared" si="223"/>
        <v>2.6</v>
      </c>
      <c r="KI34" s="43">
        <f t="shared" si="224"/>
        <v>1</v>
      </c>
      <c r="KK34" s="47">
        <v>1</v>
      </c>
      <c r="KL34" s="48" t="s">
        <v>4</v>
      </c>
      <c r="KM34" s="49">
        <v>0</v>
      </c>
      <c r="KN34" s="27"/>
      <c r="KO34" s="42">
        <f t="shared" si="225"/>
        <v>3.9000000000000004</v>
      </c>
      <c r="KP34" s="43">
        <f t="shared" si="226"/>
        <v>1</v>
      </c>
      <c r="KR34" s="47">
        <v>2</v>
      </c>
      <c r="KS34" s="48" t="s">
        <v>4</v>
      </c>
      <c r="KT34" s="49">
        <v>1</v>
      </c>
      <c r="KU34" s="27"/>
      <c r="KV34" s="42">
        <f t="shared" si="227"/>
        <v>2.6</v>
      </c>
      <c r="KW34" s="43">
        <f t="shared" si="228"/>
        <v>1</v>
      </c>
      <c r="KY34" s="47">
        <v>2</v>
      </c>
      <c r="KZ34" s="48" t="s">
        <v>4</v>
      </c>
      <c r="LA34" s="49">
        <v>1</v>
      </c>
      <c r="LB34" s="27"/>
      <c r="LC34" s="42">
        <f t="shared" si="229"/>
        <v>2.6</v>
      </c>
      <c r="LD34" s="43">
        <f t="shared" si="230"/>
        <v>1</v>
      </c>
      <c r="LF34" s="47">
        <v>3</v>
      </c>
      <c r="LG34" s="48" t="s">
        <v>4</v>
      </c>
      <c r="LH34" s="49">
        <v>2</v>
      </c>
      <c r="LI34" s="27"/>
      <c r="LJ34" s="42">
        <f t="shared" si="231"/>
        <v>2.6</v>
      </c>
      <c r="LK34" s="43">
        <f t="shared" si="232"/>
        <v>1</v>
      </c>
      <c r="LM34" s="47">
        <v>0</v>
      </c>
      <c r="LN34" s="48" t="s">
        <v>4</v>
      </c>
      <c r="LO34" s="49">
        <v>1</v>
      </c>
      <c r="LP34" s="27"/>
      <c r="LQ34" s="42">
        <f t="shared" si="233"/>
        <v>0</v>
      </c>
      <c r="LR34" s="43">
        <f t="shared" si="234"/>
        <v>-1</v>
      </c>
      <c r="LT34" s="47">
        <v>1</v>
      </c>
      <c r="LU34" s="48" t="s">
        <v>4</v>
      </c>
      <c r="LV34" s="49">
        <v>1</v>
      </c>
      <c r="LW34" s="27"/>
      <c r="LX34" s="42">
        <f t="shared" si="235"/>
        <v>0</v>
      </c>
      <c r="LY34" s="43">
        <f t="shared" si="236"/>
        <v>0</v>
      </c>
      <c r="MA34" s="47">
        <v>2</v>
      </c>
      <c r="MB34" s="48" t="s">
        <v>4</v>
      </c>
      <c r="MC34" s="49">
        <v>2</v>
      </c>
      <c r="MD34" s="27"/>
      <c r="ME34" s="42">
        <f t="shared" si="237"/>
        <v>0</v>
      </c>
      <c r="MF34" s="43">
        <f t="shared" si="238"/>
        <v>0</v>
      </c>
      <c r="MH34" s="47">
        <v>2</v>
      </c>
      <c r="MI34" s="48" t="s">
        <v>4</v>
      </c>
      <c r="MJ34" s="49">
        <v>1</v>
      </c>
      <c r="MK34" s="27"/>
      <c r="ML34" s="42">
        <f t="shared" si="239"/>
        <v>2.6</v>
      </c>
      <c r="MM34" s="43">
        <f t="shared" si="240"/>
        <v>1</v>
      </c>
      <c r="MO34" s="47">
        <v>3</v>
      </c>
      <c r="MP34" s="48" t="s">
        <v>4</v>
      </c>
      <c r="MQ34" s="49">
        <v>1</v>
      </c>
      <c r="MR34" s="27"/>
      <c r="MS34" s="42">
        <f t="shared" si="241"/>
        <v>2.6</v>
      </c>
      <c r="MT34" s="43">
        <f t="shared" si="242"/>
        <v>2</v>
      </c>
      <c r="MV34" s="47">
        <v>3</v>
      </c>
      <c r="MW34" s="48" t="s">
        <v>4</v>
      </c>
      <c r="MX34" s="49">
        <v>0</v>
      </c>
      <c r="MY34" s="27"/>
      <c r="MZ34" s="42">
        <f t="shared" si="243"/>
        <v>2.6</v>
      </c>
      <c r="NA34" s="43">
        <f t="shared" si="244"/>
        <v>3</v>
      </c>
      <c r="NC34" s="47">
        <v>1</v>
      </c>
      <c r="ND34" s="48" t="s">
        <v>4</v>
      </c>
      <c r="NE34" s="49">
        <v>2</v>
      </c>
      <c r="NF34" s="27"/>
      <c r="NG34" s="42">
        <f t="shared" si="245"/>
        <v>0</v>
      </c>
      <c r="NH34" s="43">
        <f t="shared" si="246"/>
        <v>-1</v>
      </c>
      <c r="NJ34" s="47">
        <v>1</v>
      </c>
      <c r="NK34" s="48" t="s">
        <v>4</v>
      </c>
      <c r="NL34" s="49">
        <v>2</v>
      </c>
      <c r="NM34" s="27"/>
      <c r="NN34" s="42">
        <f t="shared" si="247"/>
        <v>0</v>
      </c>
      <c r="NO34" s="43">
        <f t="shared" si="248"/>
        <v>-1</v>
      </c>
      <c r="NQ34" s="47">
        <v>2</v>
      </c>
      <c r="NR34" s="48" t="s">
        <v>4</v>
      </c>
      <c r="NS34" s="49">
        <v>1</v>
      </c>
      <c r="NT34" s="27"/>
      <c r="NU34" s="42">
        <f t="shared" si="249"/>
        <v>2.6</v>
      </c>
      <c r="NV34" s="43">
        <f t="shared" si="250"/>
        <v>1</v>
      </c>
      <c r="NX34" s="47">
        <v>1</v>
      </c>
      <c r="NY34" s="48" t="s">
        <v>4</v>
      </c>
      <c r="NZ34" s="49">
        <v>2</v>
      </c>
      <c r="OA34" s="27"/>
      <c r="OB34" s="42">
        <f t="shared" si="251"/>
        <v>0</v>
      </c>
      <c r="OC34" s="43">
        <f t="shared" si="252"/>
        <v>-1</v>
      </c>
      <c r="OE34" s="47">
        <v>2</v>
      </c>
      <c r="OF34" s="48" t="s">
        <v>4</v>
      </c>
      <c r="OG34" s="49">
        <v>2</v>
      </c>
      <c r="OH34" s="27"/>
      <c r="OI34" s="42">
        <f t="shared" si="253"/>
        <v>0</v>
      </c>
      <c r="OJ34" s="43">
        <f t="shared" si="254"/>
        <v>0</v>
      </c>
      <c r="OL34" s="47">
        <v>1</v>
      </c>
      <c r="OM34" s="48" t="s">
        <v>4</v>
      </c>
      <c r="ON34" s="49">
        <v>1</v>
      </c>
      <c r="OO34" s="27"/>
      <c r="OP34" s="42">
        <f t="shared" si="255"/>
        <v>0</v>
      </c>
      <c r="OQ34" s="43">
        <f t="shared" si="256"/>
        <v>0</v>
      </c>
      <c r="OS34" s="47">
        <v>2</v>
      </c>
      <c r="OT34" s="48" t="s">
        <v>4</v>
      </c>
      <c r="OU34" s="49">
        <v>1</v>
      </c>
      <c r="OV34" s="27"/>
      <c r="OW34" s="42">
        <f t="shared" si="257"/>
        <v>2.6</v>
      </c>
      <c r="OX34" s="43">
        <f t="shared" si="258"/>
        <v>1</v>
      </c>
      <c r="OZ34" s="47">
        <v>1</v>
      </c>
      <c r="PA34" s="48" t="s">
        <v>4</v>
      </c>
      <c r="PB34" s="49">
        <v>1</v>
      </c>
      <c r="PC34" s="27"/>
      <c r="PD34" s="42">
        <f t="shared" si="259"/>
        <v>0</v>
      </c>
      <c r="PE34" s="43">
        <f t="shared" si="260"/>
        <v>0</v>
      </c>
      <c r="PG34" s="47">
        <v>2</v>
      </c>
      <c r="PH34" s="48" t="s">
        <v>4</v>
      </c>
      <c r="PI34" s="49">
        <v>0</v>
      </c>
      <c r="PJ34" s="27"/>
      <c r="PK34" s="42">
        <f t="shared" si="261"/>
        <v>2.6</v>
      </c>
      <c r="PL34" s="43">
        <f t="shared" si="262"/>
        <v>2</v>
      </c>
      <c r="PN34" s="47">
        <v>1</v>
      </c>
      <c r="PO34" s="48" t="s">
        <v>4</v>
      </c>
      <c r="PP34" s="49">
        <v>1</v>
      </c>
      <c r="PQ34" s="27"/>
      <c r="PR34" s="42">
        <f t="shared" si="263"/>
        <v>0</v>
      </c>
      <c r="PS34" s="43">
        <f t="shared" si="264"/>
        <v>0</v>
      </c>
      <c r="PU34" s="47">
        <v>3</v>
      </c>
      <c r="PV34" s="48" t="s">
        <v>4</v>
      </c>
      <c r="PW34" s="49">
        <v>0</v>
      </c>
      <c r="PX34" s="27"/>
      <c r="PY34" s="42">
        <f t="shared" si="265"/>
        <v>2.6</v>
      </c>
      <c r="PZ34" s="43">
        <f t="shared" si="266"/>
        <v>3</v>
      </c>
      <c r="QB34" s="47">
        <v>2</v>
      </c>
      <c r="QC34" s="48" t="s">
        <v>4</v>
      </c>
      <c r="QD34" s="49">
        <v>1</v>
      </c>
      <c r="QE34" s="27"/>
      <c r="QF34" s="42">
        <f t="shared" si="267"/>
        <v>2.6</v>
      </c>
      <c r="QG34" s="43">
        <f t="shared" si="268"/>
        <v>1</v>
      </c>
      <c r="QI34" s="47">
        <v>1</v>
      </c>
      <c r="QJ34" s="48" t="s">
        <v>4</v>
      </c>
      <c r="QK34" s="49">
        <v>0</v>
      </c>
      <c r="QL34" s="27"/>
      <c r="QM34" s="42">
        <f t="shared" si="269"/>
        <v>3.9000000000000004</v>
      </c>
      <c r="QN34" s="43">
        <f t="shared" si="270"/>
        <v>1</v>
      </c>
      <c r="QP34" s="47">
        <v>1</v>
      </c>
      <c r="QQ34" s="48" t="s">
        <v>4</v>
      </c>
      <c r="QR34" s="49">
        <v>2</v>
      </c>
      <c r="QS34" s="27"/>
      <c r="QT34" s="42">
        <f t="shared" si="271"/>
        <v>0</v>
      </c>
      <c r="QU34" s="43">
        <f t="shared" si="272"/>
        <v>-1</v>
      </c>
      <c r="QW34" s="47">
        <v>2</v>
      </c>
      <c r="QX34" s="48" t="s">
        <v>4</v>
      </c>
      <c r="QY34" s="49">
        <v>0</v>
      </c>
      <c r="QZ34" s="27"/>
      <c r="RA34" s="42">
        <f t="shared" si="273"/>
        <v>2.6</v>
      </c>
      <c r="RB34" s="43">
        <f t="shared" si="274"/>
        <v>2</v>
      </c>
      <c r="RD34" s="47"/>
      <c r="RE34" s="48" t="s">
        <v>4</v>
      </c>
      <c r="RF34" s="49"/>
      <c r="RG34" s="27"/>
      <c r="RH34" s="42" t="str">
        <f t="shared" si="275"/>
        <v/>
      </c>
      <c r="RI34" s="43">
        <f t="shared" si="276"/>
        <v>0</v>
      </c>
      <c r="RK34" s="47">
        <v>2</v>
      </c>
      <c r="RL34" s="48" t="s">
        <v>4</v>
      </c>
      <c r="RM34" s="49">
        <v>0</v>
      </c>
      <c r="RN34" s="27"/>
      <c r="RO34" s="42">
        <f t="shared" si="277"/>
        <v>2.6</v>
      </c>
      <c r="RP34" s="43">
        <f t="shared" si="278"/>
        <v>2</v>
      </c>
      <c r="RR34" s="47">
        <v>2</v>
      </c>
      <c r="RS34" s="48" t="s">
        <v>4</v>
      </c>
      <c r="RT34" s="49">
        <v>1</v>
      </c>
      <c r="RU34" s="27"/>
      <c r="RV34" s="42">
        <f t="shared" si="279"/>
        <v>2.6</v>
      </c>
      <c r="RW34" s="43">
        <f t="shared" si="280"/>
        <v>1</v>
      </c>
      <c r="RY34" s="47">
        <v>2</v>
      </c>
      <c r="RZ34" s="48" t="s">
        <v>4</v>
      </c>
      <c r="SA34" s="49">
        <v>1</v>
      </c>
      <c r="SB34" s="27"/>
      <c r="SC34" s="42">
        <f t="shared" si="281"/>
        <v>2.6</v>
      </c>
      <c r="SD34" s="43">
        <f t="shared" si="282"/>
        <v>1</v>
      </c>
      <c r="SF34" s="47">
        <v>2</v>
      </c>
      <c r="SG34" s="48" t="s">
        <v>4</v>
      </c>
      <c r="SH34" s="49">
        <v>1</v>
      </c>
      <c r="SI34" s="27"/>
      <c r="SJ34" s="42">
        <f t="shared" si="283"/>
        <v>2.6</v>
      </c>
      <c r="SK34" s="43">
        <f t="shared" si="284"/>
        <v>1</v>
      </c>
      <c r="SM34" s="47">
        <v>3</v>
      </c>
      <c r="SN34" s="48" t="s">
        <v>4</v>
      </c>
      <c r="SO34" s="49">
        <v>1</v>
      </c>
      <c r="SP34" s="27"/>
      <c r="SQ34" s="42">
        <f t="shared" si="285"/>
        <v>2.6</v>
      </c>
      <c r="SR34" s="43">
        <f t="shared" si="286"/>
        <v>2</v>
      </c>
    </row>
    <row r="35" spans="1:512" customFormat="1" ht="16" customHeight="1" x14ac:dyDescent="0.15">
      <c r="A35" s="34">
        <v>46192</v>
      </c>
      <c r="B35" s="35">
        <v>0.875</v>
      </c>
      <c r="C35" s="79" t="s">
        <v>32</v>
      </c>
      <c r="D35" s="80" t="s">
        <v>38</v>
      </c>
      <c r="E35" s="2">
        <v>2</v>
      </c>
      <c r="F35" s="50" t="s">
        <v>4</v>
      </c>
      <c r="G35" s="1">
        <v>0</v>
      </c>
      <c r="H35" s="45">
        <v>0.2</v>
      </c>
      <c r="I35" s="32">
        <f t="shared" si="0"/>
        <v>2</v>
      </c>
      <c r="J35" s="47">
        <v>0</v>
      </c>
      <c r="K35" s="48" t="s">
        <v>4</v>
      </c>
      <c r="L35" s="49">
        <v>0</v>
      </c>
      <c r="M35" s="27"/>
      <c r="N35" s="42">
        <f t="shared" si="1"/>
        <v>0</v>
      </c>
      <c r="O35" s="43">
        <f t="shared" si="2"/>
        <v>0</v>
      </c>
      <c r="P35" s="32"/>
      <c r="Q35" s="47">
        <v>0</v>
      </c>
      <c r="R35" s="48" t="s">
        <v>4</v>
      </c>
      <c r="S35" s="49">
        <v>10</v>
      </c>
      <c r="T35" s="27"/>
      <c r="U35" s="42">
        <f t="shared" si="145"/>
        <v>0</v>
      </c>
      <c r="V35" s="43">
        <f t="shared" si="146"/>
        <v>-10</v>
      </c>
      <c r="X35" s="47">
        <v>1</v>
      </c>
      <c r="Y35" s="48" t="s">
        <v>4</v>
      </c>
      <c r="Z35" s="49">
        <v>1</v>
      </c>
      <c r="AA35" s="27"/>
      <c r="AB35" s="42">
        <f t="shared" si="147"/>
        <v>0</v>
      </c>
      <c r="AC35" s="43">
        <f t="shared" si="148"/>
        <v>0</v>
      </c>
      <c r="AE35" s="47">
        <v>1</v>
      </c>
      <c r="AF35" s="48" t="s">
        <v>4</v>
      </c>
      <c r="AG35" s="49">
        <v>1</v>
      </c>
      <c r="AH35" s="27"/>
      <c r="AI35" s="42">
        <f t="shared" si="149"/>
        <v>0</v>
      </c>
      <c r="AJ35" s="43">
        <f t="shared" si="150"/>
        <v>0</v>
      </c>
      <c r="AL35" s="47">
        <v>2</v>
      </c>
      <c r="AM35" s="48" t="s">
        <v>4</v>
      </c>
      <c r="AN35" s="49">
        <v>1</v>
      </c>
      <c r="AO35" s="27"/>
      <c r="AP35" s="42">
        <f t="shared" si="151"/>
        <v>0.2</v>
      </c>
      <c r="AQ35" s="43">
        <f t="shared" si="152"/>
        <v>1</v>
      </c>
      <c r="AS35" s="47">
        <v>0</v>
      </c>
      <c r="AT35" s="48" t="s">
        <v>4</v>
      </c>
      <c r="AU35" s="49">
        <v>1</v>
      </c>
      <c r="AV35" s="27"/>
      <c r="AW35" s="42">
        <f t="shared" si="153"/>
        <v>0</v>
      </c>
      <c r="AX35" s="43">
        <f t="shared" si="154"/>
        <v>-1</v>
      </c>
      <c r="AZ35" s="47">
        <v>0</v>
      </c>
      <c r="BA35" s="48" t="s">
        <v>4</v>
      </c>
      <c r="BB35" s="49">
        <v>4</v>
      </c>
      <c r="BC35" s="27"/>
      <c r="BD35" s="42">
        <f t="shared" si="155"/>
        <v>0</v>
      </c>
      <c r="BE35" s="43">
        <f t="shared" si="156"/>
        <v>-4</v>
      </c>
      <c r="BG35" s="47">
        <v>0</v>
      </c>
      <c r="BH35" s="48" t="s">
        <v>4</v>
      </c>
      <c r="BI35" s="49">
        <v>1</v>
      </c>
      <c r="BJ35" s="27"/>
      <c r="BK35" s="42">
        <f t="shared" si="157"/>
        <v>0</v>
      </c>
      <c r="BL35" s="43">
        <f t="shared" si="158"/>
        <v>-1</v>
      </c>
      <c r="BN35" s="47">
        <v>2</v>
      </c>
      <c r="BO35" s="48" t="s">
        <v>4</v>
      </c>
      <c r="BP35" s="49">
        <v>1</v>
      </c>
      <c r="BQ35" s="27"/>
      <c r="BR35" s="42">
        <f t="shared" si="159"/>
        <v>0.2</v>
      </c>
      <c r="BS35" s="43">
        <f t="shared" si="160"/>
        <v>1</v>
      </c>
      <c r="BU35" s="47">
        <v>2</v>
      </c>
      <c r="BV35" s="48" t="s">
        <v>4</v>
      </c>
      <c r="BW35" s="49">
        <v>0</v>
      </c>
      <c r="BX35" s="27"/>
      <c r="BY35" s="42">
        <f t="shared" si="161"/>
        <v>0.30000000000000004</v>
      </c>
      <c r="BZ35" s="43">
        <f t="shared" si="162"/>
        <v>2</v>
      </c>
      <c r="CB35" s="47">
        <v>2</v>
      </c>
      <c r="CC35" s="48" t="s">
        <v>4</v>
      </c>
      <c r="CD35" s="49">
        <v>0</v>
      </c>
      <c r="CE35" s="27"/>
      <c r="CF35" s="42">
        <f t="shared" si="163"/>
        <v>0.30000000000000004</v>
      </c>
      <c r="CG35" s="43">
        <f t="shared" si="164"/>
        <v>2</v>
      </c>
      <c r="CI35" s="47">
        <v>2</v>
      </c>
      <c r="CJ35" s="48" t="s">
        <v>4</v>
      </c>
      <c r="CK35" s="49">
        <v>0</v>
      </c>
      <c r="CL35" s="27"/>
      <c r="CM35" s="42">
        <f t="shared" si="165"/>
        <v>0.30000000000000004</v>
      </c>
      <c r="CN35" s="43">
        <f t="shared" si="166"/>
        <v>2</v>
      </c>
      <c r="CP35" s="47">
        <v>3</v>
      </c>
      <c r="CQ35" s="48" t="s">
        <v>4</v>
      </c>
      <c r="CR35" s="49">
        <v>2</v>
      </c>
      <c r="CS35" s="27"/>
      <c r="CT35" s="42">
        <f t="shared" si="167"/>
        <v>0.2</v>
      </c>
      <c r="CU35" s="43">
        <f t="shared" si="168"/>
        <v>1</v>
      </c>
      <c r="CW35" s="47">
        <v>1</v>
      </c>
      <c r="CX35" s="48" t="s">
        <v>4</v>
      </c>
      <c r="CY35" s="49">
        <v>0</v>
      </c>
      <c r="CZ35" s="27"/>
      <c r="DA35" s="42">
        <f t="shared" si="169"/>
        <v>0.2</v>
      </c>
      <c r="DB35" s="43">
        <f t="shared" si="170"/>
        <v>1</v>
      </c>
      <c r="DD35" s="47">
        <v>0</v>
      </c>
      <c r="DE35" s="48" t="s">
        <v>4</v>
      </c>
      <c r="DF35" s="49">
        <v>1</v>
      </c>
      <c r="DG35" s="27"/>
      <c r="DH35" s="42">
        <f t="shared" si="171"/>
        <v>0</v>
      </c>
      <c r="DI35" s="43">
        <f t="shared" si="172"/>
        <v>-1</v>
      </c>
      <c r="DK35" s="47">
        <v>0</v>
      </c>
      <c r="DL35" s="48" t="s">
        <v>4</v>
      </c>
      <c r="DM35" s="49">
        <v>0</v>
      </c>
      <c r="DN35" s="27"/>
      <c r="DO35" s="42">
        <f t="shared" si="173"/>
        <v>0</v>
      </c>
      <c r="DP35" s="43">
        <f t="shared" si="174"/>
        <v>0</v>
      </c>
      <c r="DR35" s="47">
        <v>0</v>
      </c>
      <c r="DS35" s="48" t="s">
        <v>4</v>
      </c>
      <c r="DT35" s="49">
        <v>10</v>
      </c>
      <c r="DU35" s="27"/>
      <c r="DV35" s="42">
        <f t="shared" si="175"/>
        <v>0</v>
      </c>
      <c r="DW35" s="43">
        <f t="shared" si="176"/>
        <v>-10</v>
      </c>
      <c r="DY35" s="47">
        <v>1</v>
      </c>
      <c r="DZ35" s="48" t="s">
        <v>4</v>
      </c>
      <c r="EA35" s="49">
        <v>2</v>
      </c>
      <c r="EB35" s="27"/>
      <c r="EC35" s="42">
        <f t="shared" si="177"/>
        <v>0</v>
      </c>
      <c r="ED35" s="43">
        <f t="shared" si="178"/>
        <v>-1</v>
      </c>
      <c r="EF35" s="47">
        <v>1</v>
      </c>
      <c r="EG35" s="48" t="s">
        <v>4</v>
      </c>
      <c r="EH35" s="49">
        <v>2</v>
      </c>
      <c r="EI35" s="27"/>
      <c r="EJ35" s="42">
        <f t="shared" si="179"/>
        <v>0</v>
      </c>
      <c r="EK35" s="43">
        <f t="shared" si="180"/>
        <v>-1</v>
      </c>
      <c r="EM35" s="47">
        <v>2</v>
      </c>
      <c r="EN35" s="48" t="s">
        <v>4</v>
      </c>
      <c r="EO35" s="49">
        <v>0</v>
      </c>
      <c r="EP35" s="27"/>
      <c r="EQ35" s="42">
        <f t="shared" si="181"/>
        <v>0.30000000000000004</v>
      </c>
      <c r="ER35" s="43">
        <f t="shared" si="182"/>
        <v>2</v>
      </c>
      <c r="ET35" s="47">
        <v>1</v>
      </c>
      <c r="EU35" s="48" t="s">
        <v>4</v>
      </c>
      <c r="EV35" s="49">
        <v>1</v>
      </c>
      <c r="EW35" s="27"/>
      <c r="EX35" s="42">
        <f t="shared" si="183"/>
        <v>0</v>
      </c>
      <c r="EY35" s="43">
        <f t="shared" si="184"/>
        <v>0</v>
      </c>
      <c r="FA35" s="47">
        <v>2</v>
      </c>
      <c r="FB35" s="48" t="s">
        <v>4</v>
      </c>
      <c r="FC35" s="49">
        <v>1</v>
      </c>
      <c r="FD35" s="27"/>
      <c r="FE35" s="42">
        <f t="shared" si="185"/>
        <v>0.2</v>
      </c>
      <c r="FF35" s="43">
        <f t="shared" si="186"/>
        <v>1</v>
      </c>
      <c r="FH35" s="47">
        <v>2</v>
      </c>
      <c r="FI35" s="48" t="s">
        <v>4</v>
      </c>
      <c r="FJ35" s="49">
        <v>1</v>
      </c>
      <c r="FK35" s="27"/>
      <c r="FL35" s="42">
        <f t="shared" si="187"/>
        <v>0.2</v>
      </c>
      <c r="FM35" s="43">
        <f t="shared" si="188"/>
        <v>1</v>
      </c>
      <c r="FO35" s="47">
        <v>0</v>
      </c>
      <c r="FP35" s="48" t="s">
        <v>4</v>
      </c>
      <c r="FQ35" s="49">
        <v>2</v>
      </c>
      <c r="FR35" s="27"/>
      <c r="FS35" s="42">
        <f t="shared" si="189"/>
        <v>0</v>
      </c>
      <c r="FT35" s="43">
        <f t="shared" si="190"/>
        <v>-2</v>
      </c>
      <c r="FV35" s="47">
        <v>3</v>
      </c>
      <c r="FW35" s="48" t="s">
        <v>4</v>
      </c>
      <c r="FX35" s="49">
        <v>1</v>
      </c>
      <c r="FY35" s="27"/>
      <c r="FZ35" s="42">
        <f t="shared" si="191"/>
        <v>0.2</v>
      </c>
      <c r="GA35" s="43">
        <f t="shared" si="192"/>
        <v>2</v>
      </c>
      <c r="GC35" s="47">
        <v>0</v>
      </c>
      <c r="GD35" s="48" t="s">
        <v>4</v>
      </c>
      <c r="GE35" s="49">
        <v>1</v>
      </c>
      <c r="GF35" s="27"/>
      <c r="GG35" s="42">
        <f t="shared" si="193"/>
        <v>0</v>
      </c>
      <c r="GH35" s="43">
        <f t="shared" si="194"/>
        <v>-1</v>
      </c>
      <c r="GJ35" s="47">
        <v>2</v>
      </c>
      <c r="GK35" s="48" t="s">
        <v>4</v>
      </c>
      <c r="GL35" s="49">
        <v>0</v>
      </c>
      <c r="GM35" s="27"/>
      <c r="GN35" s="42">
        <f t="shared" si="195"/>
        <v>0.30000000000000004</v>
      </c>
      <c r="GO35" s="43">
        <f t="shared" si="196"/>
        <v>2</v>
      </c>
      <c r="GQ35" s="47">
        <v>2</v>
      </c>
      <c r="GR35" s="48" t="s">
        <v>4</v>
      </c>
      <c r="GS35" s="49">
        <v>0</v>
      </c>
      <c r="GT35" s="27"/>
      <c r="GU35" s="42">
        <f t="shared" si="197"/>
        <v>0.30000000000000004</v>
      </c>
      <c r="GV35" s="43">
        <f t="shared" si="198"/>
        <v>2</v>
      </c>
      <c r="GX35" s="47">
        <v>2</v>
      </c>
      <c r="GY35" s="48" t="s">
        <v>4</v>
      </c>
      <c r="GZ35" s="49">
        <v>0</v>
      </c>
      <c r="HA35" s="27"/>
      <c r="HB35" s="42">
        <f t="shared" si="199"/>
        <v>0.30000000000000004</v>
      </c>
      <c r="HC35" s="43">
        <f t="shared" si="200"/>
        <v>2</v>
      </c>
      <c r="HE35" s="47">
        <v>3</v>
      </c>
      <c r="HF35" s="48" t="s">
        <v>4</v>
      </c>
      <c r="HG35" s="49">
        <v>1</v>
      </c>
      <c r="HH35" s="27"/>
      <c r="HI35" s="42">
        <f t="shared" si="201"/>
        <v>0.2</v>
      </c>
      <c r="HJ35" s="43">
        <f t="shared" si="202"/>
        <v>2</v>
      </c>
      <c r="HL35" s="47">
        <v>0</v>
      </c>
      <c r="HM35" s="48" t="s">
        <v>4</v>
      </c>
      <c r="HN35" s="49">
        <v>1</v>
      </c>
      <c r="HO35" s="27"/>
      <c r="HP35" s="42">
        <f t="shared" si="203"/>
        <v>0</v>
      </c>
      <c r="HQ35" s="43">
        <f t="shared" si="204"/>
        <v>-1</v>
      </c>
      <c r="HS35" s="47">
        <v>2</v>
      </c>
      <c r="HT35" s="48" t="s">
        <v>4</v>
      </c>
      <c r="HU35" s="49">
        <v>0</v>
      </c>
      <c r="HV35" s="27"/>
      <c r="HW35" s="42">
        <f t="shared" si="205"/>
        <v>0.30000000000000004</v>
      </c>
      <c r="HX35" s="43">
        <f t="shared" si="206"/>
        <v>2</v>
      </c>
      <c r="HZ35" s="47">
        <v>2</v>
      </c>
      <c r="IA35" s="48" t="s">
        <v>4</v>
      </c>
      <c r="IB35" s="49">
        <v>1</v>
      </c>
      <c r="IC35" s="27"/>
      <c r="ID35" s="42">
        <f t="shared" si="207"/>
        <v>0.2</v>
      </c>
      <c r="IE35" s="43">
        <f t="shared" si="208"/>
        <v>1</v>
      </c>
      <c r="IG35" s="47">
        <v>3</v>
      </c>
      <c r="IH35" s="48" t="s">
        <v>4</v>
      </c>
      <c r="II35" s="49">
        <v>4</v>
      </c>
      <c r="IJ35" s="27"/>
      <c r="IK35" s="42">
        <f t="shared" si="209"/>
        <v>0</v>
      </c>
      <c r="IL35" s="43">
        <f t="shared" si="210"/>
        <v>-1</v>
      </c>
      <c r="IN35" s="47">
        <v>0</v>
      </c>
      <c r="IO35" s="48" t="s">
        <v>4</v>
      </c>
      <c r="IP35" s="49">
        <v>0</v>
      </c>
      <c r="IQ35" s="27"/>
      <c r="IR35" s="42">
        <f t="shared" si="211"/>
        <v>0</v>
      </c>
      <c r="IS35" s="43">
        <f t="shared" si="212"/>
        <v>0</v>
      </c>
      <c r="IU35" s="47">
        <v>0</v>
      </c>
      <c r="IV35" s="48" t="s">
        <v>4</v>
      </c>
      <c r="IW35" s="49">
        <v>2</v>
      </c>
      <c r="IX35" s="27"/>
      <c r="IY35" s="42">
        <f t="shared" si="213"/>
        <v>0</v>
      </c>
      <c r="IZ35" s="43">
        <f t="shared" si="214"/>
        <v>-2</v>
      </c>
      <c r="JB35" s="47">
        <v>0</v>
      </c>
      <c r="JC35" s="48" t="s">
        <v>4</v>
      </c>
      <c r="JD35" s="49">
        <v>1</v>
      </c>
      <c r="JE35" s="27"/>
      <c r="JF35" s="42">
        <f t="shared" si="215"/>
        <v>0</v>
      </c>
      <c r="JG35" s="43">
        <f t="shared" si="216"/>
        <v>-1</v>
      </c>
      <c r="JI35" s="47">
        <v>1</v>
      </c>
      <c r="JJ35" s="48" t="s">
        <v>4</v>
      </c>
      <c r="JK35" s="49">
        <v>0</v>
      </c>
      <c r="JL35" s="27"/>
      <c r="JM35" s="42">
        <f t="shared" si="217"/>
        <v>0.2</v>
      </c>
      <c r="JN35" s="43">
        <f t="shared" si="218"/>
        <v>1</v>
      </c>
      <c r="JP35" s="47">
        <v>2</v>
      </c>
      <c r="JQ35" s="48" t="s">
        <v>4</v>
      </c>
      <c r="JR35" s="49">
        <v>0</v>
      </c>
      <c r="JS35" s="27"/>
      <c r="JT35" s="42">
        <f t="shared" si="219"/>
        <v>0.30000000000000004</v>
      </c>
      <c r="JU35" s="43">
        <f t="shared" si="220"/>
        <v>2</v>
      </c>
      <c r="JW35" s="47">
        <v>2</v>
      </c>
      <c r="JX35" s="48" t="s">
        <v>4</v>
      </c>
      <c r="JY35" s="49">
        <v>3</v>
      </c>
      <c r="JZ35" s="27"/>
      <c r="KA35" s="42">
        <f t="shared" si="221"/>
        <v>0</v>
      </c>
      <c r="KB35" s="43">
        <f t="shared" si="222"/>
        <v>-1</v>
      </c>
      <c r="KD35" s="47">
        <v>2</v>
      </c>
      <c r="KE35" s="48" t="s">
        <v>4</v>
      </c>
      <c r="KF35" s="49">
        <v>1</v>
      </c>
      <c r="KG35" s="27"/>
      <c r="KH35" s="42">
        <f t="shared" si="223"/>
        <v>0.2</v>
      </c>
      <c r="KI35" s="43">
        <f t="shared" si="224"/>
        <v>1</v>
      </c>
      <c r="KK35" s="47">
        <v>0</v>
      </c>
      <c r="KL35" s="48" t="s">
        <v>4</v>
      </c>
      <c r="KM35" s="49">
        <v>1</v>
      </c>
      <c r="KN35" s="27"/>
      <c r="KO35" s="42">
        <f t="shared" si="225"/>
        <v>0</v>
      </c>
      <c r="KP35" s="43">
        <f t="shared" si="226"/>
        <v>-1</v>
      </c>
      <c r="KR35" s="47">
        <v>0</v>
      </c>
      <c r="KS35" s="48" t="s">
        <v>4</v>
      </c>
      <c r="KT35" s="49">
        <v>1</v>
      </c>
      <c r="KU35" s="27"/>
      <c r="KV35" s="42">
        <f t="shared" si="227"/>
        <v>0</v>
      </c>
      <c r="KW35" s="43">
        <f t="shared" si="228"/>
        <v>-1</v>
      </c>
      <c r="KY35" s="47">
        <v>2</v>
      </c>
      <c r="KZ35" s="48" t="s">
        <v>4</v>
      </c>
      <c r="LA35" s="49">
        <v>1</v>
      </c>
      <c r="LB35" s="27"/>
      <c r="LC35" s="42">
        <f t="shared" si="229"/>
        <v>0.2</v>
      </c>
      <c r="LD35" s="43">
        <f t="shared" si="230"/>
        <v>1</v>
      </c>
      <c r="LF35" s="47">
        <v>2</v>
      </c>
      <c r="LG35" s="48" t="s">
        <v>4</v>
      </c>
      <c r="LH35" s="49">
        <v>1</v>
      </c>
      <c r="LI35" s="27"/>
      <c r="LJ35" s="42">
        <f t="shared" si="231"/>
        <v>0.2</v>
      </c>
      <c r="LK35" s="43">
        <f t="shared" si="232"/>
        <v>1</v>
      </c>
      <c r="LM35" s="47">
        <v>1</v>
      </c>
      <c r="LN35" s="48" t="s">
        <v>4</v>
      </c>
      <c r="LO35" s="49">
        <v>1</v>
      </c>
      <c r="LP35" s="27"/>
      <c r="LQ35" s="42">
        <f t="shared" si="233"/>
        <v>0</v>
      </c>
      <c r="LR35" s="43">
        <f t="shared" si="234"/>
        <v>0</v>
      </c>
      <c r="LT35" s="47">
        <v>2</v>
      </c>
      <c r="LU35" s="48" t="s">
        <v>4</v>
      </c>
      <c r="LV35" s="49">
        <v>1</v>
      </c>
      <c r="LW35" s="27"/>
      <c r="LX35" s="42">
        <f t="shared" si="235"/>
        <v>0.2</v>
      </c>
      <c r="LY35" s="43">
        <f t="shared" si="236"/>
        <v>1</v>
      </c>
      <c r="MA35" s="47">
        <v>3</v>
      </c>
      <c r="MB35" s="48" t="s">
        <v>4</v>
      </c>
      <c r="MC35" s="49">
        <v>1</v>
      </c>
      <c r="MD35" s="27"/>
      <c r="ME35" s="42">
        <f t="shared" si="237"/>
        <v>0.2</v>
      </c>
      <c r="MF35" s="43">
        <f t="shared" si="238"/>
        <v>2</v>
      </c>
      <c r="MH35" s="47">
        <v>3</v>
      </c>
      <c r="MI35" s="48" t="s">
        <v>4</v>
      </c>
      <c r="MJ35" s="49">
        <v>2</v>
      </c>
      <c r="MK35" s="27"/>
      <c r="ML35" s="42">
        <f t="shared" si="239"/>
        <v>0.2</v>
      </c>
      <c r="MM35" s="43">
        <f t="shared" si="240"/>
        <v>1</v>
      </c>
      <c r="MO35" s="47">
        <v>0</v>
      </c>
      <c r="MP35" s="48" t="s">
        <v>4</v>
      </c>
      <c r="MQ35" s="49">
        <v>2</v>
      </c>
      <c r="MR35" s="27"/>
      <c r="MS35" s="42">
        <f t="shared" si="241"/>
        <v>0</v>
      </c>
      <c r="MT35" s="43">
        <f t="shared" si="242"/>
        <v>-2</v>
      </c>
      <c r="MV35" s="47">
        <v>1</v>
      </c>
      <c r="MW35" s="48" t="s">
        <v>4</v>
      </c>
      <c r="MX35" s="49">
        <v>0</v>
      </c>
      <c r="MY35" s="27"/>
      <c r="MZ35" s="42">
        <f t="shared" si="243"/>
        <v>0.2</v>
      </c>
      <c r="NA35" s="43">
        <f t="shared" si="244"/>
        <v>1</v>
      </c>
      <c r="NC35" s="47">
        <v>0</v>
      </c>
      <c r="ND35" s="48" t="s">
        <v>4</v>
      </c>
      <c r="NE35" s="49">
        <v>2</v>
      </c>
      <c r="NF35" s="27"/>
      <c r="NG35" s="42">
        <f t="shared" si="245"/>
        <v>0</v>
      </c>
      <c r="NH35" s="43">
        <f t="shared" si="246"/>
        <v>-2</v>
      </c>
      <c r="NJ35" s="47">
        <v>0</v>
      </c>
      <c r="NK35" s="48" t="s">
        <v>4</v>
      </c>
      <c r="NL35" s="49">
        <v>0</v>
      </c>
      <c r="NM35" s="27"/>
      <c r="NN35" s="42">
        <f t="shared" si="247"/>
        <v>0</v>
      </c>
      <c r="NO35" s="43">
        <f t="shared" si="248"/>
        <v>0</v>
      </c>
      <c r="NQ35" s="47">
        <v>1</v>
      </c>
      <c r="NR35" s="48" t="s">
        <v>4</v>
      </c>
      <c r="NS35" s="49">
        <v>1</v>
      </c>
      <c r="NT35" s="27"/>
      <c r="NU35" s="42">
        <f t="shared" si="249"/>
        <v>0</v>
      </c>
      <c r="NV35" s="43">
        <f t="shared" si="250"/>
        <v>0</v>
      </c>
      <c r="NX35" s="47">
        <v>2</v>
      </c>
      <c r="NY35" s="48" t="s">
        <v>4</v>
      </c>
      <c r="NZ35" s="49">
        <v>1</v>
      </c>
      <c r="OA35" s="27"/>
      <c r="OB35" s="42">
        <f t="shared" si="251"/>
        <v>0.2</v>
      </c>
      <c r="OC35" s="43">
        <f t="shared" si="252"/>
        <v>1</v>
      </c>
      <c r="OE35" s="47">
        <v>2</v>
      </c>
      <c r="OF35" s="48" t="s">
        <v>4</v>
      </c>
      <c r="OG35" s="49">
        <v>1</v>
      </c>
      <c r="OH35" s="27"/>
      <c r="OI35" s="42">
        <f t="shared" si="253"/>
        <v>0.2</v>
      </c>
      <c r="OJ35" s="43">
        <f t="shared" si="254"/>
        <v>1</v>
      </c>
      <c r="OL35" s="47">
        <v>2</v>
      </c>
      <c r="OM35" s="48" t="s">
        <v>4</v>
      </c>
      <c r="ON35" s="49">
        <v>0</v>
      </c>
      <c r="OO35" s="27"/>
      <c r="OP35" s="42">
        <f t="shared" si="255"/>
        <v>0.30000000000000004</v>
      </c>
      <c r="OQ35" s="43">
        <f t="shared" si="256"/>
        <v>2</v>
      </c>
      <c r="OS35" s="47">
        <v>1</v>
      </c>
      <c r="OT35" s="48" t="s">
        <v>4</v>
      </c>
      <c r="OU35" s="49">
        <v>0</v>
      </c>
      <c r="OV35" s="27"/>
      <c r="OW35" s="42">
        <f t="shared" si="257"/>
        <v>0.2</v>
      </c>
      <c r="OX35" s="43">
        <f t="shared" si="258"/>
        <v>1</v>
      </c>
      <c r="OZ35" s="47">
        <v>1</v>
      </c>
      <c r="PA35" s="48" t="s">
        <v>4</v>
      </c>
      <c r="PB35" s="49">
        <v>1</v>
      </c>
      <c r="PC35" s="27"/>
      <c r="PD35" s="42">
        <f t="shared" si="259"/>
        <v>0</v>
      </c>
      <c r="PE35" s="43">
        <f t="shared" si="260"/>
        <v>0</v>
      </c>
      <c r="PG35" s="47">
        <v>2</v>
      </c>
      <c r="PH35" s="48" t="s">
        <v>4</v>
      </c>
      <c r="PI35" s="49">
        <v>0</v>
      </c>
      <c r="PJ35" s="27"/>
      <c r="PK35" s="42">
        <f t="shared" si="261"/>
        <v>0.30000000000000004</v>
      </c>
      <c r="PL35" s="43">
        <f t="shared" si="262"/>
        <v>2</v>
      </c>
      <c r="PN35" s="47">
        <v>2</v>
      </c>
      <c r="PO35" s="48" t="s">
        <v>4</v>
      </c>
      <c r="PP35" s="49">
        <v>1</v>
      </c>
      <c r="PQ35" s="27"/>
      <c r="PR35" s="42">
        <f t="shared" si="263"/>
        <v>0.2</v>
      </c>
      <c r="PS35" s="43">
        <f t="shared" si="264"/>
        <v>1</v>
      </c>
      <c r="PU35" s="47">
        <v>1</v>
      </c>
      <c r="PV35" s="48" t="s">
        <v>4</v>
      </c>
      <c r="PW35" s="49">
        <v>0</v>
      </c>
      <c r="PX35" s="27"/>
      <c r="PY35" s="42">
        <f t="shared" si="265"/>
        <v>0.2</v>
      </c>
      <c r="PZ35" s="43">
        <f t="shared" si="266"/>
        <v>1</v>
      </c>
      <c r="QB35" s="47">
        <v>2</v>
      </c>
      <c r="QC35" s="48" t="s">
        <v>4</v>
      </c>
      <c r="QD35" s="49">
        <v>0</v>
      </c>
      <c r="QE35" s="27"/>
      <c r="QF35" s="42">
        <f t="shared" si="267"/>
        <v>0.30000000000000004</v>
      </c>
      <c r="QG35" s="43">
        <f t="shared" si="268"/>
        <v>2</v>
      </c>
      <c r="QI35" s="47">
        <v>0</v>
      </c>
      <c r="QJ35" s="48" t="s">
        <v>4</v>
      </c>
      <c r="QK35" s="49">
        <v>0</v>
      </c>
      <c r="QL35" s="27"/>
      <c r="QM35" s="42">
        <f t="shared" si="269"/>
        <v>0</v>
      </c>
      <c r="QN35" s="43">
        <f t="shared" si="270"/>
        <v>0</v>
      </c>
      <c r="QP35" s="47">
        <v>0</v>
      </c>
      <c r="QQ35" s="48" t="s">
        <v>4</v>
      </c>
      <c r="QR35" s="49">
        <v>4</v>
      </c>
      <c r="QS35" s="27"/>
      <c r="QT35" s="42">
        <f t="shared" si="271"/>
        <v>0</v>
      </c>
      <c r="QU35" s="43">
        <f t="shared" si="272"/>
        <v>-4</v>
      </c>
      <c r="QW35" s="47">
        <v>0</v>
      </c>
      <c r="QX35" s="48" t="s">
        <v>4</v>
      </c>
      <c r="QY35" s="49">
        <v>0</v>
      </c>
      <c r="QZ35" s="27"/>
      <c r="RA35" s="42">
        <f t="shared" si="273"/>
        <v>0</v>
      </c>
      <c r="RB35" s="43">
        <f t="shared" si="274"/>
        <v>0</v>
      </c>
      <c r="RD35" s="47"/>
      <c r="RE35" s="48" t="s">
        <v>4</v>
      </c>
      <c r="RF35" s="49"/>
      <c r="RG35" s="27"/>
      <c r="RH35" s="42" t="str">
        <f t="shared" si="275"/>
        <v/>
      </c>
      <c r="RI35" s="43">
        <f t="shared" si="276"/>
        <v>0</v>
      </c>
      <c r="RK35" s="47">
        <v>1</v>
      </c>
      <c r="RL35" s="48" t="s">
        <v>4</v>
      </c>
      <c r="RM35" s="49">
        <v>1</v>
      </c>
      <c r="RN35" s="27"/>
      <c r="RO35" s="42">
        <f t="shared" si="277"/>
        <v>0</v>
      </c>
      <c r="RP35" s="43">
        <f t="shared" si="278"/>
        <v>0</v>
      </c>
      <c r="RR35" s="47">
        <v>1</v>
      </c>
      <c r="RS35" s="48" t="s">
        <v>4</v>
      </c>
      <c r="RT35" s="49">
        <v>1</v>
      </c>
      <c r="RU35" s="27"/>
      <c r="RV35" s="42">
        <f t="shared" si="279"/>
        <v>0</v>
      </c>
      <c r="RW35" s="43">
        <f t="shared" si="280"/>
        <v>0</v>
      </c>
      <c r="RY35" s="47">
        <v>1</v>
      </c>
      <c r="RZ35" s="48" t="s">
        <v>4</v>
      </c>
      <c r="SA35" s="49">
        <v>1</v>
      </c>
      <c r="SB35" s="27"/>
      <c r="SC35" s="42">
        <f t="shared" si="281"/>
        <v>0</v>
      </c>
      <c r="SD35" s="43">
        <f t="shared" si="282"/>
        <v>0</v>
      </c>
      <c r="SF35" s="47">
        <v>2</v>
      </c>
      <c r="SG35" s="48" t="s">
        <v>4</v>
      </c>
      <c r="SH35" s="49">
        <v>2</v>
      </c>
      <c r="SI35" s="27"/>
      <c r="SJ35" s="42">
        <f t="shared" si="283"/>
        <v>0</v>
      </c>
      <c r="SK35" s="43">
        <f t="shared" si="284"/>
        <v>0</v>
      </c>
      <c r="SM35" s="47">
        <v>2</v>
      </c>
      <c r="SN35" s="48" t="s">
        <v>4</v>
      </c>
      <c r="SO35" s="49">
        <v>2</v>
      </c>
      <c r="SP35" s="27"/>
      <c r="SQ35" s="42">
        <f t="shared" si="285"/>
        <v>0</v>
      </c>
      <c r="SR35" s="43">
        <f t="shared" si="286"/>
        <v>0</v>
      </c>
    </row>
    <row r="36" spans="1:512" customFormat="1" ht="16" customHeight="1" x14ac:dyDescent="0.15">
      <c r="A36" s="34">
        <v>46193</v>
      </c>
      <c r="B36" s="35">
        <v>0</v>
      </c>
      <c r="C36" s="79" t="s">
        <v>20</v>
      </c>
      <c r="D36" s="80" t="s">
        <v>36</v>
      </c>
      <c r="E36" s="2">
        <v>0</v>
      </c>
      <c r="F36" s="50" t="s">
        <v>4</v>
      </c>
      <c r="G36" s="1">
        <v>1</v>
      </c>
      <c r="H36" s="16">
        <v>2.8</v>
      </c>
      <c r="I36" s="32">
        <f t="shared" si="0"/>
        <v>-1</v>
      </c>
      <c r="J36" s="47">
        <v>1</v>
      </c>
      <c r="K36" s="48" t="s">
        <v>4</v>
      </c>
      <c r="L36" s="49">
        <v>2</v>
      </c>
      <c r="M36" s="27"/>
      <c r="N36" s="42">
        <f t="shared" si="1"/>
        <v>2.8</v>
      </c>
      <c r="O36" s="43">
        <f t="shared" si="2"/>
        <v>-1</v>
      </c>
      <c r="P36" s="32"/>
      <c r="Q36" s="47">
        <v>0</v>
      </c>
      <c r="R36" s="48" t="s">
        <v>4</v>
      </c>
      <c r="S36" s="49">
        <v>1</v>
      </c>
      <c r="T36" s="27"/>
      <c r="U36" s="42">
        <f t="shared" si="145"/>
        <v>4.1999999999999993</v>
      </c>
      <c r="V36" s="43">
        <f t="shared" si="146"/>
        <v>-1</v>
      </c>
      <c r="X36" s="47">
        <v>0</v>
      </c>
      <c r="Y36" s="48" t="s">
        <v>4</v>
      </c>
      <c r="Z36" s="49">
        <v>1</v>
      </c>
      <c r="AA36" s="27"/>
      <c r="AB36" s="42">
        <f t="shared" si="147"/>
        <v>4.1999999999999993</v>
      </c>
      <c r="AC36" s="43">
        <f t="shared" si="148"/>
        <v>-1</v>
      </c>
      <c r="AE36" s="47">
        <v>2</v>
      </c>
      <c r="AF36" s="48" t="s">
        <v>4</v>
      </c>
      <c r="AG36" s="49">
        <v>1</v>
      </c>
      <c r="AH36" s="27"/>
      <c r="AI36" s="42">
        <f t="shared" si="149"/>
        <v>0</v>
      </c>
      <c r="AJ36" s="43">
        <f t="shared" si="150"/>
        <v>1</v>
      </c>
      <c r="AL36" s="47">
        <v>1</v>
      </c>
      <c r="AM36" s="48" t="s">
        <v>4</v>
      </c>
      <c r="AN36" s="49">
        <v>2</v>
      </c>
      <c r="AO36" s="27"/>
      <c r="AP36" s="42">
        <f t="shared" si="151"/>
        <v>2.8</v>
      </c>
      <c r="AQ36" s="43">
        <f t="shared" si="152"/>
        <v>-1</v>
      </c>
      <c r="AS36" s="47">
        <v>2</v>
      </c>
      <c r="AT36" s="48" t="s">
        <v>4</v>
      </c>
      <c r="AU36" s="49">
        <v>3</v>
      </c>
      <c r="AV36" s="27"/>
      <c r="AW36" s="42">
        <f t="shared" si="153"/>
        <v>2.8</v>
      </c>
      <c r="AX36" s="43">
        <f t="shared" si="154"/>
        <v>-1</v>
      </c>
      <c r="AZ36" s="47">
        <v>0</v>
      </c>
      <c r="BA36" s="48" t="s">
        <v>4</v>
      </c>
      <c r="BB36" s="49">
        <v>0</v>
      </c>
      <c r="BC36" s="27"/>
      <c r="BD36" s="42">
        <f t="shared" si="155"/>
        <v>0</v>
      </c>
      <c r="BE36" s="43">
        <f t="shared" si="156"/>
        <v>0</v>
      </c>
      <c r="BG36" s="47">
        <v>0</v>
      </c>
      <c r="BH36" s="48" t="s">
        <v>4</v>
      </c>
      <c r="BI36" s="49">
        <v>2</v>
      </c>
      <c r="BJ36" s="27"/>
      <c r="BK36" s="42">
        <f t="shared" si="157"/>
        <v>2.8</v>
      </c>
      <c r="BL36" s="43">
        <f t="shared" si="158"/>
        <v>-2</v>
      </c>
      <c r="BN36" s="47">
        <v>1</v>
      </c>
      <c r="BO36" s="48" t="s">
        <v>4</v>
      </c>
      <c r="BP36" s="49">
        <v>3</v>
      </c>
      <c r="BQ36" s="27"/>
      <c r="BR36" s="42">
        <f t="shared" si="159"/>
        <v>2.8</v>
      </c>
      <c r="BS36" s="43">
        <f t="shared" si="160"/>
        <v>-2</v>
      </c>
      <c r="BU36" s="47">
        <v>1</v>
      </c>
      <c r="BV36" s="48" t="s">
        <v>4</v>
      </c>
      <c r="BW36" s="49">
        <v>1</v>
      </c>
      <c r="BX36" s="27"/>
      <c r="BY36" s="42">
        <f t="shared" si="161"/>
        <v>0</v>
      </c>
      <c r="BZ36" s="43">
        <f t="shared" si="162"/>
        <v>0</v>
      </c>
      <c r="CB36" s="47">
        <v>2</v>
      </c>
      <c r="CC36" s="48" t="s">
        <v>4</v>
      </c>
      <c r="CD36" s="49">
        <v>1</v>
      </c>
      <c r="CE36" s="27"/>
      <c r="CF36" s="42">
        <f t="shared" si="163"/>
        <v>0</v>
      </c>
      <c r="CG36" s="43">
        <f t="shared" si="164"/>
        <v>1</v>
      </c>
      <c r="CI36" s="47">
        <v>1</v>
      </c>
      <c r="CJ36" s="48" t="s">
        <v>4</v>
      </c>
      <c r="CK36" s="49">
        <v>2</v>
      </c>
      <c r="CL36" s="27"/>
      <c r="CM36" s="42">
        <f t="shared" si="165"/>
        <v>2.8</v>
      </c>
      <c r="CN36" s="43">
        <f t="shared" si="166"/>
        <v>-1</v>
      </c>
      <c r="CP36" s="47">
        <v>1</v>
      </c>
      <c r="CQ36" s="48" t="s">
        <v>4</v>
      </c>
      <c r="CR36" s="49">
        <v>2</v>
      </c>
      <c r="CS36" s="27"/>
      <c r="CT36" s="42">
        <f t="shared" si="167"/>
        <v>2.8</v>
      </c>
      <c r="CU36" s="43">
        <f t="shared" si="168"/>
        <v>-1</v>
      </c>
      <c r="CW36" s="47">
        <v>0</v>
      </c>
      <c r="CX36" s="48" t="s">
        <v>4</v>
      </c>
      <c r="CY36" s="49">
        <v>1</v>
      </c>
      <c r="CZ36" s="27"/>
      <c r="DA36" s="42">
        <f t="shared" si="169"/>
        <v>4.1999999999999993</v>
      </c>
      <c r="DB36" s="43">
        <f t="shared" si="170"/>
        <v>-1</v>
      </c>
      <c r="DD36" s="47">
        <v>2</v>
      </c>
      <c r="DE36" s="48" t="s">
        <v>4</v>
      </c>
      <c r="DF36" s="49">
        <v>0</v>
      </c>
      <c r="DG36" s="27"/>
      <c r="DH36" s="42">
        <f t="shared" si="171"/>
        <v>0</v>
      </c>
      <c r="DI36" s="43">
        <f t="shared" si="172"/>
        <v>2</v>
      </c>
      <c r="DK36" s="47">
        <v>0</v>
      </c>
      <c r="DL36" s="48" t="s">
        <v>4</v>
      </c>
      <c r="DM36" s="49">
        <v>1</v>
      </c>
      <c r="DN36" s="27"/>
      <c r="DO36" s="42">
        <f t="shared" si="173"/>
        <v>4.1999999999999993</v>
      </c>
      <c r="DP36" s="43">
        <f t="shared" si="174"/>
        <v>-1</v>
      </c>
      <c r="DR36" s="47">
        <v>0</v>
      </c>
      <c r="DS36" s="48" t="s">
        <v>4</v>
      </c>
      <c r="DT36" s="49">
        <v>3</v>
      </c>
      <c r="DU36" s="27"/>
      <c r="DV36" s="42">
        <f t="shared" si="175"/>
        <v>2.8</v>
      </c>
      <c r="DW36" s="43">
        <f t="shared" si="176"/>
        <v>-3</v>
      </c>
      <c r="DY36" s="47">
        <v>1</v>
      </c>
      <c r="DZ36" s="48" t="s">
        <v>4</v>
      </c>
      <c r="EA36" s="49">
        <v>1</v>
      </c>
      <c r="EB36" s="27"/>
      <c r="EC36" s="42">
        <f t="shared" si="177"/>
        <v>0</v>
      </c>
      <c r="ED36" s="43">
        <f t="shared" si="178"/>
        <v>0</v>
      </c>
      <c r="EF36" s="47">
        <v>1</v>
      </c>
      <c r="EG36" s="48" t="s">
        <v>4</v>
      </c>
      <c r="EH36" s="49">
        <v>1</v>
      </c>
      <c r="EI36" s="27"/>
      <c r="EJ36" s="42">
        <f t="shared" si="179"/>
        <v>0</v>
      </c>
      <c r="EK36" s="43">
        <f t="shared" si="180"/>
        <v>0</v>
      </c>
      <c r="EM36" s="47">
        <v>1</v>
      </c>
      <c r="EN36" s="48" t="s">
        <v>4</v>
      </c>
      <c r="EO36" s="49">
        <v>4</v>
      </c>
      <c r="EP36" s="27"/>
      <c r="EQ36" s="42">
        <f t="shared" si="181"/>
        <v>2.8</v>
      </c>
      <c r="ER36" s="43">
        <f t="shared" si="182"/>
        <v>-3</v>
      </c>
      <c r="ET36" s="47">
        <v>1</v>
      </c>
      <c r="EU36" s="48" t="s">
        <v>4</v>
      </c>
      <c r="EV36" s="49">
        <v>2</v>
      </c>
      <c r="EW36" s="27"/>
      <c r="EX36" s="42">
        <f t="shared" si="183"/>
        <v>2.8</v>
      </c>
      <c r="EY36" s="43">
        <f t="shared" si="184"/>
        <v>-1</v>
      </c>
      <c r="FA36" s="47">
        <v>1</v>
      </c>
      <c r="FB36" s="48" t="s">
        <v>4</v>
      </c>
      <c r="FC36" s="49">
        <v>1</v>
      </c>
      <c r="FD36" s="27"/>
      <c r="FE36" s="42">
        <f t="shared" si="185"/>
        <v>0</v>
      </c>
      <c r="FF36" s="43">
        <f t="shared" si="186"/>
        <v>0</v>
      </c>
      <c r="FH36" s="47">
        <v>0</v>
      </c>
      <c r="FI36" s="48" t="s">
        <v>4</v>
      </c>
      <c r="FJ36" s="49">
        <v>2</v>
      </c>
      <c r="FK36" s="27"/>
      <c r="FL36" s="42">
        <f t="shared" si="187"/>
        <v>2.8</v>
      </c>
      <c r="FM36" s="43">
        <f t="shared" si="188"/>
        <v>-2</v>
      </c>
      <c r="FO36" s="47">
        <v>2</v>
      </c>
      <c r="FP36" s="48" t="s">
        <v>4</v>
      </c>
      <c r="FQ36" s="49">
        <v>0</v>
      </c>
      <c r="FR36" s="27"/>
      <c r="FS36" s="42">
        <f t="shared" si="189"/>
        <v>0</v>
      </c>
      <c r="FT36" s="43">
        <f t="shared" si="190"/>
        <v>2</v>
      </c>
      <c r="FV36" s="47">
        <v>1</v>
      </c>
      <c r="FW36" s="48" t="s">
        <v>4</v>
      </c>
      <c r="FX36" s="49">
        <v>2</v>
      </c>
      <c r="FY36" s="27"/>
      <c r="FZ36" s="42">
        <f t="shared" si="191"/>
        <v>2.8</v>
      </c>
      <c r="GA36" s="43">
        <f t="shared" si="192"/>
        <v>-1</v>
      </c>
      <c r="GC36" s="47">
        <v>1</v>
      </c>
      <c r="GD36" s="48" t="s">
        <v>4</v>
      </c>
      <c r="GE36" s="49">
        <v>2</v>
      </c>
      <c r="GF36" s="27"/>
      <c r="GG36" s="42">
        <f t="shared" si="193"/>
        <v>2.8</v>
      </c>
      <c r="GH36" s="43">
        <f t="shared" si="194"/>
        <v>-1</v>
      </c>
      <c r="GJ36" s="47">
        <v>1</v>
      </c>
      <c r="GK36" s="48" t="s">
        <v>4</v>
      </c>
      <c r="GL36" s="49">
        <v>1</v>
      </c>
      <c r="GM36" s="27"/>
      <c r="GN36" s="42">
        <f t="shared" si="195"/>
        <v>0</v>
      </c>
      <c r="GO36" s="43">
        <f t="shared" si="196"/>
        <v>0</v>
      </c>
      <c r="GQ36" s="47">
        <v>1</v>
      </c>
      <c r="GR36" s="48" t="s">
        <v>4</v>
      </c>
      <c r="GS36" s="49">
        <v>2</v>
      </c>
      <c r="GT36" s="27"/>
      <c r="GU36" s="42">
        <f t="shared" si="197"/>
        <v>2.8</v>
      </c>
      <c r="GV36" s="43">
        <f t="shared" si="198"/>
        <v>-1</v>
      </c>
      <c r="GX36" s="47">
        <v>1</v>
      </c>
      <c r="GY36" s="48" t="s">
        <v>4</v>
      </c>
      <c r="GZ36" s="49">
        <v>3</v>
      </c>
      <c r="HA36" s="27"/>
      <c r="HB36" s="42">
        <f t="shared" si="199"/>
        <v>2.8</v>
      </c>
      <c r="HC36" s="43">
        <f t="shared" si="200"/>
        <v>-2</v>
      </c>
      <c r="HE36" s="47">
        <v>0</v>
      </c>
      <c r="HF36" s="48" t="s">
        <v>4</v>
      </c>
      <c r="HG36" s="49">
        <v>3</v>
      </c>
      <c r="HH36" s="27"/>
      <c r="HI36" s="42">
        <f t="shared" si="201"/>
        <v>2.8</v>
      </c>
      <c r="HJ36" s="43">
        <f t="shared" si="202"/>
        <v>-3</v>
      </c>
      <c r="HL36" s="47">
        <v>0</v>
      </c>
      <c r="HM36" s="48" t="s">
        <v>4</v>
      </c>
      <c r="HN36" s="49">
        <v>2</v>
      </c>
      <c r="HO36" s="27"/>
      <c r="HP36" s="42">
        <f t="shared" si="203"/>
        <v>2.8</v>
      </c>
      <c r="HQ36" s="43">
        <f t="shared" si="204"/>
        <v>-2</v>
      </c>
      <c r="HS36" s="47">
        <v>1</v>
      </c>
      <c r="HT36" s="48" t="s">
        <v>4</v>
      </c>
      <c r="HU36" s="49">
        <v>0</v>
      </c>
      <c r="HV36" s="27"/>
      <c r="HW36" s="42">
        <f t="shared" si="205"/>
        <v>0</v>
      </c>
      <c r="HX36" s="43">
        <f t="shared" si="206"/>
        <v>1</v>
      </c>
      <c r="HZ36" s="47">
        <v>2</v>
      </c>
      <c r="IA36" s="48" t="s">
        <v>4</v>
      </c>
      <c r="IB36" s="49">
        <v>2</v>
      </c>
      <c r="IC36" s="27"/>
      <c r="ID36" s="42">
        <f t="shared" si="207"/>
        <v>0</v>
      </c>
      <c r="IE36" s="43">
        <f t="shared" si="208"/>
        <v>0</v>
      </c>
      <c r="IG36" s="47">
        <v>4</v>
      </c>
      <c r="IH36" s="48" t="s">
        <v>4</v>
      </c>
      <c r="II36" s="49">
        <v>1</v>
      </c>
      <c r="IJ36" s="27"/>
      <c r="IK36" s="42">
        <f t="shared" si="209"/>
        <v>0</v>
      </c>
      <c r="IL36" s="43">
        <f t="shared" si="210"/>
        <v>3</v>
      </c>
      <c r="IN36" s="47">
        <v>0</v>
      </c>
      <c r="IO36" s="48" t="s">
        <v>4</v>
      </c>
      <c r="IP36" s="49">
        <v>2</v>
      </c>
      <c r="IQ36" s="27"/>
      <c r="IR36" s="42">
        <f t="shared" si="211"/>
        <v>2.8</v>
      </c>
      <c r="IS36" s="43">
        <f t="shared" si="212"/>
        <v>-2</v>
      </c>
      <c r="IU36" s="47">
        <v>2</v>
      </c>
      <c r="IV36" s="48" t="s">
        <v>4</v>
      </c>
      <c r="IW36" s="49">
        <v>0</v>
      </c>
      <c r="IX36" s="27"/>
      <c r="IY36" s="42">
        <f t="shared" si="213"/>
        <v>0</v>
      </c>
      <c r="IZ36" s="43">
        <f t="shared" si="214"/>
        <v>2</v>
      </c>
      <c r="JB36" s="47">
        <v>1</v>
      </c>
      <c r="JC36" s="48" t="s">
        <v>4</v>
      </c>
      <c r="JD36" s="49">
        <v>1</v>
      </c>
      <c r="JE36" s="27"/>
      <c r="JF36" s="42">
        <f t="shared" si="215"/>
        <v>0</v>
      </c>
      <c r="JG36" s="43">
        <f t="shared" si="216"/>
        <v>0</v>
      </c>
      <c r="JI36" s="47">
        <v>1</v>
      </c>
      <c r="JJ36" s="48" t="s">
        <v>4</v>
      </c>
      <c r="JK36" s="49">
        <v>3</v>
      </c>
      <c r="JL36" s="27"/>
      <c r="JM36" s="42">
        <f t="shared" si="217"/>
        <v>2.8</v>
      </c>
      <c r="JN36" s="43">
        <f t="shared" si="218"/>
        <v>-2</v>
      </c>
      <c r="JP36" s="47">
        <v>1</v>
      </c>
      <c r="JQ36" s="48" t="s">
        <v>4</v>
      </c>
      <c r="JR36" s="49">
        <v>3</v>
      </c>
      <c r="JS36" s="27"/>
      <c r="JT36" s="42">
        <f t="shared" si="219"/>
        <v>2.8</v>
      </c>
      <c r="JU36" s="43">
        <f t="shared" si="220"/>
        <v>-2</v>
      </c>
      <c r="JW36" s="47">
        <v>2</v>
      </c>
      <c r="JX36" s="48" t="s">
        <v>4</v>
      </c>
      <c r="JY36" s="49">
        <v>2</v>
      </c>
      <c r="JZ36" s="27"/>
      <c r="KA36" s="42">
        <f t="shared" si="221"/>
        <v>0</v>
      </c>
      <c r="KB36" s="43">
        <f t="shared" si="222"/>
        <v>0</v>
      </c>
      <c r="KD36" s="47">
        <v>1</v>
      </c>
      <c r="KE36" s="48" t="s">
        <v>4</v>
      </c>
      <c r="KF36" s="49">
        <v>1</v>
      </c>
      <c r="KG36" s="27"/>
      <c r="KH36" s="42">
        <f t="shared" si="223"/>
        <v>0</v>
      </c>
      <c r="KI36" s="43">
        <f t="shared" si="224"/>
        <v>0</v>
      </c>
      <c r="KK36" s="47">
        <v>0</v>
      </c>
      <c r="KL36" s="48" t="s">
        <v>4</v>
      </c>
      <c r="KM36" s="49">
        <v>1</v>
      </c>
      <c r="KN36" s="27"/>
      <c r="KO36" s="42">
        <f t="shared" si="225"/>
        <v>4.1999999999999993</v>
      </c>
      <c r="KP36" s="43">
        <f t="shared" si="226"/>
        <v>-1</v>
      </c>
      <c r="KR36" s="47">
        <v>1</v>
      </c>
      <c r="KS36" s="48" t="s">
        <v>4</v>
      </c>
      <c r="KT36" s="49">
        <v>1</v>
      </c>
      <c r="KU36" s="27"/>
      <c r="KV36" s="42">
        <f t="shared" si="227"/>
        <v>0</v>
      </c>
      <c r="KW36" s="43">
        <f t="shared" si="228"/>
        <v>0</v>
      </c>
      <c r="KY36" s="47">
        <v>1</v>
      </c>
      <c r="KZ36" s="48" t="s">
        <v>4</v>
      </c>
      <c r="LA36" s="49">
        <v>2</v>
      </c>
      <c r="LB36" s="27"/>
      <c r="LC36" s="42">
        <f t="shared" si="229"/>
        <v>2.8</v>
      </c>
      <c r="LD36" s="43">
        <f t="shared" si="230"/>
        <v>-1</v>
      </c>
      <c r="LF36" s="47">
        <v>0</v>
      </c>
      <c r="LG36" s="48" t="s">
        <v>4</v>
      </c>
      <c r="LH36" s="49">
        <v>3</v>
      </c>
      <c r="LI36" s="27"/>
      <c r="LJ36" s="42">
        <f t="shared" si="231"/>
        <v>2.8</v>
      </c>
      <c r="LK36" s="43">
        <f t="shared" si="232"/>
        <v>-3</v>
      </c>
      <c r="LM36" s="47">
        <v>2</v>
      </c>
      <c r="LN36" s="48" t="s">
        <v>4</v>
      </c>
      <c r="LO36" s="49">
        <v>1</v>
      </c>
      <c r="LP36" s="27"/>
      <c r="LQ36" s="42">
        <f t="shared" si="233"/>
        <v>0</v>
      </c>
      <c r="LR36" s="43">
        <f t="shared" si="234"/>
        <v>1</v>
      </c>
      <c r="LT36" s="47">
        <v>1</v>
      </c>
      <c r="LU36" s="48" t="s">
        <v>4</v>
      </c>
      <c r="LV36" s="49">
        <v>1</v>
      </c>
      <c r="LW36" s="27"/>
      <c r="LX36" s="42">
        <f t="shared" si="235"/>
        <v>0</v>
      </c>
      <c r="LY36" s="43">
        <f t="shared" si="236"/>
        <v>0</v>
      </c>
      <c r="MA36" s="47">
        <v>3</v>
      </c>
      <c r="MB36" s="48" t="s">
        <v>4</v>
      </c>
      <c r="MC36" s="49">
        <v>1</v>
      </c>
      <c r="MD36" s="27"/>
      <c r="ME36" s="42">
        <f t="shared" si="237"/>
        <v>0</v>
      </c>
      <c r="MF36" s="43">
        <f t="shared" si="238"/>
        <v>2</v>
      </c>
      <c r="MH36" s="47">
        <v>1</v>
      </c>
      <c r="MI36" s="48" t="s">
        <v>4</v>
      </c>
      <c r="MJ36" s="49">
        <v>3</v>
      </c>
      <c r="MK36" s="27"/>
      <c r="ML36" s="42">
        <f t="shared" si="239"/>
        <v>2.8</v>
      </c>
      <c r="MM36" s="43">
        <f t="shared" si="240"/>
        <v>-2</v>
      </c>
      <c r="MO36" s="47">
        <v>2</v>
      </c>
      <c r="MP36" s="48" t="s">
        <v>4</v>
      </c>
      <c r="MQ36" s="49">
        <v>0</v>
      </c>
      <c r="MR36" s="27"/>
      <c r="MS36" s="42">
        <f t="shared" si="241"/>
        <v>0</v>
      </c>
      <c r="MT36" s="43">
        <f t="shared" si="242"/>
        <v>2</v>
      </c>
      <c r="MV36" s="47">
        <v>1</v>
      </c>
      <c r="MW36" s="48" t="s">
        <v>4</v>
      </c>
      <c r="MX36" s="49">
        <v>3</v>
      </c>
      <c r="MY36" s="27"/>
      <c r="MZ36" s="42">
        <f t="shared" si="243"/>
        <v>2.8</v>
      </c>
      <c r="NA36" s="43">
        <f t="shared" si="244"/>
        <v>-2</v>
      </c>
      <c r="NC36" s="47">
        <v>1</v>
      </c>
      <c r="ND36" s="48" t="s">
        <v>4</v>
      </c>
      <c r="NE36" s="49">
        <v>2</v>
      </c>
      <c r="NF36" s="27"/>
      <c r="NG36" s="42">
        <f t="shared" si="245"/>
        <v>2.8</v>
      </c>
      <c r="NH36" s="43">
        <f t="shared" si="246"/>
        <v>-1</v>
      </c>
      <c r="NJ36" s="47">
        <v>2</v>
      </c>
      <c r="NK36" s="48" t="s">
        <v>4</v>
      </c>
      <c r="NL36" s="49">
        <v>1</v>
      </c>
      <c r="NM36" s="27"/>
      <c r="NN36" s="42">
        <f t="shared" si="247"/>
        <v>0</v>
      </c>
      <c r="NO36" s="43">
        <f t="shared" si="248"/>
        <v>1</v>
      </c>
      <c r="NQ36" s="47">
        <v>2</v>
      </c>
      <c r="NR36" s="48" t="s">
        <v>4</v>
      </c>
      <c r="NS36" s="49">
        <v>1</v>
      </c>
      <c r="NT36" s="27"/>
      <c r="NU36" s="42">
        <f t="shared" si="249"/>
        <v>0</v>
      </c>
      <c r="NV36" s="43">
        <f t="shared" si="250"/>
        <v>1</v>
      </c>
      <c r="NX36" s="47">
        <v>1</v>
      </c>
      <c r="NY36" s="48" t="s">
        <v>4</v>
      </c>
      <c r="NZ36" s="49">
        <v>2</v>
      </c>
      <c r="OA36" s="27"/>
      <c r="OB36" s="42">
        <f t="shared" si="251"/>
        <v>2.8</v>
      </c>
      <c r="OC36" s="43">
        <f t="shared" si="252"/>
        <v>-1</v>
      </c>
      <c r="OE36" s="47">
        <v>2</v>
      </c>
      <c r="OF36" s="48" t="s">
        <v>4</v>
      </c>
      <c r="OG36" s="49">
        <v>1</v>
      </c>
      <c r="OH36" s="27"/>
      <c r="OI36" s="42">
        <f t="shared" si="253"/>
        <v>0</v>
      </c>
      <c r="OJ36" s="43">
        <f t="shared" si="254"/>
        <v>1</v>
      </c>
      <c r="OL36" s="47">
        <v>1</v>
      </c>
      <c r="OM36" s="48" t="s">
        <v>4</v>
      </c>
      <c r="ON36" s="49">
        <v>2</v>
      </c>
      <c r="OO36" s="27"/>
      <c r="OP36" s="42">
        <f t="shared" si="255"/>
        <v>2.8</v>
      </c>
      <c r="OQ36" s="43">
        <f t="shared" si="256"/>
        <v>-1</v>
      </c>
      <c r="OS36" s="47">
        <v>1</v>
      </c>
      <c r="OT36" s="48" t="s">
        <v>4</v>
      </c>
      <c r="OU36" s="49">
        <v>0</v>
      </c>
      <c r="OV36" s="27"/>
      <c r="OW36" s="42">
        <f t="shared" si="257"/>
        <v>0</v>
      </c>
      <c r="OX36" s="43">
        <f t="shared" si="258"/>
        <v>1</v>
      </c>
      <c r="OZ36" s="47">
        <v>1</v>
      </c>
      <c r="PA36" s="48" t="s">
        <v>4</v>
      </c>
      <c r="PB36" s="49">
        <v>2</v>
      </c>
      <c r="PC36" s="27"/>
      <c r="PD36" s="42">
        <f t="shared" si="259"/>
        <v>2.8</v>
      </c>
      <c r="PE36" s="43">
        <f t="shared" si="260"/>
        <v>-1</v>
      </c>
      <c r="PG36" s="47">
        <v>0</v>
      </c>
      <c r="PH36" s="48" t="s">
        <v>4</v>
      </c>
      <c r="PI36" s="49">
        <v>1</v>
      </c>
      <c r="PJ36" s="27"/>
      <c r="PK36" s="42">
        <f t="shared" si="261"/>
        <v>4.1999999999999993</v>
      </c>
      <c r="PL36" s="43">
        <f t="shared" si="262"/>
        <v>-1</v>
      </c>
      <c r="PN36" s="47">
        <v>1</v>
      </c>
      <c r="PO36" s="48" t="s">
        <v>4</v>
      </c>
      <c r="PP36" s="49">
        <v>2</v>
      </c>
      <c r="PQ36" s="27"/>
      <c r="PR36" s="42">
        <f t="shared" si="263"/>
        <v>2.8</v>
      </c>
      <c r="PS36" s="43">
        <f t="shared" si="264"/>
        <v>-1</v>
      </c>
      <c r="PU36" s="47">
        <v>0</v>
      </c>
      <c r="PV36" s="48" t="s">
        <v>4</v>
      </c>
      <c r="PW36" s="49">
        <v>2</v>
      </c>
      <c r="PX36" s="27"/>
      <c r="PY36" s="42">
        <f t="shared" si="265"/>
        <v>2.8</v>
      </c>
      <c r="PZ36" s="43">
        <f t="shared" si="266"/>
        <v>-2</v>
      </c>
      <c r="QB36" s="47">
        <v>1</v>
      </c>
      <c r="QC36" s="48" t="s">
        <v>4</v>
      </c>
      <c r="QD36" s="49">
        <v>1</v>
      </c>
      <c r="QE36" s="27"/>
      <c r="QF36" s="42">
        <f t="shared" si="267"/>
        <v>0</v>
      </c>
      <c r="QG36" s="43">
        <f t="shared" si="268"/>
        <v>0</v>
      </c>
      <c r="QI36" s="47">
        <v>1</v>
      </c>
      <c r="QJ36" s="48" t="s">
        <v>4</v>
      </c>
      <c r="QK36" s="49">
        <v>3</v>
      </c>
      <c r="QL36" s="27"/>
      <c r="QM36" s="42">
        <f t="shared" si="269"/>
        <v>2.8</v>
      </c>
      <c r="QN36" s="43">
        <f t="shared" si="270"/>
        <v>-2</v>
      </c>
      <c r="QP36" s="47">
        <v>0</v>
      </c>
      <c r="QQ36" s="48" t="s">
        <v>4</v>
      </c>
      <c r="QR36" s="49">
        <v>2</v>
      </c>
      <c r="QS36" s="27"/>
      <c r="QT36" s="42">
        <f t="shared" si="271"/>
        <v>2.8</v>
      </c>
      <c r="QU36" s="43">
        <f t="shared" si="272"/>
        <v>-2</v>
      </c>
      <c r="QW36" s="47">
        <v>0</v>
      </c>
      <c r="QX36" s="48" t="s">
        <v>4</v>
      </c>
      <c r="QY36" s="49">
        <v>0</v>
      </c>
      <c r="QZ36" s="27"/>
      <c r="RA36" s="42">
        <f t="shared" si="273"/>
        <v>0</v>
      </c>
      <c r="RB36" s="43">
        <f t="shared" si="274"/>
        <v>0</v>
      </c>
      <c r="RD36" s="47"/>
      <c r="RE36" s="48" t="s">
        <v>4</v>
      </c>
      <c r="RF36" s="49"/>
      <c r="RG36" s="27"/>
      <c r="RH36" s="42" t="str">
        <f t="shared" si="275"/>
        <v/>
      </c>
      <c r="RI36" s="43">
        <f t="shared" si="276"/>
        <v>0</v>
      </c>
      <c r="RK36" s="47">
        <v>1</v>
      </c>
      <c r="RL36" s="48" t="s">
        <v>4</v>
      </c>
      <c r="RM36" s="49">
        <v>1</v>
      </c>
      <c r="RN36" s="27"/>
      <c r="RO36" s="42">
        <f t="shared" si="277"/>
        <v>0</v>
      </c>
      <c r="RP36" s="43">
        <f t="shared" si="278"/>
        <v>0</v>
      </c>
      <c r="RR36" s="47">
        <v>1</v>
      </c>
      <c r="RS36" s="48" t="s">
        <v>4</v>
      </c>
      <c r="RT36" s="49">
        <v>1</v>
      </c>
      <c r="RU36" s="27"/>
      <c r="RV36" s="42">
        <f t="shared" si="279"/>
        <v>0</v>
      </c>
      <c r="RW36" s="43">
        <f t="shared" si="280"/>
        <v>0</v>
      </c>
      <c r="RY36" s="47">
        <v>1</v>
      </c>
      <c r="RZ36" s="48" t="s">
        <v>4</v>
      </c>
      <c r="SA36" s="49">
        <v>1</v>
      </c>
      <c r="SB36" s="27"/>
      <c r="SC36" s="42">
        <f t="shared" si="281"/>
        <v>0</v>
      </c>
      <c r="SD36" s="43">
        <f t="shared" si="282"/>
        <v>0</v>
      </c>
      <c r="SF36" s="47">
        <v>1</v>
      </c>
      <c r="SG36" s="48" t="s">
        <v>4</v>
      </c>
      <c r="SH36" s="49">
        <v>1</v>
      </c>
      <c r="SI36" s="27"/>
      <c r="SJ36" s="42">
        <f t="shared" si="283"/>
        <v>0</v>
      </c>
      <c r="SK36" s="43">
        <f t="shared" si="284"/>
        <v>0</v>
      </c>
      <c r="SM36" s="47">
        <v>2</v>
      </c>
      <c r="SN36" s="48" t="s">
        <v>4</v>
      </c>
      <c r="SO36" s="49">
        <v>1</v>
      </c>
      <c r="SP36" s="27"/>
      <c r="SQ36" s="42">
        <f t="shared" si="285"/>
        <v>0</v>
      </c>
      <c r="SR36" s="43">
        <f t="shared" si="286"/>
        <v>1</v>
      </c>
    </row>
    <row r="37" spans="1:512" customFormat="1" ht="16" customHeight="1" x14ac:dyDescent="0.15">
      <c r="A37" s="34">
        <v>46193</v>
      </c>
      <c r="B37" s="35">
        <v>0.125</v>
      </c>
      <c r="C37" s="79" t="s">
        <v>35</v>
      </c>
      <c r="D37" s="80" t="s">
        <v>37</v>
      </c>
      <c r="E37" s="2">
        <v>3</v>
      </c>
      <c r="F37" s="50" t="s">
        <v>4</v>
      </c>
      <c r="G37" s="1">
        <v>0</v>
      </c>
      <c r="H37" s="16">
        <v>2.8</v>
      </c>
      <c r="I37" s="32">
        <f t="shared" si="0"/>
        <v>3</v>
      </c>
      <c r="J37" s="47">
        <v>3</v>
      </c>
      <c r="K37" s="48" t="s">
        <v>4</v>
      </c>
      <c r="L37" s="49">
        <v>0</v>
      </c>
      <c r="M37" s="27"/>
      <c r="N37" s="42">
        <f t="shared" si="1"/>
        <v>4.1999999999999993</v>
      </c>
      <c r="O37" s="43">
        <f t="shared" si="2"/>
        <v>3</v>
      </c>
      <c r="P37" s="32"/>
      <c r="Q37" s="47">
        <v>2</v>
      </c>
      <c r="R37" s="48" t="s">
        <v>4</v>
      </c>
      <c r="S37" s="49">
        <v>0</v>
      </c>
      <c r="T37" s="27"/>
      <c r="U37" s="42">
        <f t="shared" si="145"/>
        <v>2.8</v>
      </c>
      <c r="V37" s="43">
        <f t="shared" si="146"/>
        <v>2</v>
      </c>
      <c r="X37" s="47">
        <v>3</v>
      </c>
      <c r="Y37" s="48" t="s">
        <v>4</v>
      </c>
      <c r="Z37" s="49">
        <v>0</v>
      </c>
      <c r="AA37" s="27"/>
      <c r="AB37" s="42">
        <f t="shared" si="147"/>
        <v>4.1999999999999993</v>
      </c>
      <c r="AC37" s="43">
        <f t="shared" si="148"/>
        <v>3</v>
      </c>
      <c r="AE37" s="47">
        <v>4</v>
      </c>
      <c r="AF37" s="48" t="s">
        <v>4</v>
      </c>
      <c r="AG37" s="49">
        <v>1</v>
      </c>
      <c r="AH37" s="27"/>
      <c r="AI37" s="42">
        <f t="shared" si="149"/>
        <v>2.8</v>
      </c>
      <c r="AJ37" s="43">
        <f t="shared" si="150"/>
        <v>3</v>
      </c>
      <c r="AL37" s="47">
        <v>4</v>
      </c>
      <c r="AM37" s="48" t="s">
        <v>4</v>
      </c>
      <c r="AN37" s="49">
        <v>0</v>
      </c>
      <c r="AO37" s="27"/>
      <c r="AP37" s="42">
        <f t="shared" si="151"/>
        <v>2.8</v>
      </c>
      <c r="AQ37" s="43">
        <f t="shared" si="152"/>
        <v>4</v>
      </c>
      <c r="AS37" s="47">
        <v>4</v>
      </c>
      <c r="AT37" s="48" t="s">
        <v>4</v>
      </c>
      <c r="AU37" s="49">
        <v>1</v>
      </c>
      <c r="AV37" s="27"/>
      <c r="AW37" s="42">
        <f t="shared" si="153"/>
        <v>2.8</v>
      </c>
      <c r="AX37" s="43">
        <f t="shared" si="154"/>
        <v>3</v>
      </c>
      <c r="AZ37" s="47">
        <v>5</v>
      </c>
      <c r="BA37" s="48" t="s">
        <v>4</v>
      </c>
      <c r="BB37" s="49">
        <v>1</v>
      </c>
      <c r="BC37" s="27"/>
      <c r="BD37" s="42">
        <f t="shared" si="155"/>
        <v>2.8</v>
      </c>
      <c r="BE37" s="43">
        <f t="shared" si="156"/>
        <v>4</v>
      </c>
      <c r="BG37" s="47">
        <v>4</v>
      </c>
      <c r="BH37" s="48" t="s">
        <v>4</v>
      </c>
      <c r="BI37" s="49">
        <v>1</v>
      </c>
      <c r="BJ37" s="27"/>
      <c r="BK37" s="42">
        <f t="shared" si="157"/>
        <v>2.8</v>
      </c>
      <c r="BL37" s="43">
        <f t="shared" si="158"/>
        <v>3</v>
      </c>
      <c r="BN37" s="47">
        <v>3</v>
      </c>
      <c r="BO37" s="48" t="s">
        <v>4</v>
      </c>
      <c r="BP37" s="49">
        <v>0</v>
      </c>
      <c r="BQ37" s="27"/>
      <c r="BR37" s="42">
        <f t="shared" si="159"/>
        <v>4.1999999999999993</v>
      </c>
      <c r="BS37" s="43">
        <f t="shared" si="160"/>
        <v>3</v>
      </c>
      <c r="BU37" s="47">
        <v>5</v>
      </c>
      <c r="BV37" s="48" t="s">
        <v>4</v>
      </c>
      <c r="BW37" s="49">
        <v>1</v>
      </c>
      <c r="BX37" s="27"/>
      <c r="BY37" s="42">
        <f t="shared" si="161"/>
        <v>2.8</v>
      </c>
      <c r="BZ37" s="43">
        <f t="shared" si="162"/>
        <v>4</v>
      </c>
      <c r="CB37" s="47">
        <v>3</v>
      </c>
      <c r="CC37" s="48" t="s">
        <v>4</v>
      </c>
      <c r="CD37" s="49">
        <v>0</v>
      </c>
      <c r="CE37" s="27"/>
      <c r="CF37" s="42">
        <f t="shared" si="163"/>
        <v>4.1999999999999993</v>
      </c>
      <c r="CG37" s="43">
        <f t="shared" si="164"/>
        <v>3</v>
      </c>
      <c r="CI37" s="47">
        <v>3</v>
      </c>
      <c r="CJ37" s="48" t="s">
        <v>4</v>
      </c>
      <c r="CK37" s="49">
        <v>0</v>
      </c>
      <c r="CL37" s="27"/>
      <c r="CM37" s="42">
        <f t="shared" si="165"/>
        <v>4.1999999999999993</v>
      </c>
      <c r="CN37" s="43">
        <f t="shared" si="166"/>
        <v>3</v>
      </c>
      <c r="CP37" s="47">
        <v>5</v>
      </c>
      <c r="CQ37" s="48" t="s">
        <v>4</v>
      </c>
      <c r="CR37" s="49">
        <v>0</v>
      </c>
      <c r="CS37" s="27"/>
      <c r="CT37" s="42">
        <f t="shared" si="167"/>
        <v>2.8</v>
      </c>
      <c r="CU37" s="43">
        <f t="shared" si="168"/>
        <v>5</v>
      </c>
      <c r="CW37" s="47">
        <v>3</v>
      </c>
      <c r="CX37" s="48" t="s">
        <v>4</v>
      </c>
      <c r="CY37" s="49">
        <v>0</v>
      </c>
      <c r="CZ37" s="27"/>
      <c r="DA37" s="42">
        <f t="shared" si="169"/>
        <v>4.1999999999999993</v>
      </c>
      <c r="DB37" s="43">
        <f t="shared" si="170"/>
        <v>3</v>
      </c>
      <c r="DD37" s="47">
        <v>2</v>
      </c>
      <c r="DE37" s="48" t="s">
        <v>4</v>
      </c>
      <c r="DF37" s="49">
        <v>0</v>
      </c>
      <c r="DG37" s="27"/>
      <c r="DH37" s="42">
        <f t="shared" si="171"/>
        <v>2.8</v>
      </c>
      <c r="DI37" s="43">
        <f t="shared" si="172"/>
        <v>2</v>
      </c>
      <c r="DK37" s="47">
        <v>2</v>
      </c>
      <c r="DL37" s="48" t="s">
        <v>4</v>
      </c>
      <c r="DM37" s="49">
        <v>0</v>
      </c>
      <c r="DN37" s="27"/>
      <c r="DO37" s="42">
        <f t="shared" si="173"/>
        <v>2.8</v>
      </c>
      <c r="DP37" s="43">
        <f t="shared" si="174"/>
        <v>2</v>
      </c>
      <c r="DR37" s="47">
        <v>3</v>
      </c>
      <c r="DS37" s="48" t="s">
        <v>4</v>
      </c>
      <c r="DT37" s="49">
        <v>1</v>
      </c>
      <c r="DU37" s="27"/>
      <c r="DV37" s="42">
        <f t="shared" si="175"/>
        <v>2.8</v>
      </c>
      <c r="DW37" s="43">
        <f t="shared" si="176"/>
        <v>2</v>
      </c>
      <c r="DY37" s="47">
        <v>3</v>
      </c>
      <c r="DZ37" s="48" t="s">
        <v>4</v>
      </c>
      <c r="EA37" s="49">
        <v>0</v>
      </c>
      <c r="EB37" s="27"/>
      <c r="EC37" s="42">
        <f t="shared" si="177"/>
        <v>4.1999999999999993</v>
      </c>
      <c r="ED37" s="43">
        <f t="shared" si="178"/>
        <v>3</v>
      </c>
      <c r="EF37" s="47">
        <v>2</v>
      </c>
      <c r="EG37" s="48" t="s">
        <v>4</v>
      </c>
      <c r="EH37" s="49">
        <v>0</v>
      </c>
      <c r="EI37" s="27"/>
      <c r="EJ37" s="42">
        <f t="shared" si="179"/>
        <v>2.8</v>
      </c>
      <c r="EK37" s="43">
        <f t="shared" si="180"/>
        <v>2</v>
      </c>
      <c r="EM37" s="47">
        <v>5</v>
      </c>
      <c r="EN37" s="48" t="s">
        <v>4</v>
      </c>
      <c r="EO37" s="49">
        <v>1</v>
      </c>
      <c r="EP37" s="27"/>
      <c r="EQ37" s="42">
        <f t="shared" si="181"/>
        <v>2.8</v>
      </c>
      <c r="ER37" s="43">
        <f t="shared" si="182"/>
        <v>4</v>
      </c>
      <c r="ET37" s="47">
        <v>3</v>
      </c>
      <c r="EU37" s="48" t="s">
        <v>4</v>
      </c>
      <c r="EV37" s="49">
        <v>1</v>
      </c>
      <c r="EW37" s="27"/>
      <c r="EX37" s="42">
        <f t="shared" si="183"/>
        <v>2.8</v>
      </c>
      <c r="EY37" s="43">
        <f t="shared" si="184"/>
        <v>2</v>
      </c>
      <c r="FA37" s="47">
        <v>4</v>
      </c>
      <c r="FB37" s="48" t="s">
        <v>4</v>
      </c>
      <c r="FC37" s="49">
        <v>0</v>
      </c>
      <c r="FD37" s="27"/>
      <c r="FE37" s="42">
        <f t="shared" si="185"/>
        <v>2.8</v>
      </c>
      <c r="FF37" s="43">
        <f t="shared" si="186"/>
        <v>4</v>
      </c>
      <c r="FH37" s="47">
        <v>3</v>
      </c>
      <c r="FI37" s="48" t="s">
        <v>4</v>
      </c>
      <c r="FJ37" s="49">
        <v>0</v>
      </c>
      <c r="FK37" s="27"/>
      <c r="FL37" s="42">
        <f t="shared" si="187"/>
        <v>4.1999999999999993</v>
      </c>
      <c r="FM37" s="43">
        <f t="shared" si="188"/>
        <v>3</v>
      </c>
      <c r="FO37" s="47">
        <v>3</v>
      </c>
      <c r="FP37" s="48" t="s">
        <v>4</v>
      </c>
      <c r="FQ37" s="49">
        <v>0</v>
      </c>
      <c r="FR37" s="27"/>
      <c r="FS37" s="42">
        <f t="shared" si="189"/>
        <v>4.1999999999999993</v>
      </c>
      <c r="FT37" s="43">
        <f t="shared" si="190"/>
        <v>3</v>
      </c>
      <c r="FV37" s="47">
        <v>3</v>
      </c>
      <c r="FW37" s="48" t="s">
        <v>4</v>
      </c>
      <c r="FX37" s="49">
        <v>0</v>
      </c>
      <c r="FY37" s="27"/>
      <c r="FZ37" s="42">
        <f t="shared" si="191"/>
        <v>4.1999999999999993</v>
      </c>
      <c r="GA37" s="43">
        <f t="shared" si="192"/>
        <v>3</v>
      </c>
      <c r="GC37" s="47">
        <v>3</v>
      </c>
      <c r="GD37" s="48" t="s">
        <v>4</v>
      </c>
      <c r="GE37" s="49">
        <v>0</v>
      </c>
      <c r="GF37" s="27"/>
      <c r="GG37" s="42">
        <f t="shared" si="193"/>
        <v>4.1999999999999993</v>
      </c>
      <c r="GH37" s="43">
        <f t="shared" si="194"/>
        <v>3</v>
      </c>
      <c r="GJ37" s="47">
        <v>4</v>
      </c>
      <c r="GK37" s="48" t="s">
        <v>4</v>
      </c>
      <c r="GL37" s="49">
        <v>0</v>
      </c>
      <c r="GM37" s="27"/>
      <c r="GN37" s="42">
        <f t="shared" si="195"/>
        <v>2.8</v>
      </c>
      <c r="GO37" s="43">
        <f t="shared" si="196"/>
        <v>4</v>
      </c>
      <c r="GQ37" s="47">
        <v>4</v>
      </c>
      <c r="GR37" s="48" t="s">
        <v>4</v>
      </c>
      <c r="GS37" s="49">
        <v>0</v>
      </c>
      <c r="GT37" s="27"/>
      <c r="GU37" s="42">
        <f t="shared" si="197"/>
        <v>2.8</v>
      </c>
      <c r="GV37" s="43">
        <f t="shared" si="198"/>
        <v>4</v>
      </c>
      <c r="GX37" s="47">
        <v>3</v>
      </c>
      <c r="GY37" s="48" t="s">
        <v>4</v>
      </c>
      <c r="GZ37" s="49">
        <v>0</v>
      </c>
      <c r="HA37" s="27"/>
      <c r="HB37" s="42">
        <f t="shared" si="199"/>
        <v>4.1999999999999993</v>
      </c>
      <c r="HC37" s="43">
        <f t="shared" si="200"/>
        <v>3</v>
      </c>
      <c r="HE37" s="47">
        <v>4</v>
      </c>
      <c r="HF37" s="48" t="s">
        <v>4</v>
      </c>
      <c r="HG37" s="49">
        <v>0</v>
      </c>
      <c r="HH37" s="27"/>
      <c r="HI37" s="42">
        <f t="shared" si="201"/>
        <v>2.8</v>
      </c>
      <c r="HJ37" s="43">
        <f t="shared" si="202"/>
        <v>4</v>
      </c>
      <c r="HL37" s="47">
        <v>3</v>
      </c>
      <c r="HM37" s="48" t="s">
        <v>4</v>
      </c>
      <c r="HN37" s="49">
        <v>0</v>
      </c>
      <c r="HO37" s="27"/>
      <c r="HP37" s="42">
        <f t="shared" si="203"/>
        <v>4.1999999999999993</v>
      </c>
      <c r="HQ37" s="43">
        <f t="shared" si="204"/>
        <v>3</v>
      </c>
      <c r="HS37" s="47">
        <v>2</v>
      </c>
      <c r="HT37" s="48" t="s">
        <v>4</v>
      </c>
      <c r="HU37" s="49">
        <v>0</v>
      </c>
      <c r="HV37" s="27"/>
      <c r="HW37" s="42">
        <f t="shared" si="205"/>
        <v>2.8</v>
      </c>
      <c r="HX37" s="43">
        <f t="shared" si="206"/>
        <v>2</v>
      </c>
      <c r="HZ37" s="47">
        <v>4</v>
      </c>
      <c r="IA37" s="48" t="s">
        <v>4</v>
      </c>
      <c r="IB37" s="49">
        <v>0</v>
      </c>
      <c r="IC37" s="27"/>
      <c r="ID37" s="42">
        <f t="shared" si="207"/>
        <v>2.8</v>
      </c>
      <c r="IE37" s="43">
        <f t="shared" si="208"/>
        <v>4</v>
      </c>
      <c r="IG37" s="47">
        <v>0</v>
      </c>
      <c r="IH37" s="48" t="s">
        <v>4</v>
      </c>
      <c r="II37" s="49">
        <v>2</v>
      </c>
      <c r="IJ37" s="27"/>
      <c r="IK37" s="42">
        <f t="shared" si="209"/>
        <v>0</v>
      </c>
      <c r="IL37" s="43">
        <f t="shared" si="210"/>
        <v>-2</v>
      </c>
      <c r="IN37" s="47">
        <v>6</v>
      </c>
      <c r="IO37" s="48" t="s">
        <v>4</v>
      </c>
      <c r="IP37" s="49">
        <v>0</v>
      </c>
      <c r="IQ37" s="27"/>
      <c r="IR37" s="42">
        <f t="shared" si="211"/>
        <v>2.8</v>
      </c>
      <c r="IS37" s="43">
        <f t="shared" si="212"/>
        <v>6</v>
      </c>
      <c r="IU37" s="47">
        <v>2</v>
      </c>
      <c r="IV37" s="48" t="s">
        <v>4</v>
      </c>
      <c r="IW37" s="49">
        <v>0</v>
      </c>
      <c r="IX37" s="27"/>
      <c r="IY37" s="42">
        <f t="shared" si="213"/>
        <v>2.8</v>
      </c>
      <c r="IZ37" s="43">
        <f t="shared" si="214"/>
        <v>2</v>
      </c>
      <c r="JB37" s="47">
        <v>2</v>
      </c>
      <c r="JC37" s="48" t="s">
        <v>4</v>
      </c>
      <c r="JD37" s="49">
        <v>1</v>
      </c>
      <c r="JE37" s="27"/>
      <c r="JF37" s="42">
        <f t="shared" si="215"/>
        <v>2.8</v>
      </c>
      <c r="JG37" s="43">
        <f t="shared" si="216"/>
        <v>1</v>
      </c>
      <c r="JI37" s="47">
        <v>5</v>
      </c>
      <c r="JJ37" s="48" t="s">
        <v>4</v>
      </c>
      <c r="JK37" s="49">
        <v>1</v>
      </c>
      <c r="JL37" s="27"/>
      <c r="JM37" s="42">
        <f t="shared" si="217"/>
        <v>2.8</v>
      </c>
      <c r="JN37" s="43">
        <f t="shared" si="218"/>
        <v>4</v>
      </c>
      <c r="JP37" s="47">
        <v>4</v>
      </c>
      <c r="JQ37" s="48" t="s">
        <v>4</v>
      </c>
      <c r="JR37" s="49">
        <v>0</v>
      </c>
      <c r="JS37" s="27"/>
      <c r="JT37" s="42">
        <f t="shared" si="219"/>
        <v>2.8</v>
      </c>
      <c r="JU37" s="43">
        <f t="shared" si="220"/>
        <v>4</v>
      </c>
      <c r="JW37" s="47">
        <v>5</v>
      </c>
      <c r="JX37" s="48" t="s">
        <v>4</v>
      </c>
      <c r="JY37" s="49">
        <v>0</v>
      </c>
      <c r="JZ37" s="27"/>
      <c r="KA37" s="42">
        <f t="shared" si="221"/>
        <v>2.8</v>
      </c>
      <c r="KB37" s="43">
        <f t="shared" si="222"/>
        <v>5</v>
      </c>
      <c r="KD37" s="47">
        <v>2</v>
      </c>
      <c r="KE37" s="48" t="s">
        <v>4</v>
      </c>
      <c r="KF37" s="49">
        <v>0</v>
      </c>
      <c r="KG37" s="27"/>
      <c r="KH37" s="42">
        <f t="shared" si="223"/>
        <v>2.8</v>
      </c>
      <c r="KI37" s="43">
        <f t="shared" si="224"/>
        <v>2</v>
      </c>
      <c r="KK37" s="47">
        <v>2</v>
      </c>
      <c r="KL37" s="48" t="s">
        <v>4</v>
      </c>
      <c r="KM37" s="49">
        <v>0</v>
      </c>
      <c r="KN37" s="27"/>
      <c r="KO37" s="42">
        <f t="shared" si="225"/>
        <v>2.8</v>
      </c>
      <c r="KP37" s="43">
        <f t="shared" si="226"/>
        <v>2</v>
      </c>
      <c r="KR37" s="47">
        <v>3</v>
      </c>
      <c r="KS37" s="48" t="s">
        <v>4</v>
      </c>
      <c r="KT37" s="49">
        <v>1</v>
      </c>
      <c r="KU37" s="27"/>
      <c r="KV37" s="42">
        <f t="shared" si="227"/>
        <v>2.8</v>
      </c>
      <c r="KW37" s="43">
        <f t="shared" si="228"/>
        <v>2</v>
      </c>
      <c r="KY37" s="47">
        <v>2</v>
      </c>
      <c r="KZ37" s="48" t="s">
        <v>4</v>
      </c>
      <c r="LA37" s="49">
        <v>1</v>
      </c>
      <c r="LB37" s="27"/>
      <c r="LC37" s="42">
        <f t="shared" si="229"/>
        <v>2.8</v>
      </c>
      <c r="LD37" s="43">
        <f t="shared" si="230"/>
        <v>1</v>
      </c>
      <c r="LF37" s="47">
        <v>4</v>
      </c>
      <c r="LG37" s="48" t="s">
        <v>4</v>
      </c>
      <c r="LH37" s="49">
        <v>0</v>
      </c>
      <c r="LI37" s="27"/>
      <c r="LJ37" s="42">
        <f t="shared" si="231"/>
        <v>2.8</v>
      </c>
      <c r="LK37" s="43">
        <f t="shared" si="232"/>
        <v>4</v>
      </c>
      <c r="LM37" s="47">
        <v>1</v>
      </c>
      <c r="LN37" s="48" t="s">
        <v>4</v>
      </c>
      <c r="LO37" s="49">
        <v>0</v>
      </c>
      <c r="LP37" s="27"/>
      <c r="LQ37" s="42">
        <f t="shared" si="233"/>
        <v>2.8</v>
      </c>
      <c r="LR37" s="43">
        <f t="shared" si="234"/>
        <v>1</v>
      </c>
      <c r="LT37" s="47">
        <v>2</v>
      </c>
      <c r="LU37" s="48" t="s">
        <v>4</v>
      </c>
      <c r="LV37" s="49">
        <v>0</v>
      </c>
      <c r="LW37" s="27"/>
      <c r="LX37" s="42">
        <f t="shared" si="235"/>
        <v>2.8</v>
      </c>
      <c r="LY37" s="43">
        <f t="shared" si="236"/>
        <v>2</v>
      </c>
      <c r="MA37" s="47">
        <v>9</v>
      </c>
      <c r="MB37" s="48" t="s">
        <v>4</v>
      </c>
      <c r="MC37" s="49">
        <v>0</v>
      </c>
      <c r="MD37" s="27"/>
      <c r="ME37" s="42">
        <f t="shared" si="237"/>
        <v>2.8</v>
      </c>
      <c r="MF37" s="43">
        <f t="shared" si="238"/>
        <v>9</v>
      </c>
      <c r="MH37" s="47">
        <v>4</v>
      </c>
      <c r="MI37" s="48" t="s">
        <v>4</v>
      </c>
      <c r="MJ37" s="49">
        <v>0</v>
      </c>
      <c r="MK37" s="27"/>
      <c r="ML37" s="42">
        <f t="shared" si="239"/>
        <v>2.8</v>
      </c>
      <c r="MM37" s="43">
        <f t="shared" si="240"/>
        <v>4</v>
      </c>
      <c r="MO37" s="47">
        <v>4</v>
      </c>
      <c r="MP37" s="48" t="s">
        <v>4</v>
      </c>
      <c r="MQ37" s="49">
        <v>0</v>
      </c>
      <c r="MR37" s="27"/>
      <c r="MS37" s="42">
        <f t="shared" si="241"/>
        <v>2.8</v>
      </c>
      <c r="MT37" s="43">
        <f t="shared" si="242"/>
        <v>4</v>
      </c>
      <c r="MV37" s="47">
        <v>4</v>
      </c>
      <c r="MW37" s="48" t="s">
        <v>4</v>
      </c>
      <c r="MX37" s="49">
        <v>1</v>
      </c>
      <c r="MY37" s="27"/>
      <c r="MZ37" s="42">
        <f t="shared" si="243"/>
        <v>2.8</v>
      </c>
      <c r="NA37" s="43">
        <f t="shared" si="244"/>
        <v>3</v>
      </c>
      <c r="NC37" s="47">
        <v>5</v>
      </c>
      <c r="ND37" s="48" t="s">
        <v>4</v>
      </c>
      <c r="NE37" s="49">
        <v>1</v>
      </c>
      <c r="NF37" s="27"/>
      <c r="NG37" s="42">
        <f t="shared" si="245"/>
        <v>2.8</v>
      </c>
      <c r="NH37" s="43">
        <f t="shared" si="246"/>
        <v>4</v>
      </c>
      <c r="NJ37" s="47">
        <v>1</v>
      </c>
      <c r="NK37" s="48" t="s">
        <v>4</v>
      </c>
      <c r="NL37" s="49">
        <v>1</v>
      </c>
      <c r="NM37" s="27"/>
      <c r="NN37" s="42">
        <f t="shared" si="247"/>
        <v>0</v>
      </c>
      <c r="NO37" s="43">
        <f t="shared" si="248"/>
        <v>0</v>
      </c>
      <c r="NQ37" s="47">
        <v>3</v>
      </c>
      <c r="NR37" s="48" t="s">
        <v>4</v>
      </c>
      <c r="NS37" s="49">
        <v>1</v>
      </c>
      <c r="NT37" s="27"/>
      <c r="NU37" s="42">
        <f t="shared" si="249"/>
        <v>2.8</v>
      </c>
      <c r="NV37" s="43">
        <f t="shared" si="250"/>
        <v>2</v>
      </c>
      <c r="NX37" s="47">
        <v>5</v>
      </c>
      <c r="NY37" s="48" t="s">
        <v>4</v>
      </c>
      <c r="NZ37" s="49">
        <v>0</v>
      </c>
      <c r="OA37" s="27"/>
      <c r="OB37" s="42">
        <f t="shared" si="251"/>
        <v>2.8</v>
      </c>
      <c r="OC37" s="43">
        <f t="shared" si="252"/>
        <v>5</v>
      </c>
      <c r="OE37" s="47">
        <v>4</v>
      </c>
      <c r="OF37" s="48" t="s">
        <v>4</v>
      </c>
      <c r="OG37" s="49">
        <v>0</v>
      </c>
      <c r="OH37" s="27"/>
      <c r="OI37" s="42">
        <f t="shared" si="253"/>
        <v>2.8</v>
      </c>
      <c r="OJ37" s="43">
        <f t="shared" si="254"/>
        <v>4</v>
      </c>
      <c r="OL37" s="47">
        <v>3</v>
      </c>
      <c r="OM37" s="48" t="s">
        <v>4</v>
      </c>
      <c r="ON37" s="49">
        <v>0</v>
      </c>
      <c r="OO37" s="27"/>
      <c r="OP37" s="42">
        <f t="shared" si="255"/>
        <v>4.1999999999999993</v>
      </c>
      <c r="OQ37" s="43">
        <f t="shared" si="256"/>
        <v>3</v>
      </c>
      <c r="OS37" s="47">
        <v>3</v>
      </c>
      <c r="OT37" s="48" t="s">
        <v>4</v>
      </c>
      <c r="OU37" s="49">
        <v>1</v>
      </c>
      <c r="OV37" s="27"/>
      <c r="OW37" s="42">
        <f t="shared" si="257"/>
        <v>2.8</v>
      </c>
      <c r="OX37" s="43">
        <f t="shared" si="258"/>
        <v>2</v>
      </c>
      <c r="OZ37" s="47">
        <v>6</v>
      </c>
      <c r="PA37" s="48" t="s">
        <v>4</v>
      </c>
      <c r="PB37" s="49">
        <v>0</v>
      </c>
      <c r="PC37" s="27"/>
      <c r="PD37" s="42">
        <f t="shared" si="259"/>
        <v>2.8</v>
      </c>
      <c r="PE37" s="43">
        <f t="shared" si="260"/>
        <v>6</v>
      </c>
      <c r="PG37" s="47">
        <v>3</v>
      </c>
      <c r="PH37" s="48" t="s">
        <v>4</v>
      </c>
      <c r="PI37" s="49">
        <v>0</v>
      </c>
      <c r="PJ37" s="27"/>
      <c r="PK37" s="42">
        <f t="shared" si="261"/>
        <v>4.1999999999999993</v>
      </c>
      <c r="PL37" s="43">
        <f t="shared" si="262"/>
        <v>3</v>
      </c>
      <c r="PN37" s="47">
        <v>2</v>
      </c>
      <c r="PO37" s="48" t="s">
        <v>4</v>
      </c>
      <c r="PP37" s="49">
        <v>1</v>
      </c>
      <c r="PQ37" s="27"/>
      <c r="PR37" s="42">
        <f t="shared" si="263"/>
        <v>2.8</v>
      </c>
      <c r="PS37" s="43">
        <f t="shared" si="264"/>
        <v>1</v>
      </c>
      <c r="PU37" s="47">
        <v>4</v>
      </c>
      <c r="PV37" s="48" t="s">
        <v>4</v>
      </c>
      <c r="PW37" s="49">
        <v>0</v>
      </c>
      <c r="PX37" s="27"/>
      <c r="PY37" s="42">
        <f t="shared" si="265"/>
        <v>2.8</v>
      </c>
      <c r="PZ37" s="43">
        <f t="shared" si="266"/>
        <v>4</v>
      </c>
      <c r="QB37" s="47">
        <v>3</v>
      </c>
      <c r="QC37" s="48" t="s">
        <v>4</v>
      </c>
      <c r="QD37" s="49">
        <v>0</v>
      </c>
      <c r="QE37" s="27"/>
      <c r="QF37" s="42">
        <f t="shared" si="267"/>
        <v>4.1999999999999993</v>
      </c>
      <c r="QG37" s="43">
        <f t="shared" si="268"/>
        <v>3</v>
      </c>
      <c r="QI37" s="47">
        <v>2</v>
      </c>
      <c r="QJ37" s="48" t="s">
        <v>4</v>
      </c>
      <c r="QK37" s="49">
        <v>0</v>
      </c>
      <c r="QL37" s="27"/>
      <c r="QM37" s="42">
        <f t="shared" si="269"/>
        <v>2.8</v>
      </c>
      <c r="QN37" s="43">
        <f t="shared" si="270"/>
        <v>2</v>
      </c>
      <c r="QP37" s="47">
        <v>5</v>
      </c>
      <c r="QQ37" s="48" t="s">
        <v>4</v>
      </c>
      <c r="QR37" s="49">
        <v>0</v>
      </c>
      <c r="QS37" s="27"/>
      <c r="QT37" s="42">
        <f t="shared" si="271"/>
        <v>2.8</v>
      </c>
      <c r="QU37" s="43">
        <f t="shared" si="272"/>
        <v>5</v>
      </c>
      <c r="QW37" s="47">
        <v>3</v>
      </c>
      <c r="QX37" s="48" t="s">
        <v>4</v>
      </c>
      <c r="QY37" s="49">
        <v>0</v>
      </c>
      <c r="QZ37" s="27"/>
      <c r="RA37" s="42">
        <f t="shared" si="273"/>
        <v>4.1999999999999993</v>
      </c>
      <c r="RB37" s="43">
        <f t="shared" si="274"/>
        <v>3</v>
      </c>
      <c r="RD37" s="47"/>
      <c r="RE37" s="48" t="s">
        <v>4</v>
      </c>
      <c r="RF37" s="49"/>
      <c r="RG37" s="27"/>
      <c r="RH37" s="42" t="str">
        <f t="shared" si="275"/>
        <v/>
      </c>
      <c r="RI37" s="43">
        <f t="shared" si="276"/>
        <v>0</v>
      </c>
      <c r="RK37" s="47">
        <v>3</v>
      </c>
      <c r="RL37" s="48" t="s">
        <v>4</v>
      </c>
      <c r="RM37" s="49">
        <v>0</v>
      </c>
      <c r="RN37" s="27"/>
      <c r="RO37" s="42">
        <f t="shared" si="277"/>
        <v>4.1999999999999993</v>
      </c>
      <c r="RP37" s="43">
        <f t="shared" si="278"/>
        <v>3</v>
      </c>
      <c r="RR37" s="47">
        <v>6</v>
      </c>
      <c r="RS37" s="48" t="s">
        <v>4</v>
      </c>
      <c r="RT37" s="49">
        <v>0</v>
      </c>
      <c r="RU37" s="27"/>
      <c r="RV37" s="42">
        <f t="shared" si="279"/>
        <v>2.8</v>
      </c>
      <c r="RW37" s="43">
        <f t="shared" si="280"/>
        <v>6</v>
      </c>
      <c r="RY37" s="47">
        <v>7</v>
      </c>
      <c r="RZ37" s="48" t="s">
        <v>4</v>
      </c>
      <c r="SA37" s="49">
        <v>2</v>
      </c>
      <c r="SB37" s="27"/>
      <c r="SC37" s="42">
        <f t="shared" si="281"/>
        <v>2.8</v>
      </c>
      <c r="SD37" s="43">
        <f t="shared" si="282"/>
        <v>5</v>
      </c>
      <c r="SF37" s="47">
        <v>6</v>
      </c>
      <c r="SG37" s="48" t="s">
        <v>4</v>
      </c>
      <c r="SH37" s="49">
        <v>0</v>
      </c>
      <c r="SI37" s="27"/>
      <c r="SJ37" s="42">
        <f t="shared" si="283"/>
        <v>2.8</v>
      </c>
      <c r="SK37" s="43">
        <f t="shared" si="284"/>
        <v>6</v>
      </c>
      <c r="SM37" s="47">
        <v>4</v>
      </c>
      <c r="SN37" s="48" t="s">
        <v>4</v>
      </c>
      <c r="SO37" s="49">
        <v>0</v>
      </c>
      <c r="SP37" s="27"/>
      <c r="SQ37" s="42">
        <f t="shared" si="285"/>
        <v>2.8</v>
      </c>
      <c r="SR37" s="43">
        <f t="shared" si="286"/>
        <v>4</v>
      </c>
    </row>
    <row r="38" spans="1:512" customFormat="1" ht="16" customHeight="1" x14ac:dyDescent="0.15">
      <c r="A38" s="34">
        <v>46193</v>
      </c>
      <c r="B38" s="35">
        <v>0.25</v>
      </c>
      <c r="C38" s="79" t="s">
        <v>25</v>
      </c>
      <c r="D38" s="80" t="s">
        <v>33</v>
      </c>
      <c r="E38" s="2">
        <v>0</v>
      </c>
      <c r="F38" s="50" t="s">
        <v>4</v>
      </c>
      <c r="G38" s="1">
        <v>1</v>
      </c>
      <c r="H38" s="16">
        <v>2.8</v>
      </c>
      <c r="I38" s="32">
        <f t="shared" si="0"/>
        <v>-1</v>
      </c>
      <c r="J38" s="47">
        <v>2</v>
      </c>
      <c r="K38" s="48" t="s">
        <v>4</v>
      </c>
      <c r="L38" s="49">
        <v>0</v>
      </c>
      <c r="M38" s="27"/>
      <c r="N38" s="42">
        <f t="shared" si="1"/>
        <v>0</v>
      </c>
      <c r="O38" s="43">
        <f t="shared" si="2"/>
        <v>2</v>
      </c>
      <c r="P38" s="32"/>
      <c r="Q38" s="47">
        <v>2</v>
      </c>
      <c r="R38" s="48" t="s">
        <v>4</v>
      </c>
      <c r="S38" s="49">
        <v>1</v>
      </c>
      <c r="T38" s="27"/>
      <c r="U38" s="42">
        <f t="shared" si="145"/>
        <v>0</v>
      </c>
      <c r="V38" s="43">
        <f t="shared" si="146"/>
        <v>1</v>
      </c>
      <c r="X38" s="47">
        <v>2</v>
      </c>
      <c r="Y38" s="48" t="s">
        <v>4</v>
      </c>
      <c r="Z38" s="49">
        <v>1</v>
      </c>
      <c r="AA38" s="27"/>
      <c r="AB38" s="42">
        <f t="shared" si="147"/>
        <v>0</v>
      </c>
      <c r="AC38" s="43">
        <f t="shared" si="148"/>
        <v>1</v>
      </c>
      <c r="AE38" s="47">
        <v>2</v>
      </c>
      <c r="AF38" s="48" t="s">
        <v>4</v>
      </c>
      <c r="AG38" s="49">
        <v>0</v>
      </c>
      <c r="AH38" s="27"/>
      <c r="AI38" s="42">
        <f t="shared" si="149"/>
        <v>0</v>
      </c>
      <c r="AJ38" s="43">
        <f t="shared" si="150"/>
        <v>2</v>
      </c>
      <c r="AL38" s="47">
        <v>2</v>
      </c>
      <c r="AM38" s="48" t="s">
        <v>4</v>
      </c>
      <c r="AN38" s="49">
        <v>1</v>
      </c>
      <c r="AO38" s="27"/>
      <c r="AP38" s="42">
        <f t="shared" si="151"/>
        <v>0</v>
      </c>
      <c r="AQ38" s="43">
        <f t="shared" si="152"/>
        <v>1</v>
      </c>
      <c r="AS38" s="47">
        <v>2</v>
      </c>
      <c r="AT38" s="48" t="s">
        <v>4</v>
      </c>
      <c r="AU38" s="49">
        <v>1</v>
      </c>
      <c r="AV38" s="27"/>
      <c r="AW38" s="42">
        <f t="shared" si="153"/>
        <v>0</v>
      </c>
      <c r="AX38" s="43">
        <f t="shared" si="154"/>
        <v>1</v>
      </c>
      <c r="AZ38" s="47">
        <v>2</v>
      </c>
      <c r="BA38" s="48" t="s">
        <v>4</v>
      </c>
      <c r="BB38" s="49">
        <v>2</v>
      </c>
      <c r="BC38" s="27"/>
      <c r="BD38" s="42">
        <f t="shared" si="155"/>
        <v>0</v>
      </c>
      <c r="BE38" s="43">
        <f t="shared" si="156"/>
        <v>0</v>
      </c>
      <c r="BG38" s="47">
        <v>1</v>
      </c>
      <c r="BH38" s="48" t="s">
        <v>4</v>
      </c>
      <c r="BI38" s="49">
        <v>1</v>
      </c>
      <c r="BJ38" s="27"/>
      <c r="BK38" s="42">
        <f t="shared" si="157"/>
        <v>0</v>
      </c>
      <c r="BL38" s="43">
        <f t="shared" si="158"/>
        <v>0</v>
      </c>
      <c r="BN38" s="47">
        <v>2</v>
      </c>
      <c r="BO38" s="48" t="s">
        <v>4</v>
      </c>
      <c r="BP38" s="49">
        <v>1</v>
      </c>
      <c r="BQ38" s="27"/>
      <c r="BR38" s="42">
        <f t="shared" si="159"/>
        <v>0</v>
      </c>
      <c r="BS38" s="43">
        <f t="shared" si="160"/>
        <v>1</v>
      </c>
      <c r="BU38" s="47">
        <v>2</v>
      </c>
      <c r="BV38" s="48" t="s">
        <v>4</v>
      </c>
      <c r="BW38" s="49">
        <v>1</v>
      </c>
      <c r="BX38" s="27"/>
      <c r="BY38" s="42">
        <f t="shared" si="161"/>
        <v>0</v>
      </c>
      <c r="BZ38" s="43">
        <f t="shared" si="162"/>
        <v>1</v>
      </c>
      <c r="CB38" s="47">
        <v>3</v>
      </c>
      <c r="CC38" s="48" t="s">
        <v>4</v>
      </c>
      <c r="CD38" s="49">
        <v>1</v>
      </c>
      <c r="CE38" s="27"/>
      <c r="CF38" s="42">
        <f t="shared" si="163"/>
        <v>0</v>
      </c>
      <c r="CG38" s="43">
        <f t="shared" si="164"/>
        <v>2</v>
      </c>
      <c r="CI38" s="47">
        <v>2</v>
      </c>
      <c r="CJ38" s="48" t="s">
        <v>4</v>
      </c>
      <c r="CK38" s="49">
        <v>2</v>
      </c>
      <c r="CL38" s="27"/>
      <c r="CM38" s="42">
        <f t="shared" si="165"/>
        <v>0</v>
      </c>
      <c r="CN38" s="43">
        <f t="shared" si="166"/>
        <v>0</v>
      </c>
      <c r="CP38" s="47">
        <v>1</v>
      </c>
      <c r="CQ38" s="48" t="s">
        <v>4</v>
      </c>
      <c r="CR38" s="49">
        <v>0</v>
      </c>
      <c r="CS38" s="27"/>
      <c r="CT38" s="42">
        <f t="shared" si="167"/>
        <v>0</v>
      </c>
      <c r="CU38" s="43">
        <f t="shared" si="168"/>
        <v>1</v>
      </c>
      <c r="CW38" s="47">
        <v>1</v>
      </c>
      <c r="CX38" s="48" t="s">
        <v>4</v>
      </c>
      <c r="CY38" s="49">
        <v>0</v>
      </c>
      <c r="CZ38" s="27"/>
      <c r="DA38" s="42">
        <f t="shared" si="169"/>
        <v>0</v>
      </c>
      <c r="DB38" s="43">
        <f t="shared" si="170"/>
        <v>1</v>
      </c>
      <c r="DD38" s="47">
        <v>1</v>
      </c>
      <c r="DE38" s="48" t="s">
        <v>4</v>
      </c>
      <c r="DF38" s="49">
        <v>0</v>
      </c>
      <c r="DG38" s="27"/>
      <c r="DH38" s="42">
        <f t="shared" si="171"/>
        <v>0</v>
      </c>
      <c r="DI38" s="43">
        <f t="shared" si="172"/>
        <v>1</v>
      </c>
      <c r="DK38" s="47">
        <v>2</v>
      </c>
      <c r="DL38" s="48" t="s">
        <v>4</v>
      </c>
      <c r="DM38" s="49">
        <v>0</v>
      </c>
      <c r="DN38" s="27"/>
      <c r="DO38" s="42">
        <f t="shared" si="173"/>
        <v>0</v>
      </c>
      <c r="DP38" s="43">
        <f t="shared" si="174"/>
        <v>2</v>
      </c>
      <c r="DR38" s="47">
        <v>3</v>
      </c>
      <c r="DS38" s="48" t="s">
        <v>4</v>
      </c>
      <c r="DT38" s="49">
        <v>2</v>
      </c>
      <c r="DU38" s="27"/>
      <c r="DV38" s="42">
        <f t="shared" si="175"/>
        <v>0</v>
      </c>
      <c r="DW38" s="43">
        <f t="shared" si="176"/>
        <v>1</v>
      </c>
      <c r="DY38" s="47">
        <v>3</v>
      </c>
      <c r="DZ38" s="48" t="s">
        <v>4</v>
      </c>
      <c r="EA38" s="49">
        <v>0</v>
      </c>
      <c r="EB38" s="27"/>
      <c r="EC38" s="42">
        <f t="shared" si="177"/>
        <v>0</v>
      </c>
      <c r="ED38" s="43">
        <f t="shared" si="178"/>
        <v>3</v>
      </c>
      <c r="EF38" s="47">
        <v>0</v>
      </c>
      <c r="EG38" s="48" t="s">
        <v>4</v>
      </c>
      <c r="EH38" s="49">
        <v>1</v>
      </c>
      <c r="EI38" s="27"/>
      <c r="EJ38" s="42">
        <f t="shared" si="179"/>
        <v>4.1999999999999993</v>
      </c>
      <c r="EK38" s="43">
        <f t="shared" si="180"/>
        <v>-1</v>
      </c>
      <c r="EM38" s="47">
        <v>2</v>
      </c>
      <c r="EN38" s="48" t="s">
        <v>4</v>
      </c>
      <c r="EO38" s="49">
        <v>0</v>
      </c>
      <c r="EP38" s="27"/>
      <c r="EQ38" s="42">
        <f t="shared" si="181"/>
        <v>0</v>
      </c>
      <c r="ER38" s="43">
        <f t="shared" si="182"/>
        <v>2</v>
      </c>
      <c r="ET38" s="47">
        <v>2</v>
      </c>
      <c r="EU38" s="48" t="s">
        <v>4</v>
      </c>
      <c r="EV38" s="49">
        <v>0</v>
      </c>
      <c r="EW38" s="27"/>
      <c r="EX38" s="42">
        <f t="shared" si="183"/>
        <v>0</v>
      </c>
      <c r="EY38" s="43">
        <f t="shared" si="184"/>
        <v>2</v>
      </c>
      <c r="FA38" s="47">
        <v>2</v>
      </c>
      <c r="FB38" s="48" t="s">
        <v>4</v>
      </c>
      <c r="FC38" s="49">
        <v>1</v>
      </c>
      <c r="FD38" s="27"/>
      <c r="FE38" s="42">
        <f t="shared" si="185"/>
        <v>0</v>
      </c>
      <c r="FF38" s="43">
        <f t="shared" si="186"/>
        <v>1</v>
      </c>
      <c r="FH38" s="47">
        <v>1</v>
      </c>
      <c r="FI38" s="48" t="s">
        <v>4</v>
      </c>
      <c r="FJ38" s="49">
        <v>0</v>
      </c>
      <c r="FK38" s="27"/>
      <c r="FL38" s="42">
        <f t="shared" si="187"/>
        <v>0</v>
      </c>
      <c r="FM38" s="43">
        <f t="shared" si="188"/>
        <v>1</v>
      </c>
      <c r="FO38" s="47">
        <v>1</v>
      </c>
      <c r="FP38" s="48" t="s">
        <v>4</v>
      </c>
      <c r="FQ38" s="49">
        <v>0</v>
      </c>
      <c r="FR38" s="27"/>
      <c r="FS38" s="42">
        <f t="shared" si="189"/>
        <v>0</v>
      </c>
      <c r="FT38" s="43">
        <f t="shared" si="190"/>
        <v>1</v>
      </c>
      <c r="FV38" s="47">
        <v>2</v>
      </c>
      <c r="FW38" s="48" t="s">
        <v>4</v>
      </c>
      <c r="FX38" s="49">
        <v>0</v>
      </c>
      <c r="FY38" s="27"/>
      <c r="FZ38" s="42">
        <f t="shared" si="191"/>
        <v>0</v>
      </c>
      <c r="GA38" s="43">
        <f t="shared" si="192"/>
        <v>2</v>
      </c>
      <c r="GC38" s="47">
        <v>1</v>
      </c>
      <c r="GD38" s="48" t="s">
        <v>4</v>
      </c>
      <c r="GE38" s="49">
        <v>0</v>
      </c>
      <c r="GF38" s="27"/>
      <c r="GG38" s="42">
        <f t="shared" si="193"/>
        <v>0</v>
      </c>
      <c r="GH38" s="43">
        <f t="shared" si="194"/>
        <v>1</v>
      </c>
      <c r="GJ38" s="47">
        <v>2</v>
      </c>
      <c r="GK38" s="48" t="s">
        <v>4</v>
      </c>
      <c r="GL38" s="49">
        <v>1</v>
      </c>
      <c r="GM38" s="27"/>
      <c r="GN38" s="42">
        <f t="shared" si="195"/>
        <v>0</v>
      </c>
      <c r="GO38" s="43">
        <f t="shared" si="196"/>
        <v>1</v>
      </c>
      <c r="GQ38" s="47">
        <v>2</v>
      </c>
      <c r="GR38" s="48" t="s">
        <v>4</v>
      </c>
      <c r="GS38" s="49">
        <v>1</v>
      </c>
      <c r="GT38" s="27"/>
      <c r="GU38" s="42">
        <f t="shared" si="197"/>
        <v>0</v>
      </c>
      <c r="GV38" s="43">
        <f t="shared" si="198"/>
        <v>1</v>
      </c>
      <c r="GX38" s="47">
        <v>3</v>
      </c>
      <c r="GY38" s="48" t="s">
        <v>4</v>
      </c>
      <c r="GZ38" s="49">
        <v>1</v>
      </c>
      <c r="HA38" s="27"/>
      <c r="HB38" s="42">
        <f t="shared" si="199"/>
        <v>0</v>
      </c>
      <c r="HC38" s="43">
        <f t="shared" si="200"/>
        <v>2</v>
      </c>
      <c r="HE38" s="47">
        <v>3</v>
      </c>
      <c r="HF38" s="48" t="s">
        <v>4</v>
      </c>
      <c r="HG38" s="49">
        <v>0</v>
      </c>
      <c r="HH38" s="27"/>
      <c r="HI38" s="42">
        <f t="shared" si="201"/>
        <v>0</v>
      </c>
      <c r="HJ38" s="43">
        <f t="shared" si="202"/>
        <v>3</v>
      </c>
      <c r="HL38" s="47">
        <v>2</v>
      </c>
      <c r="HM38" s="48" t="s">
        <v>4</v>
      </c>
      <c r="HN38" s="49">
        <v>0</v>
      </c>
      <c r="HO38" s="27"/>
      <c r="HP38" s="42">
        <f t="shared" si="203"/>
        <v>0</v>
      </c>
      <c r="HQ38" s="43">
        <f t="shared" si="204"/>
        <v>2</v>
      </c>
      <c r="HS38" s="47">
        <v>2</v>
      </c>
      <c r="HT38" s="48" t="s">
        <v>4</v>
      </c>
      <c r="HU38" s="49">
        <v>1</v>
      </c>
      <c r="HV38" s="27"/>
      <c r="HW38" s="42">
        <f t="shared" si="205"/>
        <v>0</v>
      </c>
      <c r="HX38" s="43">
        <f t="shared" si="206"/>
        <v>1</v>
      </c>
      <c r="HZ38" s="47">
        <v>2</v>
      </c>
      <c r="IA38" s="48" t="s">
        <v>4</v>
      </c>
      <c r="IB38" s="49">
        <v>1</v>
      </c>
      <c r="IC38" s="27"/>
      <c r="ID38" s="42">
        <f t="shared" si="207"/>
        <v>0</v>
      </c>
      <c r="IE38" s="43">
        <f t="shared" si="208"/>
        <v>1</v>
      </c>
      <c r="IG38" s="47">
        <v>0</v>
      </c>
      <c r="IH38" s="48" t="s">
        <v>4</v>
      </c>
      <c r="II38" s="49">
        <v>2</v>
      </c>
      <c r="IJ38" s="27"/>
      <c r="IK38" s="42">
        <f t="shared" si="209"/>
        <v>2.8</v>
      </c>
      <c r="IL38" s="43">
        <f t="shared" si="210"/>
        <v>-2</v>
      </c>
      <c r="IN38" s="47">
        <v>1</v>
      </c>
      <c r="IO38" s="48" t="s">
        <v>4</v>
      </c>
      <c r="IP38" s="49">
        <v>0</v>
      </c>
      <c r="IQ38" s="27"/>
      <c r="IR38" s="42">
        <f t="shared" si="211"/>
        <v>0</v>
      </c>
      <c r="IS38" s="43">
        <f t="shared" si="212"/>
        <v>1</v>
      </c>
      <c r="IU38" s="47">
        <v>0</v>
      </c>
      <c r="IV38" s="48" t="s">
        <v>4</v>
      </c>
      <c r="IW38" s="49">
        <v>2</v>
      </c>
      <c r="IX38" s="27"/>
      <c r="IY38" s="42">
        <f t="shared" si="213"/>
        <v>2.8</v>
      </c>
      <c r="IZ38" s="43">
        <f t="shared" si="214"/>
        <v>-2</v>
      </c>
      <c r="JB38" s="47">
        <v>1</v>
      </c>
      <c r="JC38" s="48" t="s">
        <v>4</v>
      </c>
      <c r="JD38" s="49">
        <v>2</v>
      </c>
      <c r="JE38" s="27"/>
      <c r="JF38" s="42">
        <f t="shared" si="215"/>
        <v>2.8</v>
      </c>
      <c r="JG38" s="43">
        <f t="shared" si="216"/>
        <v>-1</v>
      </c>
      <c r="JI38" s="47">
        <v>2</v>
      </c>
      <c r="JJ38" s="48" t="s">
        <v>4</v>
      </c>
      <c r="JK38" s="49">
        <v>1</v>
      </c>
      <c r="JL38" s="27"/>
      <c r="JM38" s="42">
        <f t="shared" si="217"/>
        <v>0</v>
      </c>
      <c r="JN38" s="43">
        <f t="shared" si="218"/>
        <v>1</v>
      </c>
      <c r="JP38" s="47">
        <v>3</v>
      </c>
      <c r="JQ38" s="48" t="s">
        <v>4</v>
      </c>
      <c r="JR38" s="49">
        <v>0</v>
      </c>
      <c r="JS38" s="27"/>
      <c r="JT38" s="42">
        <f t="shared" si="219"/>
        <v>0</v>
      </c>
      <c r="JU38" s="43">
        <f t="shared" si="220"/>
        <v>3</v>
      </c>
      <c r="JW38" s="47">
        <v>3</v>
      </c>
      <c r="JX38" s="48" t="s">
        <v>4</v>
      </c>
      <c r="JY38" s="49">
        <v>1</v>
      </c>
      <c r="JZ38" s="27"/>
      <c r="KA38" s="42">
        <f t="shared" si="221"/>
        <v>0</v>
      </c>
      <c r="KB38" s="43">
        <f t="shared" si="222"/>
        <v>2</v>
      </c>
      <c r="KD38" s="47">
        <v>2</v>
      </c>
      <c r="KE38" s="48" t="s">
        <v>4</v>
      </c>
      <c r="KF38" s="49">
        <v>0</v>
      </c>
      <c r="KG38" s="27"/>
      <c r="KH38" s="42">
        <f t="shared" si="223"/>
        <v>0</v>
      </c>
      <c r="KI38" s="43">
        <f t="shared" si="224"/>
        <v>2</v>
      </c>
      <c r="KK38" s="47">
        <v>0</v>
      </c>
      <c r="KL38" s="48" t="s">
        <v>4</v>
      </c>
      <c r="KM38" s="49">
        <v>0</v>
      </c>
      <c r="KN38" s="27"/>
      <c r="KO38" s="42">
        <f t="shared" si="225"/>
        <v>0</v>
      </c>
      <c r="KP38" s="43">
        <f t="shared" si="226"/>
        <v>0</v>
      </c>
      <c r="KR38" s="47">
        <v>2</v>
      </c>
      <c r="KS38" s="48" t="s">
        <v>4</v>
      </c>
      <c r="KT38" s="49">
        <v>0</v>
      </c>
      <c r="KU38" s="27"/>
      <c r="KV38" s="42">
        <f t="shared" si="227"/>
        <v>0</v>
      </c>
      <c r="KW38" s="43">
        <f t="shared" si="228"/>
        <v>2</v>
      </c>
      <c r="KY38" s="47">
        <v>2</v>
      </c>
      <c r="KZ38" s="48" t="s">
        <v>4</v>
      </c>
      <c r="LA38" s="49">
        <v>1</v>
      </c>
      <c r="LB38" s="27"/>
      <c r="LC38" s="42">
        <f t="shared" si="229"/>
        <v>0</v>
      </c>
      <c r="LD38" s="43">
        <f t="shared" si="230"/>
        <v>1</v>
      </c>
      <c r="LF38" s="47">
        <v>2</v>
      </c>
      <c r="LG38" s="48" t="s">
        <v>4</v>
      </c>
      <c r="LH38" s="49">
        <v>1</v>
      </c>
      <c r="LI38" s="27"/>
      <c r="LJ38" s="42">
        <f t="shared" si="231"/>
        <v>0</v>
      </c>
      <c r="LK38" s="43">
        <f t="shared" si="232"/>
        <v>1</v>
      </c>
      <c r="LM38" s="47">
        <v>1</v>
      </c>
      <c r="LN38" s="48" t="s">
        <v>4</v>
      </c>
      <c r="LO38" s="49">
        <v>2</v>
      </c>
      <c r="LP38" s="27"/>
      <c r="LQ38" s="42">
        <f t="shared" si="233"/>
        <v>2.8</v>
      </c>
      <c r="LR38" s="43">
        <f t="shared" si="234"/>
        <v>-1</v>
      </c>
      <c r="LT38" s="47">
        <v>1</v>
      </c>
      <c r="LU38" s="48" t="s">
        <v>4</v>
      </c>
      <c r="LV38" s="49">
        <v>0</v>
      </c>
      <c r="LW38" s="27"/>
      <c r="LX38" s="42">
        <f t="shared" si="235"/>
        <v>0</v>
      </c>
      <c r="LY38" s="43">
        <f t="shared" si="236"/>
        <v>1</v>
      </c>
      <c r="MA38" s="47">
        <v>3</v>
      </c>
      <c r="MB38" s="48" t="s">
        <v>4</v>
      </c>
      <c r="MC38" s="49">
        <v>0</v>
      </c>
      <c r="MD38" s="27"/>
      <c r="ME38" s="42">
        <f t="shared" si="237"/>
        <v>0</v>
      </c>
      <c r="MF38" s="43">
        <f t="shared" si="238"/>
        <v>3</v>
      </c>
      <c r="MH38" s="47">
        <v>3</v>
      </c>
      <c r="MI38" s="48" t="s">
        <v>4</v>
      </c>
      <c r="MJ38" s="49">
        <v>0</v>
      </c>
      <c r="MK38" s="27"/>
      <c r="ML38" s="42">
        <f t="shared" si="239"/>
        <v>0</v>
      </c>
      <c r="MM38" s="43">
        <f t="shared" si="240"/>
        <v>3</v>
      </c>
      <c r="MO38" s="47">
        <v>2</v>
      </c>
      <c r="MP38" s="48" t="s">
        <v>4</v>
      </c>
      <c r="MQ38" s="49">
        <v>1</v>
      </c>
      <c r="MR38" s="27"/>
      <c r="MS38" s="42">
        <f t="shared" si="241"/>
        <v>0</v>
      </c>
      <c r="MT38" s="43">
        <f t="shared" si="242"/>
        <v>1</v>
      </c>
      <c r="MV38" s="47">
        <v>2</v>
      </c>
      <c r="MW38" s="48" t="s">
        <v>4</v>
      </c>
      <c r="MX38" s="49">
        <v>1</v>
      </c>
      <c r="MY38" s="27"/>
      <c r="MZ38" s="42">
        <f t="shared" si="243"/>
        <v>0</v>
      </c>
      <c r="NA38" s="43">
        <f t="shared" si="244"/>
        <v>1</v>
      </c>
      <c r="NC38" s="47">
        <v>3</v>
      </c>
      <c r="ND38" s="48" t="s">
        <v>4</v>
      </c>
      <c r="NE38" s="49">
        <v>0</v>
      </c>
      <c r="NF38" s="27"/>
      <c r="NG38" s="42">
        <f t="shared" si="245"/>
        <v>0</v>
      </c>
      <c r="NH38" s="43">
        <f t="shared" si="246"/>
        <v>3</v>
      </c>
      <c r="NJ38" s="47">
        <v>4</v>
      </c>
      <c r="NK38" s="48" t="s">
        <v>4</v>
      </c>
      <c r="NL38" s="49">
        <v>1</v>
      </c>
      <c r="NM38" s="27"/>
      <c r="NN38" s="42">
        <f t="shared" si="247"/>
        <v>0</v>
      </c>
      <c r="NO38" s="43">
        <f t="shared" si="248"/>
        <v>3</v>
      </c>
      <c r="NQ38" s="47">
        <v>2</v>
      </c>
      <c r="NR38" s="48" t="s">
        <v>4</v>
      </c>
      <c r="NS38" s="49">
        <v>0</v>
      </c>
      <c r="NT38" s="27"/>
      <c r="NU38" s="42">
        <f t="shared" si="249"/>
        <v>0</v>
      </c>
      <c r="NV38" s="43">
        <f t="shared" si="250"/>
        <v>2</v>
      </c>
      <c r="NX38" s="47">
        <v>2</v>
      </c>
      <c r="NY38" s="48" t="s">
        <v>4</v>
      </c>
      <c r="NZ38" s="49">
        <v>2</v>
      </c>
      <c r="OA38" s="27"/>
      <c r="OB38" s="42">
        <f t="shared" si="251"/>
        <v>0</v>
      </c>
      <c r="OC38" s="43">
        <f t="shared" si="252"/>
        <v>0</v>
      </c>
      <c r="OE38" s="47">
        <v>2</v>
      </c>
      <c r="OF38" s="48" t="s">
        <v>4</v>
      </c>
      <c r="OG38" s="49">
        <v>1</v>
      </c>
      <c r="OH38" s="27"/>
      <c r="OI38" s="42">
        <f t="shared" si="253"/>
        <v>0</v>
      </c>
      <c r="OJ38" s="43">
        <f t="shared" si="254"/>
        <v>1</v>
      </c>
      <c r="OL38" s="47">
        <v>1</v>
      </c>
      <c r="OM38" s="48" t="s">
        <v>4</v>
      </c>
      <c r="ON38" s="49">
        <v>1</v>
      </c>
      <c r="OO38" s="27"/>
      <c r="OP38" s="42">
        <f t="shared" si="255"/>
        <v>0</v>
      </c>
      <c r="OQ38" s="43">
        <f t="shared" si="256"/>
        <v>0</v>
      </c>
      <c r="OS38" s="47">
        <v>2</v>
      </c>
      <c r="OT38" s="48" t="s">
        <v>4</v>
      </c>
      <c r="OU38" s="49">
        <v>1</v>
      </c>
      <c r="OV38" s="27"/>
      <c r="OW38" s="42">
        <f t="shared" si="257"/>
        <v>0</v>
      </c>
      <c r="OX38" s="43">
        <f t="shared" si="258"/>
        <v>1</v>
      </c>
      <c r="OZ38" s="47">
        <v>1</v>
      </c>
      <c r="PA38" s="48" t="s">
        <v>4</v>
      </c>
      <c r="PB38" s="49">
        <v>1</v>
      </c>
      <c r="PC38" s="27"/>
      <c r="PD38" s="42">
        <f t="shared" si="259"/>
        <v>0</v>
      </c>
      <c r="PE38" s="43">
        <f t="shared" si="260"/>
        <v>0</v>
      </c>
      <c r="PG38" s="47">
        <v>2</v>
      </c>
      <c r="PH38" s="48" t="s">
        <v>4</v>
      </c>
      <c r="PI38" s="49">
        <v>1</v>
      </c>
      <c r="PJ38" s="27"/>
      <c r="PK38" s="42">
        <f t="shared" si="261"/>
        <v>0</v>
      </c>
      <c r="PL38" s="43">
        <f t="shared" si="262"/>
        <v>1</v>
      </c>
      <c r="PN38" s="47">
        <v>1</v>
      </c>
      <c r="PO38" s="48" t="s">
        <v>4</v>
      </c>
      <c r="PP38" s="49">
        <v>1</v>
      </c>
      <c r="PQ38" s="27"/>
      <c r="PR38" s="42">
        <f t="shared" si="263"/>
        <v>0</v>
      </c>
      <c r="PS38" s="43">
        <f t="shared" si="264"/>
        <v>0</v>
      </c>
      <c r="PU38" s="47">
        <v>3</v>
      </c>
      <c r="PV38" s="48" t="s">
        <v>4</v>
      </c>
      <c r="PW38" s="49">
        <v>2</v>
      </c>
      <c r="PX38" s="27"/>
      <c r="PY38" s="42">
        <f t="shared" si="265"/>
        <v>0</v>
      </c>
      <c r="PZ38" s="43">
        <f t="shared" si="266"/>
        <v>1</v>
      </c>
      <c r="QB38" s="47">
        <v>2</v>
      </c>
      <c r="QC38" s="48" t="s">
        <v>4</v>
      </c>
      <c r="QD38" s="49">
        <v>2</v>
      </c>
      <c r="QE38" s="27"/>
      <c r="QF38" s="42">
        <f t="shared" si="267"/>
        <v>0</v>
      </c>
      <c r="QG38" s="43">
        <f t="shared" si="268"/>
        <v>0</v>
      </c>
      <c r="QI38" s="47">
        <v>2</v>
      </c>
      <c r="QJ38" s="48" t="s">
        <v>4</v>
      </c>
      <c r="QK38" s="49">
        <v>1</v>
      </c>
      <c r="QL38" s="27"/>
      <c r="QM38" s="42">
        <f t="shared" si="269"/>
        <v>0</v>
      </c>
      <c r="QN38" s="43">
        <f t="shared" si="270"/>
        <v>1</v>
      </c>
      <c r="QP38" s="47">
        <v>0</v>
      </c>
      <c r="QQ38" s="48" t="s">
        <v>4</v>
      </c>
      <c r="QR38" s="49">
        <v>2</v>
      </c>
      <c r="QS38" s="27"/>
      <c r="QT38" s="42">
        <f t="shared" si="271"/>
        <v>2.8</v>
      </c>
      <c r="QU38" s="43">
        <f t="shared" si="272"/>
        <v>-2</v>
      </c>
      <c r="QW38" s="47">
        <v>1</v>
      </c>
      <c r="QX38" s="48" t="s">
        <v>4</v>
      </c>
      <c r="QY38" s="49">
        <v>0</v>
      </c>
      <c r="QZ38" s="27"/>
      <c r="RA38" s="42">
        <f t="shared" si="273"/>
        <v>0</v>
      </c>
      <c r="RB38" s="43">
        <f t="shared" si="274"/>
        <v>1</v>
      </c>
      <c r="RD38" s="47"/>
      <c r="RE38" s="48" t="s">
        <v>4</v>
      </c>
      <c r="RF38" s="49"/>
      <c r="RG38" s="27"/>
      <c r="RH38" s="42" t="str">
        <f t="shared" si="275"/>
        <v/>
      </c>
      <c r="RI38" s="43">
        <f t="shared" si="276"/>
        <v>0</v>
      </c>
      <c r="RK38" s="47">
        <v>1</v>
      </c>
      <c r="RL38" s="48" t="s">
        <v>4</v>
      </c>
      <c r="RM38" s="49">
        <v>1</v>
      </c>
      <c r="RN38" s="27"/>
      <c r="RO38" s="42">
        <f t="shared" si="277"/>
        <v>0</v>
      </c>
      <c r="RP38" s="43">
        <f t="shared" si="278"/>
        <v>0</v>
      </c>
      <c r="RR38" s="47">
        <v>1</v>
      </c>
      <c r="RS38" s="48" t="s">
        <v>4</v>
      </c>
      <c r="RT38" s="49">
        <v>2</v>
      </c>
      <c r="RU38" s="27"/>
      <c r="RV38" s="42">
        <f t="shared" si="279"/>
        <v>2.8</v>
      </c>
      <c r="RW38" s="43">
        <f t="shared" si="280"/>
        <v>-1</v>
      </c>
      <c r="RY38" s="47">
        <v>1</v>
      </c>
      <c r="RZ38" s="48" t="s">
        <v>4</v>
      </c>
      <c r="SA38" s="49">
        <v>2</v>
      </c>
      <c r="SB38" s="27"/>
      <c r="SC38" s="42">
        <f t="shared" si="281"/>
        <v>2.8</v>
      </c>
      <c r="SD38" s="43">
        <f t="shared" si="282"/>
        <v>-1</v>
      </c>
      <c r="SF38" s="47">
        <v>1</v>
      </c>
      <c r="SG38" s="48" t="s">
        <v>4</v>
      </c>
      <c r="SH38" s="49">
        <v>2</v>
      </c>
      <c r="SI38" s="27"/>
      <c r="SJ38" s="42">
        <f t="shared" si="283"/>
        <v>2.8</v>
      </c>
      <c r="SK38" s="43">
        <f t="shared" si="284"/>
        <v>-1</v>
      </c>
      <c r="SM38" s="47">
        <v>3</v>
      </c>
      <c r="SN38" s="48" t="s">
        <v>4</v>
      </c>
      <c r="SO38" s="49">
        <v>1</v>
      </c>
      <c r="SP38" s="27"/>
      <c r="SQ38" s="42">
        <f t="shared" si="285"/>
        <v>0</v>
      </c>
      <c r="SR38" s="43">
        <f t="shared" si="286"/>
        <v>2</v>
      </c>
    </row>
    <row r="39" spans="1:512" customFormat="1" ht="16" customHeight="1" x14ac:dyDescent="0.15">
      <c r="A39" s="34">
        <v>46193</v>
      </c>
      <c r="B39" s="35">
        <v>0.79166666666666663</v>
      </c>
      <c r="C39" s="79" t="s">
        <v>23</v>
      </c>
      <c r="D39" s="80" t="s">
        <v>43</v>
      </c>
      <c r="E39" s="2">
        <v>5</v>
      </c>
      <c r="F39" s="50" t="s">
        <v>4</v>
      </c>
      <c r="G39" s="1">
        <v>1</v>
      </c>
      <c r="H39" s="16">
        <v>2.8</v>
      </c>
      <c r="I39" s="32">
        <f t="shared" si="0"/>
        <v>4</v>
      </c>
      <c r="J39" s="47">
        <v>2</v>
      </c>
      <c r="K39" s="48" t="s">
        <v>4</v>
      </c>
      <c r="L39" s="49">
        <v>2</v>
      </c>
      <c r="M39" s="27"/>
      <c r="N39" s="42">
        <f t="shared" si="1"/>
        <v>0</v>
      </c>
      <c r="O39" s="43">
        <f t="shared" si="2"/>
        <v>0</v>
      </c>
      <c r="P39" s="32"/>
      <c r="Q39" s="47">
        <v>2</v>
      </c>
      <c r="R39" s="48" t="s">
        <v>4</v>
      </c>
      <c r="S39" s="49">
        <v>0</v>
      </c>
      <c r="T39" s="27"/>
      <c r="U39" s="42">
        <f t="shared" si="145"/>
        <v>2.8</v>
      </c>
      <c r="V39" s="43">
        <f t="shared" si="146"/>
        <v>2</v>
      </c>
      <c r="X39" s="47">
        <v>2</v>
      </c>
      <c r="Y39" s="48" t="s">
        <v>4</v>
      </c>
      <c r="Z39" s="49">
        <v>2</v>
      </c>
      <c r="AA39" s="27"/>
      <c r="AB39" s="42">
        <f t="shared" si="147"/>
        <v>0</v>
      </c>
      <c r="AC39" s="43">
        <f t="shared" si="148"/>
        <v>0</v>
      </c>
      <c r="AE39" s="47">
        <v>2</v>
      </c>
      <c r="AF39" s="48" t="s">
        <v>4</v>
      </c>
      <c r="AG39" s="49">
        <v>3</v>
      </c>
      <c r="AH39" s="27"/>
      <c r="AI39" s="42">
        <f t="shared" si="149"/>
        <v>0</v>
      </c>
      <c r="AJ39" s="43">
        <f t="shared" si="150"/>
        <v>-1</v>
      </c>
      <c r="AL39" s="47">
        <v>2</v>
      </c>
      <c r="AM39" s="48" t="s">
        <v>4</v>
      </c>
      <c r="AN39" s="49">
        <v>1</v>
      </c>
      <c r="AO39" s="27"/>
      <c r="AP39" s="42">
        <f t="shared" si="151"/>
        <v>2.8</v>
      </c>
      <c r="AQ39" s="43">
        <f t="shared" si="152"/>
        <v>1</v>
      </c>
      <c r="AS39" s="47">
        <v>2</v>
      </c>
      <c r="AT39" s="48" t="s">
        <v>4</v>
      </c>
      <c r="AU39" s="49">
        <v>2</v>
      </c>
      <c r="AV39" s="27"/>
      <c r="AW39" s="42">
        <f t="shared" si="153"/>
        <v>0</v>
      </c>
      <c r="AX39" s="43">
        <f t="shared" si="154"/>
        <v>0</v>
      </c>
      <c r="AZ39" s="47">
        <v>3</v>
      </c>
      <c r="BA39" s="48" t="s">
        <v>4</v>
      </c>
      <c r="BB39" s="49">
        <v>1</v>
      </c>
      <c r="BC39" s="27"/>
      <c r="BD39" s="42">
        <f t="shared" si="155"/>
        <v>2.8</v>
      </c>
      <c r="BE39" s="43">
        <f t="shared" si="156"/>
        <v>2</v>
      </c>
      <c r="BG39" s="47">
        <v>2</v>
      </c>
      <c r="BH39" s="48" t="s">
        <v>4</v>
      </c>
      <c r="BI39" s="49">
        <v>0</v>
      </c>
      <c r="BJ39" s="27"/>
      <c r="BK39" s="42">
        <f t="shared" si="157"/>
        <v>2.8</v>
      </c>
      <c r="BL39" s="43">
        <f t="shared" si="158"/>
        <v>2</v>
      </c>
      <c r="BN39" s="47">
        <v>2</v>
      </c>
      <c r="BO39" s="48" t="s">
        <v>4</v>
      </c>
      <c r="BP39" s="49">
        <v>2</v>
      </c>
      <c r="BQ39" s="27"/>
      <c r="BR39" s="42">
        <f t="shared" si="159"/>
        <v>0</v>
      </c>
      <c r="BS39" s="43">
        <f t="shared" si="160"/>
        <v>0</v>
      </c>
      <c r="BU39" s="47">
        <v>2</v>
      </c>
      <c r="BV39" s="48" t="s">
        <v>4</v>
      </c>
      <c r="BW39" s="49">
        <v>1</v>
      </c>
      <c r="BX39" s="27"/>
      <c r="BY39" s="42">
        <f t="shared" si="161"/>
        <v>2.8</v>
      </c>
      <c r="BZ39" s="43">
        <f t="shared" si="162"/>
        <v>1</v>
      </c>
      <c r="CB39" s="47">
        <v>2</v>
      </c>
      <c r="CC39" s="48" t="s">
        <v>4</v>
      </c>
      <c r="CD39" s="49">
        <v>2</v>
      </c>
      <c r="CE39" s="27"/>
      <c r="CF39" s="42">
        <f t="shared" si="163"/>
        <v>0</v>
      </c>
      <c r="CG39" s="43">
        <f t="shared" si="164"/>
        <v>0</v>
      </c>
      <c r="CI39" s="47">
        <v>2</v>
      </c>
      <c r="CJ39" s="48" t="s">
        <v>4</v>
      </c>
      <c r="CK39" s="49">
        <v>0</v>
      </c>
      <c r="CL39" s="27"/>
      <c r="CM39" s="42">
        <f t="shared" si="165"/>
        <v>2.8</v>
      </c>
      <c r="CN39" s="43">
        <f t="shared" si="166"/>
        <v>2</v>
      </c>
      <c r="CP39" s="47">
        <v>2</v>
      </c>
      <c r="CQ39" s="48" t="s">
        <v>4</v>
      </c>
      <c r="CR39" s="49">
        <v>0</v>
      </c>
      <c r="CS39" s="27"/>
      <c r="CT39" s="42">
        <f t="shared" si="167"/>
        <v>2.8</v>
      </c>
      <c r="CU39" s="43">
        <f t="shared" si="168"/>
        <v>2</v>
      </c>
      <c r="CW39" s="47">
        <v>2</v>
      </c>
      <c r="CX39" s="48" t="s">
        <v>4</v>
      </c>
      <c r="CY39" s="49">
        <v>0</v>
      </c>
      <c r="CZ39" s="27"/>
      <c r="DA39" s="42">
        <f t="shared" si="169"/>
        <v>2.8</v>
      </c>
      <c r="DB39" s="43">
        <f t="shared" si="170"/>
        <v>2</v>
      </c>
      <c r="DD39" s="47">
        <v>1</v>
      </c>
      <c r="DE39" s="48" t="s">
        <v>4</v>
      </c>
      <c r="DF39" s="49">
        <v>1</v>
      </c>
      <c r="DG39" s="27"/>
      <c r="DH39" s="42">
        <f t="shared" si="171"/>
        <v>0</v>
      </c>
      <c r="DI39" s="43">
        <f t="shared" si="172"/>
        <v>0</v>
      </c>
      <c r="DK39" s="47">
        <v>1</v>
      </c>
      <c r="DL39" s="48" t="s">
        <v>4</v>
      </c>
      <c r="DM39" s="49">
        <v>2</v>
      </c>
      <c r="DN39" s="27"/>
      <c r="DO39" s="42">
        <f t="shared" si="173"/>
        <v>0</v>
      </c>
      <c r="DP39" s="43">
        <f t="shared" si="174"/>
        <v>-1</v>
      </c>
      <c r="DR39" s="47">
        <v>1</v>
      </c>
      <c r="DS39" s="48" t="s">
        <v>4</v>
      </c>
      <c r="DT39" s="49">
        <v>2</v>
      </c>
      <c r="DU39" s="27"/>
      <c r="DV39" s="42">
        <f t="shared" si="175"/>
        <v>0</v>
      </c>
      <c r="DW39" s="43">
        <f t="shared" si="176"/>
        <v>-1</v>
      </c>
      <c r="DY39" s="47">
        <v>2</v>
      </c>
      <c r="DZ39" s="48" t="s">
        <v>4</v>
      </c>
      <c r="EA39" s="49">
        <v>2</v>
      </c>
      <c r="EB39" s="27"/>
      <c r="EC39" s="42">
        <f t="shared" si="177"/>
        <v>0</v>
      </c>
      <c r="ED39" s="43">
        <f t="shared" si="178"/>
        <v>0</v>
      </c>
      <c r="EF39" s="47">
        <v>2</v>
      </c>
      <c r="EG39" s="48" t="s">
        <v>4</v>
      </c>
      <c r="EH39" s="49">
        <v>2</v>
      </c>
      <c r="EI39" s="27"/>
      <c r="EJ39" s="42">
        <f t="shared" si="179"/>
        <v>0</v>
      </c>
      <c r="EK39" s="43">
        <f t="shared" si="180"/>
        <v>0</v>
      </c>
      <c r="EM39" s="47">
        <v>3</v>
      </c>
      <c r="EN39" s="48" t="s">
        <v>4</v>
      </c>
      <c r="EO39" s="49">
        <v>1</v>
      </c>
      <c r="EP39" s="27"/>
      <c r="EQ39" s="42">
        <f t="shared" si="181"/>
        <v>2.8</v>
      </c>
      <c r="ER39" s="43">
        <f t="shared" si="182"/>
        <v>2</v>
      </c>
      <c r="ET39" s="47">
        <v>2</v>
      </c>
      <c r="EU39" s="48" t="s">
        <v>4</v>
      </c>
      <c r="EV39" s="49">
        <v>0</v>
      </c>
      <c r="EW39" s="27"/>
      <c r="EX39" s="42">
        <f t="shared" si="183"/>
        <v>2.8</v>
      </c>
      <c r="EY39" s="43">
        <f t="shared" si="184"/>
        <v>2</v>
      </c>
      <c r="FA39" s="47">
        <v>2</v>
      </c>
      <c r="FB39" s="48" t="s">
        <v>4</v>
      </c>
      <c r="FC39" s="49">
        <v>1</v>
      </c>
      <c r="FD39" s="27"/>
      <c r="FE39" s="42">
        <f t="shared" si="185"/>
        <v>2.8</v>
      </c>
      <c r="FF39" s="43">
        <f t="shared" si="186"/>
        <v>1</v>
      </c>
      <c r="FH39" s="47">
        <v>2</v>
      </c>
      <c r="FI39" s="48" t="s">
        <v>4</v>
      </c>
      <c r="FJ39" s="49">
        <v>1</v>
      </c>
      <c r="FK39" s="27"/>
      <c r="FL39" s="42">
        <f t="shared" si="187"/>
        <v>2.8</v>
      </c>
      <c r="FM39" s="43">
        <f t="shared" si="188"/>
        <v>1</v>
      </c>
      <c r="FO39" s="47">
        <v>3</v>
      </c>
      <c r="FP39" s="48" t="s">
        <v>4</v>
      </c>
      <c r="FQ39" s="49">
        <v>2</v>
      </c>
      <c r="FR39" s="27"/>
      <c r="FS39" s="42">
        <f t="shared" si="189"/>
        <v>2.8</v>
      </c>
      <c r="FT39" s="43">
        <f t="shared" si="190"/>
        <v>1</v>
      </c>
      <c r="FV39" s="47">
        <v>2</v>
      </c>
      <c r="FW39" s="48" t="s">
        <v>4</v>
      </c>
      <c r="FX39" s="49">
        <v>1</v>
      </c>
      <c r="FY39" s="27"/>
      <c r="FZ39" s="42">
        <f t="shared" si="191"/>
        <v>2.8</v>
      </c>
      <c r="GA39" s="43">
        <f t="shared" si="192"/>
        <v>1</v>
      </c>
      <c r="GC39" s="47">
        <v>2</v>
      </c>
      <c r="GD39" s="48" t="s">
        <v>4</v>
      </c>
      <c r="GE39" s="49">
        <v>1</v>
      </c>
      <c r="GF39" s="27"/>
      <c r="GG39" s="42">
        <f t="shared" si="193"/>
        <v>2.8</v>
      </c>
      <c r="GH39" s="43">
        <f t="shared" si="194"/>
        <v>1</v>
      </c>
      <c r="GJ39" s="47">
        <v>1</v>
      </c>
      <c r="GK39" s="48" t="s">
        <v>4</v>
      </c>
      <c r="GL39" s="49">
        <v>1</v>
      </c>
      <c r="GM39" s="27"/>
      <c r="GN39" s="42">
        <f t="shared" si="195"/>
        <v>0</v>
      </c>
      <c r="GO39" s="43">
        <f t="shared" si="196"/>
        <v>0</v>
      </c>
      <c r="GQ39" s="47">
        <v>2</v>
      </c>
      <c r="GR39" s="48" t="s">
        <v>4</v>
      </c>
      <c r="GS39" s="49">
        <v>1</v>
      </c>
      <c r="GT39" s="27"/>
      <c r="GU39" s="42">
        <f t="shared" si="197"/>
        <v>2.8</v>
      </c>
      <c r="GV39" s="43">
        <f t="shared" si="198"/>
        <v>1</v>
      </c>
      <c r="GX39" s="47">
        <v>2</v>
      </c>
      <c r="GY39" s="48" t="s">
        <v>4</v>
      </c>
      <c r="GZ39" s="49">
        <v>1</v>
      </c>
      <c r="HA39" s="27"/>
      <c r="HB39" s="42">
        <f t="shared" si="199"/>
        <v>2.8</v>
      </c>
      <c r="HC39" s="43">
        <f t="shared" si="200"/>
        <v>1</v>
      </c>
      <c r="HE39" s="47">
        <v>1</v>
      </c>
      <c r="HF39" s="48" t="s">
        <v>4</v>
      </c>
      <c r="HG39" s="49">
        <v>1</v>
      </c>
      <c r="HH39" s="27"/>
      <c r="HI39" s="42">
        <f t="shared" si="201"/>
        <v>0</v>
      </c>
      <c r="HJ39" s="43">
        <f t="shared" si="202"/>
        <v>0</v>
      </c>
      <c r="HL39" s="47">
        <v>2</v>
      </c>
      <c r="HM39" s="48" t="s">
        <v>4</v>
      </c>
      <c r="HN39" s="49">
        <v>1</v>
      </c>
      <c r="HO39" s="27"/>
      <c r="HP39" s="42">
        <f t="shared" si="203"/>
        <v>2.8</v>
      </c>
      <c r="HQ39" s="43">
        <f t="shared" si="204"/>
        <v>1</v>
      </c>
      <c r="HS39" s="47">
        <v>2</v>
      </c>
      <c r="HT39" s="48" t="s">
        <v>4</v>
      </c>
      <c r="HU39" s="49">
        <v>0</v>
      </c>
      <c r="HV39" s="27"/>
      <c r="HW39" s="42">
        <f t="shared" si="205"/>
        <v>2.8</v>
      </c>
      <c r="HX39" s="43">
        <f t="shared" si="206"/>
        <v>2</v>
      </c>
      <c r="HZ39" s="47">
        <v>4</v>
      </c>
      <c r="IA39" s="48" t="s">
        <v>4</v>
      </c>
      <c r="IB39" s="49">
        <v>2</v>
      </c>
      <c r="IC39" s="27"/>
      <c r="ID39" s="42">
        <f t="shared" si="207"/>
        <v>2.8</v>
      </c>
      <c r="IE39" s="43">
        <f t="shared" si="208"/>
        <v>2</v>
      </c>
      <c r="IG39" s="47">
        <v>0</v>
      </c>
      <c r="IH39" s="48" t="s">
        <v>4</v>
      </c>
      <c r="II39" s="49">
        <v>0</v>
      </c>
      <c r="IJ39" s="27"/>
      <c r="IK39" s="42">
        <f t="shared" si="209"/>
        <v>0</v>
      </c>
      <c r="IL39" s="43">
        <f t="shared" si="210"/>
        <v>0</v>
      </c>
      <c r="IN39" s="47">
        <v>2</v>
      </c>
      <c r="IO39" s="48" t="s">
        <v>4</v>
      </c>
      <c r="IP39" s="49">
        <v>1</v>
      </c>
      <c r="IQ39" s="27"/>
      <c r="IR39" s="42">
        <f t="shared" si="211"/>
        <v>2.8</v>
      </c>
      <c r="IS39" s="43">
        <f t="shared" si="212"/>
        <v>1</v>
      </c>
      <c r="IU39" s="47">
        <v>2</v>
      </c>
      <c r="IV39" s="48" t="s">
        <v>4</v>
      </c>
      <c r="IW39" s="49">
        <v>0</v>
      </c>
      <c r="IX39" s="27"/>
      <c r="IY39" s="42">
        <f t="shared" si="213"/>
        <v>2.8</v>
      </c>
      <c r="IZ39" s="43">
        <f t="shared" si="214"/>
        <v>2</v>
      </c>
      <c r="JB39" s="47">
        <v>2</v>
      </c>
      <c r="JC39" s="48" t="s">
        <v>4</v>
      </c>
      <c r="JD39" s="49">
        <v>1</v>
      </c>
      <c r="JE39" s="27"/>
      <c r="JF39" s="42">
        <f t="shared" si="215"/>
        <v>2.8</v>
      </c>
      <c r="JG39" s="43">
        <f t="shared" si="216"/>
        <v>1</v>
      </c>
      <c r="JI39" s="47">
        <v>2</v>
      </c>
      <c r="JJ39" s="48" t="s">
        <v>4</v>
      </c>
      <c r="JK39" s="49">
        <v>0</v>
      </c>
      <c r="JL39" s="27"/>
      <c r="JM39" s="42">
        <f t="shared" si="217"/>
        <v>2.8</v>
      </c>
      <c r="JN39" s="43">
        <f t="shared" si="218"/>
        <v>2</v>
      </c>
      <c r="JP39" s="47">
        <v>2</v>
      </c>
      <c r="JQ39" s="48" t="s">
        <v>4</v>
      </c>
      <c r="JR39" s="49">
        <v>1</v>
      </c>
      <c r="JS39" s="27"/>
      <c r="JT39" s="42">
        <f t="shared" si="219"/>
        <v>2.8</v>
      </c>
      <c r="JU39" s="43">
        <f t="shared" si="220"/>
        <v>1</v>
      </c>
      <c r="JW39" s="47">
        <v>2</v>
      </c>
      <c r="JX39" s="48" t="s">
        <v>4</v>
      </c>
      <c r="JY39" s="49">
        <v>1</v>
      </c>
      <c r="JZ39" s="27"/>
      <c r="KA39" s="42">
        <f t="shared" si="221"/>
        <v>2.8</v>
      </c>
      <c r="KB39" s="43">
        <f t="shared" si="222"/>
        <v>1</v>
      </c>
      <c r="KD39" s="47">
        <v>2</v>
      </c>
      <c r="KE39" s="48" t="s">
        <v>4</v>
      </c>
      <c r="KF39" s="49">
        <v>0</v>
      </c>
      <c r="KG39" s="27"/>
      <c r="KH39" s="42">
        <f t="shared" si="223"/>
        <v>2.8</v>
      </c>
      <c r="KI39" s="43">
        <f t="shared" si="224"/>
        <v>2</v>
      </c>
      <c r="KK39" s="47">
        <v>1</v>
      </c>
      <c r="KL39" s="48" t="s">
        <v>4</v>
      </c>
      <c r="KM39" s="49">
        <v>0</v>
      </c>
      <c r="KN39" s="27"/>
      <c r="KO39" s="42">
        <f t="shared" si="225"/>
        <v>2.8</v>
      </c>
      <c r="KP39" s="43">
        <f t="shared" si="226"/>
        <v>1</v>
      </c>
      <c r="KR39" s="47">
        <v>1</v>
      </c>
      <c r="KS39" s="48" t="s">
        <v>4</v>
      </c>
      <c r="KT39" s="49">
        <v>0</v>
      </c>
      <c r="KU39" s="27"/>
      <c r="KV39" s="42">
        <f t="shared" si="227"/>
        <v>2.8</v>
      </c>
      <c r="KW39" s="43">
        <f t="shared" si="228"/>
        <v>1</v>
      </c>
      <c r="KY39" s="47">
        <v>2</v>
      </c>
      <c r="KZ39" s="48" t="s">
        <v>4</v>
      </c>
      <c r="LA39" s="49">
        <v>1</v>
      </c>
      <c r="LB39" s="27"/>
      <c r="LC39" s="42">
        <f t="shared" si="229"/>
        <v>2.8</v>
      </c>
      <c r="LD39" s="43">
        <f t="shared" si="230"/>
        <v>1</v>
      </c>
      <c r="LF39" s="47">
        <v>3</v>
      </c>
      <c r="LG39" s="48" t="s">
        <v>4</v>
      </c>
      <c r="LH39" s="49">
        <v>0</v>
      </c>
      <c r="LI39" s="27"/>
      <c r="LJ39" s="42">
        <f t="shared" si="231"/>
        <v>2.8</v>
      </c>
      <c r="LK39" s="43">
        <f t="shared" si="232"/>
        <v>3</v>
      </c>
      <c r="LM39" s="47">
        <v>1</v>
      </c>
      <c r="LN39" s="48" t="s">
        <v>4</v>
      </c>
      <c r="LO39" s="49">
        <v>0</v>
      </c>
      <c r="LP39" s="27"/>
      <c r="LQ39" s="42">
        <f t="shared" si="233"/>
        <v>2.8</v>
      </c>
      <c r="LR39" s="43">
        <f t="shared" si="234"/>
        <v>1</v>
      </c>
      <c r="LT39" s="47">
        <v>2</v>
      </c>
      <c r="LU39" s="48" t="s">
        <v>4</v>
      </c>
      <c r="LV39" s="49">
        <v>1</v>
      </c>
      <c r="LW39" s="27"/>
      <c r="LX39" s="42">
        <f t="shared" si="235"/>
        <v>2.8</v>
      </c>
      <c r="LY39" s="43">
        <f t="shared" si="236"/>
        <v>1</v>
      </c>
      <c r="MA39" s="47">
        <v>3</v>
      </c>
      <c r="MB39" s="48" t="s">
        <v>4</v>
      </c>
      <c r="MC39" s="49">
        <v>1</v>
      </c>
      <c r="MD39" s="27"/>
      <c r="ME39" s="42">
        <f t="shared" si="237"/>
        <v>2.8</v>
      </c>
      <c r="MF39" s="43">
        <f t="shared" si="238"/>
        <v>2</v>
      </c>
      <c r="MH39" s="47">
        <v>3</v>
      </c>
      <c r="MI39" s="48" t="s">
        <v>4</v>
      </c>
      <c r="MJ39" s="49">
        <v>1</v>
      </c>
      <c r="MK39" s="27"/>
      <c r="ML39" s="42">
        <f t="shared" si="239"/>
        <v>2.8</v>
      </c>
      <c r="MM39" s="43">
        <f t="shared" si="240"/>
        <v>2</v>
      </c>
      <c r="MO39" s="47">
        <v>3</v>
      </c>
      <c r="MP39" s="48" t="s">
        <v>4</v>
      </c>
      <c r="MQ39" s="49">
        <v>1</v>
      </c>
      <c r="MR39" s="27"/>
      <c r="MS39" s="42">
        <f t="shared" si="241"/>
        <v>2.8</v>
      </c>
      <c r="MT39" s="43">
        <f t="shared" si="242"/>
        <v>2</v>
      </c>
      <c r="MV39" s="47">
        <v>3</v>
      </c>
      <c r="MW39" s="48" t="s">
        <v>4</v>
      </c>
      <c r="MX39" s="49">
        <v>2</v>
      </c>
      <c r="MY39" s="27"/>
      <c r="MZ39" s="42">
        <f t="shared" si="243"/>
        <v>2.8</v>
      </c>
      <c r="NA39" s="43">
        <f t="shared" si="244"/>
        <v>1</v>
      </c>
      <c r="NC39" s="47">
        <v>1</v>
      </c>
      <c r="ND39" s="48" t="s">
        <v>4</v>
      </c>
      <c r="NE39" s="49">
        <v>3</v>
      </c>
      <c r="NF39" s="27"/>
      <c r="NG39" s="42">
        <f t="shared" si="245"/>
        <v>0</v>
      </c>
      <c r="NH39" s="43">
        <f t="shared" si="246"/>
        <v>-2</v>
      </c>
      <c r="NJ39" s="47">
        <v>2</v>
      </c>
      <c r="NK39" s="48" t="s">
        <v>4</v>
      </c>
      <c r="NL39" s="49">
        <v>1</v>
      </c>
      <c r="NM39" s="27"/>
      <c r="NN39" s="42">
        <f t="shared" si="247"/>
        <v>2.8</v>
      </c>
      <c r="NO39" s="43">
        <f t="shared" si="248"/>
        <v>1</v>
      </c>
      <c r="NQ39" s="47">
        <v>2</v>
      </c>
      <c r="NR39" s="48" t="s">
        <v>4</v>
      </c>
      <c r="NS39" s="49">
        <v>1</v>
      </c>
      <c r="NT39" s="27"/>
      <c r="NU39" s="42">
        <f t="shared" si="249"/>
        <v>2.8</v>
      </c>
      <c r="NV39" s="43">
        <f t="shared" si="250"/>
        <v>1</v>
      </c>
      <c r="NX39" s="47">
        <v>2</v>
      </c>
      <c r="NY39" s="48" t="s">
        <v>4</v>
      </c>
      <c r="NZ39" s="49">
        <v>1</v>
      </c>
      <c r="OA39" s="27"/>
      <c r="OB39" s="42">
        <f t="shared" si="251"/>
        <v>2.8</v>
      </c>
      <c r="OC39" s="43">
        <f t="shared" si="252"/>
        <v>1</v>
      </c>
      <c r="OE39" s="47">
        <v>3</v>
      </c>
      <c r="OF39" s="48" t="s">
        <v>4</v>
      </c>
      <c r="OG39" s="49">
        <v>2</v>
      </c>
      <c r="OH39" s="27"/>
      <c r="OI39" s="42">
        <f t="shared" si="253"/>
        <v>2.8</v>
      </c>
      <c r="OJ39" s="43">
        <f t="shared" si="254"/>
        <v>1</v>
      </c>
      <c r="OL39" s="47">
        <v>2</v>
      </c>
      <c r="OM39" s="48" t="s">
        <v>4</v>
      </c>
      <c r="ON39" s="49">
        <v>1</v>
      </c>
      <c r="OO39" s="27"/>
      <c r="OP39" s="42">
        <f t="shared" si="255"/>
        <v>2.8</v>
      </c>
      <c r="OQ39" s="43">
        <f t="shared" si="256"/>
        <v>1</v>
      </c>
      <c r="OS39" s="47">
        <v>2</v>
      </c>
      <c r="OT39" s="48" t="s">
        <v>4</v>
      </c>
      <c r="OU39" s="49">
        <v>1</v>
      </c>
      <c r="OV39" s="27"/>
      <c r="OW39" s="42">
        <f t="shared" si="257"/>
        <v>2.8</v>
      </c>
      <c r="OX39" s="43">
        <f t="shared" si="258"/>
        <v>1</v>
      </c>
      <c r="OZ39" s="47">
        <v>2</v>
      </c>
      <c r="PA39" s="48" t="s">
        <v>4</v>
      </c>
      <c r="PB39" s="49">
        <v>1</v>
      </c>
      <c r="PC39" s="27"/>
      <c r="PD39" s="42">
        <f t="shared" si="259"/>
        <v>2.8</v>
      </c>
      <c r="PE39" s="43">
        <f t="shared" si="260"/>
        <v>1</v>
      </c>
      <c r="PG39" s="47">
        <v>2</v>
      </c>
      <c r="PH39" s="48" t="s">
        <v>4</v>
      </c>
      <c r="PI39" s="49">
        <v>0</v>
      </c>
      <c r="PJ39" s="27"/>
      <c r="PK39" s="42">
        <f t="shared" si="261"/>
        <v>2.8</v>
      </c>
      <c r="PL39" s="43">
        <f t="shared" si="262"/>
        <v>2</v>
      </c>
      <c r="PN39" s="47">
        <v>1</v>
      </c>
      <c r="PO39" s="48" t="s">
        <v>4</v>
      </c>
      <c r="PP39" s="49">
        <v>0</v>
      </c>
      <c r="PQ39" s="27"/>
      <c r="PR39" s="42">
        <f t="shared" si="263"/>
        <v>2.8</v>
      </c>
      <c r="PS39" s="43">
        <f t="shared" si="264"/>
        <v>1</v>
      </c>
      <c r="PU39" s="47">
        <v>1</v>
      </c>
      <c r="PV39" s="48" t="s">
        <v>4</v>
      </c>
      <c r="PW39" s="49">
        <v>2</v>
      </c>
      <c r="PX39" s="27"/>
      <c r="PY39" s="42">
        <f t="shared" si="265"/>
        <v>0</v>
      </c>
      <c r="PZ39" s="43">
        <f t="shared" si="266"/>
        <v>-1</v>
      </c>
      <c r="QB39" s="47">
        <v>3</v>
      </c>
      <c r="QC39" s="48" t="s">
        <v>4</v>
      </c>
      <c r="QD39" s="49">
        <v>1</v>
      </c>
      <c r="QE39" s="27"/>
      <c r="QF39" s="42">
        <f t="shared" si="267"/>
        <v>2.8</v>
      </c>
      <c r="QG39" s="43">
        <f t="shared" si="268"/>
        <v>2</v>
      </c>
      <c r="QI39" s="47">
        <v>2</v>
      </c>
      <c r="QJ39" s="48" t="s">
        <v>4</v>
      </c>
      <c r="QK39" s="49">
        <v>1</v>
      </c>
      <c r="QL39" s="27"/>
      <c r="QM39" s="42">
        <f t="shared" si="269"/>
        <v>2.8</v>
      </c>
      <c r="QN39" s="43">
        <f t="shared" si="270"/>
        <v>1</v>
      </c>
      <c r="QP39" s="47">
        <v>1</v>
      </c>
      <c r="QQ39" s="48" t="s">
        <v>4</v>
      </c>
      <c r="QR39" s="49">
        <v>3</v>
      </c>
      <c r="QS39" s="27"/>
      <c r="QT39" s="42">
        <f t="shared" si="271"/>
        <v>0</v>
      </c>
      <c r="QU39" s="43">
        <f t="shared" si="272"/>
        <v>-2</v>
      </c>
      <c r="QW39" s="47">
        <v>2</v>
      </c>
      <c r="QX39" s="48" t="s">
        <v>4</v>
      </c>
      <c r="QY39" s="49">
        <v>1</v>
      </c>
      <c r="QZ39" s="27"/>
      <c r="RA39" s="42">
        <f t="shared" si="273"/>
        <v>2.8</v>
      </c>
      <c r="RB39" s="43">
        <f t="shared" si="274"/>
        <v>1</v>
      </c>
      <c r="RD39" s="47"/>
      <c r="RE39" s="48" t="s">
        <v>4</v>
      </c>
      <c r="RF39" s="49"/>
      <c r="RG39" s="27"/>
      <c r="RH39" s="42" t="str">
        <f t="shared" si="275"/>
        <v/>
      </c>
      <c r="RI39" s="43">
        <f t="shared" si="276"/>
        <v>0</v>
      </c>
      <c r="RK39" s="47">
        <v>0</v>
      </c>
      <c r="RL39" s="48" t="s">
        <v>4</v>
      </c>
      <c r="RM39" s="49">
        <v>0</v>
      </c>
      <c r="RN39" s="27"/>
      <c r="RO39" s="42">
        <f t="shared" si="277"/>
        <v>0</v>
      </c>
      <c r="RP39" s="43">
        <f t="shared" si="278"/>
        <v>0</v>
      </c>
      <c r="RR39" s="47">
        <v>2</v>
      </c>
      <c r="RS39" s="48" t="s">
        <v>4</v>
      </c>
      <c r="RT39" s="49">
        <v>0</v>
      </c>
      <c r="RU39" s="27"/>
      <c r="RV39" s="42">
        <f t="shared" si="279"/>
        <v>2.8</v>
      </c>
      <c r="RW39" s="43">
        <f t="shared" si="280"/>
        <v>2</v>
      </c>
      <c r="RY39" s="47">
        <v>2</v>
      </c>
      <c r="RZ39" s="48" t="s">
        <v>4</v>
      </c>
      <c r="SA39" s="49">
        <v>0</v>
      </c>
      <c r="SB39" s="27"/>
      <c r="SC39" s="42">
        <f t="shared" si="281"/>
        <v>2.8</v>
      </c>
      <c r="SD39" s="43">
        <f t="shared" si="282"/>
        <v>2</v>
      </c>
      <c r="SF39" s="47">
        <v>2</v>
      </c>
      <c r="SG39" s="48" t="s">
        <v>4</v>
      </c>
      <c r="SH39" s="49">
        <v>0</v>
      </c>
      <c r="SI39" s="27"/>
      <c r="SJ39" s="42">
        <f t="shared" si="283"/>
        <v>2.8</v>
      </c>
      <c r="SK39" s="43">
        <f t="shared" si="284"/>
        <v>2</v>
      </c>
      <c r="SM39" s="47">
        <v>2</v>
      </c>
      <c r="SN39" s="48" t="s">
        <v>4</v>
      </c>
      <c r="SO39" s="49">
        <v>2</v>
      </c>
      <c r="SP39" s="27"/>
      <c r="SQ39" s="42">
        <f t="shared" si="285"/>
        <v>0</v>
      </c>
      <c r="SR39" s="43">
        <f t="shared" si="286"/>
        <v>0</v>
      </c>
    </row>
    <row r="40" spans="1:512" customFormat="1" ht="16" customHeight="1" x14ac:dyDescent="0.15">
      <c r="A40" s="34">
        <v>46193</v>
      </c>
      <c r="B40" s="35">
        <v>0.91666666666666663</v>
      </c>
      <c r="C40" s="79" t="s">
        <v>5</v>
      </c>
      <c r="D40" s="81" t="s">
        <v>41</v>
      </c>
      <c r="E40" s="2">
        <v>2</v>
      </c>
      <c r="F40" s="50" t="s">
        <v>4</v>
      </c>
      <c r="G40" s="1">
        <v>1</v>
      </c>
      <c r="H40" s="16">
        <v>2.8</v>
      </c>
      <c r="I40" s="32">
        <f t="shared" si="0"/>
        <v>1</v>
      </c>
      <c r="J40" s="47">
        <v>1</v>
      </c>
      <c r="K40" s="48" t="s">
        <v>4</v>
      </c>
      <c r="L40" s="49">
        <v>0</v>
      </c>
      <c r="M40" s="27"/>
      <c r="N40" s="42">
        <f t="shared" si="1"/>
        <v>2.8</v>
      </c>
      <c r="O40" s="43">
        <f t="shared" si="2"/>
        <v>1</v>
      </c>
      <c r="P40" s="32"/>
      <c r="Q40" s="47">
        <v>3</v>
      </c>
      <c r="R40" s="48" t="s">
        <v>4</v>
      </c>
      <c r="S40" s="49">
        <v>1</v>
      </c>
      <c r="T40" s="27"/>
      <c r="U40" s="42">
        <f t="shared" si="145"/>
        <v>2.8</v>
      </c>
      <c r="V40" s="43">
        <f t="shared" si="146"/>
        <v>2</v>
      </c>
      <c r="X40" s="47">
        <v>2</v>
      </c>
      <c r="Y40" s="48" t="s">
        <v>4</v>
      </c>
      <c r="Z40" s="49">
        <v>1</v>
      </c>
      <c r="AA40" s="27"/>
      <c r="AB40" s="42">
        <f t="shared" si="147"/>
        <v>4.1999999999999993</v>
      </c>
      <c r="AC40" s="43">
        <f t="shared" si="148"/>
        <v>1</v>
      </c>
      <c r="AE40" s="47">
        <v>2</v>
      </c>
      <c r="AF40" s="48" t="s">
        <v>4</v>
      </c>
      <c r="AG40" s="49">
        <v>1</v>
      </c>
      <c r="AH40" s="27"/>
      <c r="AI40" s="42">
        <f t="shared" si="149"/>
        <v>4.1999999999999993</v>
      </c>
      <c r="AJ40" s="43">
        <f t="shared" si="150"/>
        <v>1</v>
      </c>
      <c r="AL40" s="47">
        <v>2</v>
      </c>
      <c r="AM40" s="48" t="s">
        <v>4</v>
      </c>
      <c r="AN40" s="49">
        <v>1</v>
      </c>
      <c r="AO40" s="27"/>
      <c r="AP40" s="42">
        <f t="shared" si="151"/>
        <v>4.1999999999999993</v>
      </c>
      <c r="AQ40" s="43">
        <f t="shared" si="152"/>
        <v>1</v>
      </c>
      <c r="AS40" s="47">
        <v>1</v>
      </c>
      <c r="AT40" s="48" t="s">
        <v>4</v>
      </c>
      <c r="AU40" s="49">
        <v>1</v>
      </c>
      <c r="AV40" s="27"/>
      <c r="AW40" s="42">
        <f t="shared" si="153"/>
        <v>0</v>
      </c>
      <c r="AX40" s="43">
        <f t="shared" si="154"/>
        <v>0</v>
      </c>
      <c r="AZ40" s="47">
        <v>2</v>
      </c>
      <c r="BA40" s="48" t="s">
        <v>4</v>
      </c>
      <c r="BB40" s="49">
        <v>1</v>
      </c>
      <c r="BC40" s="27"/>
      <c r="BD40" s="42">
        <f t="shared" si="155"/>
        <v>4.1999999999999993</v>
      </c>
      <c r="BE40" s="43">
        <f t="shared" si="156"/>
        <v>1</v>
      </c>
      <c r="BG40" s="47">
        <v>2</v>
      </c>
      <c r="BH40" s="48" t="s">
        <v>4</v>
      </c>
      <c r="BI40" s="49">
        <v>1</v>
      </c>
      <c r="BJ40" s="27"/>
      <c r="BK40" s="42">
        <f t="shared" si="157"/>
        <v>4.1999999999999993</v>
      </c>
      <c r="BL40" s="43">
        <f t="shared" si="158"/>
        <v>1</v>
      </c>
      <c r="BN40" s="47">
        <v>2</v>
      </c>
      <c r="BO40" s="48" t="s">
        <v>4</v>
      </c>
      <c r="BP40" s="49">
        <v>2</v>
      </c>
      <c r="BQ40" s="27"/>
      <c r="BR40" s="42">
        <f t="shared" si="159"/>
        <v>0</v>
      </c>
      <c r="BS40" s="43">
        <f t="shared" si="160"/>
        <v>0</v>
      </c>
      <c r="BU40" s="47">
        <v>3</v>
      </c>
      <c r="BV40" s="48" t="s">
        <v>4</v>
      </c>
      <c r="BW40" s="49">
        <v>1</v>
      </c>
      <c r="BX40" s="27"/>
      <c r="BY40" s="42">
        <f t="shared" si="161"/>
        <v>2.8</v>
      </c>
      <c r="BZ40" s="43">
        <f t="shared" si="162"/>
        <v>2</v>
      </c>
      <c r="CB40" s="47">
        <v>3</v>
      </c>
      <c r="CC40" s="48" t="s">
        <v>4</v>
      </c>
      <c r="CD40" s="49">
        <v>1</v>
      </c>
      <c r="CE40" s="27"/>
      <c r="CF40" s="42">
        <f t="shared" si="163"/>
        <v>2.8</v>
      </c>
      <c r="CG40" s="43">
        <f t="shared" si="164"/>
        <v>2</v>
      </c>
      <c r="CI40" s="47">
        <v>3</v>
      </c>
      <c r="CJ40" s="48" t="s">
        <v>4</v>
      </c>
      <c r="CK40" s="49">
        <v>0</v>
      </c>
      <c r="CL40" s="27"/>
      <c r="CM40" s="42">
        <f t="shared" si="165"/>
        <v>2.8</v>
      </c>
      <c r="CN40" s="43">
        <f t="shared" si="166"/>
        <v>3</v>
      </c>
      <c r="CP40" s="47">
        <v>2</v>
      </c>
      <c r="CQ40" s="48" t="s">
        <v>4</v>
      </c>
      <c r="CR40" s="49">
        <v>0</v>
      </c>
      <c r="CS40" s="27"/>
      <c r="CT40" s="42">
        <f t="shared" si="167"/>
        <v>2.8</v>
      </c>
      <c r="CU40" s="43">
        <f t="shared" si="168"/>
        <v>2</v>
      </c>
      <c r="CW40" s="47">
        <v>1</v>
      </c>
      <c r="CX40" s="48" t="s">
        <v>4</v>
      </c>
      <c r="CY40" s="49">
        <v>1</v>
      </c>
      <c r="CZ40" s="27"/>
      <c r="DA40" s="42">
        <f t="shared" si="169"/>
        <v>0</v>
      </c>
      <c r="DB40" s="43">
        <f t="shared" si="170"/>
        <v>0</v>
      </c>
      <c r="DD40" s="47">
        <v>1</v>
      </c>
      <c r="DE40" s="48" t="s">
        <v>4</v>
      </c>
      <c r="DF40" s="49">
        <v>2</v>
      </c>
      <c r="DG40" s="27"/>
      <c r="DH40" s="42">
        <f t="shared" si="171"/>
        <v>0</v>
      </c>
      <c r="DI40" s="43">
        <f t="shared" si="172"/>
        <v>-1</v>
      </c>
      <c r="DK40" s="47">
        <v>1</v>
      </c>
      <c r="DL40" s="48" t="s">
        <v>4</v>
      </c>
      <c r="DM40" s="49">
        <v>1</v>
      </c>
      <c r="DN40" s="27"/>
      <c r="DO40" s="42">
        <f t="shared" si="173"/>
        <v>0</v>
      </c>
      <c r="DP40" s="43">
        <f t="shared" si="174"/>
        <v>0</v>
      </c>
      <c r="DR40" s="47">
        <v>2</v>
      </c>
      <c r="DS40" s="48" t="s">
        <v>4</v>
      </c>
      <c r="DT40" s="49">
        <v>1</v>
      </c>
      <c r="DU40" s="27"/>
      <c r="DV40" s="42">
        <f t="shared" si="175"/>
        <v>4.1999999999999993</v>
      </c>
      <c r="DW40" s="43">
        <f t="shared" si="176"/>
        <v>1</v>
      </c>
      <c r="DY40" s="47">
        <v>1</v>
      </c>
      <c r="DZ40" s="48" t="s">
        <v>4</v>
      </c>
      <c r="EA40" s="49">
        <v>1</v>
      </c>
      <c r="EB40" s="27"/>
      <c r="EC40" s="42">
        <f t="shared" si="177"/>
        <v>0</v>
      </c>
      <c r="ED40" s="43">
        <f t="shared" si="178"/>
        <v>0</v>
      </c>
      <c r="EF40" s="47">
        <v>2</v>
      </c>
      <c r="EG40" s="48" t="s">
        <v>4</v>
      </c>
      <c r="EH40" s="49">
        <v>0</v>
      </c>
      <c r="EI40" s="27"/>
      <c r="EJ40" s="42">
        <f t="shared" si="179"/>
        <v>2.8</v>
      </c>
      <c r="EK40" s="43">
        <f t="shared" si="180"/>
        <v>2</v>
      </c>
      <c r="EM40" s="47">
        <v>2</v>
      </c>
      <c r="EN40" s="48" t="s">
        <v>4</v>
      </c>
      <c r="EO40" s="49">
        <v>1</v>
      </c>
      <c r="EP40" s="27"/>
      <c r="EQ40" s="42">
        <f t="shared" si="181"/>
        <v>4.1999999999999993</v>
      </c>
      <c r="ER40" s="43">
        <f t="shared" si="182"/>
        <v>1</v>
      </c>
      <c r="ET40" s="47">
        <v>2</v>
      </c>
      <c r="EU40" s="48" t="s">
        <v>4</v>
      </c>
      <c r="EV40" s="49">
        <v>2</v>
      </c>
      <c r="EW40" s="27"/>
      <c r="EX40" s="42">
        <f t="shared" si="183"/>
        <v>0</v>
      </c>
      <c r="EY40" s="43">
        <f t="shared" si="184"/>
        <v>0</v>
      </c>
      <c r="FA40" s="47">
        <v>2</v>
      </c>
      <c r="FB40" s="48" t="s">
        <v>4</v>
      </c>
      <c r="FC40" s="49">
        <v>1</v>
      </c>
      <c r="FD40" s="27"/>
      <c r="FE40" s="42">
        <f t="shared" si="185"/>
        <v>4.1999999999999993</v>
      </c>
      <c r="FF40" s="43">
        <f t="shared" si="186"/>
        <v>1</v>
      </c>
      <c r="FH40" s="47">
        <v>2</v>
      </c>
      <c r="FI40" s="48" t="s">
        <v>4</v>
      </c>
      <c r="FJ40" s="49">
        <v>1</v>
      </c>
      <c r="FK40" s="27"/>
      <c r="FL40" s="42">
        <f t="shared" si="187"/>
        <v>4.1999999999999993</v>
      </c>
      <c r="FM40" s="43">
        <f t="shared" si="188"/>
        <v>1</v>
      </c>
      <c r="FO40" s="47">
        <v>3</v>
      </c>
      <c r="FP40" s="48" t="s">
        <v>4</v>
      </c>
      <c r="FQ40" s="49">
        <v>1</v>
      </c>
      <c r="FR40" s="27"/>
      <c r="FS40" s="42">
        <f t="shared" si="189"/>
        <v>2.8</v>
      </c>
      <c r="FT40" s="43">
        <f t="shared" si="190"/>
        <v>2</v>
      </c>
      <c r="FV40" s="47">
        <v>1</v>
      </c>
      <c r="FW40" s="48" t="s">
        <v>4</v>
      </c>
      <c r="FX40" s="49">
        <v>2</v>
      </c>
      <c r="FY40" s="27"/>
      <c r="FZ40" s="42">
        <f t="shared" si="191"/>
        <v>0</v>
      </c>
      <c r="GA40" s="43">
        <f t="shared" si="192"/>
        <v>-1</v>
      </c>
      <c r="GC40" s="47">
        <v>1</v>
      </c>
      <c r="GD40" s="48" t="s">
        <v>4</v>
      </c>
      <c r="GE40" s="49">
        <v>1</v>
      </c>
      <c r="GF40" s="27"/>
      <c r="GG40" s="42">
        <f t="shared" si="193"/>
        <v>0</v>
      </c>
      <c r="GH40" s="43">
        <f t="shared" si="194"/>
        <v>0</v>
      </c>
      <c r="GJ40" s="47">
        <v>2</v>
      </c>
      <c r="GK40" s="48" t="s">
        <v>4</v>
      </c>
      <c r="GL40" s="49">
        <v>1</v>
      </c>
      <c r="GM40" s="27"/>
      <c r="GN40" s="42">
        <f t="shared" si="195"/>
        <v>4.1999999999999993</v>
      </c>
      <c r="GO40" s="43">
        <f t="shared" si="196"/>
        <v>1</v>
      </c>
      <c r="GQ40" s="47">
        <v>2</v>
      </c>
      <c r="GR40" s="48" t="s">
        <v>4</v>
      </c>
      <c r="GS40" s="49">
        <v>1</v>
      </c>
      <c r="GT40" s="27"/>
      <c r="GU40" s="42">
        <f t="shared" si="197"/>
        <v>4.1999999999999993</v>
      </c>
      <c r="GV40" s="43">
        <f t="shared" si="198"/>
        <v>1</v>
      </c>
      <c r="GX40" s="47">
        <v>3</v>
      </c>
      <c r="GY40" s="48" t="s">
        <v>4</v>
      </c>
      <c r="GZ40" s="49">
        <v>2</v>
      </c>
      <c r="HA40" s="27"/>
      <c r="HB40" s="42">
        <f t="shared" si="199"/>
        <v>2.8</v>
      </c>
      <c r="HC40" s="43">
        <f t="shared" si="200"/>
        <v>1</v>
      </c>
      <c r="HE40" s="47">
        <v>3</v>
      </c>
      <c r="HF40" s="48" t="s">
        <v>4</v>
      </c>
      <c r="HG40" s="49">
        <v>1</v>
      </c>
      <c r="HH40" s="27"/>
      <c r="HI40" s="42">
        <f t="shared" si="201"/>
        <v>2.8</v>
      </c>
      <c r="HJ40" s="43">
        <f t="shared" si="202"/>
        <v>2</v>
      </c>
      <c r="HL40" s="47">
        <v>1</v>
      </c>
      <c r="HM40" s="48" t="s">
        <v>4</v>
      </c>
      <c r="HN40" s="49">
        <v>1</v>
      </c>
      <c r="HO40" s="27"/>
      <c r="HP40" s="42">
        <f t="shared" si="203"/>
        <v>0</v>
      </c>
      <c r="HQ40" s="43">
        <f t="shared" si="204"/>
        <v>0</v>
      </c>
      <c r="HS40" s="47">
        <v>2</v>
      </c>
      <c r="HT40" s="48" t="s">
        <v>4</v>
      </c>
      <c r="HU40" s="49">
        <v>0</v>
      </c>
      <c r="HV40" s="27"/>
      <c r="HW40" s="42">
        <f t="shared" si="205"/>
        <v>2.8</v>
      </c>
      <c r="HX40" s="43">
        <f t="shared" si="206"/>
        <v>2</v>
      </c>
      <c r="HZ40" s="47">
        <v>2</v>
      </c>
      <c r="IA40" s="48" t="s">
        <v>4</v>
      </c>
      <c r="IB40" s="49">
        <v>1</v>
      </c>
      <c r="IC40" s="27"/>
      <c r="ID40" s="42">
        <f t="shared" si="207"/>
        <v>4.1999999999999993</v>
      </c>
      <c r="IE40" s="43">
        <f t="shared" si="208"/>
        <v>1</v>
      </c>
      <c r="IG40" s="47">
        <v>0</v>
      </c>
      <c r="IH40" s="48" t="s">
        <v>4</v>
      </c>
      <c r="II40" s="49">
        <v>0</v>
      </c>
      <c r="IJ40" s="27"/>
      <c r="IK40" s="42">
        <f t="shared" si="209"/>
        <v>0</v>
      </c>
      <c r="IL40" s="43">
        <f t="shared" si="210"/>
        <v>0</v>
      </c>
      <c r="IN40" s="47">
        <v>2</v>
      </c>
      <c r="IO40" s="48" t="s">
        <v>4</v>
      </c>
      <c r="IP40" s="49">
        <v>1</v>
      </c>
      <c r="IQ40" s="27"/>
      <c r="IR40" s="42">
        <f t="shared" si="211"/>
        <v>4.1999999999999993</v>
      </c>
      <c r="IS40" s="43">
        <f t="shared" si="212"/>
        <v>1</v>
      </c>
      <c r="IU40" s="47">
        <v>2</v>
      </c>
      <c r="IV40" s="48" t="s">
        <v>4</v>
      </c>
      <c r="IW40" s="49">
        <v>0</v>
      </c>
      <c r="IX40" s="27"/>
      <c r="IY40" s="42">
        <f t="shared" si="213"/>
        <v>2.8</v>
      </c>
      <c r="IZ40" s="43">
        <f t="shared" si="214"/>
        <v>2</v>
      </c>
      <c r="JB40" s="47">
        <v>1</v>
      </c>
      <c r="JC40" s="48" t="s">
        <v>4</v>
      </c>
      <c r="JD40" s="49">
        <v>0</v>
      </c>
      <c r="JE40" s="27"/>
      <c r="JF40" s="42">
        <f t="shared" si="215"/>
        <v>2.8</v>
      </c>
      <c r="JG40" s="43">
        <f t="shared" si="216"/>
        <v>1</v>
      </c>
      <c r="JI40" s="47">
        <v>3</v>
      </c>
      <c r="JJ40" s="48" t="s">
        <v>4</v>
      </c>
      <c r="JK40" s="49">
        <v>1</v>
      </c>
      <c r="JL40" s="27"/>
      <c r="JM40" s="42">
        <f t="shared" si="217"/>
        <v>2.8</v>
      </c>
      <c r="JN40" s="43">
        <f t="shared" si="218"/>
        <v>2</v>
      </c>
      <c r="JP40" s="47">
        <v>2</v>
      </c>
      <c r="JQ40" s="48" t="s">
        <v>4</v>
      </c>
      <c r="JR40" s="49">
        <v>2</v>
      </c>
      <c r="JS40" s="27"/>
      <c r="JT40" s="42">
        <f t="shared" si="219"/>
        <v>0</v>
      </c>
      <c r="JU40" s="43">
        <f t="shared" si="220"/>
        <v>0</v>
      </c>
      <c r="JW40" s="47">
        <v>3</v>
      </c>
      <c r="JX40" s="48" t="s">
        <v>4</v>
      </c>
      <c r="JY40" s="49">
        <v>1</v>
      </c>
      <c r="JZ40" s="27"/>
      <c r="KA40" s="42">
        <f t="shared" si="221"/>
        <v>2.8</v>
      </c>
      <c r="KB40" s="43">
        <f t="shared" si="222"/>
        <v>2</v>
      </c>
      <c r="KD40" s="47">
        <v>4</v>
      </c>
      <c r="KE40" s="48" t="s">
        <v>4</v>
      </c>
      <c r="KF40" s="49">
        <v>0</v>
      </c>
      <c r="KG40" s="27"/>
      <c r="KH40" s="42">
        <f t="shared" si="223"/>
        <v>2.8</v>
      </c>
      <c r="KI40" s="43">
        <f t="shared" si="224"/>
        <v>4</v>
      </c>
      <c r="KK40" s="47">
        <v>1</v>
      </c>
      <c r="KL40" s="48" t="s">
        <v>4</v>
      </c>
      <c r="KM40" s="49">
        <v>1</v>
      </c>
      <c r="KN40" s="27"/>
      <c r="KO40" s="42">
        <f t="shared" si="225"/>
        <v>0</v>
      </c>
      <c r="KP40" s="43">
        <f t="shared" si="226"/>
        <v>0</v>
      </c>
      <c r="KR40" s="47">
        <v>1</v>
      </c>
      <c r="KS40" s="48" t="s">
        <v>4</v>
      </c>
      <c r="KT40" s="49">
        <v>2</v>
      </c>
      <c r="KU40" s="27"/>
      <c r="KV40" s="42">
        <f t="shared" si="227"/>
        <v>0</v>
      </c>
      <c r="KW40" s="43">
        <f t="shared" si="228"/>
        <v>-1</v>
      </c>
      <c r="KY40" s="47">
        <v>2</v>
      </c>
      <c r="KZ40" s="48" t="s">
        <v>4</v>
      </c>
      <c r="LA40" s="49">
        <v>1</v>
      </c>
      <c r="LB40" s="27"/>
      <c r="LC40" s="42">
        <f t="shared" si="229"/>
        <v>4.1999999999999993</v>
      </c>
      <c r="LD40" s="43">
        <f t="shared" si="230"/>
        <v>1</v>
      </c>
      <c r="LF40" s="47">
        <v>4</v>
      </c>
      <c r="LG40" s="48" t="s">
        <v>4</v>
      </c>
      <c r="LH40" s="49">
        <v>2</v>
      </c>
      <c r="LI40" s="27"/>
      <c r="LJ40" s="42">
        <f t="shared" si="231"/>
        <v>2.8</v>
      </c>
      <c r="LK40" s="43">
        <f t="shared" si="232"/>
        <v>2</v>
      </c>
      <c r="LM40" s="47">
        <v>3</v>
      </c>
      <c r="LN40" s="48" t="s">
        <v>4</v>
      </c>
      <c r="LO40" s="49">
        <v>1</v>
      </c>
      <c r="LP40" s="27"/>
      <c r="LQ40" s="42">
        <f t="shared" si="233"/>
        <v>2.8</v>
      </c>
      <c r="LR40" s="43">
        <f t="shared" si="234"/>
        <v>2</v>
      </c>
      <c r="LT40" s="47">
        <v>2</v>
      </c>
      <c r="LU40" s="48" t="s">
        <v>4</v>
      </c>
      <c r="LV40" s="49">
        <v>0</v>
      </c>
      <c r="LW40" s="27"/>
      <c r="LX40" s="42">
        <f t="shared" si="235"/>
        <v>2.8</v>
      </c>
      <c r="LY40" s="43">
        <f t="shared" si="236"/>
        <v>2</v>
      </c>
      <c r="MA40" s="47">
        <v>3</v>
      </c>
      <c r="MB40" s="48" t="s">
        <v>4</v>
      </c>
      <c r="MC40" s="49">
        <v>2</v>
      </c>
      <c r="MD40" s="27"/>
      <c r="ME40" s="42">
        <f t="shared" si="237"/>
        <v>2.8</v>
      </c>
      <c r="MF40" s="43">
        <f t="shared" si="238"/>
        <v>1</v>
      </c>
      <c r="MH40" s="47">
        <v>3</v>
      </c>
      <c r="MI40" s="48" t="s">
        <v>4</v>
      </c>
      <c r="MJ40" s="49">
        <v>1</v>
      </c>
      <c r="MK40" s="27"/>
      <c r="ML40" s="42">
        <f t="shared" si="239"/>
        <v>2.8</v>
      </c>
      <c r="MM40" s="43">
        <f t="shared" si="240"/>
        <v>2</v>
      </c>
      <c r="MO40" s="47">
        <v>4</v>
      </c>
      <c r="MP40" s="48" t="s">
        <v>4</v>
      </c>
      <c r="MQ40" s="49">
        <v>0</v>
      </c>
      <c r="MR40" s="27"/>
      <c r="MS40" s="42">
        <f t="shared" si="241"/>
        <v>2.8</v>
      </c>
      <c r="MT40" s="43">
        <f t="shared" si="242"/>
        <v>4</v>
      </c>
      <c r="MV40" s="47">
        <v>3</v>
      </c>
      <c r="MW40" s="48" t="s">
        <v>4</v>
      </c>
      <c r="MX40" s="49">
        <v>1</v>
      </c>
      <c r="MY40" s="27"/>
      <c r="MZ40" s="42">
        <f t="shared" si="243"/>
        <v>2.8</v>
      </c>
      <c r="NA40" s="43">
        <f t="shared" si="244"/>
        <v>2</v>
      </c>
      <c r="NC40" s="47">
        <v>3</v>
      </c>
      <c r="ND40" s="48" t="s">
        <v>4</v>
      </c>
      <c r="NE40" s="49">
        <v>1</v>
      </c>
      <c r="NF40" s="27"/>
      <c r="NG40" s="42">
        <f t="shared" si="245"/>
        <v>2.8</v>
      </c>
      <c r="NH40" s="43">
        <f t="shared" si="246"/>
        <v>2</v>
      </c>
      <c r="NJ40" s="47">
        <v>1</v>
      </c>
      <c r="NK40" s="48" t="s">
        <v>4</v>
      </c>
      <c r="NL40" s="49">
        <v>2</v>
      </c>
      <c r="NM40" s="27"/>
      <c r="NN40" s="42">
        <f t="shared" si="247"/>
        <v>0</v>
      </c>
      <c r="NO40" s="43">
        <f t="shared" si="248"/>
        <v>-1</v>
      </c>
      <c r="NQ40" s="47">
        <v>2</v>
      </c>
      <c r="NR40" s="48" t="s">
        <v>4</v>
      </c>
      <c r="NS40" s="49">
        <v>1</v>
      </c>
      <c r="NT40" s="27"/>
      <c r="NU40" s="42">
        <f t="shared" si="249"/>
        <v>4.1999999999999993</v>
      </c>
      <c r="NV40" s="43">
        <f t="shared" si="250"/>
        <v>1</v>
      </c>
      <c r="NX40" s="47">
        <v>2</v>
      </c>
      <c r="NY40" s="48" t="s">
        <v>4</v>
      </c>
      <c r="NZ40" s="49">
        <v>1</v>
      </c>
      <c r="OA40" s="27"/>
      <c r="OB40" s="42">
        <f t="shared" si="251"/>
        <v>4.1999999999999993</v>
      </c>
      <c r="OC40" s="43">
        <f t="shared" si="252"/>
        <v>1</v>
      </c>
      <c r="OE40" s="47">
        <v>2</v>
      </c>
      <c r="OF40" s="48" t="s">
        <v>4</v>
      </c>
      <c r="OG40" s="49">
        <v>1</v>
      </c>
      <c r="OH40" s="27"/>
      <c r="OI40" s="42">
        <f t="shared" si="253"/>
        <v>4.1999999999999993</v>
      </c>
      <c r="OJ40" s="43">
        <f t="shared" si="254"/>
        <v>1</v>
      </c>
      <c r="OL40" s="47">
        <v>3</v>
      </c>
      <c r="OM40" s="48" t="s">
        <v>4</v>
      </c>
      <c r="ON40" s="49">
        <v>1</v>
      </c>
      <c r="OO40" s="27"/>
      <c r="OP40" s="42">
        <f t="shared" si="255"/>
        <v>2.8</v>
      </c>
      <c r="OQ40" s="43">
        <f t="shared" si="256"/>
        <v>2</v>
      </c>
      <c r="OS40" s="47">
        <v>4</v>
      </c>
      <c r="OT40" s="48" t="s">
        <v>4</v>
      </c>
      <c r="OU40" s="49">
        <v>1</v>
      </c>
      <c r="OV40" s="27"/>
      <c r="OW40" s="42">
        <f t="shared" si="257"/>
        <v>2.8</v>
      </c>
      <c r="OX40" s="43">
        <f t="shared" si="258"/>
        <v>3</v>
      </c>
      <c r="OZ40" s="47">
        <v>1</v>
      </c>
      <c r="PA40" s="48" t="s">
        <v>4</v>
      </c>
      <c r="PB40" s="49">
        <v>0</v>
      </c>
      <c r="PC40" s="27"/>
      <c r="PD40" s="42">
        <f t="shared" si="259"/>
        <v>2.8</v>
      </c>
      <c r="PE40" s="43">
        <f t="shared" si="260"/>
        <v>1</v>
      </c>
      <c r="PG40" s="47">
        <v>2</v>
      </c>
      <c r="PH40" s="48" t="s">
        <v>4</v>
      </c>
      <c r="PI40" s="49">
        <v>1</v>
      </c>
      <c r="PJ40" s="27"/>
      <c r="PK40" s="42">
        <f t="shared" si="261"/>
        <v>4.1999999999999993</v>
      </c>
      <c r="PL40" s="43">
        <f t="shared" si="262"/>
        <v>1</v>
      </c>
      <c r="PN40" s="47">
        <v>2</v>
      </c>
      <c r="PO40" s="48" t="s">
        <v>4</v>
      </c>
      <c r="PP40" s="49">
        <v>0</v>
      </c>
      <c r="PQ40" s="27"/>
      <c r="PR40" s="42">
        <f t="shared" si="263"/>
        <v>2.8</v>
      </c>
      <c r="PS40" s="43">
        <f t="shared" si="264"/>
        <v>2</v>
      </c>
      <c r="PU40" s="47">
        <v>2</v>
      </c>
      <c r="PV40" s="48" t="s">
        <v>4</v>
      </c>
      <c r="PW40" s="49">
        <v>1</v>
      </c>
      <c r="PX40" s="27"/>
      <c r="PY40" s="42">
        <f t="shared" si="265"/>
        <v>4.1999999999999993</v>
      </c>
      <c r="PZ40" s="43">
        <f t="shared" si="266"/>
        <v>1</v>
      </c>
      <c r="QB40" s="47">
        <v>3</v>
      </c>
      <c r="QC40" s="48" t="s">
        <v>4</v>
      </c>
      <c r="QD40" s="49">
        <v>1</v>
      </c>
      <c r="QE40" s="27"/>
      <c r="QF40" s="42">
        <f t="shared" si="267"/>
        <v>2.8</v>
      </c>
      <c r="QG40" s="43">
        <f t="shared" si="268"/>
        <v>2</v>
      </c>
      <c r="QI40" s="47">
        <v>2</v>
      </c>
      <c r="QJ40" s="48" t="s">
        <v>4</v>
      </c>
      <c r="QK40" s="49">
        <v>0</v>
      </c>
      <c r="QL40" s="27"/>
      <c r="QM40" s="42">
        <f t="shared" si="269"/>
        <v>2.8</v>
      </c>
      <c r="QN40" s="43">
        <f t="shared" si="270"/>
        <v>2</v>
      </c>
      <c r="QP40" s="47">
        <v>2</v>
      </c>
      <c r="QQ40" s="48" t="s">
        <v>4</v>
      </c>
      <c r="QR40" s="49">
        <v>0</v>
      </c>
      <c r="QS40" s="27"/>
      <c r="QT40" s="42">
        <f t="shared" si="271"/>
        <v>2.8</v>
      </c>
      <c r="QU40" s="43">
        <f t="shared" si="272"/>
        <v>2</v>
      </c>
      <c r="QW40" s="47">
        <v>1</v>
      </c>
      <c r="QX40" s="48" t="s">
        <v>4</v>
      </c>
      <c r="QY40" s="49">
        <v>0</v>
      </c>
      <c r="QZ40" s="27"/>
      <c r="RA40" s="42">
        <f t="shared" si="273"/>
        <v>2.8</v>
      </c>
      <c r="RB40" s="43">
        <f t="shared" si="274"/>
        <v>1</v>
      </c>
      <c r="RD40" s="47"/>
      <c r="RE40" s="48" t="s">
        <v>4</v>
      </c>
      <c r="RF40" s="49"/>
      <c r="RG40" s="27"/>
      <c r="RH40" s="42" t="str">
        <f t="shared" si="275"/>
        <v/>
      </c>
      <c r="RI40" s="43">
        <f t="shared" si="276"/>
        <v>0</v>
      </c>
      <c r="RK40" s="47">
        <v>2</v>
      </c>
      <c r="RL40" s="48" t="s">
        <v>4</v>
      </c>
      <c r="RM40" s="49">
        <v>0</v>
      </c>
      <c r="RN40" s="27"/>
      <c r="RO40" s="42">
        <f t="shared" si="277"/>
        <v>2.8</v>
      </c>
      <c r="RP40" s="43">
        <f t="shared" si="278"/>
        <v>2</v>
      </c>
      <c r="RR40" s="47">
        <v>3</v>
      </c>
      <c r="RS40" s="48" t="s">
        <v>4</v>
      </c>
      <c r="RT40" s="49">
        <v>0</v>
      </c>
      <c r="RU40" s="27"/>
      <c r="RV40" s="42">
        <f t="shared" si="279"/>
        <v>2.8</v>
      </c>
      <c r="RW40" s="43">
        <f t="shared" si="280"/>
        <v>3</v>
      </c>
      <c r="RY40" s="47">
        <v>3</v>
      </c>
      <c r="RZ40" s="48" t="s">
        <v>4</v>
      </c>
      <c r="SA40" s="49">
        <v>0</v>
      </c>
      <c r="SB40" s="27"/>
      <c r="SC40" s="42">
        <f t="shared" si="281"/>
        <v>2.8</v>
      </c>
      <c r="SD40" s="43">
        <f t="shared" si="282"/>
        <v>3</v>
      </c>
      <c r="SF40" s="47">
        <v>3</v>
      </c>
      <c r="SG40" s="48" t="s">
        <v>4</v>
      </c>
      <c r="SH40" s="49">
        <v>0</v>
      </c>
      <c r="SI40" s="27"/>
      <c r="SJ40" s="42">
        <f t="shared" si="283"/>
        <v>2.8</v>
      </c>
      <c r="SK40" s="43">
        <f t="shared" si="284"/>
        <v>3</v>
      </c>
      <c r="SM40" s="47">
        <v>1</v>
      </c>
      <c r="SN40" s="48" t="s">
        <v>4</v>
      </c>
      <c r="SO40" s="49">
        <v>2</v>
      </c>
      <c r="SP40" s="27"/>
      <c r="SQ40" s="42">
        <f t="shared" si="285"/>
        <v>0</v>
      </c>
      <c r="SR40" s="43">
        <f t="shared" si="286"/>
        <v>-1</v>
      </c>
    </row>
    <row r="41" spans="1:512" customFormat="1" ht="16" customHeight="1" x14ac:dyDescent="0.15">
      <c r="A41" s="34">
        <v>46194</v>
      </c>
      <c r="B41" s="35">
        <v>8.3333333333333329E-2</v>
      </c>
      <c r="C41" s="79" t="s">
        <v>42</v>
      </c>
      <c r="D41" s="81" t="s">
        <v>39</v>
      </c>
      <c r="E41" s="2">
        <v>0</v>
      </c>
      <c r="F41" s="50" t="s">
        <v>4</v>
      </c>
      <c r="G41" s="1">
        <v>0</v>
      </c>
      <c r="H41" s="16">
        <v>3</v>
      </c>
      <c r="I41" s="32">
        <f t="shared" si="0"/>
        <v>0</v>
      </c>
      <c r="J41" s="47">
        <v>0</v>
      </c>
      <c r="K41" s="48" t="s">
        <v>4</v>
      </c>
      <c r="L41" s="49">
        <v>0</v>
      </c>
      <c r="M41" s="27"/>
      <c r="N41" s="42">
        <f t="shared" si="1"/>
        <v>4.5</v>
      </c>
      <c r="O41" s="43">
        <f t="shared" si="2"/>
        <v>0</v>
      </c>
      <c r="P41" s="32"/>
      <c r="Q41" s="47">
        <v>3</v>
      </c>
      <c r="R41" s="48" t="s">
        <v>4</v>
      </c>
      <c r="S41" s="49">
        <v>0</v>
      </c>
      <c r="T41" s="27"/>
      <c r="U41" s="42">
        <f t="shared" si="145"/>
        <v>0</v>
      </c>
      <c r="V41" s="43">
        <f t="shared" si="146"/>
        <v>3</v>
      </c>
      <c r="X41" s="47">
        <v>3</v>
      </c>
      <c r="Y41" s="48" t="s">
        <v>4</v>
      </c>
      <c r="Z41" s="49">
        <v>1</v>
      </c>
      <c r="AA41" s="27"/>
      <c r="AB41" s="42">
        <f t="shared" si="147"/>
        <v>0</v>
      </c>
      <c r="AC41" s="43">
        <f t="shared" si="148"/>
        <v>2</v>
      </c>
      <c r="AE41" s="47">
        <v>2</v>
      </c>
      <c r="AF41" s="48" t="s">
        <v>4</v>
      </c>
      <c r="AG41" s="49">
        <v>0</v>
      </c>
      <c r="AH41" s="27"/>
      <c r="AI41" s="42">
        <f t="shared" si="149"/>
        <v>0</v>
      </c>
      <c r="AJ41" s="43">
        <f t="shared" si="150"/>
        <v>2</v>
      </c>
      <c r="AL41" s="47">
        <v>2</v>
      </c>
      <c r="AM41" s="48" t="s">
        <v>4</v>
      </c>
      <c r="AN41" s="49">
        <v>0</v>
      </c>
      <c r="AO41" s="27"/>
      <c r="AP41" s="42">
        <f t="shared" si="151"/>
        <v>0</v>
      </c>
      <c r="AQ41" s="43">
        <f t="shared" si="152"/>
        <v>2</v>
      </c>
      <c r="AS41" s="47">
        <v>2</v>
      </c>
      <c r="AT41" s="48" t="s">
        <v>4</v>
      </c>
      <c r="AU41" s="49">
        <v>0</v>
      </c>
      <c r="AV41" s="27"/>
      <c r="AW41" s="42">
        <f t="shared" si="153"/>
        <v>0</v>
      </c>
      <c r="AX41" s="43">
        <f t="shared" si="154"/>
        <v>2</v>
      </c>
      <c r="AZ41" s="47">
        <v>4</v>
      </c>
      <c r="BA41" s="48" t="s">
        <v>4</v>
      </c>
      <c r="BB41" s="49">
        <v>0</v>
      </c>
      <c r="BC41" s="27"/>
      <c r="BD41" s="42">
        <f t="shared" si="155"/>
        <v>0</v>
      </c>
      <c r="BE41" s="43">
        <f t="shared" si="156"/>
        <v>4</v>
      </c>
      <c r="BG41" s="47">
        <v>2</v>
      </c>
      <c r="BH41" s="48" t="s">
        <v>4</v>
      </c>
      <c r="BI41" s="49">
        <v>0</v>
      </c>
      <c r="BJ41" s="27"/>
      <c r="BK41" s="42">
        <f t="shared" si="157"/>
        <v>0</v>
      </c>
      <c r="BL41" s="43">
        <f t="shared" si="158"/>
        <v>2</v>
      </c>
      <c r="BN41" s="47">
        <v>3</v>
      </c>
      <c r="BO41" s="48" t="s">
        <v>4</v>
      </c>
      <c r="BP41" s="49">
        <v>1</v>
      </c>
      <c r="BQ41" s="27"/>
      <c r="BR41" s="42">
        <f t="shared" si="159"/>
        <v>0</v>
      </c>
      <c r="BS41" s="43">
        <f t="shared" si="160"/>
        <v>2</v>
      </c>
      <c r="BU41" s="47">
        <v>0</v>
      </c>
      <c r="BV41" s="48"/>
      <c r="BW41" s="49">
        <v>0</v>
      </c>
      <c r="BX41" s="27"/>
      <c r="BY41" s="42">
        <f t="shared" si="161"/>
        <v>4.5</v>
      </c>
      <c r="BZ41" s="43">
        <f t="shared" si="162"/>
        <v>0</v>
      </c>
      <c r="CB41" s="47">
        <v>1</v>
      </c>
      <c r="CC41" s="48" t="s">
        <v>4</v>
      </c>
      <c r="CD41" s="49">
        <v>0</v>
      </c>
      <c r="CE41" s="27"/>
      <c r="CF41" s="42">
        <f t="shared" si="163"/>
        <v>0</v>
      </c>
      <c r="CG41" s="43">
        <f t="shared" si="164"/>
        <v>1</v>
      </c>
      <c r="CI41" s="47">
        <v>3</v>
      </c>
      <c r="CJ41" s="48" t="s">
        <v>4</v>
      </c>
      <c r="CK41" s="49">
        <v>1</v>
      </c>
      <c r="CL41" s="27"/>
      <c r="CM41" s="42">
        <f t="shared" si="165"/>
        <v>0</v>
      </c>
      <c r="CN41" s="43">
        <f t="shared" si="166"/>
        <v>2</v>
      </c>
      <c r="CP41" s="47">
        <v>1</v>
      </c>
      <c r="CQ41" s="48" t="s">
        <v>4</v>
      </c>
      <c r="CR41" s="49">
        <v>0</v>
      </c>
      <c r="CS41" s="27"/>
      <c r="CT41" s="42">
        <f t="shared" si="167"/>
        <v>0</v>
      </c>
      <c r="CU41" s="43">
        <f t="shared" si="168"/>
        <v>1</v>
      </c>
      <c r="CW41" s="47">
        <v>2</v>
      </c>
      <c r="CX41" s="48" t="s">
        <v>4</v>
      </c>
      <c r="CY41" s="49">
        <v>0</v>
      </c>
      <c r="CZ41" s="27"/>
      <c r="DA41" s="42">
        <f t="shared" si="169"/>
        <v>0</v>
      </c>
      <c r="DB41" s="43">
        <f t="shared" si="170"/>
        <v>2</v>
      </c>
      <c r="DD41" s="47">
        <v>1</v>
      </c>
      <c r="DE41" s="48" t="s">
        <v>4</v>
      </c>
      <c r="DF41" s="49">
        <v>0</v>
      </c>
      <c r="DG41" s="27"/>
      <c r="DH41" s="42">
        <f t="shared" si="171"/>
        <v>0</v>
      </c>
      <c r="DI41" s="43">
        <f t="shared" si="172"/>
        <v>1</v>
      </c>
      <c r="DK41" s="47">
        <v>2</v>
      </c>
      <c r="DL41" s="48" t="s">
        <v>4</v>
      </c>
      <c r="DM41" s="49">
        <v>0</v>
      </c>
      <c r="DN41" s="27"/>
      <c r="DO41" s="42">
        <f t="shared" si="173"/>
        <v>0</v>
      </c>
      <c r="DP41" s="43">
        <f t="shared" si="174"/>
        <v>2</v>
      </c>
      <c r="DR41" s="47">
        <v>4</v>
      </c>
      <c r="DS41" s="48" t="s">
        <v>4</v>
      </c>
      <c r="DT41" s="49">
        <v>0</v>
      </c>
      <c r="DU41" s="27"/>
      <c r="DV41" s="42">
        <f t="shared" si="175"/>
        <v>0</v>
      </c>
      <c r="DW41" s="43">
        <f t="shared" si="176"/>
        <v>4</v>
      </c>
      <c r="DY41" s="47">
        <v>3</v>
      </c>
      <c r="DZ41" s="48" t="s">
        <v>4</v>
      </c>
      <c r="EA41" s="49">
        <v>1</v>
      </c>
      <c r="EB41" s="27"/>
      <c r="EC41" s="42">
        <f t="shared" si="177"/>
        <v>0</v>
      </c>
      <c r="ED41" s="43">
        <f t="shared" si="178"/>
        <v>2</v>
      </c>
      <c r="EF41" s="47">
        <v>1</v>
      </c>
      <c r="EG41" s="48" t="s">
        <v>4</v>
      </c>
      <c r="EH41" s="49">
        <v>0</v>
      </c>
      <c r="EI41" s="27"/>
      <c r="EJ41" s="42">
        <f t="shared" si="179"/>
        <v>0</v>
      </c>
      <c r="EK41" s="43">
        <f t="shared" si="180"/>
        <v>1</v>
      </c>
      <c r="EM41" s="47">
        <v>4</v>
      </c>
      <c r="EN41" s="48" t="s">
        <v>4</v>
      </c>
      <c r="EO41" s="49">
        <v>2</v>
      </c>
      <c r="EP41" s="27"/>
      <c r="EQ41" s="42">
        <f t="shared" si="181"/>
        <v>0</v>
      </c>
      <c r="ER41" s="43">
        <f t="shared" si="182"/>
        <v>2</v>
      </c>
      <c r="ET41" s="47">
        <v>2</v>
      </c>
      <c r="EU41" s="48" t="s">
        <v>4</v>
      </c>
      <c r="EV41" s="49">
        <v>1</v>
      </c>
      <c r="EW41" s="27"/>
      <c r="EX41" s="42">
        <f t="shared" si="183"/>
        <v>0</v>
      </c>
      <c r="EY41" s="43">
        <f t="shared" si="184"/>
        <v>1</v>
      </c>
      <c r="FA41" s="47">
        <v>2</v>
      </c>
      <c r="FB41" s="48" t="s">
        <v>4</v>
      </c>
      <c r="FC41" s="49">
        <v>0</v>
      </c>
      <c r="FD41" s="27"/>
      <c r="FE41" s="42">
        <f t="shared" si="185"/>
        <v>0</v>
      </c>
      <c r="FF41" s="43">
        <f t="shared" si="186"/>
        <v>2</v>
      </c>
      <c r="FH41" s="47">
        <v>3</v>
      </c>
      <c r="FI41" s="48" t="s">
        <v>4</v>
      </c>
      <c r="FJ41" s="49">
        <v>0</v>
      </c>
      <c r="FK41" s="27"/>
      <c r="FL41" s="42">
        <f t="shared" si="187"/>
        <v>0</v>
      </c>
      <c r="FM41" s="43">
        <f t="shared" si="188"/>
        <v>3</v>
      </c>
      <c r="FO41" s="47">
        <v>1</v>
      </c>
      <c r="FP41" s="48" t="s">
        <v>4</v>
      </c>
      <c r="FQ41" s="49">
        <v>1</v>
      </c>
      <c r="FR41" s="27"/>
      <c r="FS41" s="42">
        <f t="shared" si="189"/>
        <v>3</v>
      </c>
      <c r="FT41" s="43">
        <f t="shared" si="190"/>
        <v>0</v>
      </c>
      <c r="FV41" s="47">
        <v>3</v>
      </c>
      <c r="FW41" s="48" t="s">
        <v>4</v>
      </c>
      <c r="FX41" s="49">
        <v>0</v>
      </c>
      <c r="FY41" s="27"/>
      <c r="FZ41" s="42">
        <f t="shared" si="191"/>
        <v>0</v>
      </c>
      <c r="GA41" s="43">
        <f t="shared" si="192"/>
        <v>3</v>
      </c>
      <c r="GC41" s="47">
        <v>3</v>
      </c>
      <c r="GD41" s="48" t="s">
        <v>4</v>
      </c>
      <c r="GE41" s="49">
        <v>0</v>
      </c>
      <c r="GF41" s="27"/>
      <c r="GG41" s="42">
        <f t="shared" si="193"/>
        <v>0</v>
      </c>
      <c r="GH41" s="43">
        <f t="shared" si="194"/>
        <v>3</v>
      </c>
      <c r="GJ41" s="47">
        <v>2</v>
      </c>
      <c r="GK41" s="48" t="s">
        <v>4</v>
      </c>
      <c r="GL41" s="49">
        <v>0</v>
      </c>
      <c r="GM41" s="27"/>
      <c r="GN41" s="42">
        <f t="shared" si="195"/>
        <v>0</v>
      </c>
      <c r="GO41" s="43">
        <f t="shared" si="196"/>
        <v>2</v>
      </c>
      <c r="GQ41" s="47">
        <v>2</v>
      </c>
      <c r="GR41" s="48" t="s">
        <v>4</v>
      </c>
      <c r="GS41" s="49">
        <v>0</v>
      </c>
      <c r="GT41" s="27"/>
      <c r="GU41" s="42">
        <f t="shared" si="197"/>
        <v>0</v>
      </c>
      <c r="GV41" s="43">
        <f t="shared" si="198"/>
        <v>2</v>
      </c>
      <c r="GX41" s="47">
        <v>3</v>
      </c>
      <c r="GY41" s="48" t="s">
        <v>4</v>
      </c>
      <c r="GZ41" s="49">
        <v>0</v>
      </c>
      <c r="HA41" s="27"/>
      <c r="HB41" s="42">
        <f t="shared" si="199"/>
        <v>0</v>
      </c>
      <c r="HC41" s="43">
        <f t="shared" si="200"/>
        <v>3</v>
      </c>
      <c r="HE41" s="47">
        <v>3</v>
      </c>
      <c r="HF41" s="48" t="s">
        <v>4</v>
      </c>
      <c r="HG41" s="49">
        <v>0</v>
      </c>
      <c r="HH41" s="27"/>
      <c r="HI41" s="42">
        <f t="shared" si="201"/>
        <v>0</v>
      </c>
      <c r="HJ41" s="43">
        <f t="shared" si="202"/>
        <v>3</v>
      </c>
      <c r="HL41" s="47">
        <v>3</v>
      </c>
      <c r="HM41" s="48" t="s">
        <v>4</v>
      </c>
      <c r="HN41" s="49">
        <v>0</v>
      </c>
      <c r="HO41" s="27"/>
      <c r="HP41" s="42">
        <f t="shared" si="203"/>
        <v>0</v>
      </c>
      <c r="HQ41" s="43">
        <f t="shared" si="204"/>
        <v>3</v>
      </c>
      <c r="HS41" s="47">
        <v>1</v>
      </c>
      <c r="HT41" s="48" t="s">
        <v>4</v>
      </c>
      <c r="HU41" s="49">
        <v>1</v>
      </c>
      <c r="HV41" s="27"/>
      <c r="HW41" s="42">
        <f t="shared" si="205"/>
        <v>3</v>
      </c>
      <c r="HX41" s="43">
        <f t="shared" si="206"/>
        <v>0</v>
      </c>
      <c r="HZ41" s="47">
        <v>3</v>
      </c>
      <c r="IA41" s="48" t="s">
        <v>4</v>
      </c>
      <c r="IB41" s="49">
        <v>0</v>
      </c>
      <c r="IC41" s="27"/>
      <c r="ID41" s="42">
        <f t="shared" si="207"/>
        <v>0</v>
      </c>
      <c r="IE41" s="43">
        <f t="shared" si="208"/>
        <v>3</v>
      </c>
      <c r="IG41" s="47">
        <v>2</v>
      </c>
      <c r="IH41" s="48" t="s">
        <v>4</v>
      </c>
      <c r="II41" s="49">
        <v>0</v>
      </c>
      <c r="IJ41" s="27"/>
      <c r="IK41" s="42">
        <f t="shared" si="209"/>
        <v>0</v>
      </c>
      <c r="IL41" s="43">
        <f t="shared" si="210"/>
        <v>2</v>
      </c>
      <c r="IN41" s="47">
        <v>2</v>
      </c>
      <c r="IO41" s="48" t="s">
        <v>4</v>
      </c>
      <c r="IP41" s="49">
        <v>0</v>
      </c>
      <c r="IQ41" s="27"/>
      <c r="IR41" s="42">
        <f t="shared" si="211"/>
        <v>0</v>
      </c>
      <c r="IS41" s="43">
        <f t="shared" si="212"/>
        <v>2</v>
      </c>
      <c r="IU41" s="47">
        <v>2</v>
      </c>
      <c r="IV41" s="48" t="s">
        <v>4</v>
      </c>
      <c r="IW41" s="49">
        <v>0</v>
      </c>
      <c r="IX41" s="27"/>
      <c r="IY41" s="42">
        <f t="shared" si="213"/>
        <v>0</v>
      </c>
      <c r="IZ41" s="43">
        <f t="shared" si="214"/>
        <v>2</v>
      </c>
      <c r="JB41" s="47">
        <v>2</v>
      </c>
      <c r="JC41" s="48" t="s">
        <v>4</v>
      </c>
      <c r="JD41" s="49">
        <v>0</v>
      </c>
      <c r="JE41" s="27"/>
      <c r="JF41" s="42">
        <f t="shared" si="215"/>
        <v>0</v>
      </c>
      <c r="JG41" s="43">
        <f t="shared" si="216"/>
        <v>2</v>
      </c>
      <c r="JI41" s="47">
        <v>3</v>
      </c>
      <c r="JJ41" s="48" t="s">
        <v>4</v>
      </c>
      <c r="JK41" s="49">
        <v>2</v>
      </c>
      <c r="JL41" s="27"/>
      <c r="JM41" s="42">
        <f t="shared" si="217"/>
        <v>0</v>
      </c>
      <c r="JN41" s="43">
        <f t="shared" si="218"/>
        <v>1</v>
      </c>
      <c r="JP41" s="47">
        <v>5</v>
      </c>
      <c r="JQ41" s="48" t="s">
        <v>4</v>
      </c>
      <c r="JR41" s="49">
        <v>1</v>
      </c>
      <c r="JS41" s="27"/>
      <c r="JT41" s="42">
        <f t="shared" si="219"/>
        <v>0</v>
      </c>
      <c r="JU41" s="43">
        <f t="shared" si="220"/>
        <v>4</v>
      </c>
      <c r="JW41" s="47">
        <v>4</v>
      </c>
      <c r="JX41" s="48" t="s">
        <v>4</v>
      </c>
      <c r="JY41" s="49">
        <v>0</v>
      </c>
      <c r="JZ41" s="27"/>
      <c r="KA41" s="42">
        <f t="shared" si="221"/>
        <v>0</v>
      </c>
      <c r="KB41" s="43">
        <f t="shared" si="222"/>
        <v>4</v>
      </c>
      <c r="KD41" s="47">
        <v>1</v>
      </c>
      <c r="KE41" s="48" t="s">
        <v>4</v>
      </c>
      <c r="KF41" s="49">
        <v>1</v>
      </c>
      <c r="KG41" s="27"/>
      <c r="KH41" s="42">
        <f t="shared" si="223"/>
        <v>3</v>
      </c>
      <c r="KI41" s="43">
        <f t="shared" si="224"/>
        <v>0</v>
      </c>
      <c r="KK41" s="47">
        <v>1</v>
      </c>
      <c r="KL41" s="48" t="s">
        <v>4</v>
      </c>
      <c r="KM41" s="49">
        <v>0</v>
      </c>
      <c r="KN41" s="27"/>
      <c r="KO41" s="42">
        <f t="shared" si="225"/>
        <v>0</v>
      </c>
      <c r="KP41" s="43">
        <f t="shared" si="226"/>
        <v>1</v>
      </c>
      <c r="KR41" s="47">
        <v>0</v>
      </c>
      <c r="KS41" s="48" t="s">
        <v>4</v>
      </c>
      <c r="KT41" s="49">
        <v>0</v>
      </c>
      <c r="KU41" s="27"/>
      <c r="KV41" s="42">
        <f t="shared" si="227"/>
        <v>4.5</v>
      </c>
      <c r="KW41" s="43">
        <f t="shared" si="228"/>
        <v>0</v>
      </c>
      <c r="KY41" s="47">
        <v>2</v>
      </c>
      <c r="KZ41" s="48" t="s">
        <v>4</v>
      </c>
      <c r="LA41" s="49">
        <v>1</v>
      </c>
      <c r="LB41" s="27"/>
      <c r="LC41" s="42">
        <f t="shared" si="229"/>
        <v>0</v>
      </c>
      <c r="LD41" s="43">
        <f t="shared" si="230"/>
        <v>1</v>
      </c>
      <c r="LF41" s="47">
        <v>4</v>
      </c>
      <c r="LG41" s="48" t="s">
        <v>4</v>
      </c>
      <c r="LH41" s="49">
        <v>0</v>
      </c>
      <c r="LI41" s="27"/>
      <c r="LJ41" s="42">
        <f t="shared" si="231"/>
        <v>0</v>
      </c>
      <c r="LK41" s="43">
        <f t="shared" si="232"/>
        <v>4</v>
      </c>
      <c r="LM41" s="47">
        <v>2</v>
      </c>
      <c r="LN41" s="48" t="s">
        <v>4</v>
      </c>
      <c r="LO41" s="49">
        <v>2</v>
      </c>
      <c r="LP41" s="27"/>
      <c r="LQ41" s="42">
        <f t="shared" si="233"/>
        <v>3</v>
      </c>
      <c r="LR41" s="43">
        <f t="shared" si="234"/>
        <v>0</v>
      </c>
      <c r="LT41" s="47">
        <v>2</v>
      </c>
      <c r="LU41" s="48" t="s">
        <v>4</v>
      </c>
      <c r="LV41" s="49">
        <v>0</v>
      </c>
      <c r="LW41" s="27"/>
      <c r="LX41" s="42">
        <f t="shared" si="235"/>
        <v>0</v>
      </c>
      <c r="LY41" s="43">
        <f t="shared" si="236"/>
        <v>2</v>
      </c>
      <c r="MA41" s="47">
        <v>3</v>
      </c>
      <c r="MB41" s="48" t="s">
        <v>4</v>
      </c>
      <c r="MC41" s="49">
        <v>0</v>
      </c>
      <c r="MD41" s="27"/>
      <c r="ME41" s="42">
        <f t="shared" si="237"/>
        <v>0</v>
      </c>
      <c r="MF41" s="43">
        <f t="shared" si="238"/>
        <v>3</v>
      </c>
      <c r="MH41" s="47">
        <v>2</v>
      </c>
      <c r="MI41" s="48" t="s">
        <v>4</v>
      </c>
      <c r="MJ41" s="49">
        <v>0</v>
      </c>
      <c r="MK41" s="27"/>
      <c r="ML41" s="42">
        <f t="shared" si="239"/>
        <v>0</v>
      </c>
      <c r="MM41" s="43">
        <f t="shared" si="240"/>
        <v>2</v>
      </c>
      <c r="MO41" s="47">
        <v>2</v>
      </c>
      <c r="MP41" s="48" t="s">
        <v>4</v>
      </c>
      <c r="MQ41" s="49">
        <v>0</v>
      </c>
      <c r="MR41" s="27"/>
      <c r="MS41" s="42">
        <f t="shared" si="241"/>
        <v>0</v>
      </c>
      <c r="MT41" s="43">
        <f t="shared" si="242"/>
        <v>2</v>
      </c>
      <c r="MV41" s="47">
        <v>2</v>
      </c>
      <c r="MW41" s="48" t="s">
        <v>4</v>
      </c>
      <c r="MX41" s="49">
        <v>1</v>
      </c>
      <c r="MY41" s="27"/>
      <c r="MZ41" s="42">
        <f t="shared" si="243"/>
        <v>0</v>
      </c>
      <c r="NA41" s="43">
        <f t="shared" si="244"/>
        <v>1</v>
      </c>
      <c r="NC41" s="47">
        <v>2</v>
      </c>
      <c r="ND41" s="48" t="s">
        <v>4</v>
      </c>
      <c r="NE41" s="49">
        <v>1</v>
      </c>
      <c r="NF41" s="27"/>
      <c r="NG41" s="42">
        <f t="shared" si="245"/>
        <v>0</v>
      </c>
      <c r="NH41" s="43">
        <f t="shared" si="246"/>
        <v>1</v>
      </c>
      <c r="NJ41" s="47">
        <v>4</v>
      </c>
      <c r="NK41" s="48" t="s">
        <v>4</v>
      </c>
      <c r="NL41" s="49">
        <v>1</v>
      </c>
      <c r="NM41" s="27"/>
      <c r="NN41" s="42">
        <f t="shared" si="247"/>
        <v>0</v>
      </c>
      <c r="NO41" s="43">
        <f t="shared" si="248"/>
        <v>3</v>
      </c>
      <c r="NQ41" s="47">
        <v>1</v>
      </c>
      <c r="NR41" s="48" t="s">
        <v>4</v>
      </c>
      <c r="NS41" s="49">
        <v>0</v>
      </c>
      <c r="NT41" s="27"/>
      <c r="NU41" s="42">
        <f t="shared" si="249"/>
        <v>0</v>
      </c>
      <c r="NV41" s="43">
        <f t="shared" si="250"/>
        <v>1</v>
      </c>
      <c r="NX41" s="47">
        <v>3</v>
      </c>
      <c r="NY41" s="48" t="s">
        <v>4</v>
      </c>
      <c r="NZ41" s="49">
        <v>0</v>
      </c>
      <c r="OA41" s="27"/>
      <c r="OB41" s="42">
        <f t="shared" si="251"/>
        <v>0</v>
      </c>
      <c r="OC41" s="43">
        <f t="shared" si="252"/>
        <v>3</v>
      </c>
      <c r="OE41" s="47">
        <v>2</v>
      </c>
      <c r="OF41" s="48" t="s">
        <v>4</v>
      </c>
      <c r="OG41" s="49">
        <v>0</v>
      </c>
      <c r="OH41" s="27"/>
      <c r="OI41" s="42">
        <f t="shared" si="253"/>
        <v>0</v>
      </c>
      <c r="OJ41" s="43">
        <f t="shared" si="254"/>
        <v>2</v>
      </c>
      <c r="OL41" s="47">
        <v>4</v>
      </c>
      <c r="OM41" s="48" t="s">
        <v>4</v>
      </c>
      <c r="ON41" s="49">
        <v>2</v>
      </c>
      <c r="OO41" s="27"/>
      <c r="OP41" s="42">
        <f t="shared" si="255"/>
        <v>0</v>
      </c>
      <c r="OQ41" s="43">
        <f t="shared" si="256"/>
        <v>2</v>
      </c>
      <c r="OS41" s="47">
        <v>2</v>
      </c>
      <c r="OT41" s="48" t="s">
        <v>4</v>
      </c>
      <c r="OU41" s="49">
        <v>1</v>
      </c>
      <c r="OV41" s="27"/>
      <c r="OW41" s="42">
        <f t="shared" si="257"/>
        <v>0</v>
      </c>
      <c r="OX41" s="43">
        <f t="shared" si="258"/>
        <v>1</v>
      </c>
      <c r="OZ41" s="47">
        <v>5</v>
      </c>
      <c r="PA41" s="48" t="s">
        <v>4</v>
      </c>
      <c r="PB41" s="49">
        <v>1</v>
      </c>
      <c r="PC41" s="27"/>
      <c r="PD41" s="42">
        <f t="shared" si="259"/>
        <v>0</v>
      </c>
      <c r="PE41" s="43">
        <f t="shared" si="260"/>
        <v>4</v>
      </c>
      <c r="PG41" s="47">
        <v>3</v>
      </c>
      <c r="PH41" s="48" t="s">
        <v>4</v>
      </c>
      <c r="PI41" s="49">
        <v>0</v>
      </c>
      <c r="PJ41" s="27"/>
      <c r="PK41" s="42">
        <f t="shared" si="261"/>
        <v>0</v>
      </c>
      <c r="PL41" s="43">
        <f t="shared" si="262"/>
        <v>3</v>
      </c>
      <c r="PN41" s="47">
        <v>2</v>
      </c>
      <c r="PO41" s="48" t="s">
        <v>4</v>
      </c>
      <c r="PP41" s="49">
        <v>0</v>
      </c>
      <c r="PQ41" s="27"/>
      <c r="PR41" s="42">
        <f t="shared" si="263"/>
        <v>0</v>
      </c>
      <c r="PS41" s="43">
        <f t="shared" si="264"/>
        <v>2</v>
      </c>
      <c r="PU41" s="47">
        <v>4</v>
      </c>
      <c r="PV41" s="48" t="s">
        <v>4</v>
      </c>
      <c r="PW41" s="49">
        <v>2</v>
      </c>
      <c r="PX41" s="27"/>
      <c r="PY41" s="42">
        <f t="shared" si="265"/>
        <v>0</v>
      </c>
      <c r="PZ41" s="43">
        <f t="shared" si="266"/>
        <v>2</v>
      </c>
      <c r="QB41" s="47">
        <v>3</v>
      </c>
      <c r="QC41" s="48" t="s">
        <v>4</v>
      </c>
      <c r="QD41" s="49">
        <v>0</v>
      </c>
      <c r="QE41" s="27"/>
      <c r="QF41" s="42">
        <f t="shared" si="267"/>
        <v>0</v>
      </c>
      <c r="QG41" s="43">
        <f t="shared" si="268"/>
        <v>3</v>
      </c>
      <c r="QI41" s="47">
        <v>3</v>
      </c>
      <c r="QJ41" s="48" t="s">
        <v>4</v>
      </c>
      <c r="QK41" s="49">
        <v>0</v>
      </c>
      <c r="QL41" s="27"/>
      <c r="QM41" s="42">
        <f t="shared" si="269"/>
        <v>0</v>
      </c>
      <c r="QN41" s="43">
        <f t="shared" si="270"/>
        <v>3</v>
      </c>
      <c r="QP41" s="47">
        <v>4</v>
      </c>
      <c r="QQ41" s="48" t="s">
        <v>4</v>
      </c>
      <c r="QR41" s="49">
        <v>0</v>
      </c>
      <c r="QS41" s="27"/>
      <c r="QT41" s="42">
        <f t="shared" si="271"/>
        <v>0</v>
      </c>
      <c r="QU41" s="43">
        <f t="shared" si="272"/>
        <v>4</v>
      </c>
      <c r="QW41" s="47">
        <v>2</v>
      </c>
      <c r="QX41" s="48" t="s">
        <v>4</v>
      </c>
      <c r="QY41" s="49">
        <v>0</v>
      </c>
      <c r="QZ41" s="27"/>
      <c r="RA41" s="42">
        <f t="shared" si="273"/>
        <v>0</v>
      </c>
      <c r="RB41" s="43">
        <f t="shared" si="274"/>
        <v>2</v>
      </c>
      <c r="RD41" s="47"/>
      <c r="RE41" s="48" t="s">
        <v>4</v>
      </c>
      <c r="RF41" s="49"/>
      <c r="RG41" s="27"/>
      <c r="RH41" s="42" t="str">
        <f t="shared" si="275"/>
        <v/>
      </c>
      <c r="RI41" s="43">
        <f t="shared" si="276"/>
        <v>0</v>
      </c>
      <c r="RK41" s="47">
        <v>1</v>
      </c>
      <c r="RL41" s="48" t="s">
        <v>4</v>
      </c>
      <c r="RM41" s="49">
        <v>2</v>
      </c>
      <c r="RN41" s="27"/>
      <c r="RO41" s="42">
        <f t="shared" si="277"/>
        <v>0</v>
      </c>
      <c r="RP41" s="43">
        <f t="shared" si="278"/>
        <v>-1</v>
      </c>
      <c r="RR41" s="47">
        <v>1</v>
      </c>
      <c r="RS41" s="48" t="s">
        <v>4</v>
      </c>
      <c r="RT41" s="49">
        <v>2</v>
      </c>
      <c r="RU41" s="27"/>
      <c r="RV41" s="42">
        <f t="shared" si="279"/>
        <v>0</v>
      </c>
      <c r="RW41" s="43">
        <f t="shared" si="280"/>
        <v>-1</v>
      </c>
      <c r="RY41" s="47">
        <v>1</v>
      </c>
      <c r="RZ41" s="48" t="s">
        <v>4</v>
      </c>
      <c r="SA41" s="49">
        <v>2</v>
      </c>
      <c r="SB41" s="27"/>
      <c r="SC41" s="42">
        <f t="shared" si="281"/>
        <v>0</v>
      </c>
      <c r="SD41" s="43">
        <f t="shared" si="282"/>
        <v>-1</v>
      </c>
      <c r="SF41" s="47">
        <v>1</v>
      </c>
      <c r="SG41" s="48" t="s">
        <v>4</v>
      </c>
      <c r="SH41" s="49">
        <v>2</v>
      </c>
      <c r="SI41" s="27"/>
      <c r="SJ41" s="42">
        <f t="shared" si="283"/>
        <v>0</v>
      </c>
      <c r="SK41" s="43">
        <f t="shared" si="284"/>
        <v>-1</v>
      </c>
      <c r="SM41" s="47">
        <v>1</v>
      </c>
      <c r="SN41" s="48" t="s">
        <v>4</v>
      </c>
      <c r="SO41" s="49">
        <v>1</v>
      </c>
      <c r="SP41" s="27"/>
      <c r="SQ41" s="42">
        <f t="shared" si="285"/>
        <v>3</v>
      </c>
      <c r="SR41" s="43">
        <f t="shared" si="286"/>
        <v>0</v>
      </c>
    </row>
    <row r="42" spans="1:512" customFormat="1" ht="16" customHeight="1" x14ac:dyDescent="0.15">
      <c r="A42" s="34">
        <v>46194</v>
      </c>
      <c r="B42" s="35">
        <v>0.25</v>
      </c>
      <c r="C42" s="79" t="s">
        <v>44</v>
      </c>
      <c r="D42" s="80" t="s">
        <v>40</v>
      </c>
      <c r="E42" s="2">
        <v>0</v>
      </c>
      <c r="F42" s="50" t="s">
        <v>4</v>
      </c>
      <c r="G42" s="1">
        <v>4</v>
      </c>
      <c r="H42" s="16">
        <v>3</v>
      </c>
      <c r="I42" s="32">
        <f t="shared" si="0"/>
        <v>-4</v>
      </c>
      <c r="J42" s="47">
        <v>0</v>
      </c>
      <c r="K42" s="48" t="s">
        <v>4</v>
      </c>
      <c r="L42" s="49">
        <v>0</v>
      </c>
      <c r="M42" s="27"/>
      <c r="N42" s="42">
        <f t="shared" si="1"/>
        <v>0</v>
      </c>
      <c r="O42" s="43">
        <f t="shared" si="2"/>
        <v>0</v>
      </c>
      <c r="P42" s="32"/>
      <c r="Q42" s="47">
        <v>1</v>
      </c>
      <c r="R42" s="48" t="s">
        <v>4</v>
      </c>
      <c r="S42" s="49">
        <v>2</v>
      </c>
      <c r="T42" s="27"/>
      <c r="U42" s="42">
        <f t="shared" si="145"/>
        <v>3</v>
      </c>
      <c r="V42" s="43">
        <f t="shared" si="146"/>
        <v>-1</v>
      </c>
      <c r="X42" s="47">
        <v>0</v>
      </c>
      <c r="Y42" s="48" t="s">
        <v>4</v>
      </c>
      <c r="Z42" s="49">
        <v>0</v>
      </c>
      <c r="AA42" s="27"/>
      <c r="AB42" s="42">
        <f t="shared" si="147"/>
        <v>0</v>
      </c>
      <c r="AC42" s="43">
        <f t="shared" si="148"/>
        <v>0</v>
      </c>
      <c r="AE42" s="47">
        <v>0</v>
      </c>
      <c r="AF42" s="48" t="s">
        <v>4</v>
      </c>
      <c r="AG42" s="49">
        <v>3</v>
      </c>
      <c r="AH42" s="27"/>
      <c r="AI42" s="42">
        <f t="shared" si="149"/>
        <v>3</v>
      </c>
      <c r="AJ42" s="43">
        <f t="shared" si="150"/>
        <v>-3</v>
      </c>
      <c r="AL42" s="47">
        <v>1</v>
      </c>
      <c r="AM42" s="48" t="s">
        <v>4</v>
      </c>
      <c r="AN42" s="49">
        <v>2</v>
      </c>
      <c r="AO42" s="27"/>
      <c r="AP42" s="42">
        <f t="shared" si="151"/>
        <v>3</v>
      </c>
      <c r="AQ42" s="43">
        <f t="shared" si="152"/>
        <v>-1</v>
      </c>
      <c r="AS42" s="47">
        <v>0</v>
      </c>
      <c r="AT42" s="48" t="s">
        <v>4</v>
      </c>
      <c r="AU42" s="49">
        <v>1</v>
      </c>
      <c r="AV42" s="27"/>
      <c r="AW42" s="42">
        <f t="shared" si="153"/>
        <v>3</v>
      </c>
      <c r="AX42" s="43">
        <f t="shared" si="154"/>
        <v>-1</v>
      </c>
      <c r="AZ42" s="47">
        <v>1</v>
      </c>
      <c r="BA42" s="48" t="s">
        <v>4</v>
      </c>
      <c r="BB42" s="49">
        <v>2</v>
      </c>
      <c r="BC42" s="27"/>
      <c r="BD42" s="42">
        <f t="shared" si="155"/>
        <v>3</v>
      </c>
      <c r="BE42" s="43">
        <f t="shared" si="156"/>
        <v>-1</v>
      </c>
      <c r="BG42" s="47">
        <v>0</v>
      </c>
      <c r="BH42" s="48" t="s">
        <v>4</v>
      </c>
      <c r="BI42" s="49">
        <v>1</v>
      </c>
      <c r="BJ42" s="27"/>
      <c r="BK42" s="42">
        <f t="shared" si="157"/>
        <v>3</v>
      </c>
      <c r="BL42" s="43">
        <f t="shared" si="158"/>
        <v>-1</v>
      </c>
      <c r="BN42" s="47">
        <v>1</v>
      </c>
      <c r="BO42" s="48" t="s">
        <v>4</v>
      </c>
      <c r="BP42" s="49">
        <v>3</v>
      </c>
      <c r="BQ42" s="27"/>
      <c r="BR42" s="42">
        <f t="shared" si="159"/>
        <v>3</v>
      </c>
      <c r="BS42" s="43">
        <f t="shared" si="160"/>
        <v>-2</v>
      </c>
      <c r="BU42" s="47">
        <v>1</v>
      </c>
      <c r="BV42" s="48" t="s">
        <v>4</v>
      </c>
      <c r="BW42" s="49">
        <v>3</v>
      </c>
      <c r="BX42" s="27"/>
      <c r="BY42" s="42">
        <f t="shared" si="161"/>
        <v>3</v>
      </c>
      <c r="BZ42" s="43">
        <f t="shared" si="162"/>
        <v>-2</v>
      </c>
      <c r="CB42" s="47">
        <v>2</v>
      </c>
      <c r="CC42" s="48" t="s">
        <v>4</v>
      </c>
      <c r="CD42" s="49">
        <v>2</v>
      </c>
      <c r="CE42" s="27"/>
      <c r="CF42" s="42">
        <f t="shared" si="163"/>
        <v>0</v>
      </c>
      <c r="CG42" s="43">
        <f t="shared" si="164"/>
        <v>0</v>
      </c>
      <c r="CI42" s="47">
        <v>0</v>
      </c>
      <c r="CJ42" s="48" t="s">
        <v>4</v>
      </c>
      <c r="CK42" s="49">
        <v>1</v>
      </c>
      <c r="CL42" s="27"/>
      <c r="CM42" s="42">
        <f t="shared" si="165"/>
        <v>3</v>
      </c>
      <c r="CN42" s="43">
        <f t="shared" si="166"/>
        <v>-1</v>
      </c>
      <c r="CP42" s="47">
        <v>0</v>
      </c>
      <c r="CQ42" s="48" t="s">
        <v>4</v>
      </c>
      <c r="CR42" s="49">
        <v>1</v>
      </c>
      <c r="CS42" s="27"/>
      <c r="CT42" s="42">
        <f t="shared" si="167"/>
        <v>3</v>
      </c>
      <c r="CU42" s="43">
        <f t="shared" si="168"/>
        <v>-1</v>
      </c>
      <c r="CW42" s="47">
        <v>1</v>
      </c>
      <c r="CX42" s="48" t="s">
        <v>4</v>
      </c>
      <c r="CY42" s="49">
        <v>2</v>
      </c>
      <c r="CZ42" s="27"/>
      <c r="DA42" s="42">
        <f t="shared" si="169"/>
        <v>3</v>
      </c>
      <c r="DB42" s="43">
        <f t="shared" si="170"/>
        <v>-1</v>
      </c>
      <c r="DD42" s="47">
        <v>1</v>
      </c>
      <c r="DE42" s="48" t="s">
        <v>4</v>
      </c>
      <c r="DF42" s="49">
        <v>1</v>
      </c>
      <c r="DG42" s="27"/>
      <c r="DH42" s="42">
        <f t="shared" si="171"/>
        <v>0</v>
      </c>
      <c r="DI42" s="43">
        <f t="shared" si="172"/>
        <v>0</v>
      </c>
      <c r="DK42" s="47">
        <v>1</v>
      </c>
      <c r="DL42" s="48" t="s">
        <v>4</v>
      </c>
      <c r="DM42" s="49">
        <v>2</v>
      </c>
      <c r="DN42" s="27"/>
      <c r="DO42" s="42">
        <f t="shared" si="173"/>
        <v>3</v>
      </c>
      <c r="DP42" s="43">
        <f t="shared" si="174"/>
        <v>-1</v>
      </c>
      <c r="DR42" s="47">
        <v>0</v>
      </c>
      <c r="DS42" s="48" t="s">
        <v>4</v>
      </c>
      <c r="DT42" s="49">
        <v>3</v>
      </c>
      <c r="DU42" s="27"/>
      <c r="DV42" s="42">
        <f t="shared" si="175"/>
        <v>3</v>
      </c>
      <c r="DW42" s="43">
        <f t="shared" si="176"/>
        <v>-3</v>
      </c>
      <c r="DY42" s="47">
        <v>0</v>
      </c>
      <c r="DZ42" s="48" t="s">
        <v>4</v>
      </c>
      <c r="EA42" s="49">
        <v>2</v>
      </c>
      <c r="EB42" s="27"/>
      <c r="EC42" s="42">
        <f t="shared" si="177"/>
        <v>3</v>
      </c>
      <c r="ED42" s="43">
        <f t="shared" si="178"/>
        <v>-2</v>
      </c>
      <c r="EF42" s="47">
        <v>0</v>
      </c>
      <c r="EG42" s="48" t="s">
        <v>4</v>
      </c>
      <c r="EH42" s="49">
        <v>1</v>
      </c>
      <c r="EI42" s="27"/>
      <c r="EJ42" s="42">
        <f t="shared" si="179"/>
        <v>3</v>
      </c>
      <c r="EK42" s="43">
        <f t="shared" si="180"/>
        <v>-1</v>
      </c>
      <c r="EM42" s="47">
        <v>1</v>
      </c>
      <c r="EN42" s="48" t="s">
        <v>4</v>
      </c>
      <c r="EO42" s="49">
        <v>3</v>
      </c>
      <c r="EP42" s="27"/>
      <c r="EQ42" s="42">
        <f t="shared" si="181"/>
        <v>3</v>
      </c>
      <c r="ER42" s="43">
        <f t="shared" si="182"/>
        <v>-2</v>
      </c>
      <c r="ET42" s="47">
        <v>1</v>
      </c>
      <c r="EU42" s="48" t="s">
        <v>4</v>
      </c>
      <c r="EV42" s="49">
        <v>1</v>
      </c>
      <c r="EW42" s="27"/>
      <c r="EX42" s="42">
        <f t="shared" si="183"/>
        <v>0</v>
      </c>
      <c r="EY42" s="43">
        <f t="shared" si="184"/>
        <v>0</v>
      </c>
      <c r="FA42" s="47">
        <v>1</v>
      </c>
      <c r="FB42" s="48" t="s">
        <v>4</v>
      </c>
      <c r="FC42" s="49">
        <v>2</v>
      </c>
      <c r="FD42" s="27"/>
      <c r="FE42" s="42">
        <f t="shared" si="185"/>
        <v>3</v>
      </c>
      <c r="FF42" s="43">
        <f t="shared" si="186"/>
        <v>-1</v>
      </c>
      <c r="FH42" s="47">
        <v>1</v>
      </c>
      <c r="FI42" s="48" t="s">
        <v>4</v>
      </c>
      <c r="FJ42" s="49">
        <v>2</v>
      </c>
      <c r="FK42" s="27"/>
      <c r="FL42" s="42">
        <f t="shared" si="187"/>
        <v>3</v>
      </c>
      <c r="FM42" s="43">
        <f t="shared" si="188"/>
        <v>-1</v>
      </c>
      <c r="FO42" s="47">
        <v>1</v>
      </c>
      <c r="FP42" s="48" t="s">
        <v>4</v>
      </c>
      <c r="FQ42" s="49">
        <v>1</v>
      </c>
      <c r="FR42" s="27"/>
      <c r="FS42" s="42">
        <f t="shared" si="189"/>
        <v>0</v>
      </c>
      <c r="FT42" s="43">
        <f t="shared" si="190"/>
        <v>0</v>
      </c>
      <c r="FV42" s="47">
        <v>0</v>
      </c>
      <c r="FW42" s="48" t="s">
        <v>4</v>
      </c>
      <c r="FX42" s="49">
        <v>2</v>
      </c>
      <c r="FY42" s="27"/>
      <c r="FZ42" s="42">
        <f t="shared" si="191"/>
        <v>3</v>
      </c>
      <c r="GA42" s="43">
        <f t="shared" si="192"/>
        <v>-2</v>
      </c>
      <c r="GC42" s="47">
        <v>1</v>
      </c>
      <c r="GD42" s="48" t="s">
        <v>4</v>
      </c>
      <c r="GE42" s="49">
        <v>2</v>
      </c>
      <c r="GF42" s="27"/>
      <c r="GG42" s="42">
        <f t="shared" si="193"/>
        <v>3</v>
      </c>
      <c r="GH42" s="43">
        <f t="shared" si="194"/>
        <v>-1</v>
      </c>
      <c r="GJ42" s="47">
        <v>1</v>
      </c>
      <c r="GK42" s="48" t="s">
        <v>4</v>
      </c>
      <c r="GL42" s="49">
        <v>1</v>
      </c>
      <c r="GM42" s="27"/>
      <c r="GN42" s="42">
        <f t="shared" si="195"/>
        <v>0</v>
      </c>
      <c r="GO42" s="43">
        <f t="shared" si="196"/>
        <v>0</v>
      </c>
      <c r="GQ42" s="47">
        <v>0</v>
      </c>
      <c r="GR42" s="48" t="s">
        <v>4</v>
      </c>
      <c r="GS42" s="49">
        <v>2</v>
      </c>
      <c r="GT42" s="27"/>
      <c r="GU42" s="42">
        <f t="shared" si="197"/>
        <v>3</v>
      </c>
      <c r="GV42" s="43">
        <f t="shared" si="198"/>
        <v>-2</v>
      </c>
      <c r="GX42" s="47">
        <v>0</v>
      </c>
      <c r="GY42" s="48" t="s">
        <v>4</v>
      </c>
      <c r="GZ42" s="49">
        <v>2</v>
      </c>
      <c r="HA42" s="27"/>
      <c r="HB42" s="42">
        <f t="shared" si="199"/>
        <v>3</v>
      </c>
      <c r="HC42" s="43">
        <f t="shared" si="200"/>
        <v>-2</v>
      </c>
      <c r="HE42" s="47">
        <v>1</v>
      </c>
      <c r="HF42" s="48" t="s">
        <v>4</v>
      </c>
      <c r="HG42" s="49">
        <v>4</v>
      </c>
      <c r="HH42" s="27"/>
      <c r="HI42" s="42">
        <f t="shared" si="201"/>
        <v>3</v>
      </c>
      <c r="HJ42" s="43">
        <f t="shared" si="202"/>
        <v>-3</v>
      </c>
      <c r="HL42" s="47">
        <v>0</v>
      </c>
      <c r="HM42" s="48" t="s">
        <v>4</v>
      </c>
      <c r="HN42" s="49">
        <v>2</v>
      </c>
      <c r="HO42" s="27"/>
      <c r="HP42" s="42">
        <f t="shared" si="203"/>
        <v>3</v>
      </c>
      <c r="HQ42" s="43">
        <f t="shared" si="204"/>
        <v>-2</v>
      </c>
      <c r="HS42" s="47">
        <v>0</v>
      </c>
      <c r="HT42" s="48" t="s">
        <v>4</v>
      </c>
      <c r="HU42" s="49">
        <v>1</v>
      </c>
      <c r="HV42" s="27"/>
      <c r="HW42" s="42">
        <f t="shared" si="205"/>
        <v>3</v>
      </c>
      <c r="HX42" s="43">
        <f t="shared" si="206"/>
        <v>-1</v>
      </c>
      <c r="HZ42" s="47">
        <v>1</v>
      </c>
      <c r="IA42" s="48" t="s">
        <v>4</v>
      </c>
      <c r="IB42" s="49">
        <v>1</v>
      </c>
      <c r="IC42" s="27"/>
      <c r="ID42" s="42">
        <f t="shared" si="207"/>
        <v>0</v>
      </c>
      <c r="IE42" s="43">
        <f t="shared" si="208"/>
        <v>0</v>
      </c>
      <c r="IG42" s="47">
        <v>4</v>
      </c>
      <c r="IH42" s="48" t="s">
        <v>4</v>
      </c>
      <c r="II42" s="49">
        <v>0</v>
      </c>
      <c r="IJ42" s="27"/>
      <c r="IK42" s="42">
        <f t="shared" si="209"/>
        <v>0</v>
      </c>
      <c r="IL42" s="43">
        <f t="shared" si="210"/>
        <v>4</v>
      </c>
      <c r="IN42" s="47">
        <v>0</v>
      </c>
      <c r="IO42" s="48" t="s">
        <v>4</v>
      </c>
      <c r="IP42" s="49">
        <v>2</v>
      </c>
      <c r="IQ42" s="27"/>
      <c r="IR42" s="42">
        <f t="shared" si="211"/>
        <v>3</v>
      </c>
      <c r="IS42" s="43">
        <f t="shared" si="212"/>
        <v>-2</v>
      </c>
      <c r="IU42" s="47">
        <v>0</v>
      </c>
      <c r="IV42" s="48" t="s">
        <v>4</v>
      </c>
      <c r="IW42" s="49">
        <v>2</v>
      </c>
      <c r="IX42" s="27"/>
      <c r="IY42" s="42">
        <f t="shared" si="213"/>
        <v>3</v>
      </c>
      <c r="IZ42" s="43">
        <f t="shared" si="214"/>
        <v>-2</v>
      </c>
      <c r="JB42" s="47">
        <v>1</v>
      </c>
      <c r="JC42" s="48" t="s">
        <v>4</v>
      </c>
      <c r="JD42" s="49">
        <v>1</v>
      </c>
      <c r="JE42" s="27"/>
      <c r="JF42" s="42">
        <f t="shared" si="215"/>
        <v>0</v>
      </c>
      <c r="JG42" s="43">
        <f t="shared" si="216"/>
        <v>0</v>
      </c>
      <c r="JI42" s="47">
        <v>0</v>
      </c>
      <c r="JJ42" s="48" t="s">
        <v>4</v>
      </c>
      <c r="JK42" s="49">
        <v>2</v>
      </c>
      <c r="JL42" s="27"/>
      <c r="JM42" s="42">
        <f t="shared" si="217"/>
        <v>3</v>
      </c>
      <c r="JN42" s="43">
        <f t="shared" si="218"/>
        <v>-2</v>
      </c>
      <c r="JP42" s="47">
        <v>1</v>
      </c>
      <c r="JQ42" s="48" t="s">
        <v>4</v>
      </c>
      <c r="JR42" s="49">
        <v>3</v>
      </c>
      <c r="JS42" s="27"/>
      <c r="JT42" s="42">
        <f t="shared" si="219"/>
        <v>3</v>
      </c>
      <c r="JU42" s="43">
        <f t="shared" si="220"/>
        <v>-2</v>
      </c>
      <c r="JW42" s="47">
        <v>1</v>
      </c>
      <c r="JX42" s="48" t="s">
        <v>4</v>
      </c>
      <c r="JY42" s="49">
        <v>3</v>
      </c>
      <c r="JZ42" s="27"/>
      <c r="KA42" s="42">
        <f t="shared" si="221"/>
        <v>3</v>
      </c>
      <c r="KB42" s="43">
        <f t="shared" si="222"/>
        <v>-2</v>
      </c>
      <c r="KD42" s="47">
        <v>2</v>
      </c>
      <c r="KE42" s="48" t="s">
        <v>4</v>
      </c>
      <c r="KF42" s="49">
        <v>1</v>
      </c>
      <c r="KG42" s="27"/>
      <c r="KH42" s="42">
        <f t="shared" si="223"/>
        <v>0</v>
      </c>
      <c r="KI42" s="43">
        <f t="shared" si="224"/>
        <v>1</v>
      </c>
      <c r="KK42" s="47">
        <v>0</v>
      </c>
      <c r="KL42" s="48" t="s">
        <v>4</v>
      </c>
      <c r="KM42" s="49">
        <v>1</v>
      </c>
      <c r="KN42" s="27"/>
      <c r="KO42" s="42">
        <f t="shared" si="225"/>
        <v>3</v>
      </c>
      <c r="KP42" s="43">
        <f t="shared" si="226"/>
        <v>-1</v>
      </c>
      <c r="KR42" s="47">
        <v>0</v>
      </c>
      <c r="KS42" s="48" t="s">
        <v>4</v>
      </c>
      <c r="KT42" s="49">
        <v>1</v>
      </c>
      <c r="KU42" s="27"/>
      <c r="KV42" s="42">
        <f t="shared" si="227"/>
        <v>3</v>
      </c>
      <c r="KW42" s="43">
        <f t="shared" si="228"/>
        <v>-1</v>
      </c>
      <c r="KY42" s="47">
        <v>1</v>
      </c>
      <c r="KZ42" s="48" t="s">
        <v>4</v>
      </c>
      <c r="LA42" s="49">
        <v>2</v>
      </c>
      <c r="LB42" s="27"/>
      <c r="LC42" s="42">
        <f t="shared" si="229"/>
        <v>3</v>
      </c>
      <c r="LD42" s="43">
        <f t="shared" si="230"/>
        <v>-1</v>
      </c>
      <c r="LF42" s="47">
        <v>0</v>
      </c>
      <c r="LG42" s="48" t="s">
        <v>4</v>
      </c>
      <c r="LH42" s="49">
        <v>3</v>
      </c>
      <c r="LI42" s="27"/>
      <c r="LJ42" s="42">
        <f t="shared" si="231"/>
        <v>3</v>
      </c>
      <c r="LK42" s="43">
        <f t="shared" si="232"/>
        <v>-3</v>
      </c>
      <c r="LM42" s="47">
        <v>1</v>
      </c>
      <c r="LN42" s="48" t="s">
        <v>4</v>
      </c>
      <c r="LO42" s="49">
        <v>2</v>
      </c>
      <c r="LP42" s="27"/>
      <c r="LQ42" s="42">
        <f t="shared" si="233"/>
        <v>3</v>
      </c>
      <c r="LR42" s="43">
        <f t="shared" si="234"/>
        <v>-1</v>
      </c>
      <c r="LT42" s="47">
        <v>0</v>
      </c>
      <c r="LU42" s="48" t="s">
        <v>4</v>
      </c>
      <c r="LV42" s="49">
        <v>1</v>
      </c>
      <c r="LW42" s="27"/>
      <c r="LX42" s="42">
        <f t="shared" si="235"/>
        <v>3</v>
      </c>
      <c r="LY42" s="43">
        <f t="shared" si="236"/>
        <v>-1</v>
      </c>
      <c r="MA42" s="47">
        <v>0</v>
      </c>
      <c r="MB42" s="48" t="s">
        <v>4</v>
      </c>
      <c r="MC42" s="49">
        <v>3</v>
      </c>
      <c r="MD42" s="27"/>
      <c r="ME42" s="42">
        <f t="shared" si="237"/>
        <v>3</v>
      </c>
      <c r="MF42" s="43">
        <f t="shared" si="238"/>
        <v>-3</v>
      </c>
      <c r="MH42" s="47">
        <v>0</v>
      </c>
      <c r="MI42" s="48" t="s">
        <v>4</v>
      </c>
      <c r="MJ42" s="49">
        <v>3</v>
      </c>
      <c r="MK42" s="27"/>
      <c r="ML42" s="42">
        <f t="shared" si="239"/>
        <v>3</v>
      </c>
      <c r="MM42" s="43">
        <f t="shared" si="240"/>
        <v>-3</v>
      </c>
      <c r="MO42" s="47">
        <v>1</v>
      </c>
      <c r="MP42" s="48" t="s">
        <v>4</v>
      </c>
      <c r="MQ42" s="49">
        <v>2</v>
      </c>
      <c r="MR42" s="27"/>
      <c r="MS42" s="42">
        <f t="shared" si="241"/>
        <v>3</v>
      </c>
      <c r="MT42" s="43">
        <f t="shared" si="242"/>
        <v>-1</v>
      </c>
      <c r="MV42" s="47">
        <v>2</v>
      </c>
      <c r="MW42" s="48" t="s">
        <v>4</v>
      </c>
      <c r="MX42" s="49">
        <v>0</v>
      </c>
      <c r="MY42" s="27"/>
      <c r="MZ42" s="42">
        <f t="shared" si="243"/>
        <v>0</v>
      </c>
      <c r="NA42" s="43">
        <f t="shared" si="244"/>
        <v>2</v>
      </c>
      <c r="NC42" s="47">
        <v>1</v>
      </c>
      <c r="ND42" s="48" t="s">
        <v>4</v>
      </c>
      <c r="NE42" s="49">
        <v>1</v>
      </c>
      <c r="NF42" s="27"/>
      <c r="NG42" s="42">
        <f t="shared" si="245"/>
        <v>0</v>
      </c>
      <c r="NH42" s="43">
        <f t="shared" si="246"/>
        <v>0</v>
      </c>
      <c r="NJ42" s="47">
        <v>2</v>
      </c>
      <c r="NK42" s="48" t="s">
        <v>4</v>
      </c>
      <c r="NL42" s="49">
        <v>1</v>
      </c>
      <c r="NM42" s="27"/>
      <c r="NN42" s="42">
        <f t="shared" si="247"/>
        <v>0</v>
      </c>
      <c r="NO42" s="43">
        <f t="shared" si="248"/>
        <v>1</v>
      </c>
      <c r="NQ42" s="47">
        <v>0</v>
      </c>
      <c r="NR42" s="48" t="s">
        <v>4</v>
      </c>
      <c r="NS42" s="49">
        <v>1</v>
      </c>
      <c r="NT42" s="27"/>
      <c r="NU42" s="42">
        <f t="shared" si="249"/>
        <v>3</v>
      </c>
      <c r="NV42" s="43">
        <f t="shared" si="250"/>
        <v>-1</v>
      </c>
      <c r="NX42" s="47">
        <v>1</v>
      </c>
      <c r="NY42" s="48" t="s">
        <v>4</v>
      </c>
      <c r="NZ42" s="49">
        <v>2</v>
      </c>
      <c r="OA42" s="27"/>
      <c r="OB42" s="42">
        <f t="shared" si="251"/>
        <v>3</v>
      </c>
      <c r="OC42" s="43">
        <f t="shared" si="252"/>
        <v>-1</v>
      </c>
      <c r="OE42" s="47">
        <v>1</v>
      </c>
      <c r="OF42" s="48" t="s">
        <v>4</v>
      </c>
      <c r="OG42" s="49">
        <v>2</v>
      </c>
      <c r="OH42" s="27"/>
      <c r="OI42" s="42">
        <f t="shared" si="253"/>
        <v>3</v>
      </c>
      <c r="OJ42" s="43">
        <f t="shared" si="254"/>
        <v>-1</v>
      </c>
      <c r="OL42" s="47">
        <v>0</v>
      </c>
      <c r="OM42" s="48" t="s">
        <v>4</v>
      </c>
      <c r="ON42" s="49">
        <v>4</v>
      </c>
      <c r="OO42" s="27"/>
      <c r="OP42" s="42">
        <f t="shared" si="255"/>
        <v>4.5</v>
      </c>
      <c r="OQ42" s="43">
        <f t="shared" si="256"/>
        <v>-4</v>
      </c>
      <c r="OS42" s="47">
        <v>0</v>
      </c>
      <c r="OT42" s="48" t="s">
        <v>4</v>
      </c>
      <c r="OU42" s="49">
        <v>2</v>
      </c>
      <c r="OV42" s="27"/>
      <c r="OW42" s="42">
        <f t="shared" si="257"/>
        <v>3</v>
      </c>
      <c r="OX42" s="43">
        <f t="shared" si="258"/>
        <v>-2</v>
      </c>
      <c r="OZ42" s="47">
        <v>1</v>
      </c>
      <c r="PA42" s="48" t="s">
        <v>4</v>
      </c>
      <c r="PB42" s="49">
        <v>1</v>
      </c>
      <c r="PC42" s="27"/>
      <c r="PD42" s="42">
        <f t="shared" si="259"/>
        <v>0</v>
      </c>
      <c r="PE42" s="43">
        <f t="shared" si="260"/>
        <v>0</v>
      </c>
      <c r="PG42" s="47">
        <v>1</v>
      </c>
      <c r="PH42" s="48" t="s">
        <v>4</v>
      </c>
      <c r="PI42" s="49">
        <v>2</v>
      </c>
      <c r="PJ42" s="27"/>
      <c r="PK42" s="42">
        <f t="shared" si="261"/>
        <v>3</v>
      </c>
      <c r="PL42" s="43">
        <f t="shared" si="262"/>
        <v>-1</v>
      </c>
      <c r="PN42" s="47">
        <v>1</v>
      </c>
      <c r="PO42" s="48" t="s">
        <v>4</v>
      </c>
      <c r="PP42" s="49">
        <v>1</v>
      </c>
      <c r="PQ42" s="27"/>
      <c r="PR42" s="42">
        <f t="shared" si="263"/>
        <v>0</v>
      </c>
      <c r="PS42" s="43">
        <f t="shared" si="264"/>
        <v>0</v>
      </c>
      <c r="PU42" s="47">
        <v>1</v>
      </c>
      <c r="PV42" s="48" t="s">
        <v>4</v>
      </c>
      <c r="PW42" s="49">
        <v>1</v>
      </c>
      <c r="PX42" s="27"/>
      <c r="PY42" s="42">
        <f t="shared" si="265"/>
        <v>0</v>
      </c>
      <c r="PZ42" s="43">
        <f t="shared" si="266"/>
        <v>0</v>
      </c>
      <c r="QB42" s="47">
        <v>1</v>
      </c>
      <c r="QC42" s="48" t="s">
        <v>4</v>
      </c>
      <c r="QD42" s="49">
        <v>2</v>
      </c>
      <c r="QE42" s="27"/>
      <c r="QF42" s="42">
        <f t="shared" si="267"/>
        <v>3</v>
      </c>
      <c r="QG42" s="43">
        <f t="shared" si="268"/>
        <v>-1</v>
      </c>
      <c r="QI42" s="47">
        <v>0</v>
      </c>
      <c r="QJ42" s="48" t="s">
        <v>4</v>
      </c>
      <c r="QK42" s="49">
        <v>2</v>
      </c>
      <c r="QL42" s="27"/>
      <c r="QM42" s="42">
        <f t="shared" si="269"/>
        <v>3</v>
      </c>
      <c r="QN42" s="43">
        <f t="shared" si="270"/>
        <v>-2</v>
      </c>
      <c r="QP42" s="47">
        <v>1</v>
      </c>
      <c r="QQ42" s="48" t="s">
        <v>4</v>
      </c>
      <c r="QR42" s="49">
        <v>3</v>
      </c>
      <c r="QS42" s="27"/>
      <c r="QT42" s="42">
        <f t="shared" si="271"/>
        <v>3</v>
      </c>
      <c r="QU42" s="43">
        <f t="shared" si="272"/>
        <v>-2</v>
      </c>
      <c r="QW42" s="47">
        <v>0</v>
      </c>
      <c r="QX42" s="48" t="s">
        <v>4</v>
      </c>
      <c r="QY42" s="49">
        <v>0</v>
      </c>
      <c r="QZ42" s="27"/>
      <c r="RA42" s="42">
        <f t="shared" si="273"/>
        <v>0</v>
      </c>
      <c r="RB42" s="43">
        <f t="shared" si="274"/>
        <v>0</v>
      </c>
      <c r="RD42" s="47"/>
      <c r="RE42" s="48" t="s">
        <v>4</v>
      </c>
      <c r="RF42" s="49"/>
      <c r="RG42" s="27"/>
      <c r="RH42" s="42" t="str">
        <f t="shared" si="275"/>
        <v/>
      </c>
      <c r="RI42" s="43">
        <f t="shared" si="276"/>
        <v>0</v>
      </c>
      <c r="RK42" s="47">
        <v>1</v>
      </c>
      <c r="RL42" s="48" t="s">
        <v>4</v>
      </c>
      <c r="RM42" s="49">
        <v>1</v>
      </c>
      <c r="RN42" s="27"/>
      <c r="RO42" s="42">
        <f t="shared" si="277"/>
        <v>0</v>
      </c>
      <c r="RP42" s="43">
        <f t="shared" si="278"/>
        <v>0</v>
      </c>
      <c r="RR42" s="47">
        <v>1</v>
      </c>
      <c r="RS42" s="48" t="s">
        <v>4</v>
      </c>
      <c r="RT42" s="49">
        <v>1</v>
      </c>
      <c r="RU42" s="27"/>
      <c r="RV42" s="42">
        <f t="shared" si="279"/>
        <v>0</v>
      </c>
      <c r="RW42" s="43">
        <f t="shared" si="280"/>
        <v>0</v>
      </c>
      <c r="RY42" s="47">
        <v>1</v>
      </c>
      <c r="RZ42" s="48" t="s">
        <v>4</v>
      </c>
      <c r="SA42" s="49">
        <v>1</v>
      </c>
      <c r="SB42" s="27"/>
      <c r="SC42" s="42">
        <f t="shared" si="281"/>
        <v>0</v>
      </c>
      <c r="SD42" s="43">
        <f t="shared" si="282"/>
        <v>0</v>
      </c>
      <c r="SF42" s="47">
        <v>1</v>
      </c>
      <c r="SG42" s="48" t="s">
        <v>4</v>
      </c>
      <c r="SH42" s="49">
        <v>1</v>
      </c>
      <c r="SI42" s="27"/>
      <c r="SJ42" s="42">
        <f t="shared" si="283"/>
        <v>0</v>
      </c>
      <c r="SK42" s="43">
        <f t="shared" si="284"/>
        <v>0</v>
      </c>
      <c r="SM42" s="47">
        <v>1</v>
      </c>
      <c r="SN42" s="48" t="s">
        <v>4</v>
      </c>
      <c r="SO42" s="49">
        <v>1</v>
      </c>
      <c r="SP42" s="27"/>
      <c r="SQ42" s="42">
        <f t="shared" si="285"/>
        <v>0</v>
      </c>
      <c r="SR42" s="43">
        <f t="shared" si="286"/>
        <v>0</v>
      </c>
    </row>
    <row r="43" spans="1:512" customFormat="1" ht="16" customHeight="1" x14ac:dyDescent="0.15">
      <c r="A43" s="34">
        <v>46194</v>
      </c>
      <c r="B43" s="35">
        <v>0.75</v>
      </c>
      <c r="C43" s="79" t="s">
        <v>3</v>
      </c>
      <c r="D43" s="81" t="s">
        <v>47</v>
      </c>
      <c r="E43" s="2">
        <v>4</v>
      </c>
      <c r="F43" s="50" t="s">
        <v>4</v>
      </c>
      <c r="G43" s="1">
        <v>0</v>
      </c>
      <c r="H43" s="16">
        <v>3</v>
      </c>
      <c r="I43" s="32">
        <f t="shared" si="0"/>
        <v>4</v>
      </c>
      <c r="J43" s="47">
        <v>3</v>
      </c>
      <c r="K43" s="48" t="s">
        <v>4</v>
      </c>
      <c r="L43" s="49">
        <v>0</v>
      </c>
      <c r="M43" s="27"/>
      <c r="N43" s="42">
        <f t="shared" si="1"/>
        <v>3</v>
      </c>
      <c r="O43" s="43">
        <f t="shared" si="2"/>
        <v>3</v>
      </c>
      <c r="P43" s="32"/>
      <c r="Q43" s="47">
        <v>3</v>
      </c>
      <c r="R43" s="48" t="s">
        <v>4</v>
      </c>
      <c r="S43" s="49">
        <v>0</v>
      </c>
      <c r="T43" s="27"/>
      <c r="U43" s="42">
        <f t="shared" si="145"/>
        <v>3</v>
      </c>
      <c r="V43" s="43">
        <f t="shared" si="146"/>
        <v>3</v>
      </c>
      <c r="X43" s="47">
        <v>3</v>
      </c>
      <c r="Y43" s="48" t="s">
        <v>4</v>
      </c>
      <c r="Z43" s="49">
        <v>0</v>
      </c>
      <c r="AA43" s="27"/>
      <c r="AB43" s="42">
        <f t="shared" si="147"/>
        <v>3</v>
      </c>
      <c r="AC43" s="43">
        <f t="shared" si="148"/>
        <v>3</v>
      </c>
      <c r="AE43" s="47">
        <v>3</v>
      </c>
      <c r="AF43" s="48" t="s">
        <v>4</v>
      </c>
      <c r="AG43" s="49">
        <v>0</v>
      </c>
      <c r="AH43" s="27"/>
      <c r="AI43" s="42">
        <f t="shared" si="149"/>
        <v>3</v>
      </c>
      <c r="AJ43" s="43">
        <f t="shared" si="150"/>
        <v>3</v>
      </c>
      <c r="AL43" s="47">
        <v>3</v>
      </c>
      <c r="AM43" s="48" t="s">
        <v>4</v>
      </c>
      <c r="AN43" s="49">
        <v>0</v>
      </c>
      <c r="AO43" s="27"/>
      <c r="AP43" s="42">
        <f t="shared" si="151"/>
        <v>3</v>
      </c>
      <c r="AQ43" s="43">
        <f t="shared" si="152"/>
        <v>3</v>
      </c>
      <c r="AS43" s="47">
        <v>3</v>
      </c>
      <c r="AT43" s="48" t="s">
        <v>4</v>
      </c>
      <c r="AU43" s="49">
        <v>1</v>
      </c>
      <c r="AV43" s="27"/>
      <c r="AW43" s="42">
        <f t="shared" si="153"/>
        <v>3</v>
      </c>
      <c r="AX43" s="43">
        <f t="shared" si="154"/>
        <v>2</v>
      </c>
      <c r="AZ43" s="47">
        <v>4</v>
      </c>
      <c r="BA43" s="48" t="s">
        <v>4</v>
      </c>
      <c r="BB43" s="49">
        <v>0</v>
      </c>
      <c r="BC43" s="27"/>
      <c r="BD43" s="42">
        <f t="shared" si="155"/>
        <v>4.5</v>
      </c>
      <c r="BE43" s="43">
        <f t="shared" si="156"/>
        <v>4</v>
      </c>
      <c r="BG43" s="47">
        <v>3</v>
      </c>
      <c r="BH43" s="48" t="s">
        <v>4</v>
      </c>
      <c r="BI43" s="49">
        <v>1</v>
      </c>
      <c r="BJ43" s="27"/>
      <c r="BK43" s="42">
        <f t="shared" si="157"/>
        <v>3</v>
      </c>
      <c r="BL43" s="43">
        <f t="shared" si="158"/>
        <v>2</v>
      </c>
      <c r="BN43" s="47">
        <v>3</v>
      </c>
      <c r="BO43" s="48" t="s">
        <v>4</v>
      </c>
      <c r="BP43" s="49">
        <v>0</v>
      </c>
      <c r="BQ43" s="27"/>
      <c r="BR43" s="42">
        <f t="shared" si="159"/>
        <v>3</v>
      </c>
      <c r="BS43" s="43">
        <f t="shared" si="160"/>
        <v>3</v>
      </c>
      <c r="BU43" s="47">
        <v>3</v>
      </c>
      <c r="BV43" s="48" t="s">
        <v>4</v>
      </c>
      <c r="BW43" s="49">
        <v>0</v>
      </c>
      <c r="BX43" s="27"/>
      <c r="BY43" s="42">
        <f t="shared" si="161"/>
        <v>3</v>
      </c>
      <c r="BZ43" s="43">
        <f t="shared" si="162"/>
        <v>3</v>
      </c>
      <c r="CB43" s="47">
        <v>4</v>
      </c>
      <c r="CC43" s="48" t="s">
        <v>4</v>
      </c>
      <c r="CD43" s="49">
        <v>1</v>
      </c>
      <c r="CE43" s="27"/>
      <c r="CF43" s="42">
        <f t="shared" si="163"/>
        <v>3</v>
      </c>
      <c r="CG43" s="43">
        <f t="shared" si="164"/>
        <v>3</v>
      </c>
      <c r="CI43" s="47">
        <v>2</v>
      </c>
      <c r="CJ43" s="48" t="s">
        <v>4</v>
      </c>
      <c r="CK43" s="49">
        <v>0</v>
      </c>
      <c r="CL43" s="27"/>
      <c r="CM43" s="42">
        <f t="shared" si="165"/>
        <v>3</v>
      </c>
      <c r="CN43" s="43">
        <f t="shared" si="166"/>
        <v>2</v>
      </c>
      <c r="CP43" s="47">
        <v>4</v>
      </c>
      <c r="CQ43" s="48" t="s">
        <v>4</v>
      </c>
      <c r="CR43" s="49">
        <v>0</v>
      </c>
      <c r="CS43" s="27"/>
      <c r="CT43" s="42">
        <f t="shared" si="167"/>
        <v>4.5</v>
      </c>
      <c r="CU43" s="43">
        <f t="shared" si="168"/>
        <v>4</v>
      </c>
      <c r="CW43" s="47">
        <v>3</v>
      </c>
      <c r="CX43" s="48" t="s">
        <v>4</v>
      </c>
      <c r="CY43" s="49">
        <v>0</v>
      </c>
      <c r="CZ43" s="27"/>
      <c r="DA43" s="42">
        <f t="shared" si="169"/>
        <v>3</v>
      </c>
      <c r="DB43" s="43">
        <f t="shared" si="170"/>
        <v>3</v>
      </c>
      <c r="DD43" s="47">
        <v>2</v>
      </c>
      <c r="DE43" s="48" t="s">
        <v>4</v>
      </c>
      <c r="DF43" s="49">
        <v>0</v>
      </c>
      <c r="DG43" s="27"/>
      <c r="DH43" s="42">
        <f t="shared" si="171"/>
        <v>3</v>
      </c>
      <c r="DI43" s="43">
        <f t="shared" si="172"/>
        <v>2</v>
      </c>
      <c r="DK43" s="47">
        <v>2</v>
      </c>
      <c r="DL43" s="48" t="s">
        <v>4</v>
      </c>
      <c r="DM43" s="49">
        <v>0</v>
      </c>
      <c r="DN43" s="27"/>
      <c r="DO43" s="42">
        <f t="shared" si="173"/>
        <v>3</v>
      </c>
      <c r="DP43" s="43">
        <f t="shared" si="174"/>
        <v>2</v>
      </c>
      <c r="DR43" s="47">
        <v>3</v>
      </c>
      <c r="DS43" s="48" t="s">
        <v>4</v>
      </c>
      <c r="DT43" s="49">
        <v>0</v>
      </c>
      <c r="DU43" s="27"/>
      <c r="DV43" s="42">
        <f t="shared" si="175"/>
        <v>3</v>
      </c>
      <c r="DW43" s="43">
        <f t="shared" si="176"/>
        <v>3</v>
      </c>
      <c r="DY43" s="47">
        <v>4</v>
      </c>
      <c r="DZ43" s="48" t="s">
        <v>4</v>
      </c>
      <c r="EA43" s="49">
        <v>0</v>
      </c>
      <c r="EB43" s="27"/>
      <c r="EC43" s="42">
        <f t="shared" si="177"/>
        <v>4.5</v>
      </c>
      <c r="ED43" s="43">
        <f t="shared" si="178"/>
        <v>4</v>
      </c>
      <c r="EF43" s="47">
        <v>3</v>
      </c>
      <c r="EG43" s="48" t="s">
        <v>4</v>
      </c>
      <c r="EH43" s="49">
        <v>1</v>
      </c>
      <c r="EI43" s="27"/>
      <c r="EJ43" s="42">
        <f t="shared" si="179"/>
        <v>3</v>
      </c>
      <c r="EK43" s="43">
        <f t="shared" si="180"/>
        <v>2</v>
      </c>
      <c r="EM43" s="47">
        <v>3</v>
      </c>
      <c r="EN43" s="48" t="s">
        <v>4</v>
      </c>
      <c r="EO43" s="49">
        <v>2</v>
      </c>
      <c r="EP43" s="27"/>
      <c r="EQ43" s="42">
        <f t="shared" si="181"/>
        <v>3</v>
      </c>
      <c r="ER43" s="43">
        <f t="shared" si="182"/>
        <v>1</v>
      </c>
      <c r="ET43" s="47">
        <v>3</v>
      </c>
      <c r="EU43" s="48" t="s">
        <v>4</v>
      </c>
      <c r="EV43" s="49">
        <v>2</v>
      </c>
      <c r="EW43" s="27"/>
      <c r="EX43" s="42">
        <f t="shared" si="183"/>
        <v>3</v>
      </c>
      <c r="EY43" s="43">
        <f t="shared" si="184"/>
        <v>1</v>
      </c>
      <c r="FA43" s="47">
        <v>3</v>
      </c>
      <c r="FB43" s="48" t="s">
        <v>4</v>
      </c>
      <c r="FC43" s="49">
        <v>0</v>
      </c>
      <c r="FD43" s="27"/>
      <c r="FE43" s="42">
        <f t="shared" si="185"/>
        <v>3</v>
      </c>
      <c r="FF43" s="43">
        <f t="shared" si="186"/>
        <v>3</v>
      </c>
      <c r="FH43" s="47">
        <v>6</v>
      </c>
      <c r="FI43" s="48" t="s">
        <v>4</v>
      </c>
      <c r="FJ43" s="49">
        <v>0</v>
      </c>
      <c r="FK43" s="27"/>
      <c r="FL43" s="42">
        <f t="shared" si="187"/>
        <v>3</v>
      </c>
      <c r="FM43" s="43">
        <f t="shared" si="188"/>
        <v>6</v>
      </c>
      <c r="FO43" s="47">
        <v>3</v>
      </c>
      <c r="FP43" s="48" t="s">
        <v>4</v>
      </c>
      <c r="FQ43" s="49">
        <v>1</v>
      </c>
      <c r="FR43" s="27"/>
      <c r="FS43" s="42">
        <f t="shared" si="189"/>
        <v>3</v>
      </c>
      <c r="FT43" s="43">
        <f t="shared" si="190"/>
        <v>2</v>
      </c>
      <c r="FV43" s="47">
        <v>3</v>
      </c>
      <c r="FW43" s="48" t="s">
        <v>4</v>
      </c>
      <c r="FX43" s="49">
        <v>1</v>
      </c>
      <c r="FY43" s="27"/>
      <c r="FZ43" s="42">
        <f t="shared" si="191"/>
        <v>3</v>
      </c>
      <c r="GA43" s="43">
        <f t="shared" si="192"/>
        <v>2</v>
      </c>
      <c r="GC43" s="47">
        <v>3</v>
      </c>
      <c r="GD43" s="48" t="s">
        <v>4</v>
      </c>
      <c r="GE43" s="49">
        <v>0</v>
      </c>
      <c r="GF43" s="27"/>
      <c r="GG43" s="42">
        <f t="shared" si="193"/>
        <v>3</v>
      </c>
      <c r="GH43" s="43">
        <f t="shared" si="194"/>
        <v>3</v>
      </c>
      <c r="GJ43" s="47">
        <v>3</v>
      </c>
      <c r="GK43" s="48" t="s">
        <v>4</v>
      </c>
      <c r="GL43" s="49">
        <v>0</v>
      </c>
      <c r="GM43" s="27"/>
      <c r="GN43" s="42">
        <f t="shared" si="195"/>
        <v>3</v>
      </c>
      <c r="GO43" s="43">
        <f t="shared" si="196"/>
        <v>3</v>
      </c>
      <c r="GQ43" s="47">
        <v>4</v>
      </c>
      <c r="GR43" s="48" t="s">
        <v>4</v>
      </c>
      <c r="GS43" s="49">
        <v>0</v>
      </c>
      <c r="GT43" s="27"/>
      <c r="GU43" s="42">
        <f t="shared" si="197"/>
        <v>4.5</v>
      </c>
      <c r="GV43" s="43">
        <f t="shared" si="198"/>
        <v>4</v>
      </c>
      <c r="GX43" s="47">
        <v>3</v>
      </c>
      <c r="GY43" s="48" t="s">
        <v>4</v>
      </c>
      <c r="GZ43" s="49">
        <v>0</v>
      </c>
      <c r="HA43" s="27"/>
      <c r="HB43" s="42">
        <f t="shared" si="199"/>
        <v>3</v>
      </c>
      <c r="HC43" s="43">
        <f t="shared" si="200"/>
        <v>3</v>
      </c>
      <c r="HE43" s="47">
        <v>4</v>
      </c>
      <c r="HF43" s="48" t="s">
        <v>4</v>
      </c>
      <c r="HG43" s="49">
        <v>0</v>
      </c>
      <c r="HH43" s="27"/>
      <c r="HI43" s="42">
        <f t="shared" si="201"/>
        <v>4.5</v>
      </c>
      <c r="HJ43" s="43">
        <f t="shared" si="202"/>
        <v>4</v>
      </c>
      <c r="HL43" s="47">
        <v>3</v>
      </c>
      <c r="HM43" s="48" t="s">
        <v>4</v>
      </c>
      <c r="HN43" s="49">
        <v>0</v>
      </c>
      <c r="HO43" s="27"/>
      <c r="HP43" s="42">
        <f t="shared" si="203"/>
        <v>3</v>
      </c>
      <c r="HQ43" s="43">
        <f t="shared" si="204"/>
        <v>3</v>
      </c>
      <c r="HS43" s="47">
        <v>3</v>
      </c>
      <c r="HT43" s="48" t="s">
        <v>4</v>
      </c>
      <c r="HU43" s="49">
        <v>0</v>
      </c>
      <c r="HV43" s="27"/>
      <c r="HW43" s="42">
        <f t="shared" si="205"/>
        <v>3</v>
      </c>
      <c r="HX43" s="43">
        <f t="shared" si="206"/>
        <v>3</v>
      </c>
      <c r="HZ43" s="47">
        <v>3</v>
      </c>
      <c r="IA43" s="48" t="s">
        <v>4</v>
      </c>
      <c r="IB43" s="49">
        <v>0</v>
      </c>
      <c r="IC43" s="27"/>
      <c r="ID43" s="42">
        <f t="shared" si="207"/>
        <v>3</v>
      </c>
      <c r="IE43" s="43">
        <f t="shared" si="208"/>
        <v>3</v>
      </c>
      <c r="IG43" s="47">
        <v>2</v>
      </c>
      <c r="IH43" s="48" t="s">
        <v>4</v>
      </c>
      <c r="II43" s="49">
        <v>0</v>
      </c>
      <c r="IJ43" s="27"/>
      <c r="IK43" s="42">
        <f t="shared" si="209"/>
        <v>3</v>
      </c>
      <c r="IL43" s="43">
        <f t="shared" si="210"/>
        <v>2</v>
      </c>
      <c r="IN43" s="47">
        <v>4</v>
      </c>
      <c r="IO43" s="48" t="s">
        <v>4</v>
      </c>
      <c r="IP43" s="49">
        <v>0</v>
      </c>
      <c r="IQ43" s="27"/>
      <c r="IR43" s="42">
        <f t="shared" si="211"/>
        <v>4.5</v>
      </c>
      <c r="IS43" s="43">
        <f t="shared" si="212"/>
        <v>4</v>
      </c>
      <c r="IU43" s="47">
        <v>2</v>
      </c>
      <c r="IV43" s="48" t="s">
        <v>4</v>
      </c>
      <c r="IW43" s="49">
        <v>0</v>
      </c>
      <c r="IX43" s="27"/>
      <c r="IY43" s="42">
        <f t="shared" si="213"/>
        <v>3</v>
      </c>
      <c r="IZ43" s="43">
        <f t="shared" si="214"/>
        <v>2</v>
      </c>
      <c r="JB43" s="47">
        <v>2</v>
      </c>
      <c r="JC43" s="48" t="s">
        <v>4</v>
      </c>
      <c r="JD43" s="49">
        <v>0</v>
      </c>
      <c r="JE43" s="27"/>
      <c r="JF43" s="42">
        <f t="shared" si="215"/>
        <v>3</v>
      </c>
      <c r="JG43" s="43">
        <f t="shared" si="216"/>
        <v>2</v>
      </c>
      <c r="JI43" s="47">
        <v>3</v>
      </c>
      <c r="JJ43" s="48" t="s">
        <v>4</v>
      </c>
      <c r="JK43" s="49">
        <v>1</v>
      </c>
      <c r="JL43" s="27"/>
      <c r="JM43" s="42">
        <f t="shared" si="217"/>
        <v>3</v>
      </c>
      <c r="JN43" s="43">
        <f t="shared" si="218"/>
        <v>2</v>
      </c>
      <c r="JP43" s="47">
        <v>2</v>
      </c>
      <c r="JQ43" s="48" t="s">
        <v>4</v>
      </c>
      <c r="JR43" s="49">
        <v>0</v>
      </c>
      <c r="JS43" s="27"/>
      <c r="JT43" s="42">
        <f t="shared" si="219"/>
        <v>3</v>
      </c>
      <c r="JU43" s="43">
        <f t="shared" si="220"/>
        <v>2</v>
      </c>
      <c r="JW43" s="47">
        <v>4</v>
      </c>
      <c r="JX43" s="48" t="s">
        <v>4</v>
      </c>
      <c r="JY43" s="49">
        <v>1</v>
      </c>
      <c r="JZ43" s="27"/>
      <c r="KA43" s="42">
        <f t="shared" si="221"/>
        <v>3</v>
      </c>
      <c r="KB43" s="43">
        <f t="shared" si="222"/>
        <v>3</v>
      </c>
      <c r="KD43" s="47">
        <v>3</v>
      </c>
      <c r="KE43" s="48" t="s">
        <v>4</v>
      </c>
      <c r="KF43" s="49">
        <v>1</v>
      </c>
      <c r="KG43" s="27"/>
      <c r="KH43" s="42">
        <f t="shared" si="223"/>
        <v>3</v>
      </c>
      <c r="KI43" s="43">
        <f t="shared" si="224"/>
        <v>2</v>
      </c>
      <c r="KK43" s="47">
        <v>2</v>
      </c>
      <c r="KL43" s="48" t="s">
        <v>4</v>
      </c>
      <c r="KM43" s="49">
        <v>0</v>
      </c>
      <c r="KN43" s="27"/>
      <c r="KO43" s="42">
        <f t="shared" si="225"/>
        <v>3</v>
      </c>
      <c r="KP43" s="43">
        <f t="shared" si="226"/>
        <v>2</v>
      </c>
      <c r="KR43" s="47">
        <v>3</v>
      </c>
      <c r="KS43" s="48" t="s">
        <v>4</v>
      </c>
      <c r="KT43" s="49">
        <v>0</v>
      </c>
      <c r="KU43" s="27"/>
      <c r="KV43" s="42">
        <f t="shared" si="227"/>
        <v>3</v>
      </c>
      <c r="KW43" s="43">
        <f t="shared" si="228"/>
        <v>3</v>
      </c>
      <c r="KY43" s="47">
        <v>2</v>
      </c>
      <c r="KZ43" s="48" t="s">
        <v>4</v>
      </c>
      <c r="LA43" s="49">
        <v>1</v>
      </c>
      <c r="LB43" s="27"/>
      <c r="LC43" s="42">
        <f t="shared" si="229"/>
        <v>3</v>
      </c>
      <c r="LD43" s="43">
        <f t="shared" si="230"/>
        <v>1</v>
      </c>
      <c r="LF43" s="47">
        <v>4</v>
      </c>
      <c r="LG43" s="48" t="s">
        <v>4</v>
      </c>
      <c r="LH43" s="49">
        <v>1</v>
      </c>
      <c r="LI43" s="27"/>
      <c r="LJ43" s="42">
        <f t="shared" si="231"/>
        <v>3</v>
      </c>
      <c r="LK43" s="43">
        <f t="shared" si="232"/>
        <v>3</v>
      </c>
      <c r="LM43" s="47">
        <v>3</v>
      </c>
      <c r="LN43" s="48" t="s">
        <v>4</v>
      </c>
      <c r="LO43" s="49">
        <v>1</v>
      </c>
      <c r="LP43" s="27"/>
      <c r="LQ43" s="42">
        <f t="shared" si="233"/>
        <v>3</v>
      </c>
      <c r="LR43" s="43">
        <f t="shared" si="234"/>
        <v>2</v>
      </c>
      <c r="LT43" s="47">
        <v>2</v>
      </c>
      <c r="LU43" s="48" t="s">
        <v>4</v>
      </c>
      <c r="LV43" s="49">
        <v>0</v>
      </c>
      <c r="LW43" s="27"/>
      <c r="LX43" s="42">
        <f t="shared" si="235"/>
        <v>3</v>
      </c>
      <c r="LY43" s="43">
        <f t="shared" si="236"/>
        <v>2</v>
      </c>
      <c r="MA43" s="47">
        <v>4</v>
      </c>
      <c r="MB43" s="48" t="s">
        <v>4</v>
      </c>
      <c r="MC43" s="49">
        <v>0</v>
      </c>
      <c r="MD43" s="27"/>
      <c r="ME43" s="42">
        <f t="shared" si="237"/>
        <v>4.5</v>
      </c>
      <c r="MF43" s="43">
        <f t="shared" si="238"/>
        <v>4</v>
      </c>
      <c r="MH43" s="47">
        <v>4</v>
      </c>
      <c r="MI43" s="48" t="s">
        <v>4</v>
      </c>
      <c r="MJ43" s="49">
        <v>0</v>
      </c>
      <c r="MK43" s="27"/>
      <c r="ML43" s="42">
        <f t="shared" si="239"/>
        <v>4.5</v>
      </c>
      <c r="MM43" s="43">
        <f t="shared" si="240"/>
        <v>4</v>
      </c>
      <c r="MO43" s="47">
        <v>3</v>
      </c>
      <c r="MP43" s="48" t="s">
        <v>4</v>
      </c>
      <c r="MQ43" s="49">
        <v>0</v>
      </c>
      <c r="MR43" s="27"/>
      <c r="MS43" s="42">
        <f t="shared" si="241"/>
        <v>3</v>
      </c>
      <c r="MT43" s="43">
        <f t="shared" si="242"/>
        <v>3</v>
      </c>
      <c r="MV43" s="47">
        <v>3</v>
      </c>
      <c r="MW43" s="48" t="s">
        <v>4</v>
      </c>
      <c r="MX43" s="49">
        <v>0</v>
      </c>
      <c r="MY43" s="27"/>
      <c r="MZ43" s="42">
        <f t="shared" si="243"/>
        <v>3</v>
      </c>
      <c r="NA43" s="43">
        <f t="shared" si="244"/>
        <v>3</v>
      </c>
      <c r="NC43" s="47">
        <v>3</v>
      </c>
      <c r="ND43" s="48" t="s">
        <v>4</v>
      </c>
      <c r="NE43" s="49">
        <v>1</v>
      </c>
      <c r="NF43" s="27"/>
      <c r="NG43" s="42">
        <f t="shared" si="245"/>
        <v>3</v>
      </c>
      <c r="NH43" s="43">
        <f t="shared" si="246"/>
        <v>2</v>
      </c>
      <c r="NJ43" s="47">
        <v>2</v>
      </c>
      <c r="NK43" s="48" t="s">
        <v>4</v>
      </c>
      <c r="NL43" s="49">
        <v>2</v>
      </c>
      <c r="NM43" s="27"/>
      <c r="NN43" s="42">
        <f t="shared" si="247"/>
        <v>0</v>
      </c>
      <c r="NO43" s="43">
        <f t="shared" si="248"/>
        <v>0</v>
      </c>
      <c r="NQ43" s="47">
        <v>2</v>
      </c>
      <c r="NR43" s="48" t="s">
        <v>4</v>
      </c>
      <c r="NS43" s="49">
        <v>0</v>
      </c>
      <c r="NT43" s="27"/>
      <c r="NU43" s="42">
        <f t="shared" si="249"/>
        <v>3</v>
      </c>
      <c r="NV43" s="43">
        <f t="shared" si="250"/>
        <v>2</v>
      </c>
      <c r="NX43" s="47">
        <v>5</v>
      </c>
      <c r="NY43" s="48" t="s">
        <v>4</v>
      </c>
      <c r="NZ43" s="49">
        <v>1</v>
      </c>
      <c r="OA43" s="27"/>
      <c r="OB43" s="42">
        <f t="shared" si="251"/>
        <v>3</v>
      </c>
      <c r="OC43" s="43">
        <f t="shared" si="252"/>
        <v>4</v>
      </c>
      <c r="OE43" s="47">
        <v>3</v>
      </c>
      <c r="OF43" s="48" t="s">
        <v>4</v>
      </c>
      <c r="OG43" s="49">
        <v>0</v>
      </c>
      <c r="OH43" s="27"/>
      <c r="OI43" s="42">
        <f t="shared" si="253"/>
        <v>3</v>
      </c>
      <c r="OJ43" s="43">
        <f t="shared" si="254"/>
        <v>3</v>
      </c>
      <c r="OL43" s="47">
        <v>4</v>
      </c>
      <c r="OM43" s="48" t="s">
        <v>4</v>
      </c>
      <c r="ON43" s="49">
        <v>0</v>
      </c>
      <c r="OO43" s="27"/>
      <c r="OP43" s="42">
        <f t="shared" si="255"/>
        <v>4.5</v>
      </c>
      <c r="OQ43" s="43">
        <f t="shared" si="256"/>
        <v>4</v>
      </c>
      <c r="OS43" s="47">
        <v>2</v>
      </c>
      <c r="OT43" s="48" t="s">
        <v>4</v>
      </c>
      <c r="OU43" s="49">
        <v>0</v>
      </c>
      <c r="OV43" s="27"/>
      <c r="OW43" s="42">
        <f t="shared" si="257"/>
        <v>3</v>
      </c>
      <c r="OX43" s="43">
        <f t="shared" si="258"/>
        <v>2</v>
      </c>
      <c r="OZ43" s="47">
        <v>4</v>
      </c>
      <c r="PA43" s="48" t="s">
        <v>4</v>
      </c>
      <c r="PB43" s="49">
        <v>0</v>
      </c>
      <c r="PC43" s="27"/>
      <c r="PD43" s="42">
        <f t="shared" si="259"/>
        <v>4.5</v>
      </c>
      <c r="PE43" s="43">
        <f t="shared" si="260"/>
        <v>4</v>
      </c>
      <c r="PG43" s="47">
        <v>3</v>
      </c>
      <c r="PH43" s="48" t="s">
        <v>4</v>
      </c>
      <c r="PI43" s="49">
        <v>0</v>
      </c>
      <c r="PJ43" s="27"/>
      <c r="PK43" s="42">
        <f t="shared" si="261"/>
        <v>3</v>
      </c>
      <c r="PL43" s="43">
        <f t="shared" si="262"/>
        <v>3</v>
      </c>
      <c r="PN43" s="47">
        <v>2</v>
      </c>
      <c r="PO43" s="48" t="s">
        <v>4</v>
      </c>
      <c r="PP43" s="49">
        <v>1</v>
      </c>
      <c r="PQ43" s="27"/>
      <c r="PR43" s="42">
        <f t="shared" si="263"/>
        <v>3</v>
      </c>
      <c r="PS43" s="43">
        <f t="shared" si="264"/>
        <v>1</v>
      </c>
      <c r="PU43" s="47">
        <v>3</v>
      </c>
      <c r="PV43" s="48" t="s">
        <v>4</v>
      </c>
      <c r="PW43" s="49">
        <v>0</v>
      </c>
      <c r="PX43" s="27"/>
      <c r="PY43" s="42">
        <f t="shared" si="265"/>
        <v>3</v>
      </c>
      <c r="PZ43" s="43">
        <f t="shared" si="266"/>
        <v>3</v>
      </c>
      <c r="QB43" s="47">
        <v>4</v>
      </c>
      <c r="QC43" s="48" t="s">
        <v>4</v>
      </c>
      <c r="QD43" s="49">
        <v>0</v>
      </c>
      <c r="QE43" s="27"/>
      <c r="QF43" s="42">
        <f t="shared" si="267"/>
        <v>4.5</v>
      </c>
      <c r="QG43" s="43">
        <f t="shared" si="268"/>
        <v>4</v>
      </c>
      <c r="QI43" s="47">
        <v>3</v>
      </c>
      <c r="QJ43" s="48" t="s">
        <v>4</v>
      </c>
      <c r="QK43" s="49">
        <v>0</v>
      </c>
      <c r="QL43" s="27"/>
      <c r="QM43" s="42">
        <f t="shared" si="269"/>
        <v>3</v>
      </c>
      <c r="QN43" s="43">
        <f t="shared" si="270"/>
        <v>3</v>
      </c>
      <c r="QP43" s="47">
        <v>5</v>
      </c>
      <c r="QQ43" s="48" t="s">
        <v>4</v>
      </c>
      <c r="QR43" s="49">
        <v>0</v>
      </c>
      <c r="QS43" s="27"/>
      <c r="QT43" s="42">
        <f t="shared" si="271"/>
        <v>3</v>
      </c>
      <c r="QU43" s="43">
        <f t="shared" si="272"/>
        <v>5</v>
      </c>
      <c r="QW43" s="47">
        <v>4</v>
      </c>
      <c r="QX43" s="48" t="s">
        <v>4</v>
      </c>
      <c r="QY43" s="49">
        <v>1</v>
      </c>
      <c r="QZ43" s="27"/>
      <c r="RA43" s="42">
        <f t="shared" si="273"/>
        <v>3</v>
      </c>
      <c r="RB43" s="43">
        <f t="shared" si="274"/>
        <v>3</v>
      </c>
      <c r="RD43" s="47"/>
      <c r="RE43" s="48" t="s">
        <v>4</v>
      </c>
      <c r="RF43" s="49"/>
      <c r="RG43" s="27"/>
      <c r="RH43" s="42" t="str">
        <f t="shared" si="275"/>
        <v/>
      </c>
      <c r="RI43" s="43">
        <f t="shared" si="276"/>
        <v>0</v>
      </c>
      <c r="RK43" s="47">
        <v>0</v>
      </c>
      <c r="RL43" s="48" t="s">
        <v>4</v>
      </c>
      <c r="RM43" s="49">
        <v>2</v>
      </c>
      <c r="RN43" s="27"/>
      <c r="RO43" s="42">
        <f t="shared" si="277"/>
        <v>0</v>
      </c>
      <c r="RP43" s="43">
        <f t="shared" si="278"/>
        <v>-2</v>
      </c>
      <c r="RR43" s="47">
        <v>0</v>
      </c>
      <c r="RS43" s="48" t="s">
        <v>4</v>
      </c>
      <c r="RT43" s="49">
        <v>3</v>
      </c>
      <c r="RU43" s="27"/>
      <c r="RV43" s="42">
        <f t="shared" si="279"/>
        <v>0</v>
      </c>
      <c r="RW43" s="43">
        <f t="shared" si="280"/>
        <v>-3</v>
      </c>
      <c r="RY43" s="47">
        <v>3</v>
      </c>
      <c r="RZ43" s="48" t="s">
        <v>4</v>
      </c>
      <c r="SA43" s="49">
        <v>0</v>
      </c>
      <c r="SB43" s="27"/>
      <c r="SC43" s="42">
        <f t="shared" si="281"/>
        <v>3</v>
      </c>
      <c r="SD43" s="43">
        <f t="shared" si="282"/>
        <v>3</v>
      </c>
      <c r="SF43" s="47">
        <v>0</v>
      </c>
      <c r="SG43" s="48" t="s">
        <v>4</v>
      </c>
      <c r="SH43" s="49">
        <v>3</v>
      </c>
      <c r="SI43" s="27"/>
      <c r="SJ43" s="42">
        <f t="shared" si="283"/>
        <v>0</v>
      </c>
      <c r="SK43" s="43">
        <f t="shared" si="284"/>
        <v>-3</v>
      </c>
      <c r="SM43" s="47">
        <v>3</v>
      </c>
      <c r="SN43" s="48" t="s">
        <v>4</v>
      </c>
      <c r="SO43" s="49">
        <v>0</v>
      </c>
      <c r="SP43" s="27"/>
      <c r="SQ43" s="42">
        <f t="shared" si="285"/>
        <v>3</v>
      </c>
      <c r="SR43" s="43">
        <f t="shared" si="286"/>
        <v>3</v>
      </c>
    </row>
    <row r="44" spans="1:512" customFormat="1" ht="16" customHeight="1" x14ac:dyDescent="0.15">
      <c r="A44" s="34">
        <v>46194</v>
      </c>
      <c r="B44" s="35">
        <v>0.875</v>
      </c>
      <c r="C44" s="79" t="s">
        <v>11</v>
      </c>
      <c r="D44" s="79" t="s">
        <v>49</v>
      </c>
      <c r="E44" s="2">
        <v>0</v>
      </c>
      <c r="F44" s="50" t="s">
        <v>4</v>
      </c>
      <c r="G44" s="1">
        <v>0</v>
      </c>
      <c r="H44" s="16">
        <v>3</v>
      </c>
      <c r="I44" s="32">
        <f t="shared" si="0"/>
        <v>0</v>
      </c>
      <c r="J44" s="47">
        <v>1</v>
      </c>
      <c r="K44" s="48" t="s">
        <v>4</v>
      </c>
      <c r="L44" s="49">
        <v>0</v>
      </c>
      <c r="M44" s="27"/>
      <c r="N44" s="42">
        <f t="shared" si="1"/>
        <v>0</v>
      </c>
      <c r="O44" s="43">
        <f t="shared" si="2"/>
        <v>1</v>
      </c>
      <c r="P44" s="32"/>
      <c r="Q44" s="47">
        <v>4</v>
      </c>
      <c r="R44" s="48" t="s">
        <v>4</v>
      </c>
      <c r="S44" s="49">
        <v>1</v>
      </c>
      <c r="T44" s="27"/>
      <c r="U44" s="42">
        <f t="shared" si="145"/>
        <v>0</v>
      </c>
      <c r="V44" s="43">
        <f t="shared" si="146"/>
        <v>3</v>
      </c>
      <c r="X44" s="47">
        <v>1</v>
      </c>
      <c r="Y44" s="48" t="s">
        <v>4</v>
      </c>
      <c r="Z44" s="49">
        <v>1</v>
      </c>
      <c r="AA44" s="27"/>
      <c r="AB44" s="42">
        <f t="shared" si="147"/>
        <v>3</v>
      </c>
      <c r="AC44" s="43">
        <f t="shared" si="148"/>
        <v>0</v>
      </c>
      <c r="AE44" s="47">
        <v>2</v>
      </c>
      <c r="AF44" s="48" t="s">
        <v>4</v>
      </c>
      <c r="AG44" s="49">
        <v>1</v>
      </c>
      <c r="AH44" s="27"/>
      <c r="AI44" s="42">
        <f t="shared" si="149"/>
        <v>0</v>
      </c>
      <c r="AJ44" s="43">
        <f t="shared" si="150"/>
        <v>1</v>
      </c>
      <c r="AL44" s="47">
        <v>2</v>
      </c>
      <c r="AM44" s="48" t="s">
        <v>4</v>
      </c>
      <c r="AN44" s="49">
        <v>0</v>
      </c>
      <c r="AO44" s="27"/>
      <c r="AP44" s="42">
        <f t="shared" si="151"/>
        <v>0</v>
      </c>
      <c r="AQ44" s="43">
        <f t="shared" si="152"/>
        <v>2</v>
      </c>
      <c r="AS44" s="47">
        <v>1</v>
      </c>
      <c r="AT44" s="48" t="s">
        <v>4</v>
      </c>
      <c r="AU44" s="49">
        <v>1</v>
      </c>
      <c r="AV44" s="27"/>
      <c r="AW44" s="42">
        <f t="shared" si="153"/>
        <v>3</v>
      </c>
      <c r="AX44" s="43">
        <f t="shared" si="154"/>
        <v>0</v>
      </c>
      <c r="AZ44" s="47">
        <v>2</v>
      </c>
      <c r="BA44" s="48" t="s">
        <v>4</v>
      </c>
      <c r="BB44" s="49">
        <v>0</v>
      </c>
      <c r="BC44" s="27"/>
      <c r="BD44" s="42">
        <f t="shared" si="155"/>
        <v>0</v>
      </c>
      <c r="BE44" s="43">
        <f t="shared" si="156"/>
        <v>2</v>
      </c>
      <c r="BG44" s="47">
        <v>3</v>
      </c>
      <c r="BH44" s="48" t="s">
        <v>4</v>
      </c>
      <c r="BI44" s="49">
        <v>2</v>
      </c>
      <c r="BJ44" s="27"/>
      <c r="BK44" s="42">
        <f t="shared" si="157"/>
        <v>0</v>
      </c>
      <c r="BL44" s="43">
        <f t="shared" si="158"/>
        <v>1</v>
      </c>
      <c r="BN44" s="47">
        <v>2</v>
      </c>
      <c r="BO44" s="48" t="s">
        <v>4</v>
      </c>
      <c r="BP44" s="49">
        <v>0</v>
      </c>
      <c r="BQ44" s="27"/>
      <c r="BR44" s="42">
        <f t="shared" si="159"/>
        <v>0</v>
      </c>
      <c r="BS44" s="43">
        <f t="shared" si="160"/>
        <v>2</v>
      </c>
      <c r="BU44" s="47">
        <v>2</v>
      </c>
      <c r="BV44" s="48" t="s">
        <v>4</v>
      </c>
      <c r="BW44" s="49">
        <v>0</v>
      </c>
      <c r="BX44" s="27"/>
      <c r="BY44" s="42">
        <f t="shared" si="161"/>
        <v>0</v>
      </c>
      <c r="BZ44" s="43">
        <f t="shared" si="162"/>
        <v>2</v>
      </c>
      <c r="CB44" s="47">
        <v>3</v>
      </c>
      <c r="CC44" s="48" t="s">
        <v>4</v>
      </c>
      <c r="CD44" s="49">
        <v>0</v>
      </c>
      <c r="CE44" s="27"/>
      <c r="CF44" s="42">
        <f t="shared" si="163"/>
        <v>0</v>
      </c>
      <c r="CG44" s="43">
        <f t="shared" si="164"/>
        <v>3</v>
      </c>
      <c r="CI44" s="47">
        <v>2</v>
      </c>
      <c r="CJ44" s="48" t="s">
        <v>4</v>
      </c>
      <c r="CK44" s="49">
        <v>0</v>
      </c>
      <c r="CL44" s="27"/>
      <c r="CM44" s="42">
        <f t="shared" si="165"/>
        <v>0</v>
      </c>
      <c r="CN44" s="43">
        <f t="shared" si="166"/>
        <v>2</v>
      </c>
      <c r="CP44" s="47">
        <v>3</v>
      </c>
      <c r="CQ44" s="48" t="s">
        <v>4</v>
      </c>
      <c r="CR44" s="49">
        <v>1</v>
      </c>
      <c r="CS44" s="27"/>
      <c r="CT44" s="42">
        <f t="shared" si="167"/>
        <v>0</v>
      </c>
      <c r="CU44" s="43">
        <f t="shared" si="168"/>
        <v>2</v>
      </c>
      <c r="CW44" s="47">
        <v>2</v>
      </c>
      <c r="CX44" s="48" t="s">
        <v>4</v>
      </c>
      <c r="CY44" s="49">
        <v>0</v>
      </c>
      <c r="CZ44" s="27"/>
      <c r="DA44" s="42">
        <f t="shared" si="169"/>
        <v>0</v>
      </c>
      <c r="DB44" s="43">
        <f t="shared" si="170"/>
        <v>2</v>
      </c>
      <c r="DD44" s="47">
        <v>2</v>
      </c>
      <c r="DE44" s="48" t="s">
        <v>4</v>
      </c>
      <c r="DF44" s="49">
        <v>0</v>
      </c>
      <c r="DG44" s="27"/>
      <c r="DH44" s="42">
        <f t="shared" si="171"/>
        <v>0</v>
      </c>
      <c r="DI44" s="43">
        <f t="shared" si="172"/>
        <v>2</v>
      </c>
      <c r="DK44" s="47">
        <v>2</v>
      </c>
      <c r="DL44" s="48" t="s">
        <v>4</v>
      </c>
      <c r="DM44" s="49">
        <v>0</v>
      </c>
      <c r="DN44" s="27"/>
      <c r="DO44" s="42">
        <f t="shared" si="173"/>
        <v>0</v>
      </c>
      <c r="DP44" s="43">
        <f t="shared" si="174"/>
        <v>2</v>
      </c>
      <c r="DR44" s="47">
        <v>2</v>
      </c>
      <c r="DS44" s="48" t="s">
        <v>4</v>
      </c>
      <c r="DT44" s="49">
        <v>0</v>
      </c>
      <c r="DU44" s="27"/>
      <c r="DV44" s="42">
        <f t="shared" si="175"/>
        <v>0</v>
      </c>
      <c r="DW44" s="43">
        <f t="shared" si="176"/>
        <v>2</v>
      </c>
      <c r="DY44" s="47">
        <v>3</v>
      </c>
      <c r="DZ44" s="48" t="s">
        <v>4</v>
      </c>
      <c r="EA44" s="49">
        <v>0</v>
      </c>
      <c r="EB44" s="27"/>
      <c r="EC44" s="42">
        <f t="shared" si="177"/>
        <v>0</v>
      </c>
      <c r="ED44" s="43">
        <f t="shared" si="178"/>
        <v>3</v>
      </c>
      <c r="EF44" s="47">
        <v>1</v>
      </c>
      <c r="EG44" s="48" t="s">
        <v>4</v>
      </c>
      <c r="EH44" s="49">
        <v>0</v>
      </c>
      <c r="EI44" s="27"/>
      <c r="EJ44" s="42">
        <f t="shared" si="179"/>
        <v>0</v>
      </c>
      <c r="EK44" s="43">
        <f t="shared" si="180"/>
        <v>1</v>
      </c>
      <c r="EM44" s="47">
        <v>3</v>
      </c>
      <c r="EN44" s="48" t="s">
        <v>4</v>
      </c>
      <c r="EO44" s="49">
        <v>0</v>
      </c>
      <c r="EP44" s="27"/>
      <c r="EQ44" s="42">
        <f t="shared" si="181"/>
        <v>0</v>
      </c>
      <c r="ER44" s="43">
        <f t="shared" si="182"/>
        <v>3</v>
      </c>
      <c r="ET44" s="47">
        <v>2</v>
      </c>
      <c r="EU44" s="48" t="s">
        <v>4</v>
      </c>
      <c r="EV44" s="49">
        <v>1</v>
      </c>
      <c r="EW44" s="27"/>
      <c r="EX44" s="42">
        <f t="shared" si="183"/>
        <v>0</v>
      </c>
      <c r="EY44" s="43">
        <f t="shared" si="184"/>
        <v>1</v>
      </c>
      <c r="FA44" s="47">
        <v>2</v>
      </c>
      <c r="FB44" s="48" t="s">
        <v>4</v>
      </c>
      <c r="FC44" s="49">
        <v>0</v>
      </c>
      <c r="FD44" s="27"/>
      <c r="FE44" s="42">
        <f t="shared" si="185"/>
        <v>0</v>
      </c>
      <c r="FF44" s="43">
        <f t="shared" si="186"/>
        <v>2</v>
      </c>
      <c r="FH44" s="47">
        <v>2</v>
      </c>
      <c r="FI44" s="48" t="s">
        <v>4</v>
      </c>
      <c r="FJ44" s="49">
        <v>1</v>
      </c>
      <c r="FK44" s="27"/>
      <c r="FL44" s="42">
        <f t="shared" si="187"/>
        <v>0</v>
      </c>
      <c r="FM44" s="43">
        <f t="shared" si="188"/>
        <v>1</v>
      </c>
      <c r="FO44" s="47">
        <v>2</v>
      </c>
      <c r="FP44" s="48" t="s">
        <v>4</v>
      </c>
      <c r="FQ44" s="49">
        <v>0</v>
      </c>
      <c r="FR44" s="27"/>
      <c r="FS44" s="42">
        <f t="shared" si="189"/>
        <v>0</v>
      </c>
      <c r="FT44" s="43">
        <f t="shared" si="190"/>
        <v>2</v>
      </c>
      <c r="FV44" s="47">
        <v>2</v>
      </c>
      <c r="FW44" s="48" t="s">
        <v>4</v>
      </c>
      <c r="FX44" s="49">
        <v>0</v>
      </c>
      <c r="FY44" s="27"/>
      <c r="FZ44" s="42">
        <f t="shared" si="191"/>
        <v>0</v>
      </c>
      <c r="GA44" s="43">
        <f t="shared" si="192"/>
        <v>2</v>
      </c>
      <c r="GC44" s="47">
        <v>2</v>
      </c>
      <c r="GD44" s="48" t="s">
        <v>4</v>
      </c>
      <c r="GE44" s="49">
        <v>0</v>
      </c>
      <c r="GF44" s="27"/>
      <c r="GG44" s="42">
        <f t="shared" si="193"/>
        <v>0</v>
      </c>
      <c r="GH44" s="43">
        <f t="shared" si="194"/>
        <v>2</v>
      </c>
      <c r="GJ44" s="47">
        <v>2</v>
      </c>
      <c r="GK44" s="48" t="s">
        <v>4</v>
      </c>
      <c r="GL44" s="49">
        <v>0</v>
      </c>
      <c r="GM44" s="27"/>
      <c r="GN44" s="42">
        <f t="shared" si="195"/>
        <v>0</v>
      </c>
      <c r="GO44" s="43">
        <f t="shared" si="196"/>
        <v>2</v>
      </c>
      <c r="GQ44" s="47">
        <v>3</v>
      </c>
      <c r="GR44" s="48" t="s">
        <v>4</v>
      </c>
      <c r="GS44" s="49">
        <v>0</v>
      </c>
      <c r="GT44" s="27"/>
      <c r="GU44" s="42">
        <f t="shared" si="197"/>
        <v>0</v>
      </c>
      <c r="GV44" s="43">
        <f t="shared" si="198"/>
        <v>3</v>
      </c>
      <c r="GX44" s="47">
        <v>3</v>
      </c>
      <c r="GY44" s="48" t="s">
        <v>4</v>
      </c>
      <c r="GZ44" s="49">
        <v>1</v>
      </c>
      <c r="HA44" s="27"/>
      <c r="HB44" s="42">
        <f t="shared" si="199"/>
        <v>0</v>
      </c>
      <c r="HC44" s="43">
        <f t="shared" si="200"/>
        <v>2</v>
      </c>
      <c r="HE44" s="47">
        <v>2</v>
      </c>
      <c r="HF44" s="48" t="s">
        <v>4</v>
      </c>
      <c r="HG44" s="49">
        <v>1</v>
      </c>
      <c r="HH44" s="27"/>
      <c r="HI44" s="42">
        <f t="shared" si="201"/>
        <v>0</v>
      </c>
      <c r="HJ44" s="43">
        <f t="shared" si="202"/>
        <v>1</v>
      </c>
      <c r="HL44" s="47">
        <v>1</v>
      </c>
      <c r="HM44" s="48" t="s">
        <v>4</v>
      </c>
      <c r="HN44" s="49">
        <v>0</v>
      </c>
      <c r="HO44" s="27"/>
      <c r="HP44" s="42">
        <f t="shared" si="203"/>
        <v>0</v>
      </c>
      <c r="HQ44" s="43">
        <f t="shared" si="204"/>
        <v>1</v>
      </c>
      <c r="HS44" s="47">
        <v>2</v>
      </c>
      <c r="HT44" s="48" t="s">
        <v>4</v>
      </c>
      <c r="HU44" s="49">
        <v>0</v>
      </c>
      <c r="HV44" s="27"/>
      <c r="HW44" s="42">
        <f t="shared" si="205"/>
        <v>0</v>
      </c>
      <c r="HX44" s="43">
        <f t="shared" si="206"/>
        <v>2</v>
      </c>
      <c r="HZ44" s="47">
        <v>3</v>
      </c>
      <c r="IA44" s="48" t="s">
        <v>4</v>
      </c>
      <c r="IB44" s="49">
        <v>0</v>
      </c>
      <c r="IC44" s="27"/>
      <c r="ID44" s="42">
        <f t="shared" si="207"/>
        <v>0</v>
      </c>
      <c r="IE44" s="43">
        <f t="shared" si="208"/>
        <v>3</v>
      </c>
      <c r="IG44" s="47">
        <v>0</v>
      </c>
      <c r="IH44" s="48" t="s">
        <v>4</v>
      </c>
      <c r="II44" s="49">
        <v>1</v>
      </c>
      <c r="IJ44" s="27"/>
      <c r="IK44" s="42">
        <f t="shared" si="209"/>
        <v>0</v>
      </c>
      <c r="IL44" s="43">
        <f t="shared" si="210"/>
        <v>-1</v>
      </c>
      <c r="IN44" s="47">
        <v>2</v>
      </c>
      <c r="IO44" s="48" t="s">
        <v>4</v>
      </c>
      <c r="IP44" s="49">
        <v>0</v>
      </c>
      <c r="IQ44" s="27"/>
      <c r="IR44" s="42">
        <f t="shared" si="211"/>
        <v>0</v>
      </c>
      <c r="IS44" s="43">
        <f t="shared" si="212"/>
        <v>2</v>
      </c>
      <c r="IU44" s="47">
        <v>2</v>
      </c>
      <c r="IV44" s="48" t="s">
        <v>4</v>
      </c>
      <c r="IW44" s="49">
        <v>0</v>
      </c>
      <c r="IX44" s="27"/>
      <c r="IY44" s="42">
        <f t="shared" si="213"/>
        <v>0</v>
      </c>
      <c r="IZ44" s="43">
        <f t="shared" si="214"/>
        <v>2</v>
      </c>
      <c r="JB44" s="47">
        <v>1</v>
      </c>
      <c r="JC44" s="48" t="s">
        <v>4</v>
      </c>
      <c r="JD44" s="49">
        <v>0</v>
      </c>
      <c r="JE44" s="27"/>
      <c r="JF44" s="42">
        <f t="shared" si="215"/>
        <v>0</v>
      </c>
      <c r="JG44" s="43">
        <f t="shared" si="216"/>
        <v>1</v>
      </c>
      <c r="JI44" s="47">
        <v>4</v>
      </c>
      <c r="JJ44" s="48" t="s">
        <v>4</v>
      </c>
      <c r="JK44" s="49">
        <v>0</v>
      </c>
      <c r="JL44" s="27"/>
      <c r="JM44" s="42">
        <f t="shared" si="217"/>
        <v>0</v>
      </c>
      <c r="JN44" s="43">
        <f t="shared" si="218"/>
        <v>4</v>
      </c>
      <c r="JP44" s="47">
        <v>2</v>
      </c>
      <c r="JQ44" s="48" t="s">
        <v>4</v>
      </c>
      <c r="JR44" s="49">
        <v>0</v>
      </c>
      <c r="JS44" s="27"/>
      <c r="JT44" s="42">
        <f t="shared" si="219"/>
        <v>0</v>
      </c>
      <c r="JU44" s="43">
        <f t="shared" si="220"/>
        <v>2</v>
      </c>
      <c r="JW44" s="47">
        <v>1</v>
      </c>
      <c r="JX44" s="48" t="s">
        <v>4</v>
      </c>
      <c r="JY44" s="49">
        <v>1</v>
      </c>
      <c r="JZ44" s="27"/>
      <c r="KA44" s="42">
        <f t="shared" si="221"/>
        <v>3</v>
      </c>
      <c r="KB44" s="43">
        <f t="shared" si="222"/>
        <v>0</v>
      </c>
      <c r="KD44" s="47">
        <v>3</v>
      </c>
      <c r="KE44" s="48" t="s">
        <v>4</v>
      </c>
      <c r="KF44" s="49">
        <v>1</v>
      </c>
      <c r="KG44" s="27"/>
      <c r="KH44" s="42">
        <f t="shared" si="223"/>
        <v>0</v>
      </c>
      <c r="KI44" s="43">
        <f t="shared" si="224"/>
        <v>2</v>
      </c>
      <c r="KK44" s="47">
        <v>1</v>
      </c>
      <c r="KL44" s="48" t="s">
        <v>4</v>
      </c>
      <c r="KM44" s="49">
        <v>0</v>
      </c>
      <c r="KN44" s="27"/>
      <c r="KO44" s="42">
        <f t="shared" si="225"/>
        <v>0</v>
      </c>
      <c r="KP44" s="43">
        <f t="shared" si="226"/>
        <v>1</v>
      </c>
      <c r="KR44" s="47">
        <v>2</v>
      </c>
      <c r="KS44" s="48" t="s">
        <v>4</v>
      </c>
      <c r="KT44" s="49">
        <v>0</v>
      </c>
      <c r="KU44" s="27"/>
      <c r="KV44" s="42">
        <f t="shared" si="227"/>
        <v>0</v>
      </c>
      <c r="KW44" s="43">
        <f t="shared" si="228"/>
        <v>2</v>
      </c>
      <c r="KY44" s="47">
        <v>2</v>
      </c>
      <c r="KZ44" s="48" t="s">
        <v>4</v>
      </c>
      <c r="LA44" s="49">
        <v>1</v>
      </c>
      <c r="LB44" s="27"/>
      <c r="LC44" s="42">
        <f t="shared" si="229"/>
        <v>0</v>
      </c>
      <c r="LD44" s="43">
        <f t="shared" si="230"/>
        <v>1</v>
      </c>
      <c r="LF44" s="47">
        <v>3</v>
      </c>
      <c r="LG44" s="48" t="s">
        <v>4</v>
      </c>
      <c r="LH44" s="49">
        <v>0</v>
      </c>
      <c r="LI44" s="27"/>
      <c r="LJ44" s="42">
        <f t="shared" si="231"/>
        <v>0</v>
      </c>
      <c r="LK44" s="43">
        <f t="shared" si="232"/>
        <v>3</v>
      </c>
      <c r="LM44" s="47">
        <v>2</v>
      </c>
      <c r="LN44" s="48" t="s">
        <v>4</v>
      </c>
      <c r="LO44" s="49">
        <v>0</v>
      </c>
      <c r="LP44" s="27"/>
      <c r="LQ44" s="42">
        <f t="shared" si="233"/>
        <v>0</v>
      </c>
      <c r="LR44" s="43">
        <f t="shared" si="234"/>
        <v>2</v>
      </c>
      <c r="LT44" s="47">
        <v>2</v>
      </c>
      <c r="LU44" s="48" t="s">
        <v>4</v>
      </c>
      <c r="LV44" s="49">
        <v>0</v>
      </c>
      <c r="LW44" s="27"/>
      <c r="LX44" s="42">
        <f t="shared" si="235"/>
        <v>0</v>
      </c>
      <c r="LY44" s="43">
        <f t="shared" si="236"/>
        <v>2</v>
      </c>
      <c r="MA44" s="47">
        <v>4</v>
      </c>
      <c r="MB44" s="48" t="s">
        <v>4</v>
      </c>
      <c r="MC44" s="49">
        <v>0</v>
      </c>
      <c r="MD44" s="27"/>
      <c r="ME44" s="42">
        <f t="shared" si="237"/>
        <v>0</v>
      </c>
      <c r="MF44" s="43">
        <f t="shared" si="238"/>
        <v>4</v>
      </c>
      <c r="MH44" s="47">
        <v>3</v>
      </c>
      <c r="MI44" s="48" t="s">
        <v>4</v>
      </c>
      <c r="MJ44" s="49">
        <v>0</v>
      </c>
      <c r="MK44" s="27"/>
      <c r="ML44" s="42">
        <f t="shared" si="239"/>
        <v>0</v>
      </c>
      <c r="MM44" s="43">
        <f t="shared" si="240"/>
        <v>3</v>
      </c>
      <c r="MO44" s="47">
        <v>3</v>
      </c>
      <c r="MP44" s="48" t="s">
        <v>4</v>
      </c>
      <c r="MQ44" s="49">
        <v>0</v>
      </c>
      <c r="MR44" s="27"/>
      <c r="MS44" s="42">
        <f t="shared" si="241"/>
        <v>0</v>
      </c>
      <c r="MT44" s="43">
        <f t="shared" si="242"/>
        <v>3</v>
      </c>
      <c r="MV44" s="47">
        <v>2</v>
      </c>
      <c r="MW44" s="48" t="s">
        <v>4</v>
      </c>
      <c r="MX44" s="49">
        <v>0</v>
      </c>
      <c r="MY44" s="27"/>
      <c r="MZ44" s="42">
        <f t="shared" si="243"/>
        <v>0</v>
      </c>
      <c r="NA44" s="43">
        <f t="shared" si="244"/>
        <v>2</v>
      </c>
      <c r="NC44" s="47">
        <v>2</v>
      </c>
      <c r="ND44" s="48" t="s">
        <v>4</v>
      </c>
      <c r="NE44" s="49">
        <v>1</v>
      </c>
      <c r="NF44" s="27"/>
      <c r="NG44" s="42">
        <f t="shared" si="245"/>
        <v>0</v>
      </c>
      <c r="NH44" s="43">
        <f t="shared" si="246"/>
        <v>1</v>
      </c>
      <c r="NJ44" s="47">
        <v>1</v>
      </c>
      <c r="NK44" s="48" t="s">
        <v>4</v>
      </c>
      <c r="NL44" s="49">
        <v>1</v>
      </c>
      <c r="NM44" s="27"/>
      <c r="NN44" s="42">
        <f t="shared" si="247"/>
        <v>3</v>
      </c>
      <c r="NO44" s="43">
        <f t="shared" si="248"/>
        <v>0</v>
      </c>
      <c r="NQ44" s="47">
        <v>2</v>
      </c>
      <c r="NR44" s="48" t="s">
        <v>4</v>
      </c>
      <c r="NS44" s="49">
        <v>0</v>
      </c>
      <c r="NT44" s="27"/>
      <c r="NU44" s="42">
        <f t="shared" si="249"/>
        <v>0</v>
      </c>
      <c r="NV44" s="43">
        <f t="shared" si="250"/>
        <v>2</v>
      </c>
      <c r="NX44" s="47">
        <v>2</v>
      </c>
      <c r="NY44" s="48" t="s">
        <v>4</v>
      </c>
      <c r="NZ44" s="49">
        <v>1</v>
      </c>
      <c r="OA44" s="27"/>
      <c r="OB44" s="42">
        <f t="shared" si="251"/>
        <v>0</v>
      </c>
      <c r="OC44" s="43">
        <f t="shared" si="252"/>
        <v>1</v>
      </c>
      <c r="OE44" s="47">
        <v>2</v>
      </c>
      <c r="OF44" s="48" t="s">
        <v>4</v>
      </c>
      <c r="OG44" s="49">
        <v>0</v>
      </c>
      <c r="OH44" s="27"/>
      <c r="OI44" s="42">
        <f t="shared" si="253"/>
        <v>0</v>
      </c>
      <c r="OJ44" s="43">
        <f t="shared" si="254"/>
        <v>2</v>
      </c>
      <c r="OL44" s="47">
        <v>2</v>
      </c>
      <c r="OM44" s="48" t="s">
        <v>4</v>
      </c>
      <c r="ON44" s="49">
        <v>0</v>
      </c>
      <c r="OO44" s="27"/>
      <c r="OP44" s="42">
        <f t="shared" si="255"/>
        <v>0</v>
      </c>
      <c r="OQ44" s="43">
        <f t="shared" si="256"/>
        <v>2</v>
      </c>
      <c r="OS44" s="47">
        <v>1</v>
      </c>
      <c r="OT44" s="48" t="s">
        <v>4</v>
      </c>
      <c r="OU44" s="49">
        <v>0</v>
      </c>
      <c r="OV44" s="27"/>
      <c r="OW44" s="42">
        <f t="shared" si="257"/>
        <v>0</v>
      </c>
      <c r="OX44" s="43">
        <f t="shared" si="258"/>
        <v>1</v>
      </c>
      <c r="OZ44" s="47">
        <v>3</v>
      </c>
      <c r="PA44" s="48" t="s">
        <v>4</v>
      </c>
      <c r="PB44" s="49">
        <v>0</v>
      </c>
      <c r="PC44" s="27"/>
      <c r="PD44" s="42">
        <f t="shared" si="259"/>
        <v>0</v>
      </c>
      <c r="PE44" s="43">
        <f t="shared" si="260"/>
        <v>3</v>
      </c>
      <c r="PG44" s="47">
        <v>4</v>
      </c>
      <c r="PH44" s="48" t="s">
        <v>4</v>
      </c>
      <c r="PI44" s="49">
        <v>0</v>
      </c>
      <c r="PJ44" s="27"/>
      <c r="PK44" s="42">
        <f t="shared" si="261"/>
        <v>0</v>
      </c>
      <c r="PL44" s="43">
        <f t="shared" si="262"/>
        <v>4</v>
      </c>
      <c r="PN44" s="47">
        <v>2</v>
      </c>
      <c r="PO44" s="48" t="s">
        <v>4</v>
      </c>
      <c r="PP44" s="49">
        <v>0</v>
      </c>
      <c r="PQ44" s="27"/>
      <c r="PR44" s="42">
        <f t="shared" si="263"/>
        <v>0</v>
      </c>
      <c r="PS44" s="43">
        <f t="shared" si="264"/>
        <v>2</v>
      </c>
      <c r="PU44" s="47">
        <v>3</v>
      </c>
      <c r="PV44" s="48" t="s">
        <v>4</v>
      </c>
      <c r="PW44" s="49">
        <v>0</v>
      </c>
      <c r="PX44" s="27"/>
      <c r="PY44" s="42">
        <f t="shared" si="265"/>
        <v>0</v>
      </c>
      <c r="PZ44" s="43">
        <f t="shared" si="266"/>
        <v>3</v>
      </c>
      <c r="QB44" s="47">
        <v>3</v>
      </c>
      <c r="QC44" s="48" t="s">
        <v>4</v>
      </c>
      <c r="QD44" s="49">
        <v>1</v>
      </c>
      <c r="QE44" s="27"/>
      <c r="QF44" s="42">
        <f t="shared" si="267"/>
        <v>0</v>
      </c>
      <c r="QG44" s="43">
        <f t="shared" si="268"/>
        <v>2</v>
      </c>
      <c r="QI44" s="47">
        <v>1</v>
      </c>
      <c r="QJ44" s="48" t="s">
        <v>4</v>
      </c>
      <c r="QK44" s="49">
        <v>0</v>
      </c>
      <c r="QL44" s="27"/>
      <c r="QM44" s="42">
        <f t="shared" si="269"/>
        <v>0</v>
      </c>
      <c r="QN44" s="43">
        <f t="shared" si="270"/>
        <v>1</v>
      </c>
      <c r="QP44" s="47">
        <v>3</v>
      </c>
      <c r="QQ44" s="48" t="s">
        <v>4</v>
      </c>
      <c r="QR44" s="49">
        <v>1</v>
      </c>
      <c r="QS44" s="27"/>
      <c r="QT44" s="42">
        <f t="shared" si="271"/>
        <v>0</v>
      </c>
      <c r="QU44" s="43">
        <f t="shared" si="272"/>
        <v>2</v>
      </c>
      <c r="QW44" s="47">
        <v>2</v>
      </c>
      <c r="QX44" s="48" t="s">
        <v>4</v>
      </c>
      <c r="QY44" s="49">
        <v>1</v>
      </c>
      <c r="QZ44" s="27"/>
      <c r="RA44" s="42">
        <f t="shared" si="273"/>
        <v>0</v>
      </c>
      <c r="RB44" s="43">
        <f t="shared" si="274"/>
        <v>1</v>
      </c>
      <c r="RD44" s="47"/>
      <c r="RE44" s="48" t="s">
        <v>4</v>
      </c>
      <c r="RF44" s="49"/>
      <c r="RG44" s="27"/>
      <c r="RH44" s="42" t="str">
        <f t="shared" si="275"/>
        <v/>
      </c>
      <c r="RI44" s="43">
        <f t="shared" si="276"/>
        <v>0</v>
      </c>
      <c r="RK44" s="47">
        <v>2</v>
      </c>
      <c r="RL44" s="48" t="s">
        <v>4</v>
      </c>
      <c r="RM44" s="49">
        <v>0</v>
      </c>
      <c r="RN44" s="27"/>
      <c r="RO44" s="42">
        <f t="shared" si="277"/>
        <v>0</v>
      </c>
      <c r="RP44" s="43">
        <f t="shared" si="278"/>
        <v>2</v>
      </c>
      <c r="RR44" s="47">
        <v>2</v>
      </c>
      <c r="RS44" s="48" t="s">
        <v>4</v>
      </c>
      <c r="RT44" s="49">
        <v>0</v>
      </c>
      <c r="RU44" s="27"/>
      <c r="RV44" s="42">
        <f t="shared" si="279"/>
        <v>0</v>
      </c>
      <c r="RW44" s="43">
        <f t="shared" si="280"/>
        <v>2</v>
      </c>
      <c r="RY44" s="47">
        <v>2</v>
      </c>
      <c r="RZ44" s="48" t="s">
        <v>4</v>
      </c>
      <c r="SA44" s="49">
        <v>0</v>
      </c>
      <c r="SB44" s="27"/>
      <c r="SC44" s="42">
        <f t="shared" si="281"/>
        <v>0</v>
      </c>
      <c r="SD44" s="43">
        <f t="shared" si="282"/>
        <v>2</v>
      </c>
      <c r="SF44" s="47">
        <v>2</v>
      </c>
      <c r="SG44" s="48" t="s">
        <v>4</v>
      </c>
      <c r="SH44" s="49">
        <v>0</v>
      </c>
      <c r="SI44" s="27"/>
      <c r="SJ44" s="42">
        <f t="shared" si="283"/>
        <v>0</v>
      </c>
      <c r="SK44" s="43">
        <f t="shared" si="284"/>
        <v>2</v>
      </c>
      <c r="SM44" s="47">
        <v>2</v>
      </c>
      <c r="SN44" s="48" t="s">
        <v>4</v>
      </c>
      <c r="SO44" s="49">
        <v>1</v>
      </c>
      <c r="SP44" s="27"/>
      <c r="SQ44" s="42">
        <f t="shared" si="285"/>
        <v>0</v>
      </c>
      <c r="SR44" s="43">
        <f t="shared" si="286"/>
        <v>1</v>
      </c>
    </row>
    <row r="45" spans="1:512" customFormat="1" ht="16" customHeight="1" x14ac:dyDescent="0.15">
      <c r="A45" s="34">
        <v>46195</v>
      </c>
      <c r="B45" s="35">
        <v>0</v>
      </c>
      <c r="C45" s="79" t="s">
        <v>48</v>
      </c>
      <c r="D45" s="79" t="s">
        <v>45</v>
      </c>
      <c r="E45" s="2">
        <v>2</v>
      </c>
      <c r="F45" s="50" t="s">
        <v>4</v>
      </c>
      <c r="G45" s="1">
        <v>2</v>
      </c>
      <c r="H45" s="16">
        <v>3.2</v>
      </c>
      <c r="I45" s="32">
        <f t="shared" si="0"/>
        <v>0</v>
      </c>
      <c r="J45" s="47">
        <v>2</v>
      </c>
      <c r="K45" s="48" t="s">
        <v>4</v>
      </c>
      <c r="L45" s="49">
        <v>0</v>
      </c>
      <c r="M45" s="5"/>
      <c r="N45" s="42">
        <f t="shared" si="1"/>
        <v>0</v>
      </c>
      <c r="O45" s="43">
        <f t="shared" si="2"/>
        <v>2</v>
      </c>
      <c r="P45" s="32"/>
      <c r="Q45" s="47">
        <v>3</v>
      </c>
      <c r="R45" s="48" t="s">
        <v>4</v>
      </c>
      <c r="S45" s="49">
        <v>0</v>
      </c>
      <c r="T45" s="5"/>
      <c r="U45" s="42">
        <f t="shared" si="145"/>
        <v>0</v>
      </c>
      <c r="V45" s="43">
        <f t="shared" si="146"/>
        <v>3</v>
      </c>
      <c r="X45" s="47">
        <v>3</v>
      </c>
      <c r="Y45" s="48" t="s">
        <v>4</v>
      </c>
      <c r="Z45" s="49">
        <v>0</v>
      </c>
      <c r="AA45" s="5"/>
      <c r="AB45" s="42">
        <f t="shared" si="147"/>
        <v>0</v>
      </c>
      <c r="AC45" s="43">
        <f t="shared" si="148"/>
        <v>3</v>
      </c>
      <c r="AE45" s="47">
        <v>3</v>
      </c>
      <c r="AF45" s="48" t="s">
        <v>4</v>
      </c>
      <c r="AG45" s="49">
        <v>0</v>
      </c>
      <c r="AH45" s="5"/>
      <c r="AI45" s="42">
        <f t="shared" si="149"/>
        <v>0</v>
      </c>
      <c r="AJ45" s="43">
        <f t="shared" si="150"/>
        <v>3</v>
      </c>
      <c r="AL45" s="47">
        <v>2</v>
      </c>
      <c r="AM45" s="48" t="s">
        <v>4</v>
      </c>
      <c r="AN45" s="49">
        <v>0</v>
      </c>
      <c r="AO45" s="5"/>
      <c r="AP45" s="42">
        <f t="shared" si="151"/>
        <v>0</v>
      </c>
      <c r="AQ45" s="43">
        <f t="shared" si="152"/>
        <v>2</v>
      </c>
      <c r="AS45" s="47">
        <v>2</v>
      </c>
      <c r="AT45" s="48" t="s">
        <v>4</v>
      </c>
      <c r="AU45" s="49">
        <v>1</v>
      </c>
      <c r="AV45" s="5"/>
      <c r="AW45" s="42">
        <f t="shared" si="153"/>
        <v>0</v>
      </c>
      <c r="AX45" s="43">
        <f t="shared" si="154"/>
        <v>1</v>
      </c>
      <c r="AZ45" s="47">
        <v>2</v>
      </c>
      <c r="BA45" s="48" t="s">
        <v>4</v>
      </c>
      <c r="BB45" s="49">
        <v>0</v>
      </c>
      <c r="BC45" s="5"/>
      <c r="BD45" s="42">
        <f t="shared" si="155"/>
        <v>0</v>
      </c>
      <c r="BE45" s="43">
        <f t="shared" si="156"/>
        <v>2</v>
      </c>
      <c r="BG45" s="47">
        <v>2</v>
      </c>
      <c r="BH45" s="48" t="s">
        <v>4</v>
      </c>
      <c r="BI45" s="49">
        <v>0</v>
      </c>
      <c r="BJ45" s="5"/>
      <c r="BK45" s="42">
        <f t="shared" si="157"/>
        <v>0</v>
      </c>
      <c r="BL45" s="43">
        <f t="shared" si="158"/>
        <v>2</v>
      </c>
      <c r="BN45" s="47">
        <v>3</v>
      </c>
      <c r="BO45" s="48" t="s">
        <v>4</v>
      </c>
      <c r="BP45" s="49">
        <v>0</v>
      </c>
      <c r="BQ45" s="5"/>
      <c r="BR45" s="42">
        <f t="shared" si="159"/>
        <v>0</v>
      </c>
      <c r="BS45" s="43">
        <f t="shared" si="160"/>
        <v>3</v>
      </c>
      <c r="BU45" s="47">
        <v>1</v>
      </c>
      <c r="BV45" s="48" t="s">
        <v>4</v>
      </c>
      <c r="BW45" s="49">
        <v>0</v>
      </c>
      <c r="BX45" s="5"/>
      <c r="BY45" s="42">
        <f t="shared" si="161"/>
        <v>0</v>
      </c>
      <c r="BZ45" s="43">
        <f t="shared" si="162"/>
        <v>1</v>
      </c>
      <c r="CB45" s="47">
        <v>2</v>
      </c>
      <c r="CC45" s="48" t="s">
        <v>4</v>
      </c>
      <c r="CD45" s="49">
        <v>1</v>
      </c>
      <c r="CE45" s="5"/>
      <c r="CF45" s="42">
        <f t="shared" si="163"/>
        <v>0</v>
      </c>
      <c r="CG45" s="43">
        <f t="shared" si="164"/>
        <v>1</v>
      </c>
      <c r="CI45" s="47">
        <v>0</v>
      </c>
      <c r="CJ45" s="48" t="s">
        <v>4</v>
      </c>
      <c r="CK45" s="49">
        <v>0</v>
      </c>
      <c r="CL45" s="5"/>
      <c r="CM45" s="42">
        <f t="shared" si="165"/>
        <v>3.2</v>
      </c>
      <c r="CN45" s="43">
        <f t="shared" si="166"/>
        <v>0</v>
      </c>
      <c r="CP45" s="47">
        <v>3</v>
      </c>
      <c r="CQ45" s="48" t="s">
        <v>4</v>
      </c>
      <c r="CR45" s="49">
        <v>0</v>
      </c>
      <c r="CS45" s="5"/>
      <c r="CT45" s="42">
        <f t="shared" si="167"/>
        <v>0</v>
      </c>
      <c r="CU45" s="43">
        <f t="shared" si="168"/>
        <v>3</v>
      </c>
      <c r="CW45" s="47">
        <v>2</v>
      </c>
      <c r="CX45" s="48" t="s">
        <v>4</v>
      </c>
      <c r="CY45" s="49">
        <v>0</v>
      </c>
      <c r="CZ45" s="5"/>
      <c r="DA45" s="42">
        <f t="shared" si="169"/>
        <v>0</v>
      </c>
      <c r="DB45" s="43">
        <f t="shared" si="170"/>
        <v>2</v>
      </c>
      <c r="DD45" s="47">
        <v>1</v>
      </c>
      <c r="DE45" s="48" t="s">
        <v>4</v>
      </c>
      <c r="DF45" s="49">
        <v>0</v>
      </c>
      <c r="DG45" s="5"/>
      <c r="DH45" s="42">
        <f t="shared" si="171"/>
        <v>0</v>
      </c>
      <c r="DI45" s="43">
        <f t="shared" si="172"/>
        <v>1</v>
      </c>
      <c r="DK45" s="47">
        <v>2</v>
      </c>
      <c r="DL45" s="48" t="s">
        <v>4</v>
      </c>
      <c r="DM45" s="49">
        <v>0</v>
      </c>
      <c r="DN45" s="5"/>
      <c r="DO45" s="42">
        <f t="shared" si="173"/>
        <v>0</v>
      </c>
      <c r="DP45" s="43">
        <f t="shared" si="174"/>
        <v>2</v>
      </c>
      <c r="DR45" s="47">
        <v>2</v>
      </c>
      <c r="DS45" s="48" t="s">
        <v>4</v>
      </c>
      <c r="DT45" s="49">
        <v>0</v>
      </c>
      <c r="DU45" s="5"/>
      <c r="DV45" s="42">
        <f t="shared" si="175"/>
        <v>0</v>
      </c>
      <c r="DW45" s="43">
        <f t="shared" si="176"/>
        <v>2</v>
      </c>
      <c r="DY45" s="47">
        <v>1</v>
      </c>
      <c r="DZ45" s="48" t="s">
        <v>4</v>
      </c>
      <c r="EA45" s="49">
        <v>1</v>
      </c>
      <c r="EB45" s="5"/>
      <c r="EC45" s="42">
        <f t="shared" si="177"/>
        <v>3.2</v>
      </c>
      <c r="ED45" s="43">
        <f t="shared" si="178"/>
        <v>0</v>
      </c>
      <c r="EF45" s="47">
        <v>2</v>
      </c>
      <c r="EG45" s="48" t="s">
        <v>4</v>
      </c>
      <c r="EH45" s="49">
        <v>0</v>
      </c>
      <c r="EI45" s="5"/>
      <c r="EJ45" s="42">
        <f t="shared" si="179"/>
        <v>0</v>
      </c>
      <c r="EK45" s="43">
        <f t="shared" si="180"/>
        <v>2</v>
      </c>
      <c r="EM45" s="47">
        <v>3</v>
      </c>
      <c r="EN45" s="48" t="s">
        <v>4</v>
      </c>
      <c r="EO45" s="49">
        <v>0</v>
      </c>
      <c r="EP45" s="5"/>
      <c r="EQ45" s="42">
        <f t="shared" si="181"/>
        <v>0</v>
      </c>
      <c r="ER45" s="43">
        <f t="shared" si="182"/>
        <v>3</v>
      </c>
      <c r="ET45" s="47">
        <v>1</v>
      </c>
      <c r="EU45" s="48" t="s">
        <v>4</v>
      </c>
      <c r="EV45" s="49">
        <v>1</v>
      </c>
      <c r="EW45" s="5"/>
      <c r="EX45" s="42">
        <f t="shared" si="183"/>
        <v>3.2</v>
      </c>
      <c r="EY45" s="43">
        <f t="shared" si="184"/>
        <v>0</v>
      </c>
      <c r="FA45" s="47">
        <v>3</v>
      </c>
      <c r="FB45" s="48" t="s">
        <v>4</v>
      </c>
      <c r="FC45" s="49">
        <v>0</v>
      </c>
      <c r="FD45" s="5"/>
      <c r="FE45" s="42">
        <f t="shared" si="185"/>
        <v>0</v>
      </c>
      <c r="FF45" s="43">
        <f t="shared" si="186"/>
        <v>3</v>
      </c>
      <c r="FH45" s="47">
        <v>2</v>
      </c>
      <c r="FI45" s="48" t="s">
        <v>4</v>
      </c>
      <c r="FJ45" s="49">
        <v>2</v>
      </c>
      <c r="FK45" s="5"/>
      <c r="FL45" s="42">
        <f t="shared" si="187"/>
        <v>4.8000000000000007</v>
      </c>
      <c r="FM45" s="43">
        <f t="shared" si="188"/>
        <v>0</v>
      </c>
      <c r="FO45" s="47">
        <v>3</v>
      </c>
      <c r="FP45" s="48" t="s">
        <v>4</v>
      </c>
      <c r="FQ45" s="49">
        <v>1</v>
      </c>
      <c r="FR45" s="5"/>
      <c r="FS45" s="42">
        <f t="shared" si="189"/>
        <v>0</v>
      </c>
      <c r="FT45" s="43">
        <f t="shared" si="190"/>
        <v>2</v>
      </c>
      <c r="FV45" s="47">
        <v>4</v>
      </c>
      <c r="FW45" s="48" t="s">
        <v>4</v>
      </c>
      <c r="FX45" s="49">
        <v>0</v>
      </c>
      <c r="FY45" s="5"/>
      <c r="FZ45" s="42">
        <f t="shared" si="191"/>
        <v>0</v>
      </c>
      <c r="GA45" s="43">
        <f t="shared" si="192"/>
        <v>4</v>
      </c>
      <c r="GC45" s="47">
        <v>1</v>
      </c>
      <c r="GD45" s="48" t="s">
        <v>4</v>
      </c>
      <c r="GE45" s="49">
        <v>1</v>
      </c>
      <c r="GF45" s="5"/>
      <c r="GG45" s="42">
        <f t="shared" si="193"/>
        <v>3.2</v>
      </c>
      <c r="GH45" s="43">
        <f t="shared" si="194"/>
        <v>0</v>
      </c>
      <c r="GJ45" s="47">
        <v>3</v>
      </c>
      <c r="GK45" s="48" t="s">
        <v>4</v>
      </c>
      <c r="GL45" s="49">
        <v>0</v>
      </c>
      <c r="GM45" s="5"/>
      <c r="GN45" s="42">
        <f t="shared" si="195"/>
        <v>0</v>
      </c>
      <c r="GO45" s="43">
        <f t="shared" si="196"/>
        <v>3</v>
      </c>
      <c r="GQ45" s="47">
        <v>2</v>
      </c>
      <c r="GR45" s="48" t="s">
        <v>4</v>
      </c>
      <c r="GS45" s="49">
        <v>0</v>
      </c>
      <c r="GT45" s="5"/>
      <c r="GU45" s="42">
        <f t="shared" si="197"/>
        <v>0</v>
      </c>
      <c r="GV45" s="43">
        <f t="shared" si="198"/>
        <v>2</v>
      </c>
      <c r="GX45" s="47">
        <v>2</v>
      </c>
      <c r="GY45" s="48" t="s">
        <v>4</v>
      </c>
      <c r="GZ45" s="49">
        <v>0</v>
      </c>
      <c r="HA45" s="5"/>
      <c r="HB45" s="42">
        <f t="shared" si="199"/>
        <v>0</v>
      </c>
      <c r="HC45" s="43">
        <f t="shared" si="200"/>
        <v>2</v>
      </c>
      <c r="HE45" s="47">
        <v>3</v>
      </c>
      <c r="HF45" s="48" t="s">
        <v>4</v>
      </c>
      <c r="HG45" s="49">
        <v>0</v>
      </c>
      <c r="HH45" s="5"/>
      <c r="HI45" s="42">
        <f t="shared" si="201"/>
        <v>0</v>
      </c>
      <c r="HJ45" s="43">
        <f t="shared" si="202"/>
        <v>3</v>
      </c>
      <c r="HL45" s="47">
        <v>2</v>
      </c>
      <c r="HM45" s="48" t="s">
        <v>4</v>
      </c>
      <c r="HN45" s="49">
        <v>0</v>
      </c>
      <c r="HO45" s="5"/>
      <c r="HP45" s="42">
        <f t="shared" si="203"/>
        <v>0</v>
      </c>
      <c r="HQ45" s="43">
        <f t="shared" si="204"/>
        <v>2</v>
      </c>
      <c r="HS45" s="47">
        <v>1</v>
      </c>
      <c r="HT45" s="48" t="s">
        <v>4</v>
      </c>
      <c r="HU45" s="49">
        <v>0</v>
      </c>
      <c r="HV45" s="5"/>
      <c r="HW45" s="42">
        <f t="shared" si="205"/>
        <v>0</v>
      </c>
      <c r="HX45" s="43">
        <f t="shared" si="206"/>
        <v>1</v>
      </c>
      <c r="HZ45" s="47">
        <v>4</v>
      </c>
      <c r="IA45" s="48" t="s">
        <v>4</v>
      </c>
      <c r="IB45" s="49">
        <v>0</v>
      </c>
      <c r="IC45" s="5"/>
      <c r="ID45" s="42">
        <f t="shared" si="207"/>
        <v>0</v>
      </c>
      <c r="IE45" s="43">
        <f t="shared" si="208"/>
        <v>4</v>
      </c>
      <c r="IG45" s="47">
        <v>0</v>
      </c>
      <c r="IH45" s="48" t="s">
        <v>4</v>
      </c>
      <c r="II45" s="49">
        <v>2</v>
      </c>
      <c r="IJ45" s="5"/>
      <c r="IK45" s="42">
        <f t="shared" si="209"/>
        <v>0</v>
      </c>
      <c r="IL45" s="43">
        <f t="shared" si="210"/>
        <v>-2</v>
      </c>
      <c r="IN45" s="47">
        <v>3</v>
      </c>
      <c r="IO45" s="48" t="s">
        <v>4</v>
      </c>
      <c r="IP45" s="49">
        <v>0</v>
      </c>
      <c r="IQ45" s="5"/>
      <c r="IR45" s="42">
        <f t="shared" si="211"/>
        <v>0</v>
      </c>
      <c r="IS45" s="43">
        <f t="shared" si="212"/>
        <v>3</v>
      </c>
      <c r="IU45" s="47">
        <v>2</v>
      </c>
      <c r="IV45" s="48" t="s">
        <v>4</v>
      </c>
      <c r="IW45" s="49">
        <v>0</v>
      </c>
      <c r="IX45" s="5"/>
      <c r="IY45" s="42">
        <f t="shared" si="213"/>
        <v>0</v>
      </c>
      <c r="IZ45" s="43">
        <f t="shared" si="214"/>
        <v>2</v>
      </c>
      <c r="JB45" s="47">
        <v>3</v>
      </c>
      <c r="JC45" s="48" t="s">
        <v>4</v>
      </c>
      <c r="JD45" s="49">
        <v>0</v>
      </c>
      <c r="JE45" s="5"/>
      <c r="JF45" s="42">
        <f t="shared" si="215"/>
        <v>0</v>
      </c>
      <c r="JG45" s="43">
        <f t="shared" si="216"/>
        <v>3</v>
      </c>
      <c r="JI45" s="47">
        <v>1</v>
      </c>
      <c r="JJ45" s="48" t="s">
        <v>4</v>
      </c>
      <c r="JK45" s="49">
        <v>2</v>
      </c>
      <c r="JL45" s="5"/>
      <c r="JM45" s="42">
        <f t="shared" si="217"/>
        <v>0</v>
      </c>
      <c r="JN45" s="43">
        <f t="shared" si="218"/>
        <v>-1</v>
      </c>
      <c r="JP45" s="47">
        <v>2</v>
      </c>
      <c r="JQ45" s="48" t="s">
        <v>4</v>
      </c>
      <c r="JR45" s="49">
        <v>2</v>
      </c>
      <c r="JS45" s="5"/>
      <c r="JT45" s="42">
        <f t="shared" si="219"/>
        <v>4.8000000000000007</v>
      </c>
      <c r="JU45" s="43">
        <f t="shared" si="220"/>
        <v>0</v>
      </c>
      <c r="JW45" s="47">
        <v>2</v>
      </c>
      <c r="JX45" s="48" t="s">
        <v>4</v>
      </c>
      <c r="JY45" s="49">
        <v>2</v>
      </c>
      <c r="JZ45" s="5"/>
      <c r="KA45" s="42">
        <f t="shared" si="221"/>
        <v>4.8000000000000007</v>
      </c>
      <c r="KB45" s="43">
        <f t="shared" si="222"/>
        <v>0</v>
      </c>
      <c r="KD45" s="47">
        <v>2</v>
      </c>
      <c r="KE45" s="48" t="s">
        <v>4</v>
      </c>
      <c r="KF45" s="49">
        <v>1</v>
      </c>
      <c r="KG45" s="5"/>
      <c r="KH45" s="42">
        <f t="shared" si="223"/>
        <v>0</v>
      </c>
      <c r="KI45" s="43">
        <f t="shared" si="224"/>
        <v>1</v>
      </c>
      <c r="KK45" s="47">
        <v>1</v>
      </c>
      <c r="KL45" s="48" t="s">
        <v>4</v>
      </c>
      <c r="KM45" s="49">
        <v>0</v>
      </c>
      <c r="KN45" s="5"/>
      <c r="KO45" s="42">
        <f t="shared" si="225"/>
        <v>0</v>
      </c>
      <c r="KP45" s="43">
        <f t="shared" si="226"/>
        <v>1</v>
      </c>
      <c r="KR45" s="47">
        <v>1</v>
      </c>
      <c r="KS45" s="48" t="s">
        <v>4</v>
      </c>
      <c r="KT45" s="49">
        <v>0</v>
      </c>
      <c r="KU45" s="5"/>
      <c r="KV45" s="42">
        <f t="shared" si="227"/>
        <v>0</v>
      </c>
      <c r="KW45" s="43">
        <f t="shared" si="228"/>
        <v>1</v>
      </c>
      <c r="KY45" s="47">
        <v>2</v>
      </c>
      <c r="KZ45" s="48" t="s">
        <v>4</v>
      </c>
      <c r="LA45" s="49">
        <v>1</v>
      </c>
      <c r="LB45" s="5"/>
      <c r="LC45" s="42">
        <f t="shared" si="229"/>
        <v>0</v>
      </c>
      <c r="LD45" s="43">
        <f t="shared" si="230"/>
        <v>1</v>
      </c>
      <c r="LF45" s="47">
        <v>2</v>
      </c>
      <c r="LG45" s="48" t="s">
        <v>4</v>
      </c>
      <c r="LH45" s="49">
        <v>0</v>
      </c>
      <c r="LI45" s="5"/>
      <c r="LJ45" s="42">
        <f t="shared" si="231"/>
        <v>0</v>
      </c>
      <c r="LK45" s="43">
        <f t="shared" si="232"/>
        <v>2</v>
      </c>
      <c r="LM45" s="47">
        <v>1</v>
      </c>
      <c r="LN45" s="48" t="s">
        <v>4</v>
      </c>
      <c r="LO45" s="49">
        <v>1</v>
      </c>
      <c r="LP45" s="5"/>
      <c r="LQ45" s="42">
        <f t="shared" si="233"/>
        <v>3.2</v>
      </c>
      <c r="LR45" s="43">
        <f t="shared" si="234"/>
        <v>0</v>
      </c>
      <c r="LT45" s="47">
        <v>2</v>
      </c>
      <c r="LU45" s="48" t="s">
        <v>4</v>
      </c>
      <c r="LV45" s="49">
        <v>0</v>
      </c>
      <c r="LW45" s="5"/>
      <c r="LX45" s="42">
        <f t="shared" si="235"/>
        <v>0</v>
      </c>
      <c r="LY45" s="43">
        <f t="shared" si="236"/>
        <v>2</v>
      </c>
      <c r="MA45" s="47">
        <v>3</v>
      </c>
      <c r="MB45" s="48" t="s">
        <v>4</v>
      </c>
      <c r="MC45" s="49">
        <v>0</v>
      </c>
      <c r="MD45" s="5"/>
      <c r="ME45" s="42">
        <f t="shared" si="237"/>
        <v>0</v>
      </c>
      <c r="MF45" s="43">
        <f t="shared" si="238"/>
        <v>3</v>
      </c>
      <c r="MH45" s="47">
        <v>3</v>
      </c>
      <c r="MI45" s="48" t="s">
        <v>4</v>
      </c>
      <c r="MJ45" s="49">
        <v>0</v>
      </c>
      <c r="MK45" s="5"/>
      <c r="ML45" s="42">
        <f t="shared" si="239"/>
        <v>0</v>
      </c>
      <c r="MM45" s="43">
        <f t="shared" si="240"/>
        <v>3</v>
      </c>
      <c r="MO45" s="47">
        <v>1</v>
      </c>
      <c r="MP45" s="48" t="s">
        <v>4</v>
      </c>
      <c r="MQ45" s="49">
        <v>1</v>
      </c>
      <c r="MR45" s="5"/>
      <c r="MS45" s="42">
        <f t="shared" si="241"/>
        <v>3.2</v>
      </c>
      <c r="MT45" s="43">
        <f t="shared" si="242"/>
        <v>0</v>
      </c>
      <c r="MV45" s="47">
        <v>2</v>
      </c>
      <c r="MW45" s="48" t="s">
        <v>4</v>
      </c>
      <c r="MX45" s="49">
        <v>0</v>
      </c>
      <c r="MY45" s="5"/>
      <c r="MZ45" s="42">
        <f t="shared" si="243"/>
        <v>0</v>
      </c>
      <c r="NA45" s="43">
        <f t="shared" si="244"/>
        <v>2</v>
      </c>
      <c r="NC45" s="47">
        <v>1</v>
      </c>
      <c r="ND45" s="48" t="s">
        <v>4</v>
      </c>
      <c r="NE45" s="49">
        <v>2</v>
      </c>
      <c r="NF45" s="5"/>
      <c r="NG45" s="42">
        <f t="shared" si="245"/>
        <v>0</v>
      </c>
      <c r="NH45" s="43">
        <f t="shared" si="246"/>
        <v>-1</v>
      </c>
      <c r="NJ45" s="47">
        <v>2</v>
      </c>
      <c r="NK45" s="48" t="s">
        <v>4</v>
      </c>
      <c r="NL45" s="49">
        <v>1</v>
      </c>
      <c r="NM45" s="5"/>
      <c r="NN45" s="42">
        <f t="shared" si="247"/>
        <v>0</v>
      </c>
      <c r="NO45" s="43">
        <f t="shared" si="248"/>
        <v>1</v>
      </c>
      <c r="NQ45" s="47">
        <v>1</v>
      </c>
      <c r="NR45" s="48" t="s">
        <v>4</v>
      </c>
      <c r="NS45" s="49">
        <v>1</v>
      </c>
      <c r="NT45" s="5"/>
      <c r="NU45" s="42">
        <f t="shared" si="249"/>
        <v>3.2</v>
      </c>
      <c r="NV45" s="43">
        <f t="shared" si="250"/>
        <v>0</v>
      </c>
      <c r="NX45" s="47">
        <v>3</v>
      </c>
      <c r="NY45" s="48" t="s">
        <v>4</v>
      </c>
      <c r="NZ45" s="49">
        <v>0</v>
      </c>
      <c r="OA45" s="5"/>
      <c r="OB45" s="42">
        <f t="shared" si="251"/>
        <v>0</v>
      </c>
      <c r="OC45" s="43">
        <f t="shared" si="252"/>
        <v>3</v>
      </c>
      <c r="OE45" s="47">
        <v>3</v>
      </c>
      <c r="OF45" s="48" t="s">
        <v>4</v>
      </c>
      <c r="OG45" s="49">
        <v>0</v>
      </c>
      <c r="OH45" s="5"/>
      <c r="OI45" s="42">
        <f t="shared" si="253"/>
        <v>0</v>
      </c>
      <c r="OJ45" s="43">
        <f t="shared" si="254"/>
        <v>3</v>
      </c>
      <c r="OL45" s="47">
        <v>1</v>
      </c>
      <c r="OM45" s="48" t="s">
        <v>4</v>
      </c>
      <c r="ON45" s="49">
        <v>0</v>
      </c>
      <c r="OO45" s="5"/>
      <c r="OP45" s="42">
        <f t="shared" si="255"/>
        <v>0</v>
      </c>
      <c r="OQ45" s="43">
        <f t="shared" si="256"/>
        <v>1</v>
      </c>
      <c r="OS45" s="47">
        <v>2</v>
      </c>
      <c r="OT45" s="48" t="s">
        <v>4</v>
      </c>
      <c r="OU45" s="49">
        <v>0</v>
      </c>
      <c r="OV45" s="5"/>
      <c r="OW45" s="42">
        <f t="shared" si="257"/>
        <v>0</v>
      </c>
      <c r="OX45" s="43">
        <f t="shared" si="258"/>
        <v>2</v>
      </c>
      <c r="OZ45" s="47">
        <v>4</v>
      </c>
      <c r="PA45" s="48" t="s">
        <v>4</v>
      </c>
      <c r="PB45" s="49">
        <v>0</v>
      </c>
      <c r="PC45" s="5"/>
      <c r="PD45" s="42">
        <f t="shared" si="259"/>
        <v>0</v>
      </c>
      <c r="PE45" s="43">
        <f t="shared" si="260"/>
        <v>4</v>
      </c>
      <c r="PG45" s="47">
        <v>2</v>
      </c>
      <c r="PH45" s="48" t="s">
        <v>4</v>
      </c>
      <c r="PI45" s="49">
        <v>0</v>
      </c>
      <c r="PJ45" s="5"/>
      <c r="PK45" s="42">
        <f t="shared" si="261"/>
        <v>0</v>
      </c>
      <c r="PL45" s="43">
        <f t="shared" si="262"/>
        <v>2</v>
      </c>
      <c r="PN45" s="47">
        <v>2</v>
      </c>
      <c r="PO45" s="48" t="s">
        <v>4</v>
      </c>
      <c r="PP45" s="49">
        <v>1</v>
      </c>
      <c r="PQ45" s="5"/>
      <c r="PR45" s="42">
        <f t="shared" si="263"/>
        <v>0</v>
      </c>
      <c r="PS45" s="43">
        <f t="shared" si="264"/>
        <v>1</v>
      </c>
      <c r="PU45" s="47">
        <v>3</v>
      </c>
      <c r="PV45" s="48" t="s">
        <v>4</v>
      </c>
      <c r="PW45" s="49">
        <v>1</v>
      </c>
      <c r="PX45" s="5"/>
      <c r="PY45" s="42">
        <f t="shared" si="265"/>
        <v>0</v>
      </c>
      <c r="PZ45" s="43">
        <f t="shared" si="266"/>
        <v>2</v>
      </c>
      <c r="QB45" s="47">
        <v>3</v>
      </c>
      <c r="QC45" s="48" t="s">
        <v>4</v>
      </c>
      <c r="QD45" s="49">
        <v>0</v>
      </c>
      <c r="QE45" s="5"/>
      <c r="QF45" s="42">
        <f t="shared" si="267"/>
        <v>0</v>
      </c>
      <c r="QG45" s="43">
        <f t="shared" si="268"/>
        <v>3</v>
      </c>
      <c r="QI45" s="47">
        <v>2</v>
      </c>
      <c r="QJ45" s="48" t="s">
        <v>4</v>
      </c>
      <c r="QK45" s="49">
        <v>0</v>
      </c>
      <c r="QL45" s="5"/>
      <c r="QM45" s="42">
        <f t="shared" si="269"/>
        <v>0</v>
      </c>
      <c r="QN45" s="43">
        <f t="shared" si="270"/>
        <v>2</v>
      </c>
      <c r="QP45" s="47">
        <v>4</v>
      </c>
      <c r="QQ45" s="48" t="s">
        <v>4</v>
      </c>
      <c r="QR45" s="49">
        <v>0</v>
      </c>
      <c r="QS45" s="5"/>
      <c r="QT45" s="42">
        <f t="shared" si="271"/>
        <v>0</v>
      </c>
      <c r="QU45" s="43">
        <f t="shared" si="272"/>
        <v>4</v>
      </c>
      <c r="QW45" s="47">
        <v>1</v>
      </c>
      <c r="QX45" s="48" t="s">
        <v>4</v>
      </c>
      <c r="QY45" s="49">
        <v>1</v>
      </c>
      <c r="QZ45" s="5"/>
      <c r="RA45" s="42">
        <f t="shared" si="273"/>
        <v>3.2</v>
      </c>
      <c r="RB45" s="43">
        <f t="shared" si="274"/>
        <v>0</v>
      </c>
      <c r="RD45" s="47"/>
      <c r="RE45" s="48" t="s">
        <v>4</v>
      </c>
      <c r="RF45" s="49"/>
      <c r="RG45" s="5"/>
      <c r="RH45" s="42" t="str">
        <f t="shared" si="275"/>
        <v/>
      </c>
      <c r="RI45" s="43">
        <f t="shared" si="276"/>
        <v>0</v>
      </c>
      <c r="RK45" s="47">
        <v>1</v>
      </c>
      <c r="RL45" s="48" t="s">
        <v>4</v>
      </c>
      <c r="RM45" s="49">
        <v>2</v>
      </c>
      <c r="RN45" s="5"/>
      <c r="RO45" s="42">
        <f t="shared" si="277"/>
        <v>0</v>
      </c>
      <c r="RP45" s="43">
        <f t="shared" si="278"/>
        <v>-1</v>
      </c>
      <c r="RR45" s="47">
        <v>2</v>
      </c>
      <c r="RS45" s="48" t="s">
        <v>4</v>
      </c>
      <c r="RT45" s="49">
        <v>0</v>
      </c>
      <c r="RU45" s="5"/>
      <c r="RV45" s="42">
        <f t="shared" si="279"/>
        <v>0</v>
      </c>
      <c r="RW45" s="43">
        <f t="shared" si="280"/>
        <v>2</v>
      </c>
      <c r="RY45" s="47">
        <v>2</v>
      </c>
      <c r="RZ45" s="48" t="s">
        <v>4</v>
      </c>
      <c r="SA45" s="49">
        <v>0</v>
      </c>
      <c r="SB45" s="5"/>
      <c r="SC45" s="42">
        <f t="shared" si="281"/>
        <v>0</v>
      </c>
      <c r="SD45" s="43">
        <f t="shared" si="282"/>
        <v>2</v>
      </c>
      <c r="SF45" s="47">
        <v>2</v>
      </c>
      <c r="SG45" s="48" t="s">
        <v>4</v>
      </c>
      <c r="SH45" s="49">
        <v>0</v>
      </c>
      <c r="SI45" s="5"/>
      <c r="SJ45" s="42">
        <f t="shared" si="283"/>
        <v>0</v>
      </c>
      <c r="SK45" s="43">
        <f t="shared" si="284"/>
        <v>2</v>
      </c>
      <c r="SM45" s="47">
        <v>2</v>
      </c>
      <c r="SN45" s="48" t="s">
        <v>4</v>
      </c>
      <c r="SO45" s="49">
        <v>1</v>
      </c>
      <c r="SP45" s="5"/>
      <c r="SQ45" s="42">
        <f t="shared" si="285"/>
        <v>0</v>
      </c>
      <c r="SR45" s="43">
        <f t="shared" si="286"/>
        <v>1</v>
      </c>
    </row>
    <row r="46" spans="1:512" customFormat="1" ht="16" customHeight="1" x14ac:dyDescent="0.15">
      <c r="A46" s="51">
        <v>46195</v>
      </c>
      <c r="B46" s="46">
        <v>0.125</v>
      </c>
      <c r="C46" s="79" t="s">
        <v>50</v>
      </c>
      <c r="D46" s="79" t="s">
        <v>46</v>
      </c>
      <c r="E46" s="2">
        <v>1</v>
      </c>
      <c r="F46" s="50" t="s">
        <v>4</v>
      </c>
      <c r="G46" s="1">
        <v>3</v>
      </c>
      <c r="H46" s="16">
        <v>3.2</v>
      </c>
      <c r="I46" s="32">
        <f t="shared" si="0"/>
        <v>-2</v>
      </c>
      <c r="J46" s="47">
        <v>1</v>
      </c>
      <c r="K46" s="48" t="s">
        <v>4</v>
      </c>
      <c r="L46" s="49">
        <v>3</v>
      </c>
      <c r="M46" s="7"/>
      <c r="N46" s="42">
        <f t="shared" si="1"/>
        <v>4.8000000000000007</v>
      </c>
      <c r="O46" s="43">
        <f t="shared" si="2"/>
        <v>-2</v>
      </c>
      <c r="P46" s="52" t="s">
        <v>17</v>
      </c>
      <c r="Q46" s="47">
        <v>0</v>
      </c>
      <c r="R46" s="48" t="s">
        <v>4</v>
      </c>
      <c r="S46" s="49">
        <v>2</v>
      </c>
      <c r="T46" s="7"/>
      <c r="U46" s="42">
        <f t="shared" si="145"/>
        <v>3.2</v>
      </c>
      <c r="V46" s="43">
        <f t="shared" si="146"/>
        <v>-2</v>
      </c>
      <c r="X46" s="47">
        <v>0</v>
      </c>
      <c r="Y46" s="48" t="s">
        <v>4</v>
      </c>
      <c r="Z46" s="49">
        <v>0</v>
      </c>
      <c r="AA46" s="7"/>
      <c r="AB46" s="42">
        <f t="shared" si="147"/>
        <v>0</v>
      </c>
      <c r="AC46" s="43">
        <f t="shared" si="148"/>
        <v>0</v>
      </c>
      <c r="AE46" s="47">
        <v>2</v>
      </c>
      <c r="AF46" s="48" t="s">
        <v>4</v>
      </c>
      <c r="AG46" s="49">
        <v>0</v>
      </c>
      <c r="AH46" s="7"/>
      <c r="AI46" s="42">
        <f t="shared" si="149"/>
        <v>0</v>
      </c>
      <c r="AJ46" s="43">
        <f t="shared" si="150"/>
        <v>2</v>
      </c>
      <c r="AL46" s="47">
        <v>1</v>
      </c>
      <c r="AM46" s="48" t="s">
        <v>4</v>
      </c>
      <c r="AN46" s="49">
        <v>2</v>
      </c>
      <c r="AO46" s="7"/>
      <c r="AP46" s="42">
        <f t="shared" si="151"/>
        <v>3.2</v>
      </c>
      <c r="AQ46" s="43">
        <f t="shared" si="152"/>
        <v>-1</v>
      </c>
      <c r="AS46" s="47">
        <v>0</v>
      </c>
      <c r="AT46" s="48" t="s">
        <v>4</v>
      </c>
      <c r="AU46" s="49">
        <v>1</v>
      </c>
      <c r="AV46" s="7"/>
      <c r="AW46" s="42">
        <f t="shared" si="153"/>
        <v>3.2</v>
      </c>
      <c r="AX46" s="43">
        <f t="shared" si="154"/>
        <v>-1</v>
      </c>
      <c r="AZ46" s="47">
        <v>1</v>
      </c>
      <c r="BA46" s="48" t="s">
        <v>4</v>
      </c>
      <c r="BB46" s="49">
        <v>2</v>
      </c>
      <c r="BC46" s="7"/>
      <c r="BD46" s="42">
        <f t="shared" si="155"/>
        <v>3.2</v>
      </c>
      <c r="BE46" s="43">
        <f t="shared" si="156"/>
        <v>-1</v>
      </c>
      <c r="BG46" s="47">
        <v>1</v>
      </c>
      <c r="BH46" s="48" t="s">
        <v>4</v>
      </c>
      <c r="BI46" s="49">
        <v>2</v>
      </c>
      <c r="BJ46" s="7"/>
      <c r="BK46" s="42">
        <f t="shared" si="157"/>
        <v>3.2</v>
      </c>
      <c r="BL46" s="43">
        <f t="shared" si="158"/>
        <v>-1</v>
      </c>
      <c r="BN46" s="47">
        <v>1</v>
      </c>
      <c r="BO46" s="48" t="s">
        <v>4</v>
      </c>
      <c r="BP46" s="49">
        <v>3</v>
      </c>
      <c r="BQ46" s="7"/>
      <c r="BR46" s="42">
        <f t="shared" si="159"/>
        <v>4.8000000000000007</v>
      </c>
      <c r="BS46" s="43">
        <f t="shared" si="160"/>
        <v>-2</v>
      </c>
      <c r="BU46" s="47">
        <v>0</v>
      </c>
      <c r="BV46" s="48" t="s">
        <v>4</v>
      </c>
      <c r="BW46" s="49">
        <v>1</v>
      </c>
      <c r="BX46" s="7"/>
      <c r="BY46" s="42">
        <f t="shared" si="161"/>
        <v>3.2</v>
      </c>
      <c r="BZ46" s="43">
        <f t="shared" si="162"/>
        <v>-1</v>
      </c>
      <c r="CB46" s="47">
        <v>1</v>
      </c>
      <c r="CC46" s="48" t="s">
        <v>4</v>
      </c>
      <c r="CD46" s="49">
        <v>1</v>
      </c>
      <c r="CE46" s="7"/>
      <c r="CF46" s="42">
        <f t="shared" si="163"/>
        <v>0</v>
      </c>
      <c r="CG46" s="43">
        <f t="shared" si="164"/>
        <v>0</v>
      </c>
      <c r="CI46" s="47">
        <v>1</v>
      </c>
      <c r="CJ46" s="48" t="s">
        <v>4</v>
      </c>
      <c r="CK46" s="49">
        <v>2</v>
      </c>
      <c r="CL46" s="7"/>
      <c r="CM46" s="42">
        <f t="shared" si="165"/>
        <v>3.2</v>
      </c>
      <c r="CN46" s="43">
        <f t="shared" si="166"/>
        <v>-1</v>
      </c>
      <c r="CP46" s="47">
        <v>1</v>
      </c>
      <c r="CQ46" s="48" t="s">
        <v>4</v>
      </c>
      <c r="CR46" s="49">
        <v>2</v>
      </c>
      <c r="CS46" s="7"/>
      <c r="CT46" s="42">
        <f t="shared" si="167"/>
        <v>3.2</v>
      </c>
      <c r="CU46" s="43">
        <f t="shared" si="168"/>
        <v>-1</v>
      </c>
      <c r="CW46" s="47">
        <v>0</v>
      </c>
      <c r="CX46" s="48" t="s">
        <v>4</v>
      </c>
      <c r="CY46" s="49">
        <v>1</v>
      </c>
      <c r="CZ46" s="7"/>
      <c r="DA46" s="42">
        <f t="shared" si="169"/>
        <v>3.2</v>
      </c>
      <c r="DB46" s="43">
        <f t="shared" si="170"/>
        <v>-1</v>
      </c>
      <c r="DD46" s="47">
        <v>0</v>
      </c>
      <c r="DE46" s="48" t="s">
        <v>4</v>
      </c>
      <c r="DF46" s="49">
        <v>0</v>
      </c>
      <c r="DG46" s="7"/>
      <c r="DH46" s="42">
        <f t="shared" si="171"/>
        <v>0</v>
      </c>
      <c r="DI46" s="43">
        <f t="shared" si="172"/>
        <v>0</v>
      </c>
      <c r="DK46" s="47">
        <v>0</v>
      </c>
      <c r="DL46" s="48" t="s">
        <v>4</v>
      </c>
      <c r="DM46" s="49">
        <v>2</v>
      </c>
      <c r="DN46" s="7"/>
      <c r="DO46" s="42">
        <f t="shared" si="173"/>
        <v>3.2</v>
      </c>
      <c r="DP46" s="43">
        <f t="shared" si="174"/>
        <v>-2</v>
      </c>
      <c r="DR46" s="47">
        <v>1</v>
      </c>
      <c r="DS46" s="48" t="s">
        <v>4</v>
      </c>
      <c r="DT46" s="49">
        <v>3</v>
      </c>
      <c r="DU46" s="7"/>
      <c r="DV46" s="42">
        <f t="shared" si="175"/>
        <v>4.8000000000000007</v>
      </c>
      <c r="DW46" s="43">
        <f t="shared" si="176"/>
        <v>-2</v>
      </c>
      <c r="DY46" s="47">
        <v>1</v>
      </c>
      <c r="DZ46" s="48" t="s">
        <v>4</v>
      </c>
      <c r="EA46" s="49">
        <v>2</v>
      </c>
      <c r="EB46" s="7"/>
      <c r="EC46" s="42">
        <f t="shared" si="177"/>
        <v>3.2</v>
      </c>
      <c r="ED46" s="43">
        <f t="shared" si="178"/>
        <v>-1</v>
      </c>
      <c r="EF46" s="47">
        <v>1</v>
      </c>
      <c r="EG46" s="48" t="s">
        <v>4</v>
      </c>
      <c r="EH46" s="49">
        <v>1</v>
      </c>
      <c r="EI46" s="7"/>
      <c r="EJ46" s="42">
        <f t="shared" si="179"/>
        <v>0</v>
      </c>
      <c r="EK46" s="43">
        <f t="shared" si="180"/>
        <v>0</v>
      </c>
      <c r="EM46" s="47">
        <v>1</v>
      </c>
      <c r="EN46" s="48" t="s">
        <v>4</v>
      </c>
      <c r="EO46" s="49">
        <v>4</v>
      </c>
      <c r="EP46" s="7"/>
      <c r="EQ46" s="42">
        <f t="shared" si="181"/>
        <v>3.2</v>
      </c>
      <c r="ER46" s="43">
        <f t="shared" si="182"/>
        <v>-3</v>
      </c>
      <c r="ET46" s="47">
        <v>1</v>
      </c>
      <c r="EU46" s="48" t="s">
        <v>4</v>
      </c>
      <c r="EV46" s="49">
        <v>2</v>
      </c>
      <c r="EW46" s="7"/>
      <c r="EX46" s="42">
        <f t="shared" si="183"/>
        <v>3.2</v>
      </c>
      <c r="EY46" s="43">
        <f t="shared" si="184"/>
        <v>-1</v>
      </c>
      <c r="FA46" s="47">
        <v>2</v>
      </c>
      <c r="FB46" s="48" t="s">
        <v>4</v>
      </c>
      <c r="FC46" s="49">
        <v>2</v>
      </c>
      <c r="FD46" s="7"/>
      <c r="FE46" s="42">
        <f t="shared" si="185"/>
        <v>0</v>
      </c>
      <c r="FF46" s="43">
        <f t="shared" si="186"/>
        <v>0</v>
      </c>
      <c r="FH46" s="47">
        <v>1</v>
      </c>
      <c r="FI46" s="48" t="s">
        <v>4</v>
      </c>
      <c r="FJ46" s="49">
        <v>2</v>
      </c>
      <c r="FK46" s="7"/>
      <c r="FL46" s="42">
        <f t="shared" si="187"/>
        <v>3.2</v>
      </c>
      <c r="FM46" s="43">
        <f t="shared" si="188"/>
        <v>-1</v>
      </c>
      <c r="FO46" s="47">
        <v>0</v>
      </c>
      <c r="FP46" s="48" t="s">
        <v>4</v>
      </c>
      <c r="FQ46" s="49">
        <v>1</v>
      </c>
      <c r="FR46" s="7"/>
      <c r="FS46" s="42">
        <f t="shared" si="189"/>
        <v>3.2</v>
      </c>
      <c r="FT46" s="43">
        <f t="shared" si="190"/>
        <v>-1</v>
      </c>
      <c r="FV46" s="47">
        <v>0</v>
      </c>
      <c r="FW46" s="48" t="s">
        <v>4</v>
      </c>
      <c r="FX46" s="49">
        <v>0</v>
      </c>
      <c r="FY46" s="7"/>
      <c r="FZ46" s="42">
        <f t="shared" si="191"/>
        <v>0</v>
      </c>
      <c r="GA46" s="43">
        <f t="shared" si="192"/>
        <v>0</v>
      </c>
      <c r="GC46" s="47">
        <v>0</v>
      </c>
      <c r="GD46" s="48" t="s">
        <v>4</v>
      </c>
      <c r="GE46" s="49">
        <v>1</v>
      </c>
      <c r="GF46" s="7"/>
      <c r="GG46" s="42">
        <f t="shared" si="193"/>
        <v>3.2</v>
      </c>
      <c r="GH46" s="43">
        <f t="shared" si="194"/>
        <v>-1</v>
      </c>
      <c r="GJ46" s="47">
        <v>1</v>
      </c>
      <c r="GK46" s="48" t="s">
        <v>4</v>
      </c>
      <c r="GL46" s="49">
        <v>1</v>
      </c>
      <c r="GM46" s="7"/>
      <c r="GN46" s="42">
        <f t="shared" si="195"/>
        <v>0</v>
      </c>
      <c r="GO46" s="43">
        <f t="shared" si="196"/>
        <v>0</v>
      </c>
      <c r="GQ46" s="47">
        <v>1</v>
      </c>
      <c r="GR46" s="48" t="s">
        <v>4</v>
      </c>
      <c r="GS46" s="49">
        <v>2</v>
      </c>
      <c r="GT46" s="7"/>
      <c r="GU46" s="42">
        <f t="shared" si="197"/>
        <v>3.2</v>
      </c>
      <c r="GV46" s="43">
        <f t="shared" si="198"/>
        <v>-1</v>
      </c>
      <c r="GX46" s="47">
        <v>1</v>
      </c>
      <c r="GY46" s="48" t="s">
        <v>4</v>
      </c>
      <c r="GZ46" s="49">
        <v>3</v>
      </c>
      <c r="HA46" s="7"/>
      <c r="HB46" s="42">
        <f t="shared" si="199"/>
        <v>4.8000000000000007</v>
      </c>
      <c r="HC46" s="43">
        <f t="shared" si="200"/>
        <v>-2</v>
      </c>
      <c r="HE46" s="47">
        <v>1</v>
      </c>
      <c r="HF46" s="48" t="s">
        <v>4</v>
      </c>
      <c r="HG46" s="49">
        <v>2</v>
      </c>
      <c r="HH46" s="7"/>
      <c r="HI46" s="42">
        <f t="shared" si="201"/>
        <v>3.2</v>
      </c>
      <c r="HJ46" s="43">
        <f t="shared" si="202"/>
        <v>-1</v>
      </c>
      <c r="HL46" s="47">
        <v>0</v>
      </c>
      <c r="HM46" s="48" t="s">
        <v>4</v>
      </c>
      <c r="HN46" s="49">
        <v>2</v>
      </c>
      <c r="HO46" s="7"/>
      <c r="HP46" s="42">
        <f t="shared" si="203"/>
        <v>3.2</v>
      </c>
      <c r="HQ46" s="43">
        <f t="shared" si="204"/>
        <v>-2</v>
      </c>
      <c r="HS46" s="47">
        <v>2</v>
      </c>
      <c r="HT46" s="48" t="s">
        <v>4</v>
      </c>
      <c r="HU46" s="49">
        <v>0</v>
      </c>
      <c r="HV46" s="7"/>
      <c r="HW46" s="42">
        <f t="shared" si="205"/>
        <v>0</v>
      </c>
      <c r="HX46" s="43">
        <f t="shared" si="206"/>
        <v>2</v>
      </c>
      <c r="HZ46" s="47">
        <v>1</v>
      </c>
      <c r="IA46" s="48" t="s">
        <v>4</v>
      </c>
      <c r="IB46" s="49">
        <v>3</v>
      </c>
      <c r="IC46" s="7"/>
      <c r="ID46" s="42">
        <f t="shared" si="207"/>
        <v>4.8000000000000007</v>
      </c>
      <c r="IE46" s="43">
        <f t="shared" si="208"/>
        <v>-2</v>
      </c>
      <c r="IG46" s="47">
        <v>0</v>
      </c>
      <c r="IH46" s="48" t="s">
        <v>4</v>
      </c>
      <c r="II46" s="49">
        <v>0</v>
      </c>
      <c r="IJ46" s="7"/>
      <c r="IK46" s="42">
        <f t="shared" si="209"/>
        <v>0</v>
      </c>
      <c r="IL46" s="43">
        <f t="shared" si="210"/>
        <v>0</v>
      </c>
      <c r="IN46" s="47">
        <v>0</v>
      </c>
      <c r="IO46" s="48" t="s">
        <v>4</v>
      </c>
      <c r="IP46" s="49">
        <v>1</v>
      </c>
      <c r="IQ46" s="7"/>
      <c r="IR46" s="42">
        <f t="shared" si="211"/>
        <v>3.2</v>
      </c>
      <c r="IS46" s="43">
        <f t="shared" si="212"/>
        <v>-1</v>
      </c>
      <c r="IU46" s="47">
        <v>0</v>
      </c>
      <c r="IV46" s="48" t="s">
        <v>4</v>
      </c>
      <c r="IW46" s="49">
        <v>2</v>
      </c>
      <c r="IX46" s="7"/>
      <c r="IY46" s="42">
        <f t="shared" si="213"/>
        <v>3.2</v>
      </c>
      <c r="IZ46" s="43">
        <f t="shared" si="214"/>
        <v>-2</v>
      </c>
      <c r="JB46" s="47">
        <v>1</v>
      </c>
      <c r="JC46" s="48" t="s">
        <v>4</v>
      </c>
      <c r="JD46" s="49">
        <v>1</v>
      </c>
      <c r="JE46" s="7"/>
      <c r="JF46" s="42">
        <f t="shared" si="215"/>
        <v>0</v>
      </c>
      <c r="JG46" s="43">
        <f t="shared" si="216"/>
        <v>0</v>
      </c>
      <c r="JI46" s="47">
        <v>3</v>
      </c>
      <c r="JJ46" s="48" t="s">
        <v>4</v>
      </c>
      <c r="JK46" s="49">
        <v>2</v>
      </c>
      <c r="JL46" s="7"/>
      <c r="JM46" s="42">
        <f t="shared" si="217"/>
        <v>0</v>
      </c>
      <c r="JN46" s="43">
        <f t="shared" si="218"/>
        <v>1</v>
      </c>
      <c r="JP46" s="47">
        <v>0</v>
      </c>
      <c r="JQ46" s="48" t="s">
        <v>4</v>
      </c>
      <c r="JR46" s="49">
        <v>3</v>
      </c>
      <c r="JS46" s="7"/>
      <c r="JT46" s="42">
        <f t="shared" si="219"/>
        <v>3.2</v>
      </c>
      <c r="JU46" s="43">
        <f t="shared" si="220"/>
        <v>-3</v>
      </c>
      <c r="JW46" s="47">
        <v>1</v>
      </c>
      <c r="JX46" s="48" t="s">
        <v>4</v>
      </c>
      <c r="JY46" s="49">
        <v>1</v>
      </c>
      <c r="JZ46" s="7"/>
      <c r="KA46" s="42">
        <f t="shared" si="221"/>
        <v>0</v>
      </c>
      <c r="KB46" s="43">
        <f t="shared" si="222"/>
        <v>0</v>
      </c>
      <c r="KD46" s="47">
        <v>2</v>
      </c>
      <c r="KE46" s="48" t="s">
        <v>4</v>
      </c>
      <c r="KF46" s="49">
        <v>0</v>
      </c>
      <c r="KG46" s="7"/>
      <c r="KH46" s="42">
        <f t="shared" si="223"/>
        <v>0</v>
      </c>
      <c r="KI46" s="43">
        <f t="shared" si="224"/>
        <v>2</v>
      </c>
      <c r="KK46" s="47">
        <v>1</v>
      </c>
      <c r="KL46" s="48" t="s">
        <v>4</v>
      </c>
      <c r="KM46" s="49">
        <v>0</v>
      </c>
      <c r="KN46" s="7"/>
      <c r="KO46" s="42">
        <f t="shared" si="225"/>
        <v>0</v>
      </c>
      <c r="KP46" s="43">
        <f t="shared" si="226"/>
        <v>1</v>
      </c>
      <c r="KR46" s="47">
        <v>0</v>
      </c>
      <c r="KS46" s="48" t="s">
        <v>4</v>
      </c>
      <c r="KT46" s="49">
        <v>0</v>
      </c>
      <c r="KU46" s="7"/>
      <c r="KV46" s="42">
        <f t="shared" si="227"/>
        <v>0</v>
      </c>
      <c r="KW46" s="43">
        <f t="shared" si="228"/>
        <v>0</v>
      </c>
      <c r="KY46" s="47">
        <v>1</v>
      </c>
      <c r="KZ46" s="48" t="s">
        <v>4</v>
      </c>
      <c r="LA46" s="49">
        <v>2</v>
      </c>
      <c r="LB46" s="7"/>
      <c r="LC46" s="42">
        <f t="shared" si="229"/>
        <v>3.2</v>
      </c>
      <c r="LD46" s="43">
        <f t="shared" si="230"/>
        <v>-1</v>
      </c>
      <c r="LF46" s="47">
        <v>0</v>
      </c>
      <c r="LG46" s="48" t="s">
        <v>4</v>
      </c>
      <c r="LH46" s="49">
        <v>1</v>
      </c>
      <c r="LI46" s="7"/>
      <c r="LJ46" s="42">
        <f t="shared" si="231"/>
        <v>3.2</v>
      </c>
      <c r="LK46" s="43">
        <f t="shared" si="232"/>
        <v>-1</v>
      </c>
      <c r="LM46" s="47">
        <v>1</v>
      </c>
      <c r="LN46" s="48" t="s">
        <v>4</v>
      </c>
      <c r="LO46" s="49">
        <v>1</v>
      </c>
      <c r="LP46" s="7"/>
      <c r="LQ46" s="42">
        <f t="shared" si="233"/>
        <v>0</v>
      </c>
      <c r="LR46" s="43">
        <f t="shared" si="234"/>
        <v>0</v>
      </c>
      <c r="LT46" s="47">
        <v>0</v>
      </c>
      <c r="LU46" s="48" t="s">
        <v>4</v>
      </c>
      <c r="LV46" s="49">
        <v>1</v>
      </c>
      <c r="LW46" s="7"/>
      <c r="LX46" s="42">
        <f t="shared" si="235"/>
        <v>3.2</v>
      </c>
      <c r="LY46" s="43">
        <f t="shared" si="236"/>
        <v>-1</v>
      </c>
      <c r="MA46" s="47">
        <v>1</v>
      </c>
      <c r="MB46" s="48" t="s">
        <v>4</v>
      </c>
      <c r="MC46" s="49">
        <v>1</v>
      </c>
      <c r="MD46" s="7"/>
      <c r="ME46" s="42">
        <f t="shared" si="237"/>
        <v>0</v>
      </c>
      <c r="MF46" s="43">
        <f t="shared" si="238"/>
        <v>0</v>
      </c>
      <c r="MH46" s="47">
        <v>1</v>
      </c>
      <c r="MI46" s="48" t="s">
        <v>4</v>
      </c>
      <c r="MJ46" s="49">
        <v>2</v>
      </c>
      <c r="MK46" s="7"/>
      <c r="ML46" s="42">
        <f t="shared" si="239"/>
        <v>3.2</v>
      </c>
      <c r="MM46" s="43">
        <f t="shared" si="240"/>
        <v>-1</v>
      </c>
      <c r="MO46" s="47">
        <v>0</v>
      </c>
      <c r="MP46" s="48" t="s">
        <v>4</v>
      </c>
      <c r="MQ46" s="49">
        <v>0</v>
      </c>
      <c r="MR46" s="7"/>
      <c r="MS46" s="42">
        <f t="shared" si="241"/>
        <v>0</v>
      </c>
      <c r="MT46" s="43">
        <f t="shared" si="242"/>
        <v>0</v>
      </c>
      <c r="MV46" s="47">
        <v>0</v>
      </c>
      <c r="MW46" s="48" t="s">
        <v>4</v>
      </c>
      <c r="MX46" s="49">
        <v>2</v>
      </c>
      <c r="MY46" s="7"/>
      <c r="MZ46" s="42">
        <f t="shared" si="243"/>
        <v>3.2</v>
      </c>
      <c r="NA46" s="43">
        <f t="shared" si="244"/>
        <v>-2</v>
      </c>
      <c r="NC46" s="47">
        <v>0</v>
      </c>
      <c r="ND46" s="48" t="s">
        <v>4</v>
      </c>
      <c r="NE46" s="49">
        <v>0</v>
      </c>
      <c r="NF46" s="7"/>
      <c r="NG46" s="42">
        <f t="shared" si="245"/>
        <v>0</v>
      </c>
      <c r="NH46" s="43">
        <f t="shared" si="246"/>
        <v>0</v>
      </c>
      <c r="NJ46" s="47">
        <v>2</v>
      </c>
      <c r="NK46" s="48" t="s">
        <v>4</v>
      </c>
      <c r="NL46" s="49">
        <v>1</v>
      </c>
      <c r="NM46" s="7"/>
      <c r="NN46" s="42">
        <f t="shared" si="247"/>
        <v>0</v>
      </c>
      <c r="NO46" s="43">
        <f t="shared" si="248"/>
        <v>1</v>
      </c>
      <c r="NQ46" s="47">
        <v>0</v>
      </c>
      <c r="NR46" s="48" t="s">
        <v>4</v>
      </c>
      <c r="NS46" s="49">
        <v>0</v>
      </c>
      <c r="NT46" s="7"/>
      <c r="NU46" s="42">
        <f t="shared" si="249"/>
        <v>0</v>
      </c>
      <c r="NV46" s="43">
        <f t="shared" si="250"/>
        <v>0</v>
      </c>
      <c r="NX46" s="47">
        <v>1</v>
      </c>
      <c r="NY46" s="48" t="s">
        <v>4</v>
      </c>
      <c r="NZ46" s="49">
        <v>2</v>
      </c>
      <c r="OA46" s="7"/>
      <c r="OB46" s="42">
        <f t="shared" si="251"/>
        <v>3.2</v>
      </c>
      <c r="OC46" s="43">
        <f t="shared" si="252"/>
        <v>-1</v>
      </c>
      <c r="OE46" s="47">
        <v>1</v>
      </c>
      <c r="OF46" s="48" t="s">
        <v>4</v>
      </c>
      <c r="OG46" s="49">
        <v>2</v>
      </c>
      <c r="OH46" s="7"/>
      <c r="OI46" s="42">
        <f t="shared" si="253"/>
        <v>3.2</v>
      </c>
      <c r="OJ46" s="43">
        <f t="shared" si="254"/>
        <v>-1</v>
      </c>
      <c r="OL46" s="47">
        <v>1</v>
      </c>
      <c r="OM46" s="48" t="s">
        <v>4</v>
      </c>
      <c r="ON46" s="49">
        <v>2</v>
      </c>
      <c r="OO46" s="7"/>
      <c r="OP46" s="42">
        <f t="shared" si="255"/>
        <v>3.2</v>
      </c>
      <c r="OQ46" s="43">
        <f t="shared" si="256"/>
        <v>-1</v>
      </c>
      <c r="OS46" s="47">
        <v>0</v>
      </c>
      <c r="OT46" s="48" t="s">
        <v>4</v>
      </c>
      <c r="OU46" s="49">
        <v>2</v>
      </c>
      <c r="OV46" s="7"/>
      <c r="OW46" s="42">
        <f t="shared" si="257"/>
        <v>3.2</v>
      </c>
      <c r="OX46" s="43">
        <f t="shared" si="258"/>
        <v>-2</v>
      </c>
      <c r="OZ46" s="47">
        <v>0</v>
      </c>
      <c r="PA46" s="48" t="s">
        <v>4</v>
      </c>
      <c r="PB46" s="49">
        <v>2</v>
      </c>
      <c r="PC46" s="7"/>
      <c r="PD46" s="42">
        <f t="shared" si="259"/>
        <v>3.2</v>
      </c>
      <c r="PE46" s="43">
        <f t="shared" si="260"/>
        <v>-2</v>
      </c>
      <c r="PG46" s="47">
        <v>0</v>
      </c>
      <c r="PH46" s="48" t="s">
        <v>4</v>
      </c>
      <c r="PI46" s="49">
        <v>1</v>
      </c>
      <c r="PJ46" s="7"/>
      <c r="PK46" s="42">
        <f t="shared" si="261"/>
        <v>3.2</v>
      </c>
      <c r="PL46" s="43">
        <f t="shared" si="262"/>
        <v>-1</v>
      </c>
      <c r="PN46" s="47">
        <v>1</v>
      </c>
      <c r="PO46" s="48" t="s">
        <v>4</v>
      </c>
      <c r="PP46" s="49">
        <v>2</v>
      </c>
      <c r="PQ46" s="7"/>
      <c r="PR46" s="42">
        <f t="shared" si="263"/>
        <v>3.2</v>
      </c>
      <c r="PS46" s="43">
        <f t="shared" si="264"/>
        <v>-1</v>
      </c>
      <c r="PU46" s="47">
        <v>1</v>
      </c>
      <c r="PV46" s="48" t="s">
        <v>4</v>
      </c>
      <c r="PW46" s="49">
        <v>2</v>
      </c>
      <c r="PX46" s="7"/>
      <c r="PY46" s="42">
        <f t="shared" si="265"/>
        <v>3.2</v>
      </c>
      <c r="PZ46" s="43">
        <f t="shared" si="266"/>
        <v>-1</v>
      </c>
      <c r="QB46" s="47">
        <v>1</v>
      </c>
      <c r="QC46" s="48" t="s">
        <v>4</v>
      </c>
      <c r="QD46" s="49">
        <v>2</v>
      </c>
      <c r="QE46" s="7"/>
      <c r="QF46" s="42">
        <f t="shared" si="267"/>
        <v>3.2</v>
      </c>
      <c r="QG46" s="43">
        <f t="shared" si="268"/>
        <v>-1</v>
      </c>
      <c r="QI46" s="47">
        <v>0</v>
      </c>
      <c r="QJ46" s="48" t="s">
        <v>4</v>
      </c>
      <c r="QK46" s="49">
        <v>2</v>
      </c>
      <c r="QL46" s="7"/>
      <c r="QM46" s="42">
        <f t="shared" si="269"/>
        <v>3.2</v>
      </c>
      <c r="QN46" s="43">
        <f t="shared" si="270"/>
        <v>-2</v>
      </c>
      <c r="QP46" s="47">
        <v>2</v>
      </c>
      <c r="QQ46" s="48" t="s">
        <v>4</v>
      </c>
      <c r="QR46" s="49">
        <v>0</v>
      </c>
      <c r="QS46" s="7"/>
      <c r="QT46" s="42">
        <f t="shared" si="271"/>
        <v>0</v>
      </c>
      <c r="QU46" s="43">
        <f t="shared" si="272"/>
        <v>2</v>
      </c>
      <c r="QW46" s="47">
        <v>0</v>
      </c>
      <c r="QX46" s="48" t="s">
        <v>4</v>
      </c>
      <c r="QY46" s="49">
        <v>1</v>
      </c>
      <c r="QZ46" s="7"/>
      <c r="RA46" s="42">
        <f t="shared" si="273"/>
        <v>3.2</v>
      </c>
      <c r="RB46" s="43">
        <f t="shared" si="274"/>
        <v>-1</v>
      </c>
      <c r="RD46" s="47"/>
      <c r="RE46" s="48" t="s">
        <v>4</v>
      </c>
      <c r="RF46" s="49"/>
      <c r="RG46" s="7"/>
      <c r="RH46" s="42" t="str">
        <f t="shared" si="275"/>
        <v/>
      </c>
      <c r="RI46" s="43">
        <f t="shared" si="276"/>
        <v>0</v>
      </c>
      <c r="RK46" s="47">
        <v>1</v>
      </c>
      <c r="RL46" s="48" t="s">
        <v>4</v>
      </c>
      <c r="RM46" s="49">
        <v>0</v>
      </c>
      <c r="RN46" s="7"/>
      <c r="RO46" s="42">
        <f t="shared" si="277"/>
        <v>0</v>
      </c>
      <c r="RP46" s="43">
        <f t="shared" si="278"/>
        <v>1</v>
      </c>
      <c r="RR46" s="47">
        <v>0</v>
      </c>
      <c r="RS46" s="48" t="s">
        <v>4</v>
      </c>
      <c r="RT46" s="49">
        <v>1</v>
      </c>
      <c r="RU46" s="7"/>
      <c r="RV46" s="42">
        <f t="shared" si="279"/>
        <v>3.2</v>
      </c>
      <c r="RW46" s="43">
        <f t="shared" si="280"/>
        <v>-1</v>
      </c>
      <c r="RY46" s="47">
        <v>0</v>
      </c>
      <c r="RZ46" s="48" t="s">
        <v>4</v>
      </c>
      <c r="SA46" s="49">
        <v>1</v>
      </c>
      <c r="SB46" s="7"/>
      <c r="SC46" s="42">
        <f t="shared" si="281"/>
        <v>3.2</v>
      </c>
      <c r="SD46" s="43">
        <f t="shared" si="282"/>
        <v>-1</v>
      </c>
      <c r="SF46" s="47">
        <v>0</v>
      </c>
      <c r="SG46" s="48" t="s">
        <v>4</v>
      </c>
      <c r="SH46" s="49">
        <v>1</v>
      </c>
      <c r="SI46" s="7"/>
      <c r="SJ46" s="42">
        <f t="shared" si="283"/>
        <v>3.2</v>
      </c>
      <c r="SK46" s="43">
        <f t="shared" si="284"/>
        <v>-1</v>
      </c>
      <c r="SM46" s="47">
        <v>2</v>
      </c>
      <c r="SN46" s="48" t="s">
        <v>4</v>
      </c>
      <c r="SO46" s="49">
        <v>1</v>
      </c>
      <c r="SP46" s="7"/>
      <c r="SQ46" s="42">
        <f t="shared" si="285"/>
        <v>0</v>
      </c>
      <c r="SR46" s="43">
        <f t="shared" si="286"/>
        <v>1</v>
      </c>
    </row>
    <row r="47" spans="1:512" customFormat="1" ht="16" customHeight="1" x14ac:dyDescent="0.15">
      <c r="A47" s="51">
        <v>46195</v>
      </c>
      <c r="B47" s="46">
        <v>0.79166666666666663</v>
      </c>
      <c r="C47" s="79" t="s">
        <v>54</v>
      </c>
      <c r="D47" s="79" t="s">
        <v>24</v>
      </c>
      <c r="E47" s="2">
        <v>2</v>
      </c>
      <c r="F47" s="50" t="s">
        <v>4</v>
      </c>
      <c r="G47" s="1">
        <v>0</v>
      </c>
      <c r="H47" s="16">
        <v>3.2</v>
      </c>
      <c r="I47" s="32">
        <f t="shared" si="0"/>
        <v>2</v>
      </c>
      <c r="J47" s="47">
        <v>3</v>
      </c>
      <c r="K47" s="48" t="s">
        <v>4</v>
      </c>
      <c r="L47" s="49">
        <v>1</v>
      </c>
      <c r="M47" s="8"/>
      <c r="N47" s="42">
        <f t="shared" si="1"/>
        <v>3.2</v>
      </c>
      <c r="O47" s="43">
        <f t="shared" si="2"/>
        <v>2</v>
      </c>
      <c r="P47" s="32"/>
      <c r="Q47" s="47">
        <v>2</v>
      </c>
      <c r="R47" s="48" t="s">
        <v>4</v>
      </c>
      <c r="S47" s="49">
        <v>1</v>
      </c>
      <c r="T47" s="8"/>
      <c r="U47" s="42">
        <f t="shared" si="145"/>
        <v>3.2</v>
      </c>
      <c r="V47" s="43">
        <f t="shared" si="146"/>
        <v>1</v>
      </c>
      <c r="X47" s="47">
        <v>2</v>
      </c>
      <c r="Y47" s="48" t="s">
        <v>4</v>
      </c>
      <c r="Z47" s="49">
        <v>0</v>
      </c>
      <c r="AA47" s="8"/>
      <c r="AB47" s="42">
        <f t="shared" si="147"/>
        <v>4.8000000000000007</v>
      </c>
      <c r="AC47" s="43">
        <f t="shared" si="148"/>
        <v>2</v>
      </c>
      <c r="AE47" s="47">
        <v>0</v>
      </c>
      <c r="AF47" s="48" t="s">
        <v>4</v>
      </c>
      <c r="AG47" s="49">
        <v>1</v>
      </c>
      <c r="AH47" s="8"/>
      <c r="AI47" s="42">
        <f t="shared" si="149"/>
        <v>0</v>
      </c>
      <c r="AJ47" s="43">
        <f t="shared" si="150"/>
        <v>-1</v>
      </c>
      <c r="AL47" s="47">
        <v>2</v>
      </c>
      <c r="AM47" s="48" t="s">
        <v>4</v>
      </c>
      <c r="AN47" s="49">
        <v>1</v>
      </c>
      <c r="AO47" s="8"/>
      <c r="AP47" s="42">
        <f t="shared" si="151"/>
        <v>3.2</v>
      </c>
      <c r="AQ47" s="43">
        <f t="shared" si="152"/>
        <v>1</v>
      </c>
      <c r="AS47" s="47">
        <v>0</v>
      </c>
      <c r="AT47" s="48" t="s">
        <v>4</v>
      </c>
      <c r="AU47" s="49">
        <v>0</v>
      </c>
      <c r="AV47" s="8"/>
      <c r="AW47" s="42">
        <f t="shared" si="153"/>
        <v>0</v>
      </c>
      <c r="AX47" s="43">
        <f t="shared" si="154"/>
        <v>0</v>
      </c>
      <c r="AZ47" s="47">
        <v>2</v>
      </c>
      <c r="BA47" s="48" t="s">
        <v>4</v>
      </c>
      <c r="BB47" s="49">
        <v>2</v>
      </c>
      <c r="BC47" s="8"/>
      <c r="BD47" s="42">
        <f t="shared" si="155"/>
        <v>0</v>
      </c>
      <c r="BE47" s="43">
        <f t="shared" si="156"/>
        <v>0</v>
      </c>
      <c r="BG47" s="47">
        <v>2</v>
      </c>
      <c r="BH47" s="48" t="s">
        <v>4</v>
      </c>
      <c r="BI47" s="49">
        <v>2</v>
      </c>
      <c r="BJ47" s="8"/>
      <c r="BK47" s="42">
        <f t="shared" si="157"/>
        <v>0</v>
      </c>
      <c r="BL47" s="43">
        <f t="shared" si="158"/>
        <v>0</v>
      </c>
      <c r="BN47" s="47">
        <v>3</v>
      </c>
      <c r="BO47" s="48" t="s">
        <v>4</v>
      </c>
      <c r="BP47" s="49">
        <v>2</v>
      </c>
      <c r="BQ47" s="8"/>
      <c r="BR47" s="42">
        <f t="shared" si="159"/>
        <v>3.2</v>
      </c>
      <c r="BS47" s="43">
        <f t="shared" si="160"/>
        <v>1</v>
      </c>
      <c r="BU47" s="47">
        <v>3</v>
      </c>
      <c r="BV47" s="48" t="s">
        <v>4</v>
      </c>
      <c r="BW47" s="49">
        <v>2</v>
      </c>
      <c r="BX47" s="8"/>
      <c r="BY47" s="42">
        <f t="shared" si="161"/>
        <v>3.2</v>
      </c>
      <c r="BZ47" s="43">
        <f t="shared" si="162"/>
        <v>1</v>
      </c>
      <c r="CB47" s="47">
        <v>3</v>
      </c>
      <c r="CC47" s="48" t="s">
        <v>4</v>
      </c>
      <c r="CD47" s="49">
        <v>0</v>
      </c>
      <c r="CE47" s="8"/>
      <c r="CF47" s="42">
        <f t="shared" si="163"/>
        <v>3.2</v>
      </c>
      <c r="CG47" s="43">
        <f t="shared" si="164"/>
        <v>3</v>
      </c>
      <c r="CI47" s="47">
        <v>2</v>
      </c>
      <c r="CJ47" s="48" t="s">
        <v>4</v>
      </c>
      <c r="CK47" s="49">
        <v>1</v>
      </c>
      <c r="CL47" s="8"/>
      <c r="CM47" s="42">
        <f t="shared" si="165"/>
        <v>3.2</v>
      </c>
      <c r="CN47" s="43">
        <f t="shared" si="166"/>
        <v>1</v>
      </c>
      <c r="CP47" s="47">
        <v>3</v>
      </c>
      <c r="CQ47" s="48" t="s">
        <v>4</v>
      </c>
      <c r="CR47" s="49">
        <v>1</v>
      </c>
      <c r="CS47" s="8"/>
      <c r="CT47" s="42">
        <f t="shared" si="167"/>
        <v>3.2</v>
      </c>
      <c r="CU47" s="43">
        <f t="shared" si="168"/>
        <v>2</v>
      </c>
      <c r="CW47" s="47">
        <v>2</v>
      </c>
      <c r="CX47" s="48" t="s">
        <v>4</v>
      </c>
      <c r="CY47" s="49">
        <v>1</v>
      </c>
      <c r="CZ47" s="8"/>
      <c r="DA47" s="42">
        <f t="shared" si="169"/>
        <v>3.2</v>
      </c>
      <c r="DB47" s="43">
        <f t="shared" si="170"/>
        <v>1</v>
      </c>
      <c r="DD47" s="47">
        <v>2</v>
      </c>
      <c r="DE47" s="48" t="s">
        <v>4</v>
      </c>
      <c r="DF47" s="49">
        <v>0</v>
      </c>
      <c r="DG47" s="8"/>
      <c r="DH47" s="42">
        <f t="shared" si="171"/>
        <v>4.8000000000000007</v>
      </c>
      <c r="DI47" s="43">
        <f t="shared" si="172"/>
        <v>2</v>
      </c>
      <c r="DK47" s="47">
        <v>1</v>
      </c>
      <c r="DL47" s="48" t="s">
        <v>4</v>
      </c>
      <c r="DM47" s="49">
        <v>0</v>
      </c>
      <c r="DN47" s="8"/>
      <c r="DO47" s="42">
        <f t="shared" si="173"/>
        <v>3.2</v>
      </c>
      <c r="DP47" s="43">
        <f t="shared" si="174"/>
        <v>1</v>
      </c>
      <c r="DR47" s="47">
        <v>3</v>
      </c>
      <c r="DS47" s="48" t="s">
        <v>4</v>
      </c>
      <c r="DT47" s="49">
        <v>2</v>
      </c>
      <c r="DU47" s="8"/>
      <c r="DV47" s="42">
        <f t="shared" si="175"/>
        <v>3.2</v>
      </c>
      <c r="DW47" s="43">
        <f t="shared" si="176"/>
        <v>1</v>
      </c>
      <c r="DY47" s="47">
        <v>2</v>
      </c>
      <c r="DZ47" s="48" t="s">
        <v>4</v>
      </c>
      <c r="EA47" s="49">
        <v>1</v>
      </c>
      <c r="EB47" s="8"/>
      <c r="EC47" s="42">
        <f t="shared" si="177"/>
        <v>3.2</v>
      </c>
      <c r="ED47" s="43">
        <f t="shared" si="178"/>
        <v>1</v>
      </c>
      <c r="EF47" s="47">
        <v>1</v>
      </c>
      <c r="EG47" s="48" t="s">
        <v>4</v>
      </c>
      <c r="EH47" s="49">
        <v>1</v>
      </c>
      <c r="EI47" s="8"/>
      <c r="EJ47" s="42">
        <f t="shared" si="179"/>
        <v>0</v>
      </c>
      <c r="EK47" s="43">
        <f t="shared" si="180"/>
        <v>0</v>
      </c>
      <c r="EM47" s="47">
        <v>2</v>
      </c>
      <c r="EN47" s="48" t="s">
        <v>4</v>
      </c>
      <c r="EO47" s="49">
        <v>1</v>
      </c>
      <c r="EP47" s="8"/>
      <c r="EQ47" s="42">
        <f t="shared" si="181"/>
        <v>3.2</v>
      </c>
      <c r="ER47" s="43">
        <f t="shared" si="182"/>
        <v>1</v>
      </c>
      <c r="ET47" s="47">
        <v>3</v>
      </c>
      <c r="EU47" s="48" t="s">
        <v>4</v>
      </c>
      <c r="EV47" s="49">
        <v>1</v>
      </c>
      <c r="EW47" s="8"/>
      <c r="EX47" s="42">
        <f t="shared" si="183"/>
        <v>3.2</v>
      </c>
      <c r="EY47" s="43">
        <f t="shared" si="184"/>
        <v>2</v>
      </c>
      <c r="FA47" s="47">
        <v>2</v>
      </c>
      <c r="FB47" s="48" t="s">
        <v>4</v>
      </c>
      <c r="FC47" s="49">
        <v>1</v>
      </c>
      <c r="FD47" s="8"/>
      <c r="FE47" s="42">
        <f t="shared" si="185"/>
        <v>3.2</v>
      </c>
      <c r="FF47" s="43">
        <f t="shared" si="186"/>
        <v>1</v>
      </c>
      <c r="FH47" s="47">
        <v>3</v>
      </c>
      <c r="FI47" s="48" t="s">
        <v>4</v>
      </c>
      <c r="FJ47" s="49">
        <v>1</v>
      </c>
      <c r="FK47" s="8"/>
      <c r="FL47" s="42">
        <f t="shared" si="187"/>
        <v>3.2</v>
      </c>
      <c r="FM47" s="43">
        <f t="shared" si="188"/>
        <v>2</v>
      </c>
      <c r="FO47" s="47">
        <v>2</v>
      </c>
      <c r="FP47" s="48" t="s">
        <v>4</v>
      </c>
      <c r="FQ47" s="49">
        <v>1</v>
      </c>
      <c r="FR47" s="8"/>
      <c r="FS47" s="42">
        <f t="shared" si="189"/>
        <v>3.2</v>
      </c>
      <c r="FT47" s="43">
        <f t="shared" si="190"/>
        <v>1</v>
      </c>
      <c r="FV47" s="47">
        <v>2</v>
      </c>
      <c r="FW47" s="48" t="s">
        <v>4</v>
      </c>
      <c r="FX47" s="49">
        <v>2</v>
      </c>
      <c r="FY47" s="8"/>
      <c r="FZ47" s="42">
        <f t="shared" si="191"/>
        <v>0</v>
      </c>
      <c r="GA47" s="43">
        <f t="shared" si="192"/>
        <v>0</v>
      </c>
      <c r="GC47" s="47">
        <v>1</v>
      </c>
      <c r="GD47" s="48" t="s">
        <v>4</v>
      </c>
      <c r="GE47" s="49">
        <v>1</v>
      </c>
      <c r="GF47" s="8"/>
      <c r="GG47" s="42">
        <f t="shared" si="193"/>
        <v>0</v>
      </c>
      <c r="GH47" s="43">
        <f t="shared" si="194"/>
        <v>0</v>
      </c>
      <c r="GJ47" s="47">
        <v>2</v>
      </c>
      <c r="GK47" s="48" t="s">
        <v>4</v>
      </c>
      <c r="GL47" s="49">
        <v>0</v>
      </c>
      <c r="GM47" s="8"/>
      <c r="GN47" s="42">
        <f t="shared" si="195"/>
        <v>4.8000000000000007</v>
      </c>
      <c r="GO47" s="43">
        <f t="shared" si="196"/>
        <v>2</v>
      </c>
      <c r="GQ47" s="47">
        <v>2</v>
      </c>
      <c r="GR47" s="48" t="s">
        <v>4</v>
      </c>
      <c r="GS47" s="49">
        <v>0</v>
      </c>
      <c r="GT47" s="8"/>
      <c r="GU47" s="42">
        <f t="shared" si="197"/>
        <v>4.8000000000000007</v>
      </c>
      <c r="GV47" s="43">
        <f t="shared" si="198"/>
        <v>2</v>
      </c>
      <c r="GX47" s="47">
        <v>3</v>
      </c>
      <c r="GY47" s="48" t="s">
        <v>4</v>
      </c>
      <c r="GZ47" s="49">
        <v>1</v>
      </c>
      <c r="HA47" s="8"/>
      <c r="HB47" s="42">
        <f t="shared" si="199"/>
        <v>3.2</v>
      </c>
      <c r="HC47" s="43">
        <f t="shared" si="200"/>
        <v>2</v>
      </c>
      <c r="HE47" s="47">
        <v>3</v>
      </c>
      <c r="HF47" s="48" t="s">
        <v>4</v>
      </c>
      <c r="HG47" s="49">
        <v>2</v>
      </c>
      <c r="HH47" s="8"/>
      <c r="HI47" s="42">
        <f t="shared" si="201"/>
        <v>3.2</v>
      </c>
      <c r="HJ47" s="43">
        <f t="shared" si="202"/>
        <v>1</v>
      </c>
      <c r="HL47" s="47">
        <v>2</v>
      </c>
      <c r="HM47" s="48" t="s">
        <v>4</v>
      </c>
      <c r="HN47" s="49">
        <v>1</v>
      </c>
      <c r="HO47" s="8"/>
      <c r="HP47" s="42">
        <f t="shared" si="203"/>
        <v>3.2</v>
      </c>
      <c r="HQ47" s="43">
        <f t="shared" si="204"/>
        <v>1</v>
      </c>
      <c r="HS47" s="47">
        <v>2</v>
      </c>
      <c r="HT47" s="48" t="s">
        <v>4</v>
      </c>
      <c r="HU47" s="49">
        <v>1</v>
      </c>
      <c r="HV47" s="8"/>
      <c r="HW47" s="42">
        <f t="shared" si="205"/>
        <v>3.2</v>
      </c>
      <c r="HX47" s="43">
        <f t="shared" si="206"/>
        <v>1</v>
      </c>
      <c r="HZ47" s="47">
        <v>2</v>
      </c>
      <c r="IA47" s="48" t="s">
        <v>4</v>
      </c>
      <c r="IB47" s="49">
        <v>1</v>
      </c>
      <c r="IC47" s="8"/>
      <c r="ID47" s="42">
        <f t="shared" si="207"/>
        <v>3.2</v>
      </c>
      <c r="IE47" s="43">
        <f t="shared" si="208"/>
        <v>1</v>
      </c>
      <c r="IG47" s="47">
        <v>3</v>
      </c>
      <c r="IH47" s="48" t="s">
        <v>4</v>
      </c>
      <c r="II47" s="49">
        <v>2</v>
      </c>
      <c r="IJ47" s="8"/>
      <c r="IK47" s="42">
        <f t="shared" si="209"/>
        <v>3.2</v>
      </c>
      <c r="IL47" s="43">
        <f t="shared" si="210"/>
        <v>1</v>
      </c>
      <c r="IN47" s="47">
        <v>2</v>
      </c>
      <c r="IO47" s="48" t="s">
        <v>4</v>
      </c>
      <c r="IP47" s="49">
        <v>2</v>
      </c>
      <c r="IQ47" s="8"/>
      <c r="IR47" s="42">
        <f t="shared" si="211"/>
        <v>0</v>
      </c>
      <c r="IS47" s="43">
        <f t="shared" si="212"/>
        <v>0</v>
      </c>
      <c r="IU47" s="47">
        <v>2</v>
      </c>
      <c r="IV47" s="48" t="s">
        <v>4</v>
      </c>
      <c r="IW47" s="49">
        <v>0</v>
      </c>
      <c r="IX47" s="8"/>
      <c r="IY47" s="42">
        <f t="shared" si="213"/>
        <v>4.8000000000000007</v>
      </c>
      <c r="IZ47" s="43">
        <f t="shared" si="214"/>
        <v>2</v>
      </c>
      <c r="JB47" s="47">
        <v>2</v>
      </c>
      <c r="JC47" s="48" t="s">
        <v>4</v>
      </c>
      <c r="JD47" s="49">
        <v>1</v>
      </c>
      <c r="JE47" s="8"/>
      <c r="JF47" s="42">
        <f t="shared" si="215"/>
        <v>3.2</v>
      </c>
      <c r="JG47" s="43">
        <f t="shared" si="216"/>
        <v>1</v>
      </c>
      <c r="JI47" s="47">
        <v>4</v>
      </c>
      <c r="JJ47" s="48" t="s">
        <v>4</v>
      </c>
      <c r="JK47" s="49">
        <v>2</v>
      </c>
      <c r="JL47" s="8"/>
      <c r="JM47" s="42">
        <f t="shared" si="217"/>
        <v>3.2</v>
      </c>
      <c r="JN47" s="43">
        <f t="shared" si="218"/>
        <v>2</v>
      </c>
      <c r="JP47" s="47">
        <v>3</v>
      </c>
      <c r="JQ47" s="48" t="s">
        <v>4</v>
      </c>
      <c r="JR47" s="49">
        <v>1</v>
      </c>
      <c r="JS47" s="8"/>
      <c r="JT47" s="42">
        <f t="shared" si="219"/>
        <v>3.2</v>
      </c>
      <c r="JU47" s="43">
        <f t="shared" si="220"/>
        <v>2</v>
      </c>
      <c r="JW47" s="47">
        <v>3</v>
      </c>
      <c r="JX47" s="48" t="s">
        <v>4</v>
      </c>
      <c r="JY47" s="49">
        <v>1</v>
      </c>
      <c r="JZ47" s="8"/>
      <c r="KA47" s="42">
        <f t="shared" si="221"/>
        <v>3.2</v>
      </c>
      <c r="KB47" s="43">
        <f t="shared" si="222"/>
        <v>2</v>
      </c>
      <c r="KD47" s="47">
        <v>3</v>
      </c>
      <c r="KE47" s="48" t="s">
        <v>4</v>
      </c>
      <c r="KF47" s="49">
        <v>1</v>
      </c>
      <c r="KG47" s="8"/>
      <c r="KH47" s="42">
        <f t="shared" si="223"/>
        <v>3.2</v>
      </c>
      <c r="KI47" s="43">
        <f t="shared" si="224"/>
        <v>2</v>
      </c>
      <c r="KK47" s="47">
        <v>2</v>
      </c>
      <c r="KL47" s="48" t="s">
        <v>4</v>
      </c>
      <c r="KM47" s="49">
        <v>0</v>
      </c>
      <c r="KN47" s="8"/>
      <c r="KO47" s="42">
        <f t="shared" si="225"/>
        <v>4.8000000000000007</v>
      </c>
      <c r="KP47" s="43">
        <f t="shared" si="226"/>
        <v>2</v>
      </c>
      <c r="KR47" s="47">
        <v>1</v>
      </c>
      <c r="KS47" s="48" t="s">
        <v>4</v>
      </c>
      <c r="KT47" s="49">
        <v>0</v>
      </c>
      <c r="KU47" s="8"/>
      <c r="KV47" s="42">
        <f t="shared" si="227"/>
        <v>3.2</v>
      </c>
      <c r="KW47" s="43">
        <f t="shared" si="228"/>
        <v>1</v>
      </c>
      <c r="KY47" s="47">
        <v>2</v>
      </c>
      <c r="KZ47" s="48" t="s">
        <v>4</v>
      </c>
      <c r="LA47" s="49">
        <v>1</v>
      </c>
      <c r="LB47" s="8"/>
      <c r="LC47" s="42">
        <f t="shared" si="229"/>
        <v>3.2</v>
      </c>
      <c r="LD47" s="43">
        <f t="shared" si="230"/>
        <v>1</v>
      </c>
      <c r="LF47" s="47">
        <v>3</v>
      </c>
      <c r="LG47" s="48" t="s">
        <v>4</v>
      </c>
      <c r="LH47" s="49">
        <v>2</v>
      </c>
      <c r="LI47" s="8"/>
      <c r="LJ47" s="42">
        <f t="shared" si="231"/>
        <v>3.2</v>
      </c>
      <c r="LK47" s="43">
        <f t="shared" si="232"/>
        <v>1</v>
      </c>
      <c r="LM47" s="47">
        <v>2</v>
      </c>
      <c r="LN47" s="48" t="s">
        <v>4</v>
      </c>
      <c r="LO47" s="49">
        <v>0</v>
      </c>
      <c r="LP47" s="8"/>
      <c r="LQ47" s="42">
        <f t="shared" si="233"/>
        <v>4.8000000000000007</v>
      </c>
      <c r="LR47" s="43">
        <f t="shared" si="234"/>
        <v>2</v>
      </c>
      <c r="LT47" s="47">
        <v>2</v>
      </c>
      <c r="LU47" s="48" t="s">
        <v>4</v>
      </c>
      <c r="LV47" s="49">
        <v>1</v>
      </c>
      <c r="LW47" s="8"/>
      <c r="LX47" s="42">
        <f t="shared" si="235"/>
        <v>3.2</v>
      </c>
      <c r="LY47" s="43">
        <f t="shared" si="236"/>
        <v>1</v>
      </c>
      <c r="MA47" s="47">
        <v>3</v>
      </c>
      <c r="MB47" s="48" t="s">
        <v>4</v>
      </c>
      <c r="MC47" s="49">
        <v>2</v>
      </c>
      <c r="MD47" s="8"/>
      <c r="ME47" s="42">
        <f t="shared" si="237"/>
        <v>3.2</v>
      </c>
      <c r="MF47" s="43">
        <f t="shared" si="238"/>
        <v>1</v>
      </c>
      <c r="MH47" s="47">
        <v>3</v>
      </c>
      <c r="MI47" s="48" t="s">
        <v>4</v>
      </c>
      <c r="MJ47" s="49">
        <v>1</v>
      </c>
      <c r="MK47" s="8"/>
      <c r="ML47" s="42">
        <f t="shared" si="239"/>
        <v>3.2</v>
      </c>
      <c r="MM47" s="43">
        <f t="shared" si="240"/>
        <v>2</v>
      </c>
      <c r="MO47" s="47">
        <v>2</v>
      </c>
      <c r="MP47" s="48" t="s">
        <v>4</v>
      </c>
      <c r="MQ47" s="49">
        <v>0</v>
      </c>
      <c r="MR47" s="8"/>
      <c r="MS47" s="42">
        <f t="shared" si="241"/>
        <v>4.8000000000000007</v>
      </c>
      <c r="MT47" s="43">
        <f t="shared" si="242"/>
        <v>2</v>
      </c>
      <c r="MV47" s="47">
        <v>3</v>
      </c>
      <c r="MW47" s="48" t="s">
        <v>4</v>
      </c>
      <c r="MX47" s="49">
        <v>1</v>
      </c>
      <c r="MY47" s="8"/>
      <c r="MZ47" s="42">
        <f t="shared" si="243"/>
        <v>3.2</v>
      </c>
      <c r="NA47" s="43">
        <f t="shared" si="244"/>
        <v>2</v>
      </c>
      <c r="NC47" s="47">
        <v>4</v>
      </c>
      <c r="ND47" s="48" t="s">
        <v>4</v>
      </c>
      <c r="NE47" s="49">
        <v>0</v>
      </c>
      <c r="NF47" s="8"/>
      <c r="NG47" s="42">
        <f t="shared" si="245"/>
        <v>3.2</v>
      </c>
      <c r="NH47" s="43">
        <f t="shared" si="246"/>
        <v>4</v>
      </c>
      <c r="NJ47" s="47">
        <v>2</v>
      </c>
      <c r="NK47" s="48" t="s">
        <v>4</v>
      </c>
      <c r="NL47" s="49">
        <v>1</v>
      </c>
      <c r="NM47" s="8"/>
      <c r="NN47" s="42">
        <f t="shared" si="247"/>
        <v>3.2</v>
      </c>
      <c r="NO47" s="43">
        <f t="shared" si="248"/>
        <v>1</v>
      </c>
      <c r="NQ47" s="47">
        <v>3</v>
      </c>
      <c r="NR47" s="48" t="s">
        <v>4</v>
      </c>
      <c r="NS47" s="49">
        <v>0</v>
      </c>
      <c r="NT47" s="8"/>
      <c r="NU47" s="42">
        <f t="shared" si="249"/>
        <v>3.2</v>
      </c>
      <c r="NV47" s="43">
        <f t="shared" si="250"/>
        <v>3</v>
      </c>
      <c r="NX47" s="47">
        <v>3</v>
      </c>
      <c r="NY47" s="48" t="s">
        <v>4</v>
      </c>
      <c r="NZ47" s="49">
        <v>2</v>
      </c>
      <c r="OA47" s="8"/>
      <c r="OB47" s="42">
        <f t="shared" si="251"/>
        <v>3.2</v>
      </c>
      <c r="OC47" s="43">
        <f t="shared" si="252"/>
        <v>1</v>
      </c>
      <c r="OE47" s="47">
        <v>2</v>
      </c>
      <c r="OF47" s="48" t="s">
        <v>4</v>
      </c>
      <c r="OG47" s="49">
        <v>0</v>
      </c>
      <c r="OH47" s="8"/>
      <c r="OI47" s="42">
        <f t="shared" si="253"/>
        <v>4.8000000000000007</v>
      </c>
      <c r="OJ47" s="43">
        <f t="shared" si="254"/>
        <v>2</v>
      </c>
      <c r="OL47" s="47">
        <v>3</v>
      </c>
      <c r="OM47" s="48" t="s">
        <v>4</v>
      </c>
      <c r="ON47" s="49">
        <v>1</v>
      </c>
      <c r="OO47" s="8"/>
      <c r="OP47" s="42">
        <f t="shared" si="255"/>
        <v>3.2</v>
      </c>
      <c r="OQ47" s="43">
        <f t="shared" si="256"/>
        <v>2</v>
      </c>
      <c r="OS47" s="47">
        <v>4</v>
      </c>
      <c r="OT47" s="48" t="s">
        <v>4</v>
      </c>
      <c r="OU47" s="49">
        <v>0</v>
      </c>
      <c r="OV47" s="8"/>
      <c r="OW47" s="42">
        <f t="shared" si="257"/>
        <v>3.2</v>
      </c>
      <c r="OX47" s="43">
        <f t="shared" si="258"/>
        <v>4</v>
      </c>
      <c r="OZ47" s="47">
        <v>1</v>
      </c>
      <c r="PA47" s="48" t="s">
        <v>4</v>
      </c>
      <c r="PB47" s="49">
        <v>1</v>
      </c>
      <c r="PC47" s="8"/>
      <c r="PD47" s="42">
        <f t="shared" si="259"/>
        <v>0</v>
      </c>
      <c r="PE47" s="43">
        <f t="shared" si="260"/>
        <v>0</v>
      </c>
      <c r="PG47" s="47">
        <v>1</v>
      </c>
      <c r="PH47" s="48" t="s">
        <v>4</v>
      </c>
      <c r="PI47" s="49">
        <v>0</v>
      </c>
      <c r="PJ47" s="8"/>
      <c r="PK47" s="42">
        <f t="shared" si="261"/>
        <v>3.2</v>
      </c>
      <c r="PL47" s="43">
        <f t="shared" si="262"/>
        <v>1</v>
      </c>
      <c r="PN47" s="47">
        <v>2</v>
      </c>
      <c r="PO47" s="48" t="s">
        <v>4</v>
      </c>
      <c r="PP47" s="49">
        <v>0</v>
      </c>
      <c r="PQ47" s="8"/>
      <c r="PR47" s="42">
        <f t="shared" si="263"/>
        <v>4.8000000000000007</v>
      </c>
      <c r="PS47" s="43">
        <f t="shared" si="264"/>
        <v>2</v>
      </c>
      <c r="PU47" s="47">
        <v>2</v>
      </c>
      <c r="PV47" s="48" t="s">
        <v>4</v>
      </c>
      <c r="PW47" s="49">
        <v>2</v>
      </c>
      <c r="PX47" s="8"/>
      <c r="PY47" s="42">
        <f t="shared" si="265"/>
        <v>0</v>
      </c>
      <c r="PZ47" s="43">
        <f t="shared" si="266"/>
        <v>0</v>
      </c>
      <c r="QB47" s="47">
        <v>3</v>
      </c>
      <c r="QC47" s="48" t="s">
        <v>4</v>
      </c>
      <c r="QD47" s="49">
        <v>2</v>
      </c>
      <c r="QE47" s="8"/>
      <c r="QF47" s="42">
        <f t="shared" si="267"/>
        <v>3.2</v>
      </c>
      <c r="QG47" s="43">
        <f t="shared" si="268"/>
        <v>1</v>
      </c>
      <c r="QI47" s="47">
        <v>3</v>
      </c>
      <c r="QJ47" s="48" t="s">
        <v>4</v>
      </c>
      <c r="QK47" s="49">
        <v>2</v>
      </c>
      <c r="QL47" s="8"/>
      <c r="QM47" s="42">
        <f t="shared" si="269"/>
        <v>3.2</v>
      </c>
      <c r="QN47" s="43">
        <f t="shared" si="270"/>
        <v>1</v>
      </c>
      <c r="QP47" s="47">
        <v>3</v>
      </c>
      <c r="QQ47" s="48" t="s">
        <v>4</v>
      </c>
      <c r="QR47" s="49">
        <v>0</v>
      </c>
      <c r="QS47" s="8"/>
      <c r="QT47" s="42">
        <f t="shared" si="271"/>
        <v>3.2</v>
      </c>
      <c r="QU47" s="43">
        <f t="shared" si="272"/>
        <v>3</v>
      </c>
      <c r="QW47" s="47">
        <v>2</v>
      </c>
      <c r="QX47" s="48" t="s">
        <v>4</v>
      </c>
      <c r="QY47" s="49">
        <v>0</v>
      </c>
      <c r="QZ47" s="8"/>
      <c r="RA47" s="42">
        <f t="shared" si="273"/>
        <v>4.8000000000000007</v>
      </c>
      <c r="RB47" s="43">
        <f t="shared" si="274"/>
        <v>2</v>
      </c>
      <c r="RD47" s="47"/>
      <c r="RE47" s="48" t="s">
        <v>4</v>
      </c>
      <c r="RF47" s="49"/>
      <c r="RG47" s="8"/>
      <c r="RH47" s="42" t="str">
        <f t="shared" si="275"/>
        <v/>
      </c>
      <c r="RI47" s="43">
        <f t="shared" si="276"/>
        <v>0</v>
      </c>
      <c r="RK47" s="47">
        <v>2</v>
      </c>
      <c r="RL47" s="48" t="s">
        <v>4</v>
      </c>
      <c r="RM47" s="49">
        <v>0</v>
      </c>
      <c r="RN47" s="8"/>
      <c r="RO47" s="42">
        <f t="shared" si="277"/>
        <v>4.8000000000000007</v>
      </c>
      <c r="RP47" s="43">
        <f t="shared" si="278"/>
        <v>2</v>
      </c>
      <c r="RR47" s="47">
        <v>3</v>
      </c>
      <c r="RS47" s="48" t="s">
        <v>4</v>
      </c>
      <c r="RT47" s="49">
        <v>0</v>
      </c>
      <c r="RU47" s="8"/>
      <c r="RV47" s="42">
        <f t="shared" si="279"/>
        <v>3.2</v>
      </c>
      <c r="RW47" s="43">
        <f t="shared" si="280"/>
        <v>3</v>
      </c>
      <c r="RY47" s="47">
        <v>3</v>
      </c>
      <c r="RZ47" s="48" t="s">
        <v>4</v>
      </c>
      <c r="SA47" s="49">
        <v>0</v>
      </c>
      <c r="SB47" s="8"/>
      <c r="SC47" s="42">
        <f t="shared" si="281"/>
        <v>3.2</v>
      </c>
      <c r="SD47" s="43">
        <f t="shared" si="282"/>
        <v>3</v>
      </c>
      <c r="SF47" s="47">
        <v>3</v>
      </c>
      <c r="SG47" s="48" t="s">
        <v>4</v>
      </c>
      <c r="SH47" s="49">
        <v>0</v>
      </c>
      <c r="SI47" s="8"/>
      <c r="SJ47" s="42">
        <f t="shared" si="283"/>
        <v>3.2</v>
      </c>
      <c r="SK47" s="43">
        <f t="shared" si="284"/>
        <v>3</v>
      </c>
      <c r="SM47" s="47">
        <v>3</v>
      </c>
      <c r="SN47" s="48" t="s">
        <v>4</v>
      </c>
      <c r="SO47" s="49">
        <v>1</v>
      </c>
      <c r="SP47" s="8"/>
      <c r="SQ47" s="42">
        <f t="shared" si="285"/>
        <v>3.2</v>
      </c>
      <c r="SR47" s="43">
        <f t="shared" si="286"/>
        <v>2</v>
      </c>
    </row>
    <row r="48" spans="1:512" customFormat="1" ht="16" customHeight="1" x14ac:dyDescent="0.15">
      <c r="A48" s="34">
        <v>46195</v>
      </c>
      <c r="B48" s="35">
        <v>0.95833333333333337</v>
      </c>
      <c r="C48" s="79" t="s">
        <v>10</v>
      </c>
      <c r="D48" s="79" t="s">
        <v>52</v>
      </c>
      <c r="E48" s="2">
        <v>3</v>
      </c>
      <c r="F48" s="50" t="s">
        <v>4</v>
      </c>
      <c r="G48" s="1">
        <v>0</v>
      </c>
      <c r="H48" s="16">
        <v>3.2</v>
      </c>
      <c r="I48" s="32">
        <f t="shared" si="0"/>
        <v>3</v>
      </c>
      <c r="J48" s="47">
        <v>4</v>
      </c>
      <c r="K48" s="48" t="s">
        <v>4</v>
      </c>
      <c r="L48" s="49">
        <v>0</v>
      </c>
      <c r="M48" s="5"/>
      <c r="N48" s="42">
        <f t="shared" si="1"/>
        <v>3.2</v>
      </c>
      <c r="O48" s="43">
        <f t="shared" si="2"/>
        <v>4</v>
      </c>
      <c r="P48" s="43">
        <f>IF($I48=0,IF(AND(#REF!&gt;#REF!,OR(AND(T48="",Q48&gt;S48),T48=1)),1,IF(AND(#REF!&lt;#REF!,OR(AND(T48="",Q48&lt;S48),T48=2)),1,0)),0)</f>
        <v>0</v>
      </c>
      <c r="Q48" s="47">
        <v>3</v>
      </c>
      <c r="R48" s="48" t="s">
        <v>4</v>
      </c>
      <c r="S48" s="49">
        <v>0</v>
      </c>
      <c r="T48" s="5"/>
      <c r="U48" s="42">
        <f t="shared" si="145"/>
        <v>4.8000000000000007</v>
      </c>
      <c r="V48" s="43">
        <f t="shared" si="146"/>
        <v>3</v>
      </c>
      <c r="W48" s="30"/>
      <c r="X48" s="47">
        <v>4</v>
      </c>
      <c r="Y48" s="48" t="s">
        <v>4</v>
      </c>
      <c r="Z48" s="49">
        <v>0</v>
      </c>
      <c r="AA48" s="5"/>
      <c r="AB48" s="42">
        <f t="shared" si="147"/>
        <v>3.2</v>
      </c>
      <c r="AC48" s="43">
        <f t="shared" si="148"/>
        <v>4</v>
      </c>
      <c r="AD48" s="30"/>
      <c r="AE48" s="47">
        <v>3</v>
      </c>
      <c r="AF48" s="48" t="s">
        <v>4</v>
      </c>
      <c r="AG48" s="49">
        <v>0</v>
      </c>
      <c r="AH48" s="5"/>
      <c r="AI48" s="42">
        <f t="shared" si="149"/>
        <v>4.8000000000000007</v>
      </c>
      <c r="AJ48" s="43">
        <f t="shared" si="150"/>
        <v>3</v>
      </c>
      <c r="AK48" s="30"/>
      <c r="AL48" s="47">
        <v>3</v>
      </c>
      <c r="AM48" s="48" t="s">
        <v>4</v>
      </c>
      <c r="AN48" s="49">
        <v>0</v>
      </c>
      <c r="AO48" s="5"/>
      <c r="AP48" s="42">
        <f t="shared" si="151"/>
        <v>4.8000000000000007</v>
      </c>
      <c r="AQ48" s="43">
        <f t="shared" si="152"/>
        <v>3</v>
      </c>
      <c r="AR48" s="30"/>
      <c r="AS48" s="47">
        <v>3</v>
      </c>
      <c r="AT48" s="48" t="s">
        <v>4</v>
      </c>
      <c r="AU48" s="49">
        <v>0</v>
      </c>
      <c r="AV48" s="5"/>
      <c r="AW48" s="42">
        <f t="shared" si="153"/>
        <v>4.8000000000000007</v>
      </c>
      <c r="AX48" s="43">
        <f t="shared" si="154"/>
        <v>3</v>
      </c>
      <c r="AY48" s="30"/>
      <c r="AZ48" s="47">
        <v>3</v>
      </c>
      <c r="BA48" s="48" t="s">
        <v>4</v>
      </c>
      <c r="BB48" s="49">
        <v>0</v>
      </c>
      <c r="BC48" s="5"/>
      <c r="BD48" s="42">
        <f t="shared" si="155"/>
        <v>4.8000000000000007</v>
      </c>
      <c r="BE48" s="43">
        <f t="shared" si="156"/>
        <v>3</v>
      </c>
      <c r="BF48" s="30"/>
      <c r="BG48" s="47">
        <v>2</v>
      </c>
      <c r="BH48" s="48" t="s">
        <v>4</v>
      </c>
      <c r="BI48" s="49">
        <v>0</v>
      </c>
      <c r="BJ48" s="5"/>
      <c r="BK48" s="42">
        <f t="shared" si="157"/>
        <v>3.2</v>
      </c>
      <c r="BL48" s="43">
        <f t="shared" si="158"/>
        <v>2</v>
      </c>
      <c r="BM48" s="30"/>
      <c r="BN48" s="47">
        <v>4</v>
      </c>
      <c r="BO48" s="48" t="s">
        <v>4</v>
      </c>
      <c r="BP48" s="49">
        <v>0</v>
      </c>
      <c r="BQ48" s="5"/>
      <c r="BR48" s="42">
        <f t="shared" si="159"/>
        <v>3.2</v>
      </c>
      <c r="BS48" s="43">
        <f t="shared" si="160"/>
        <v>4</v>
      </c>
      <c r="BT48" s="30"/>
      <c r="BU48" s="47">
        <v>2</v>
      </c>
      <c r="BV48" s="48" t="s">
        <v>4</v>
      </c>
      <c r="BW48" s="49">
        <v>0</v>
      </c>
      <c r="BX48" s="5"/>
      <c r="BY48" s="42">
        <f t="shared" si="161"/>
        <v>3.2</v>
      </c>
      <c r="BZ48" s="43">
        <f t="shared" si="162"/>
        <v>2</v>
      </c>
      <c r="CA48" s="30"/>
      <c r="CB48" s="47">
        <v>3</v>
      </c>
      <c r="CC48" s="48" t="s">
        <v>4</v>
      </c>
      <c r="CD48" s="49">
        <v>1</v>
      </c>
      <c r="CE48" s="5"/>
      <c r="CF48" s="42">
        <f t="shared" si="163"/>
        <v>3.2</v>
      </c>
      <c r="CG48" s="43">
        <f t="shared" si="164"/>
        <v>2</v>
      </c>
      <c r="CH48" s="30"/>
      <c r="CI48" s="47">
        <v>3</v>
      </c>
      <c r="CJ48" s="48" t="s">
        <v>4</v>
      </c>
      <c r="CK48" s="49">
        <v>0</v>
      </c>
      <c r="CL48" s="5"/>
      <c r="CM48" s="42">
        <f t="shared" si="165"/>
        <v>4.8000000000000007</v>
      </c>
      <c r="CN48" s="43">
        <f t="shared" si="166"/>
        <v>3</v>
      </c>
      <c r="CO48" s="30"/>
      <c r="CP48" s="47">
        <v>4</v>
      </c>
      <c r="CQ48" s="48" t="s">
        <v>4</v>
      </c>
      <c r="CR48" s="49">
        <v>0</v>
      </c>
      <c r="CS48" s="5"/>
      <c r="CT48" s="42">
        <f t="shared" si="167"/>
        <v>3.2</v>
      </c>
      <c r="CU48" s="43">
        <f t="shared" si="168"/>
        <v>4</v>
      </c>
      <c r="CV48" s="30"/>
      <c r="CW48" s="47">
        <v>2</v>
      </c>
      <c r="CX48" s="48" t="s">
        <v>4</v>
      </c>
      <c r="CY48" s="49">
        <v>0</v>
      </c>
      <c r="CZ48" s="5"/>
      <c r="DA48" s="42">
        <f t="shared" si="169"/>
        <v>3.2</v>
      </c>
      <c r="DB48" s="43">
        <f t="shared" si="170"/>
        <v>2</v>
      </c>
      <c r="DC48" s="30"/>
      <c r="DD48" s="47">
        <v>2</v>
      </c>
      <c r="DE48" s="48" t="s">
        <v>4</v>
      </c>
      <c r="DF48" s="49">
        <v>0</v>
      </c>
      <c r="DG48" s="5"/>
      <c r="DH48" s="42">
        <f t="shared" si="171"/>
        <v>3.2</v>
      </c>
      <c r="DI48" s="43">
        <f t="shared" si="172"/>
        <v>2</v>
      </c>
      <c r="DJ48" s="30"/>
      <c r="DK48" s="47">
        <v>1</v>
      </c>
      <c r="DL48" s="48" t="s">
        <v>4</v>
      </c>
      <c r="DM48" s="49">
        <v>0</v>
      </c>
      <c r="DN48" s="5"/>
      <c r="DO48" s="42">
        <f t="shared" si="173"/>
        <v>3.2</v>
      </c>
      <c r="DP48" s="43">
        <f t="shared" si="174"/>
        <v>1</v>
      </c>
      <c r="DQ48" s="30"/>
      <c r="DR48" s="47">
        <v>5</v>
      </c>
      <c r="DS48" s="48" t="s">
        <v>4</v>
      </c>
      <c r="DT48" s="49">
        <v>0</v>
      </c>
      <c r="DU48" s="5"/>
      <c r="DV48" s="42">
        <f t="shared" si="175"/>
        <v>3.2</v>
      </c>
      <c r="DW48" s="43">
        <f t="shared" si="176"/>
        <v>5</v>
      </c>
      <c r="DX48" s="30"/>
      <c r="DY48" s="47">
        <v>4</v>
      </c>
      <c r="DZ48" s="48" t="s">
        <v>4</v>
      </c>
      <c r="EA48" s="49">
        <v>0</v>
      </c>
      <c r="EB48" s="5"/>
      <c r="EC48" s="42">
        <f t="shared" si="177"/>
        <v>3.2</v>
      </c>
      <c r="ED48" s="43">
        <f t="shared" si="178"/>
        <v>4</v>
      </c>
      <c r="EE48" s="30"/>
      <c r="EF48" s="47">
        <v>2</v>
      </c>
      <c r="EG48" s="48" t="s">
        <v>4</v>
      </c>
      <c r="EH48" s="49">
        <v>0</v>
      </c>
      <c r="EI48" s="5"/>
      <c r="EJ48" s="42">
        <f t="shared" si="179"/>
        <v>3.2</v>
      </c>
      <c r="EK48" s="43">
        <f t="shared" si="180"/>
        <v>2</v>
      </c>
      <c r="EL48" s="30"/>
      <c r="EM48" s="47">
        <v>4</v>
      </c>
      <c r="EN48" s="48" t="s">
        <v>4</v>
      </c>
      <c r="EO48" s="49">
        <v>0</v>
      </c>
      <c r="EP48" s="5"/>
      <c r="EQ48" s="42">
        <f t="shared" si="181"/>
        <v>3.2</v>
      </c>
      <c r="ER48" s="43">
        <f t="shared" si="182"/>
        <v>4</v>
      </c>
      <c r="ES48" s="30"/>
      <c r="ET48" s="47">
        <v>3</v>
      </c>
      <c r="EU48" s="48" t="s">
        <v>4</v>
      </c>
      <c r="EV48" s="49">
        <v>0</v>
      </c>
      <c r="EW48" s="5"/>
      <c r="EX48" s="42">
        <f t="shared" si="183"/>
        <v>4.8000000000000007</v>
      </c>
      <c r="EY48" s="43">
        <f t="shared" si="184"/>
        <v>3</v>
      </c>
      <c r="EZ48" s="30"/>
      <c r="FA48" s="47">
        <v>3</v>
      </c>
      <c r="FB48" s="48" t="s">
        <v>4</v>
      </c>
      <c r="FC48" s="49">
        <v>0</v>
      </c>
      <c r="FD48" s="5"/>
      <c r="FE48" s="42">
        <f t="shared" si="185"/>
        <v>4.8000000000000007</v>
      </c>
      <c r="FF48" s="43">
        <f t="shared" si="186"/>
        <v>3</v>
      </c>
      <c r="FG48" s="30"/>
      <c r="FH48" s="47">
        <v>4</v>
      </c>
      <c r="FI48" s="48" t="s">
        <v>4</v>
      </c>
      <c r="FJ48" s="49">
        <v>0</v>
      </c>
      <c r="FK48" s="5"/>
      <c r="FL48" s="42">
        <f t="shared" si="187"/>
        <v>3.2</v>
      </c>
      <c r="FM48" s="43">
        <f t="shared" si="188"/>
        <v>4</v>
      </c>
      <c r="FN48" s="30"/>
      <c r="FO48" s="47">
        <v>3</v>
      </c>
      <c r="FP48" s="48" t="s">
        <v>4</v>
      </c>
      <c r="FQ48" s="49">
        <v>0</v>
      </c>
      <c r="FR48" s="5"/>
      <c r="FS48" s="42">
        <f t="shared" si="189"/>
        <v>4.8000000000000007</v>
      </c>
      <c r="FT48" s="43">
        <f t="shared" si="190"/>
        <v>3</v>
      </c>
      <c r="FU48" s="30"/>
      <c r="FV48" s="47">
        <v>4</v>
      </c>
      <c r="FW48" s="48" t="s">
        <v>4</v>
      </c>
      <c r="FX48" s="49">
        <v>0</v>
      </c>
      <c r="FY48" s="5"/>
      <c r="FZ48" s="42">
        <f t="shared" si="191"/>
        <v>3.2</v>
      </c>
      <c r="GA48" s="43">
        <f t="shared" si="192"/>
        <v>4</v>
      </c>
      <c r="GB48" s="30"/>
      <c r="GC48" s="47">
        <v>4</v>
      </c>
      <c r="GD48" s="48" t="s">
        <v>4</v>
      </c>
      <c r="GE48" s="49">
        <v>0</v>
      </c>
      <c r="GF48" s="5"/>
      <c r="GG48" s="42">
        <f t="shared" si="193"/>
        <v>3.2</v>
      </c>
      <c r="GH48" s="43">
        <f t="shared" si="194"/>
        <v>4</v>
      </c>
      <c r="GI48" s="30"/>
      <c r="GJ48" s="47">
        <v>3</v>
      </c>
      <c r="GK48" s="48" t="s">
        <v>4</v>
      </c>
      <c r="GL48" s="49">
        <v>0</v>
      </c>
      <c r="GM48" s="5"/>
      <c r="GN48" s="42">
        <f t="shared" si="195"/>
        <v>4.8000000000000007</v>
      </c>
      <c r="GO48" s="43">
        <f t="shared" si="196"/>
        <v>3</v>
      </c>
      <c r="GP48" s="30"/>
      <c r="GQ48" s="47">
        <v>4</v>
      </c>
      <c r="GR48" s="48" t="s">
        <v>4</v>
      </c>
      <c r="GS48" s="49">
        <v>0</v>
      </c>
      <c r="GT48" s="5"/>
      <c r="GU48" s="42">
        <f t="shared" si="197"/>
        <v>3.2</v>
      </c>
      <c r="GV48" s="43">
        <f t="shared" si="198"/>
        <v>4</v>
      </c>
      <c r="GW48" s="30"/>
      <c r="GX48" s="47">
        <v>3</v>
      </c>
      <c r="GY48" s="48" t="s">
        <v>4</v>
      </c>
      <c r="GZ48" s="49">
        <v>0</v>
      </c>
      <c r="HA48" s="5"/>
      <c r="HB48" s="42">
        <f t="shared" si="199"/>
        <v>4.8000000000000007</v>
      </c>
      <c r="HC48" s="43">
        <f t="shared" si="200"/>
        <v>3</v>
      </c>
      <c r="HD48" s="30"/>
      <c r="HE48" s="47">
        <v>4</v>
      </c>
      <c r="HF48" s="48" t="s">
        <v>4</v>
      </c>
      <c r="HG48" s="49">
        <v>0</v>
      </c>
      <c r="HH48" s="5"/>
      <c r="HI48" s="42">
        <f t="shared" si="201"/>
        <v>3.2</v>
      </c>
      <c r="HJ48" s="43">
        <f t="shared" si="202"/>
        <v>4</v>
      </c>
      <c r="HK48" s="30"/>
      <c r="HL48" s="47">
        <v>4</v>
      </c>
      <c r="HM48" s="48" t="s">
        <v>4</v>
      </c>
      <c r="HN48" s="49">
        <v>0</v>
      </c>
      <c r="HO48" s="5"/>
      <c r="HP48" s="42">
        <f t="shared" si="203"/>
        <v>3.2</v>
      </c>
      <c r="HQ48" s="43">
        <f t="shared" si="204"/>
        <v>4</v>
      </c>
      <c r="HR48" s="30"/>
      <c r="HS48" s="47">
        <v>3</v>
      </c>
      <c r="HT48" s="48" t="s">
        <v>4</v>
      </c>
      <c r="HU48" s="49">
        <v>0</v>
      </c>
      <c r="HV48" s="5"/>
      <c r="HW48" s="42">
        <f t="shared" si="205"/>
        <v>4.8000000000000007</v>
      </c>
      <c r="HX48" s="43">
        <f t="shared" si="206"/>
        <v>3</v>
      </c>
      <c r="HY48" s="30"/>
      <c r="HZ48" s="47">
        <v>4</v>
      </c>
      <c r="IA48" s="48" t="s">
        <v>4</v>
      </c>
      <c r="IB48" s="49">
        <v>0</v>
      </c>
      <c r="IC48" s="5"/>
      <c r="ID48" s="42">
        <f t="shared" si="207"/>
        <v>3.2</v>
      </c>
      <c r="IE48" s="43">
        <f t="shared" si="208"/>
        <v>4</v>
      </c>
      <c r="IF48" s="30"/>
      <c r="IG48" s="47">
        <v>4</v>
      </c>
      <c r="IH48" s="48" t="s">
        <v>4</v>
      </c>
      <c r="II48" s="49">
        <v>1</v>
      </c>
      <c r="IJ48" s="5"/>
      <c r="IK48" s="42">
        <f t="shared" si="209"/>
        <v>3.2</v>
      </c>
      <c r="IL48" s="43">
        <f t="shared" si="210"/>
        <v>3</v>
      </c>
      <c r="IM48" s="30"/>
      <c r="IN48" s="47">
        <v>6</v>
      </c>
      <c r="IO48" s="48" t="s">
        <v>4</v>
      </c>
      <c r="IP48" s="49">
        <v>0</v>
      </c>
      <c r="IQ48" s="5"/>
      <c r="IR48" s="42">
        <f t="shared" si="211"/>
        <v>3.2</v>
      </c>
      <c r="IS48" s="43">
        <f t="shared" si="212"/>
        <v>6</v>
      </c>
      <c r="IT48" s="30"/>
      <c r="IU48" s="47">
        <v>2</v>
      </c>
      <c r="IV48" s="48" t="s">
        <v>4</v>
      </c>
      <c r="IW48" s="49">
        <v>0</v>
      </c>
      <c r="IX48" s="5"/>
      <c r="IY48" s="42">
        <f t="shared" si="213"/>
        <v>3.2</v>
      </c>
      <c r="IZ48" s="43">
        <f t="shared" si="214"/>
        <v>2</v>
      </c>
      <c r="JA48" s="30"/>
      <c r="JB48" s="47">
        <v>1</v>
      </c>
      <c r="JC48" s="48" t="s">
        <v>4</v>
      </c>
      <c r="JD48" s="49">
        <v>0</v>
      </c>
      <c r="JE48" s="5"/>
      <c r="JF48" s="42">
        <f t="shared" si="215"/>
        <v>3.2</v>
      </c>
      <c r="JG48" s="43">
        <f t="shared" si="216"/>
        <v>1</v>
      </c>
      <c r="JH48" s="30"/>
      <c r="JI48" s="47">
        <v>1</v>
      </c>
      <c r="JJ48" s="48" t="s">
        <v>4</v>
      </c>
      <c r="JK48" s="49">
        <v>0</v>
      </c>
      <c r="JL48" s="5"/>
      <c r="JM48" s="42">
        <f t="shared" si="217"/>
        <v>3.2</v>
      </c>
      <c r="JN48" s="43">
        <f t="shared" si="218"/>
        <v>1</v>
      </c>
      <c r="JO48" s="30"/>
      <c r="JP48" s="47">
        <v>4</v>
      </c>
      <c r="JQ48" s="48" t="s">
        <v>4</v>
      </c>
      <c r="JR48" s="49">
        <v>0</v>
      </c>
      <c r="JS48" s="5"/>
      <c r="JT48" s="42">
        <f t="shared" si="219"/>
        <v>3.2</v>
      </c>
      <c r="JU48" s="43">
        <f t="shared" si="220"/>
        <v>4</v>
      </c>
      <c r="JV48" s="30"/>
      <c r="JW48" s="47">
        <v>4</v>
      </c>
      <c r="JX48" s="48" t="s">
        <v>4</v>
      </c>
      <c r="JY48" s="49">
        <v>0</v>
      </c>
      <c r="JZ48" s="5"/>
      <c r="KA48" s="42">
        <f t="shared" si="221"/>
        <v>3.2</v>
      </c>
      <c r="KB48" s="43">
        <f t="shared" si="222"/>
        <v>4</v>
      </c>
      <c r="KC48" s="30"/>
      <c r="KD48" s="47">
        <v>4</v>
      </c>
      <c r="KE48" s="48" t="s">
        <v>4</v>
      </c>
      <c r="KF48" s="49">
        <v>0</v>
      </c>
      <c r="KG48" s="5"/>
      <c r="KH48" s="42">
        <f t="shared" si="223"/>
        <v>3.2</v>
      </c>
      <c r="KI48" s="43">
        <f t="shared" si="224"/>
        <v>4</v>
      </c>
      <c r="KJ48" s="30"/>
      <c r="KK48" s="47">
        <v>2</v>
      </c>
      <c r="KL48" s="48" t="s">
        <v>4</v>
      </c>
      <c r="KM48" s="49">
        <v>0</v>
      </c>
      <c r="KN48" s="5"/>
      <c r="KO48" s="42">
        <f t="shared" si="225"/>
        <v>3.2</v>
      </c>
      <c r="KP48" s="43">
        <f t="shared" si="226"/>
        <v>2</v>
      </c>
      <c r="KQ48" s="30"/>
      <c r="KR48" s="47">
        <v>2</v>
      </c>
      <c r="KS48" s="48" t="s">
        <v>4</v>
      </c>
      <c r="KT48" s="49">
        <v>0</v>
      </c>
      <c r="KU48" s="5"/>
      <c r="KV48" s="42">
        <f t="shared" si="227"/>
        <v>3.2</v>
      </c>
      <c r="KW48" s="43">
        <f t="shared" si="228"/>
        <v>2</v>
      </c>
      <c r="KX48" s="30"/>
      <c r="KY48" s="47">
        <v>2</v>
      </c>
      <c r="KZ48" s="48" t="s">
        <v>4</v>
      </c>
      <c r="LA48" s="49">
        <v>1</v>
      </c>
      <c r="LB48" s="5"/>
      <c r="LC48" s="42">
        <f t="shared" si="229"/>
        <v>3.2</v>
      </c>
      <c r="LD48" s="43">
        <f t="shared" si="230"/>
        <v>1</v>
      </c>
      <c r="LE48" s="30"/>
      <c r="LF48" s="47">
        <v>7</v>
      </c>
      <c r="LG48" s="48" t="s">
        <v>4</v>
      </c>
      <c r="LH48" s="49">
        <v>0</v>
      </c>
      <c r="LI48" s="5"/>
      <c r="LJ48" s="42">
        <f t="shared" si="231"/>
        <v>3.2</v>
      </c>
      <c r="LK48" s="43">
        <f t="shared" si="232"/>
        <v>7</v>
      </c>
      <c r="LL48" s="30"/>
      <c r="LM48" s="47">
        <v>3</v>
      </c>
      <c r="LN48" s="48" t="s">
        <v>4</v>
      </c>
      <c r="LO48" s="49">
        <v>1</v>
      </c>
      <c r="LP48" s="5"/>
      <c r="LQ48" s="42">
        <f t="shared" si="233"/>
        <v>3.2</v>
      </c>
      <c r="LR48" s="43">
        <f t="shared" si="234"/>
        <v>2</v>
      </c>
      <c r="LS48" s="30"/>
      <c r="LT48" s="47">
        <v>2</v>
      </c>
      <c r="LU48" s="48" t="s">
        <v>4</v>
      </c>
      <c r="LV48" s="49">
        <v>0</v>
      </c>
      <c r="LW48" s="5"/>
      <c r="LX48" s="42">
        <f t="shared" si="235"/>
        <v>3.2</v>
      </c>
      <c r="LY48" s="43">
        <f t="shared" si="236"/>
        <v>2</v>
      </c>
      <c r="LZ48" s="30"/>
      <c r="MA48" s="47">
        <v>6</v>
      </c>
      <c r="MB48" s="48" t="s">
        <v>4</v>
      </c>
      <c r="MC48" s="49">
        <v>0</v>
      </c>
      <c r="MD48" s="5"/>
      <c r="ME48" s="42">
        <f t="shared" si="237"/>
        <v>3.2</v>
      </c>
      <c r="MF48" s="43">
        <f t="shared" si="238"/>
        <v>6</v>
      </c>
      <c r="MG48" s="30"/>
      <c r="MH48" s="47">
        <v>5</v>
      </c>
      <c r="MI48" s="48" t="s">
        <v>4</v>
      </c>
      <c r="MJ48" s="49">
        <v>0</v>
      </c>
      <c r="MK48" s="5"/>
      <c r="ML48" s="42">
        <f t="shared" si="239"/>
        <v>3.2</v>
      </c>
      <c r="MM48" s="43">
        <f t="shared" si="240"/>
        <v>5</v>
      </c>
      <c r="MN48" s="30"/>
      <c r="MO48" s="47">
        <v>3</v>
      </c>
      <c r="MP48" s="48" t="s">
        <v>4</v>
      </c>
      <c r="MQ48" s="49">
        <v>0</v>
      </c>
      <c r="MR48" s="5"/>
      <c r="MS48" s="42">
        <f t="shared" si="241"/>
        <v>4.8000000000000007</v>
      </c>
      <c r="MT48" s="43">
        <f t="shared" si="242"/>
        <v>3</v>
      </c>
      <c r="MU48" s="30"/>
      <c r="MV48" s="47">
        <v>2</v>
      </c>
      <c r="MW48" s="48" t="s">
        <v>4</v>
      </c>
      <c r="MX48" s="49">
        <v>0</v>
      </c>
      <c r="MY48" s="5"/>
      <c r="MZ48" s="42">
        <f t="shared" si="243"/>
        <v>3.2</v>
      </c>
      <c r="NA48" s="43">
        <f t="shared" si="244"/>
        <v>2</v>
      </c>
      <c r="NB48" s="30"/>
      <c r="NC48" s="47">
        <v>4</v>
      </c>
      <c r="ND48" s="48" t="s">
        <v>4</v>
      </c>
      <c r="NE48" s="49">
        <v>0</v>
      </c>
      <c r="NF48" s="5"/>
      <c r="NG48" s="42">
        <f t="shared" si="245"/>
        <v>3.2</v>
      </c>
      <c r="NH48" s="43">
        <f t="shared" si="246"/>
        <v>4</v>
      </c>
      <c r="NI48" s="30"/>
      <c r="NJ48" s="47">
        <v>5</v>
      </c>
      <c r="NK48" s="48" t="s">
        <v>4</v>
      </c>
      <c r="NL48" s="49">
        <v>0</v>
      </c>
      <c r="NM48" s="5"/>
      <c r="NN48" s="42">
        <f t="shared" si="247"/>
        <v>3.2</v>
      </c>
      <c r="NO48" s="43">
        <f t="shared" si="248"/>
        <v>5</v>
      </c>
      <c r="NP48" s="30"/>
      <c r="NQ48" s="47">
        <v>2</v>
      </c>
      <c r="NR48" s="48" t="s">
        <v>4</v>
      </c>
      <c r="NS48" s="49">
        <v>0</v>
      </c>
      <c r="NT48" s="5"/>
      <c r="NU48" s="42">
        <f t="shared" si="249"/>
        <v>3.2</v>
      </c>
      <c r="NV48" s="43">
        <f t="shared" si="250"/>
        <v>2</v>
      </c>
      <c r="NW48" s="30"/>
      <c r="NX48" s="47">
        <v>2</v>
      </c>
      <c r="NY48" s="48" t="s">
        <v>4</v>
      </c>
      <c r="NZ48" s="49">
        <v>0</v>
      </c>
      <c r="OA48" s="5"/>
      <c r="OB48" s="42">
        <f t="shared" si="251"/>
        <v>3.2</v>
      </c>
      <c r="OC48" s="43">
        <f t="shared" si="252"/>
        <v>2</v>
      </c>
      <c r="OD48" s="30"/>
      <c r="OE48" s="47">
        <v>3</v>
      </c>
      <c r="OF48" s="48" t="s">
        <v>4</v>
      </c>
      <c r="OG48" s="49">
        <v>0</v>
      </c>
      <c r="OH48" s="5"/>
      <c r="OI48" s="42">
        <f t="shared" si="253"/>
        <v>4.8000000000000007</v>
      </c>
      <c r="OJ48" s="43">
        <f t="shared" si="254"/>
        <v>3</v>
      </c>
      <c r="OK48" s="30"/>
      <c r="OL48" s="47">
        <v>4</v>
      </c>
      <c r="OM48" s="48" t="s">
        <v>4</v>
      </c>
      <c r="ON48" s="49">
        <v>0</v>
      </c>
      <c r="OO48" s="5"/>
      <c r="OP48" s="42">
        <f t="shared" si="255"/>
        <v>3.2</v>
      </c>
      <c r="OQ48" s="43">
        <f t="shared" si="256"/>
        <v>4</v>
      </c>
      <c r="OR48" s="30"/>
      <c r="OS48" s="47">
        <v>4</v>
      </c>
      <c r="OT48" s="48" t="s">
        <v>4</v>
      </c>
      <c r="OU48" s="49">
        <v>1</v>
      </c>
      <c r="OV48" s="5"/>
      <c r="OW48" s="42">
        <f t="shared" si="257"/>
        <v>3.2</v>
      </c>
      <c r="OX48" s="43">
        <f t="shared" si="258"/>
        <v>3</v>
      </c>
      <c r="OY48" s="30"/>
      <c r="OZ48" s="47">
        <v>3</v>
      </c>
      <c r="PA48" s="48" t="s">
        <v>4</v>
      </c>
      <c r="PB48" s="49">
        <v>0</v>
      </c>
      <c r="PC48" s="5"/>
      <c r="PD48" s="42">
        <f t="shared" si="259"/>
        <v>4.8000000000000007</v>
      </c>
      <c r="PE48" s="43">
        <f t="shared" si="260"/>
        <v>3</v>
      </c>
      <c r="PF48" s="30"/>
      <c r="PG48" s="47">
        <v>2</v>
      </c>
      <c r="PH48" s="48" t="s">
        <v>4</v>
      </c>
      <c r="PI48" s="49">
        <v>0</v>
      </c>
      <c r="PJ48" s="5"/>
      <c r="PK48" s="42">
        <f t="shared" si="261"/>
        <v>3.2</v>
      </c>
      <c r="PL48" s="43">
        <f t="shared" si="262"/>
        <v>2</v>
      </c>
      <c r="PM48" s="30"/>
      <c r="PN48" s="47">
        <v>2</v>
      </c>
      <c r="PO48" s="48" t="s">
        <v>4</v>
      </c>
      <c r="PP48" s="49">
        <v>0</v>
      </c>
      <c r="PQ48" s="5"/>
      <c r="PR48" s="42">
        <f t="shared" si="263"/>
        <v>3.2</v>
      </c>
      <c r="PS48" s="43">
        <f t="shared" si="264"/>
        <v>2</v>
      </c>
      <c r="PT48" s="30"/>
      <c r="PU48" s="47">
        <v>2</v>
      </c>
      <c r="PV48" s="48" t="s">
        <v>4</v>
      </c>
      <c r="PW48" s="49">
        <v>0</v>
      </c>
      <c r="PX48" s="5"/>
      <c r="PY48" s="42">
        <f t="shared" si="265"/>
        <v>3.2</v>
      </c>
      <c r="PZ48" s="43">
        <f t="shared" si="266"/>
        <v>2</v>
      </c>
      <c r="QA48" s="30"/>
      <c r="QB48" s="47">
        <v>4</v>
      </c>
      <c r="QC48" s="48" t="s">
        <v>4</v>
      </c>
      <c r="QD48" s="49">
        <v>0</v>
      </c>
      <c r="QE48" s="5"/>
      <c r="QF48" s="42">
        <f t="shared" si="267"/>
        <v>3.2</v>
      </c>
      <c r="QG48" s="43">
        <f t="shared" si="268"/>
        <v>4</v>
      </c>
      <c r="QH48" s="30"/>
      <c r="QI48" s="47">
        <v>2</v>
      </c>
      <c r="QJ48" s="48" t="s">
        <v>4</v>
      </c>
      <c r="QK48" s="49">
        <v>0</v>
      </c>
      <c r="QL48" s="5"/>
      <c r="QM48" s="42">
        <f t="shared" si="269"/>
        <v>3.2</v>
      </c>
      <c r="QN48" s="43">
        <f t="shared" si="270"/>
        <v>2</v>
      </c>
      <c r="QO48" s="30"/>
      <c r="QP48" s="47">
        <v>4</v>
      </c>
      <c r="QQ48" s="48" t="s">
        <v>4</v>
      </c>
      <c r="QR48" s="49">
        <v>0</v>
      </c>
      <c r="QS48" s="5"/>
      <c r="QT48" s="42">
        <f t="shared" si="271"/>
        <v>3.2</v>
      </c>
      <c r="QU48" s="43">
        <f t="shared" si="272"/>
        <v>4</v>
      </c>
      <c r="QV48" s="30"/>
      <c r="QW48" s="47">
        <v>2</v>
      </c>
      <c r="QX48" s="48" t="s">
        <v>4</v>
      </c>
      <c r="QY48" s="49">
        <v>0</v>
      </c>
      <c r="QZ48" s="5"/>
      <c r="RA48" s="42">
        <f t="shared" si="273"/>
        <v>3.2</v>
      </c>
      <c r="RB48" s="43">
        <f t="shared" si="274"/>
        <v>2</v>
      </c>
      <c r="RC48" s="30"/>
      <c r="RD48" s="47"/>
      <c r="RE48" s="48" t="s">
        <v>4</v>
      </c>
      <c r="RF48" s="49"/>
      <c r="RG48" s="5"/>
      <c r="RH48" s="42" t="str">
        <f t="shared" si="275"/>
        <v/>
      </c>
      <c r="RI48" s="43">
        <f t="shared" si="276"/>
        <v>0</v>
      </c>
      <c r="RJ48" s="30"/>
      <c r="RK48" s="47">
        <v>2</v>
      </c>
      <c r="RL48" s="48" t="s">
        <v>4</v>
      </c>
      <c r="RM48" s="49">
        <v>0</v>
      </c>
      <c r="RN48" s="5"/>
      <c r="RO48" s="42">
        <f t="shared" si="277"/>
        <v>3.2</v>
      </c>
      <c r="RP48" s="43">
        <f t="shared" si="278"/>
        <v>2</v>
      </c>
      <c r="RQ48" s="30"/>
      <c r="RR48" s="47">
        <v>3</v>
      </c>
      <c r="RS48" s="48" t="s">
        <v>4</v>
      </c>
      <c r="RT48" s="49">
        <v>0</v>
      </c>
      <c r="RU48" s="5"/>
      <c r="RV48" s="42">
        <f t="shared" si="279"/>
        <v>4.8000000000000007</v>
      </c>
      <c r="RW48" s="43">
        <f t="shared" si="280"/>
        <v>3</v>
      </c>
      <c r="RX48" s="30"/>
      <c r="RY48" s="47">
        <v>3</v>
      </c>
      <c r="RZ48" s="48" t="s">
        <v>4</v>
      </c>
      <c r="SA48" s="49">
        <v>0</v>
      </c>
      <c r="SB48" s="5"/>
      <c r="SC48" s="42">
        <f t="shared" si="281"/>
        <v>4.8000000000000007</v>
      </c>
      <c r="SD48" s="43">
        <f t="shared" si="282"/>
        <v>3</v>
      </c>
      <c r="SE48" s="30"/>
      <c r="SF48" s="47">
        <v>3</v>
      </c>
      <c r="SG48" s="48" t="s">
        <v>4</v>
      </c>
      <c r="SH48" s="49">
        <v>0</v>
      </c>
      <c r="SI48" s="5"/>
      <c r="SJ48" s="42">
        <f t="shared" si="283"/>
        <v>4.8000000000000007</v>
      </c>
      <c r="SK48" s="43">
        <f t="shared" si="284"/>
        <v>3</v>
      </c>
      <c r="SL48" s="30"/>
      <c r="SM48" s="47">
        <v>3</v>
      </c>
      <c r="SN48" s="48" t="s">
        <v>4</v>
      </c>
      <c r="SO48" s="49">
        <v>0</v>
      </c>
      <c r="SP48" s="5"/>
      <c r="SQ48" s="42">
        <f t="shared" si="285"/>
        <v>4.8000000000000007</v>
      </c>
      <c r="SR48" s="43">
        <f t="shared" si="286"/>
        <v>3</v>
      </c>
    </row>
    <row r="49" spans="1:512" customFormat="1" ht="16" customHeight="1" x14ac:dyDescent="0.15">
      <c r="A49" s="34">
        <v>46196</v>
      </c>
      <c r="B49" s="35">
        <v>8.3333333333333329E-2</v>
      </c>
      <c r="C49" s="79" t="s">
        <v>53</v>
      </c>
      <c r="D49" s="51" t="s">
        <v>51</v>
      </c>
      <c r="E49" s="2">
        <v>3</v>
      </c>
      <c r="F49" s="50" t="s">
        <v>4</v>
      </c>
      <c r="G49" s="1">
        <v>2</v>
      </c>
      <c r="H49" s="16">
        <v>3.4</v>
      </c>
      <c r="I49" s="32">
        <f t="shared" si="0"/>
        <v>1</v>
      </c>
      <c r="J49" s="47">
        <v>1</v>
      </c>
      <c r="K49" s="48" t="s">
        <v>4</v>
      </c>
      <c r="L49" s="49">
        <v>2</v>
      </c>
      <c r="M49" s="5"/>
      <c r="N49" s="42">
        <f t="shared" si="1"/>
        <v>0</v>
      </c>
      <c r="O49" s="43">
        <f t="shared" si="2"/>
        <v>-1</v>
      </c>
      <c r="P49" s="43">
        <f>IF($I49=0,IF(AND(#REF!&gt;#REF!,OR(AND(T49="",Q49&gt;S49),T49=1)),1,IF(AND(#REF!&lt;#REF!,OR(AND(T49="",Q49&lt;S49),T49=2)),1,0)),0)</f>
        <v>0</v>
      </c>
      <c r="Q49" s="47">
        <v>2</v>
      </c>
      <c r="R49" s="48" t="s">
        <v>4</v>
      </c>
      <c r="S49" s="49">
        <v>1</v>
      </c>
      <c r="T49" s="5"/>
      <c r="U49" s="42">
        <f t="shared" si="145"/>
        <v>3.4</v>
      </c>
      <c r="V49" s="43">
        <f t="shared" si="146"/>
        <v>1</v>
      </c>
      <c r="W49" s="30"/>
      <c r="X49" s="47">
        <v>1</v>
      </c>
      <c r="Y49" s="48" t="s">
        <v>4</v>
      </c>
      <c r="Z49" s="49">
        <v>0</v>
      </c>
      <c r="AA49" s="5"/>
      <c r="AB49" s="42">
        <f t="shared" si="147"/>
        <v>3.4</v>
      </c>
      <c r="AC49" s="43">
        <f t="shared" si="148"/>
        <v>1</v>
      </c>
      <c r="AD49" s="30"/>
      <c r="AE49" s="47">
        <v>0</v>
      </c>
      <c r="AF49" s="48" t="s">
        <v>4</v>
      </c>
      <c r="AG49" s="49">
        <v>1</v>
      </c>
      <c r="AH49" s="5"/>
      <c r="AI49" s="42">
        <f t="shared" si="149"/>
        <v>0</v>
      </c>
      <c r="AJ49" s="43">
        <f t="shared" si="150"/>
        <v>-1</v>
      </c>
      <c r="AK49" s="30"/>
      <c r="AL49" s="47">
        <v>1</v>
      </c>
      <c r="AM49" s="48" t="s">
        <v>4</v>
      </c>
      <c r="AN49" s="49">
        <v>1</v>
      </c>
      <c r="AO49" s="5"/>
      <c r="AP49" s="42">
        <f t="shared" si="151"/>
        <v>0</v>
      </c>
      <c r="AQ49" s="43">
        <f t="shared" si="152"/>
        <v>0</v>
      </c>
      <c r="AR49" s="30"/>
      <c r="AS49" s="47">
        <v>2</v>
      </c>
      <c r="AT49" s="48" t="s">
        <v>4</v>
      </c>
      <c r="AU49" s="49">
        <v>1</v>
      </c>
      <c r="AV49" s="5"/>
      <c r="AW49" s="42">
        <f t="shared" si="153"/>
        <v>3.4</v>
      </c>
      <c r="AX49" s="43">
        <f t="shared" si="154"/>
        <v>1</v>
      </c>
      <c r="AY49" s="30"/>
      <c r="AZ49" s="47">
        <v>2</v>
      </c>
      <c r="BA49" s="48" t="s">
        <v>4</v>
      </c>
      <c r="BB49" s="49">
        <v>1</v>
      </c>
      <c r="BC49" s="5"/>
      <c r="BD49" s="42">
        <f t="shared" si="155"/>
        <v>3.4</v>
      </c>
      <c r="BE49" s="43">
        <f t="shared" si="156"/>
        <v>1</v>
      </c>
      <c r="BF49" s="30"/>
      <c r="BG49" s="47">
        <v>0</v>
      </c>
      <c r="BH49" s="48" t="s">
        <v>4</v>
      </c>
      <c r="BI49" s="49">
        <v>1</v>
      </c>
      <c r="BJ49" s="5"/>
      <c r="BK49" s="42">
        <f t="shared" si="157"/>
        <v>0</v>
      </c>
      <c r="BL49" s="43">
        <f t="shared" si="158"/>
        <v>-1</v>
      </c>
      <c r="BM49" s="30"/>
      <c r="BN49" s="47">
        <v>1</v>
      </c>
      <c r="BO49" s="48" t="s">
        <v>4</v>
      </c>
      <c r="BP49" s="49">
        <v>2</v>
      </c>
      <c r="BQ49" s="5"/>
      <c r="BR49" s="42">
        <f t="shared" si="159"/>
        <v>0</v>
      </c>
      <c r="BS49" s="43">
        <f t="shared" si="160"/>
        <v>-1</v>
      </c>
      <c r="BT49" s="30"/>
      <c r="BU49" s="47">
        <v>1</v>
      </c>
      <c r="BV49" s="48" t="s">
        <v>4</v>
      </c>
      <c r="BW49" s="49">
        <v>0</v>
      </c>
      <c r="BX49" s="5"/>
      <c r="BY49" s="42">
        <f t="shared" si="161"/>
        <v>3.4</v>
      </c>
      <c r="BZ49" s="43">
        <f t="shared" si="162"/>
        <v>1</v>
      </c>
      <c r="CA49" s="30"/>
      <c r="CB49" s="47">
        <v>2</v>
      </c>
      <c r="CC49" s="48" t="s">
        <v>4</v>
      </c>
      <c r="CD49" s="49">
        <v>0</v>
      </c>
      <c r="CE49" s="5"/>
      <c r="CF49" s="42">
        <f t="shared" si="163"/>
        <v>3.4</v>
      </c>
      <c r="CG49" s="43">
        <f t="shared" si="164"/>
        <v>2</v>
      </c>
      <c r="CH49" s="30"/>
      <c r="CI49" s="47">
        <v>1</v>
      </c>
      <c r="CJ49" s="48" t="s">
        <v>4</v>
      </c>
      <c r="CK49" s="49">
        <v>1</v>
      </c>
      <c r="CL49" s="5"/>
      <c r="CM49" s="42">
        <f t="shared" si="165"/>
        <v>0</v>
      </c>
      <c r="CN49" s="43">
        <f t="shared" si="166"/>
        <v>0</v>
      </c>
      <c r="CO49" s="30"/>
      <c r="CP49" s="47">
        <v>2</v>
      </c>
      <c r="CQ49" s="48" t="s">
        <v>4</v>
      </c>
      <c r="CR49" s="49">
        <v>2</v>
      </c>
      <c r="CS49" s="5"/>
      <c r="CT49" s="42">
        <f t="shared" si="167"/>
        <v>0</v>
      </c>
      <c r="CU49" s="43">
        <f t="shared" si="168"/>
        <v>0</v>
      </c>
      <c r="CV49" s="30"/>
      <c r="CW49" s="47">
        <v>1</v>
      </c>
      <c r="CX49" s="48" t="s">
        <v>4</v>
      </c>
      <c r="CY49" s="49">
        <v>1</v>
      </c>
      <c r="CZ49" s="5"/>
      <c r="DA49" s="42">
        <f t="shared" si="169"/>
        <v>0</v>
      </c>
      <c r="DB49" s="43">
        <f t="shared" si="170"/>
        <v>0</v>
      </c>
      <c r="DC49" s="30"/>
      <c r="DD49" s="47">
        <v>1</v>
      </c>
      <c r="DE49" s="48" t="s">
        <v>4</v>
      </c>
      <c r="DF49" s="49">
        <v>0</v>
      </c>
      <c r="DG49" s="5"/>
      <c r="DH49" s="42">
        <f t="shared" si="171"/>
        <v>3.4</v>
      </c>
      <c r="DI49" s="43">
        <f t="shared" si="172"/>
        <v>1</v>
      </c>
      <c r="DJ49" s="30"/>
      <c r="DK49" s="47">
        <v>1</v>
      </c>
      <c r="DL49" s="48" t="s">
        <v>4</v>
      </c>
      <c r="DM49" s="49">
        <v>1</v>
      </c>
      <c r="DN49" s="5"/>
      <c r="DO49" s="42">
        <f t="shared" si="173"/>
        <v>0</v>
      </c>
      <c r="DP49" s="43">
        <f t="shared" si="174"/>
        <v>0</v>
      </c>
      <c r="DQ49" s="30"/>
      <c r="DR49" s="47">
        <v>3</v>
      </c>
      <c r="DS49" s="48" t="s">
        <v>4</v>
      </c>
      <c r="DT49" s="49">
        <v>2</v>
      </c>
      <c r="DU49" s="5"/>
      <c r="DV49" s="42">
        <f t="shared" si="175"/>
        <v>5.0999999999999996</v>
      </c>
      <c r="DW49" s="43">
        <f t="shared" si="176"/>
        <v>1</v>
      </c>
      <c r="DX49" s="30"/>
      <c r="DY49" s="47">
        <v>2</v>
      </c>
      <c r="DZ49" s="48" t="s">
        <v>4</v>
      </c>
      <c r="EA49" s="49">
        <v>1</v>
      </c>
      <c r="EB49" s="5"/>
      <c r="EC49" s="42">
        <f t="shared" si="177"/>
        <v>3.4</v>
      </c>
      <c r="ED49" s="43">
        <f t="shared" si="178"/>
        <v>1</v>
      </c>
      <c r="EE49" s="30"/>
      <c r="EF49" s="47">
        <v>1</v>
      </c>
      <c r="EG49" s="48" t="s">
        <v>4</v>
      </c>
      <c r="EH49" s="49">
        <v>0</v>
      </c>
      <c r="EI49" s="5"/>
      <c r="EJ49" s="42">
        <f t="shared" si="179"/>
        <v>3.4</v>
      </c>
      <c r="EK49" s="43">
        <f t="shared" si="180"/>
        <v>1</v>
      </c>
      <c r="EL49" s="30"/>
      <c r="EM49" s="47">
        <v>2</v>
      </c>
      <c r="EN49" s="48" t="s">
        <v>4</v>
      </c>
      <c r="EO49" s="49">
        <v>1</v>
      </c>
      <c r="EP49" s="5"/>
      <c r="EQ49" s="42">
        <f t="shared" si="181"/>
        <v>3.4</v>
      </c>
      <c r="ER49" s="43">
        <f t="shared" si="182"/>
        <v>1</v>
      </c>
      <c r="ES49" s="30"/>
      <c r="ET49" s="47">
        <v>1</v>
      </c>
      <c r="EU49" s="48" t="s">
        <v>4</v>
      </c>
      <c r="EV49" s="49">
        <v>2</v>
      </c>
      <c r="EW49" s="5"/>
      <c r="EX49" s="42">
        <f t="shared" si="183"/>
        <v>0</v>
      </c>
      <c r="EY49" s="43">
        <f t="shared" si="184"/>
        <v>-1</v>
      </c>
      <c r="EZ49" s="30"/>
      <c r="FA49" s="47">
        <v>1</v>
      </c>
      <c r="FB49" s="48" t="s">
        <v>4</v>
      </c>
      <c r="FC49" s="49">
        <v>1</v>
      </c>
      <c r="FD49" s="5"/>
      <c r="FE49" s="42">
        <f t="shared" si="185"/>
        <v>0</v>
      </c>
      <c r="FF49" s="43">
        <f t="shared" si="186"/>
        <v>0</v>
      </c>
      <c r="FG49" s="30"/>
      <c r="FH49" s="47">
        <v>2</v>
      </c>
      <c r="FI49" s="48" t="s">
        <v>4</v>
      </c>
      <c r="FJ49" s="49">
        <v>1</v>
      </c>
      <c r="FK49" s="5"/>
      <c r="FL49" s="42">
        <f t="shared" si="187"/>
        <v>3.4</v>
      </c>
      <c r="FM49" s="43">
        <f t="shared" si="188"/>
        <v>1</v>
      </c>
      <c r="FN49" s="30"/>
      <c r="FO49" s="47">
        <v>2</v>
      </c>
      <c r="FP49" s="48" t="s">
        <v>4</v>
      </c>
      <c r="FQ49" s="49">
        <v>0</v>
      </c>
      <c r="FR49" s="5"/>
      <c r="FS49" s="42">
        <f t="shared" si="189"/>
        <v>3.4</v>
      </c>
      <c r="FT49" s="43">
        <f t="shared" si="190"/>
        <v>2</v>
      </c>
      <c r="FU49" s="30"/>
      <c r="FV49" s="47">
        <v>2</v>
      </c>
      <c r="FW49" s="48" t="s">
        <v>4</v>
      </c>
      <c r="FX49" s="49">
        <v>1</v>
      </c>
      <c r="FY49" s="5"/>
      <c r="FZ49" s="42">
        <f t="shared" si="191"/>
        <v>3.4</v>
      </c>
      <c r="GA49" s="43">
        <f t="shared" si="192"/>
        <v>1</v>
      </c>
      <c r="GB49" s="30"/>
      <c r="GC49" s="47">
        <v>1</v>
      </c>
      <c r="GD49" s="48" t="s">
        <v>4</v>
      </c>
      <c r="GE49" s="49">
        <v>1</v>
      </c>
      <c r="GF49" s="5"/>
      <c r="GG49" s="42">
        <f t="shared" si="193"/>
        <v>0</v>
      </c>
      <c r="GH49" s="43">
        <f t="shared" si="194"/>
        <v>0</v>
      </c>
      <c r="GI49" s="30"/>
      <c r="GJ49" s="47">
        <v>1</v>
      </c>
      <c r="GK49" s="48" t="s">
        <v>4</v>
      </c>
      <c r="GL49" s="49">
        <v>1</v>
      </c>
      <c r="GM49" s="5"/>
      <c r="GN49" s="42">
        <f t="shared" si="195"/>
        <v>0</v>
      </c>
      <c r="GO49" s="43">
        <f t="shared" si="196"/>
        <v>0</v>
      </c>
      <c r="GP49" s="30"/>
      <c r="GQ49" s="47">
        <v>1</v>
      </c>
      <c r="GR49" s="48" t="s">
        <v>4</v>
      </c>
      <c r="GS49" s="49">
        <v>1</v>
      </c>
      <c r="GT49" s="5"/>
      <c r="GU49" s="42">
        <f t="shared" si="197"/>
        <v>0</v>
      </c>
      <c r="GV49" s="43">
        <f t="shared" si="198"/>
        <v>0</v>
      </c>
      <c r="GW49" s="30"/>
      <c r="GX49" s="47">
        <v>2</v>
      </c>
      <c r="GY49" s="48" t="s">
        <v>4</v>
      </c>
      <c r="GZ49" s="49">
        <v>2</v>
      </c>
      <c r="HA49" s="5"/>
      <c r="HB49" s="42">
        <f t="shared" si="199"/>
        <v>0</v>
      </c>
      <c r="HC49" s="43">
        <f t="shared" si="200"/>
        <v>0</v>
      </c>
      <c r="HD49" s="30"/>
      <c r="HE49" s="47">
        <v>2</v>
      </c>
      <c r="HF49" s="48" t="s">
        <v>4</v>
      </c>
      <c r="HG49" s="49">
        <v>1</v>
      </c>
      <c r="HH49" s="5"/>
      <c r="HI49" s="42">
        <f t="shared" si="201"/>
        <v>3.4</v>
      </c>
      <c r="HJ49" s="43">
        <f t="shared" si="202"/>
        <v>1</v>
      </c>
      <c r="HK49" s="30"/>
      <c r="HL49" s="47">
        <v>1</v>
      </c>
      <c r="HM49" s="48" t="s">
        <v>4</v>
      </c>
      <c r="HN49" s="49">
        <v>1</v>
      </c>
      <c r="HO49" s="5"/>
      <c r="HP49" s="42">
        <f t="shared" si="203"/>
        <v>0</v>
      </c>
      <c r="HQ49" s="43">
        <f t="shared" si="204"/>
        <v>0</v>
      </c>
      <c r="HR49" s="30"/>
      <c r="HS49" s="47">
        <v>1</v>
      </c>
      <c r="HT49" s="48" t="s">
        <v>4</v>
      </c>
      <c r="HU49" s="49">
        <v>1</v>
      </c>
      <c r="HV49" s="5"/>
      <c r="HW49" s="42">
        <f t="shared" si="205"/>
        <v>0</v>
      </c>
      <c r="HX49" s="43">
        <f t="shared" si="206"/>
        <v>0</v>
      </c>
      <c r="HY49" s="30"/>
      <c r="HZ49" s="47">
        <v>3</v>
      </c>
      <c r="IA49" s="48" t="s">
        <v>4</v>
      </c>
      <c r="IB49" s="49">
        <v>1</v>
      </c>
      <c r="IC49" s="5"/>
      <c r="ID49" s="42">
        <f t="shared" si="207"/>
        <v>3.4</v>
      </c>
      <c r="IE49" s="43">
        <f t="shared" si="208"/>
        <v>2</v>
      </c>
      <c r="IF49" s="30"/>
      <c r="IG49" s="47">
        <v>2</v>
      </c>
      <c r="IH49" s="48" t="s">
        <v>4</v>
      </c>
      <c r="II49" s="49">
        <v>4</v>
      </c>
      <c r="IJ49" s="5"/>
      <c r="IK49" s="42">
        <f t="shared" si="209"/>
        <v>0</v>
      </c>
      <c r="IL49" s="43">
        <f t="shared" si="210"/>
        <v>-2</v>
      </c>
      <c r="IM49" s="30"/>
      <c r="IN49" s="47">
        <v>2</v>
      </c>
      <c r="IO49" s="48" t="s">
        <v>4</v>
      </c>
      <c r="IP49" s="49">
        <v>1</v>
      </c>
      <c r="IQ49" s="5"/>
      <c r="IR49" s="42">
        <f t="shared" si="211"/>
        <v>3.4</v>
      </c>
      <c r="IS49" s="43">
        <f t="shared" si="212"/>
        <v>1</v>
      </c>
      <c r="IT49" s="30"/>
      <c r="IU49" s="47">
        <v>2</v>
      </c>
      <c r="IV49" s="48" t="s">
        <v>4</v>
      </c>
      <c r="IW49" s="49">
        <v>0</v>
      </c>
      <c r="IX49" s="5"/>
      <c r="IY49" s="42">
        <f t="shared" si="213"/>
        <v>3.4</v>
      </c>
      <c r="IZ49" s="43">
        <f t="shared" si="214"/>
        <v>2</v>
      </c>
      <c r="JA49" s="30"/>
      <c r="JB49" s="47">
        <v>2</v>
      </c>
      <c r="JC49" s="48" t="s">
        <v>4</v>
      </c>
      <c r="JD49" s="49">
        <v>2</v>
      </c>
      <c r="JE49" s="5"/>
      <c r="JF49" s="42">
        <f t="shared" si="215"/>
        <v>0</v>
      </c>
      <c r="JG49" s="43">
        <f t="shared" si="216"/>
        <v>0</v>
      </c>
      <c r="JH49" s="30"/>
      <c r="JI49" s="47">
        <v>3</v>
      </c>
      <c r="JJ49" s="48" t="s">
        <v>4</v>
      </c>
      <c r="JK49" s="49">
        <v>2</v>
      </c>
      <c r="JL49" s="5"/>
      <c r="JM49" s="42">
        <f t="shared" si="217"/>
        <v>5.0999999999999996</v>
      </c>
      <c r="JN49" s="43">
        <f t="shared" si="218"/>
        <v>1</v>
      </c>
      <c r="JO49" s="30"/>
      <c r="JP49" s="47">
        <v>0</v>
      </c>
      <c r="JQ49" s="48" t="s">
        <v>4</v>
      </c>
      <c r="JR49" s="49">
        <v>1</v>
      </c>
      <c r="JS49" s="5"/>
      <c r="JT49" s="42">
        <f t="shared" si="219"/>
        <v>0</v>
      </c>
      <c r="JU49" s="43">
        <f t="shared" si="220"/>
        <v>-1</v>
      </c>
      <c r="JV49" s="30"/>
      <c r="JW49" s="47">
        <v>2</v>
      </c>
      <c r="JX49" s="48" t="s">
        <v>4</v>
      </c>
      <c r="JY49" s="49">
        <v>2</v>
      </c>
      <c r="JZ49" s="5"/>
      <c r="KA49" s="42">
        <f t="shared" si="221"/>
        <v>0</v>
      </c>
      <c r="KB49" s="43">
        <f t="shared" si="222"/>
        <v>0</v>
      </c>
      <c r="KC49" s="30"/>
      <c r="KD49" s="47">
        <v>1</v>
      </c>
      <c r="KE49" s="48" t="s">
        <v>4</v>
      </c>
      <c r="KF49" s="49">
        <v>1</v>
      </c>
      <c r="KG49" s="5"/>
      <c r="KH49" s="42">
        <f t="shared" si="223"/>
        <v>0</v>
      </c>
      <c r="KI49" s="43">
        <f t="shared" si="224"/>
        <v>0</v>
      </c>
      <c r="KJ49" s="30"/>
      <c r="KK49" s="47">
        <v>0</v>
      </c>
      <c r="KL49" s="48" t="s">
        <v>4</v>
      </c>
      <c r="KM49" s="49">
        <v>0</v>
      </c>
      <c r="KN49" s="5"/>
      <c r="KO49" s="42">
        <f t="shared" si="225"/>
        <v>0</v>
      </c>
      <c r="KP49" s="43">
        <f t="shared" si="226"/>
        <v>0</v>
      </c>
      <c r="KQ49" s="30"/>
      <c r="KR49" s="47">
        <v>2</v>
      </c>
      <c r="KS49" s="48" t="s">
        <v>4</v>
      </c>
      <c r="KT49" s="49">
        <v>0</v>
      </c>
      <c r="KU49" s="5"/>
      <c r="KV49" s="42">
        <f t="shared" si="227"/>
        <v>3.4</v>
      </c>
      <c r="KW49" s="43">
        <f t="shared" si="228"/>
        <v>2</v>
      </c>
      <c r="KX49" s="30"/>
      <c r="KY49" s="47">
        <v>1</v>
      </c>
      <c r="KZ49" s="48" t="s">
        <v>4</v>
      </c>
      <c r="LA49" s="49">
        <v>2</v>
      </c>
      <c r="LB49" s="5"/>
      <c r="LC49" s="42">
        <f t="shared" si="229"/>
        <v>0</v>
      </c>
      <c r="LD49" s="43">
        <f t="shared" si="230"/>
        <v>-1</v>
      </c>
      <c r="LE49" s="30"/>
      <c r="LF49" s="47">
        <v>2</v>
      </c>
      <c r="LG49" s="48" t="s">
        <v>4</v>
      </c>
      <c r="LH49" s="49">
        <v>2</v>
      </c>
      <c r="LI49" s="5"/>
      <c r="LJ49" s="42">
        <f t="shared" si="231"/>
        <v>0</v>
      </c>
      <c r="LK49" s="43">
        <f t="shared" si="232"/>
        <v>0</v>
      </c>
      <c r="LL49" s="30"/>
      <c r="LM49" s="47">
        <v>2</v>
      </c>
      <c r="LN49" s="48" t="s">
        <v>4</v>
      </c>
      <c r="LO49" s="49">
        <v>1</v>
      </c>
      <c r="LP49" s="5"/>
      <c r="LQ49" s="42">
        <f t="shared" si="233"/>
        <v>3.4</v>
      </c>
      <c r="LR49" s="43">
        <f t="shared" si="234"/>
        <v>1</v>
      </c>
      <c r="LS49" s="30"/>
      <c r="LT49" s="47">
        <v>1</v>
      </c>
      <c r="LU49" s="48" t="s">
        <v>4</v>
      </c>
      <c r="LV49" s="49">
        <v>1</v>
      </c>
      <c r="LW49" s="5"/>
      <c r="LX49" s="42">
        <f t="shared" si="235"/>
        <v>0</v>
      </c>
      <c r="LY49" s="43">
        <f t="shared" si="236"/>
        <v>0</v>
      </c>
      <c r="LZ49" s="30"/>
      <c r="MA49" s="47">
        <v>2</v>
      </c>
      <c r="MB49" s="48" t="s">
        <v>4</v>
      </c>
      <c r="MC49" s="49">
        <v>2</v>
      </c>
      <c r="MD49" s="5"/>
      <c r="ME49" s="42">
        <f t="shared" si="237"/>
        <v>0</v>
      </c>
      <c r="MF49" s="43">
        <f t="shared" si="238"/>
        <v>0</v>
      </c>
      <c r="MG49" s="30"/>
      <c r="MH49" s="47">
        <v>3</v>
      </c>
      <c r="MI49" s="48" t="s">
        <v>4</v>
      </c>
      <c r="MJ49" s="49">
        <v>2</v>
      </c>
      <c r="MK49" s="5"/>
      <c r="ML49" s="42">
        <f t="shared" si="239"/>
        <v>5.0999999999999996</v>
      </c>
      <c r="MM49" s="43">
        <f t="shared" si="240"/>
        <v>1</v>
      </c>
      <c r="MN49" s="30"/>
      <c r="MO49" s="47">
        <v>2</v>
      </c>
      <c r="MP49" s="48" t="s">
        <v>4</v>
      </c>
      <c r="MQ49" s="49">
        <v>0</v>
      </c>
      <c r="MR49" s="5"/>
      <c r="MS49" s="42">
        <f t="shared" si="241"/>
        <v>3.4</v>
      </c>
      <c r="MT49" s="43">
        <f t="shared" si="242"/>
        <v>2</v>
      </c>
      <c r="MU49" s="30"/>
      <c r="MV49" s="47">
        <v>3</v>
      </c>
      <c r="MW49" s="48" t="s">
        <v>4</v>
      </c>
      <c r="MX49" s="49">
        <v>1</v>
      </c>
      <c r="MY49" s="5"/>
      <c r="MZ49" s="42">
        <f t="shared" si="243"/>
        <v>3.4</v>
      </c>
      <c r="NA49" s="43">
        <f t="shared" si="244"/>
        <v>2</v>
      </c>
      <c r="NB49" s="30"/>
      <c r="NC49" s="47">
        <v>1</v>
      </c>
      <c r="ND49" s="48" t="s">
        <v>4</v>
      </c>
      <c r="NE49" s="49">
        <v>1</v>
      </c>
      <c r="NF49" s="5"/>
      <c r="NG49" s="42">
        <f t="shared" si="245"/>
        <v>0</v>
      </c>
      <c r="NH49" s="43">
        <f t="shared" si="246"/>
        <v>0</v>
      </c>
      <c r="NI49" s="30"/>
      <c r="NJ49" s="47">
        <v>1</v>
      </c>
      <c r="NK49" s="48" t="s">
        <v>4</v>
      </c>
      <c r="NL49" s="49">
        <v>0</v>
      </c>
      <c r="NM49" s="5"/>
      <c r="NN49" s="42">
        <f t="shared" si="247"/>
        <v>3.4</v>
      </c>
      <c r="NO49" s="43">
        <f t="shared" si="248"/>
        <v>1</v>
      </c>
      <c r="NP49" s="30"/>
      <c r="NQ49" s="47">
        <v>2</v>
      </c>
      <c r="NR49" s="48" t="s">
        <v>4</v>
      </c>
      <c r="NS49" s="49">
        <v>0</v>
      </c>
      <c r="NT49" s="5"/>
      <c r="NU49" s="42">
        <f t="shared" si="249"/>
        <v>3.4</v>
      </c>
      <c r="NV49" s="43">
        <f t="shared" si="250"/>
        <v>2</v>
      </c>
      <c r="NW49" s="30"/>
      <c r="NX49" s="47">
        <v>2</v>
      </c>
      <c r="NY49" s="48" t="s">
        <v>4</v>
      </c>
      <c r="NZ49" s="49">
        <v>1</v>
      </c>
      <c r="OA49" s="5"/>
      <c r="OB49" s="42">
        <f t="shared" si="251"/>
        <v>3.4</v>
      </c>
      <c r="OC49" s="43">
        <f t="shared" si="252"/>
        <v>1</v>
      </c>
      <c r="OD49" s="30"/>
      <c r="OE49" s="47">
        <v>2</v>
      </c>
      <c r="OF49" s="48" t="s">
        <v>4</v>
      </c>
      <c r="OG49" s="49">
        <v>1</v>
      </c>
      <c r="OH49" s="5"/>
      <c r="OI49" s="42">
        <f t="shared" si="253"/>
        <v>3.4</v>
      </c>
      <c r="OJ49" s="43">
        <f t="shared" si="254"/>
        <v>1</v>
      </c>
      <c r="OK49" s="30"/>
      <c r="OL49" s="47">
        <v>1</v>
      </c>
      <c r="OM49" s="48" t="s">
        <v>4</v>
      </c>
      <c r="ON49" s="49">
        <v>1</v>
      </c>
      <c r="OO49" s="5"/>
      <c r="OP49" s="42">
        <f t="shared" si="255"/>
        <v>0</v>
      </c>
      <c r="OQ49" s="43">
        <f t="shared" si="256"/>
        <v>0</v>
      </c>
      <c r="OR49" s="30"/>
      <c r="OS49" s="47">
        <v>1</v>
      </c>
      <c r="OT49" s="48" t="s">
        <v>4</v>
      </c>
      <c r="OU49" s="49">
        <v>0</v>
      </c>
      <c r="OV49" s="5"/>
      <c r="OW49" s="42">
        <f t="shared" si="257"/>
        <v>3.4</v>
      </c>
      <c r="OX49" s="43">
        <f t="shared" si="258"/>
        <v>1</v>
      </c>
      <c r="OY49" s="30"/>
      <c r="OZ49" s="47">
        <v>2</v>
      </c>
      <c r="PA49" s="48" t="s">
        <v>4</v>
      </c>
      <c r="PB49" s="49">
        <v>1</v>
      </c>
      <c r="PC49" s="5"/>
      <c r="PD49" s="42">
        <f t="shared" si="259"/>
        <v>3.4</v>
      </c>
      <c r="PE49" s="43">
        <f t="shared" si="260"/>
        <v>1</v>
      </c>
      <c r="PF49" s="30"/>
      <c r="PG49" s="47">
        <v>1</v>
      </c>
      <c r="PH49" s="48" t="s">
        <v>4</v>
      </c>
      <c r="PI49" s="49">
        <v>1</v>
      </c>
      <c r="PJ49" s="5"/>
      <c r="PK49" s="42">
        <f t="shared" si="261"/>
        <v>0</v>
      </c>
      <c r="PL49" s="43">
        <f t="shared" si="262"/>
        <v>0</v>
      </c>
      <c r="PM49" s="30"/>
      <c r="PN49" s="47">
        <v>2</v>
      </c>
      <c r="PO49" s="48" t="s">
        <v>4</v>
      </c>
      <c r="PP49" s="49">
        <v>2</v>
      </c>
      <c r="PQ49" s="5"/>
      <c r="PR49" s="42">
        <f t="shared" si="263"/>
        <v>0</v>
      </c>
      <c r="PS49" s="43">
        <f t="shared" si="264"/>
        <v>0</v>
      </c>
      <c r="PT49" s="30"/>
      <c r="PU49" s="47">
        <v>2</v>
      </c>
      <c r="PV49" s="48" t="s">
        <v>4</v>
      </c>
      <c r="PW49" s="49">
        <v>1</v>
      </c>
      <c r="PX49" s="5"/>
      <c r="PY49" s="42">
        <f t="shared" si="265"/>
        <v>3.4</v>
      </c>
      <c r="PZ49" s="43">
        <f t="shared" si="266"/>
        <v>1</v>
      </c>
      <c r="QA49" s="30"/>
      <c r="QB49" s="47">
        <v>2</v>
      </c>
      <c r="QC49" s="48" t="s">
        <v>4</v>
      </c>
      <c r="QD49" s="49">
        <v>2</v>
      </c>
      <c r="QE49" s="5"/>
      <c r="QF49" s="42">
        <f t="shared" si="267"/>
        <v>0</v>
      </c>
      <c r="QG49" s="43">
        <f t="shared" si="268"/>
        <v>0</v>
      </c>
      <c r="QH49" s="30"/>
      <c r="QI49" s="47">
        <v>2</v>
      </c>
      <c r="QJ49" s="48" t="s">
        <v>4</v>
      </c>
      <c r="QK49" s="49">
        <v>1</v>
      </c>
      <c r="QL49" s="5"/>
      <c r="QM49" s="42">
        <f t="shared" si="269"/>
        <v>3.4</v>
      </c>
      <c r="QN49" s="43">
        <f t="shared" si="270"/>
        <v>1</v>
      </c>
      <c r="QO49" s="30"/>
      <c r="QP49" s="47">
        <v>1</v>
      </c>
      <c r="QQ49" s="48" t="s">
        <v>4</v>
      </c>
      <c r="QR49" s="49">
        <v>2</v>
      </c>
      <c r="QS49" s="5"/>
      <c r="QT49" s="42">
        <f t="shared" si="271"/>
        <v>0</v>
      </c>
      <c r="QU49" s="43">
        <f t="shared" si="272"/>
        <v>-1</v>
      </c>
      <c r="QV49" s="30"/>
      <c r="QW49" s="47">
        <v>1</v>
      </c>
      <c r="QX49" s="48" t="s">
        <v>4</v>
      </c>
      <c r="QY49" s="49">
        <v>1</v>
      </c>
      <c r="QZ49" s="5"/>
      <c r="RA49" s="42">
        <f t="shared" si="273"/>
        <v>0</v>
      </c>
      <c r="RB49" s="43">
        <f t="shared" si="274"/>
        <v>0</v>
      </c>
      <c r="RC49" s="30"/>
      <c r="RD49" s="47"/>
      <c r="RE49" s="48" t="s">
        <v>4</v>
      </c>
      <c r="RF49" s="49"/>
      <c r="RG49" s="5"/>
      <c r="RH49" s="42" t="str">
        <f t="shared" si="275"/>
        <v/>
      </c>
      <c r="RI49" s="43">
        <f t="shared" si="276"/>
        <v>0</v>
      </c>
      <c r="RJ49" s="30"/>
      <c r="RK49" s="47">
        <v>1</v>
      </c>
      <c r="RL49" s="48" t="s">
        <v>4</v>
      </c>
      <c r="RM49" s="49">
        <v>1</v>
      </c>
      <c r="RN49" s="5"/>
      <c r="RO49" s="42">
        <f t="shared" si="277"/>
        <v>0</v>
      </c>
      <c r="RP49" s="43">
        <f t="shared" si="278"/>
        <v>0</v>
      </c>
      <c r="RQ49" s="30"/>
      <c r="RR49" s="47">
        <v>1</v>
      </c>
      <c r="RS49" s="48" t="s">
        <v>4</v>
      </c>
      <c r="RT49" s="49">
        <v>1</v>
      </c>
      <c r="RU49" s="5"/>
      <c r="RV49" s="42">
        <f t="shared" si="279"/>
        <v>0</v>
      </c>
      <c r="RW49" s="43">
        <f t="shared" si="280"/>
        <v>0</v>
      </c>
      <c r="RX49" s="30"/>
      <c r="RY49" s="47">
        <v>3</v>
      </c>
      <c r="RZ49" s="48" t="s">
        <v>4</v>
      </c>
      <c r="SA49" s="49">
        <v>3</v>
      </c>
      <c r="SB49" s="5"/>
      <c r="SC49" s="42">
        <f t="shared" si="281"/>
        <v>0</v>
      </c>
      <c r="SD49" s="43">
        <f t="shared" si="282"/>
        <v>0</v>
      </c>
      <c r="SE49" s="30"/>
      <c r="SF49" s="47">
        <v>1</v>
      </c>
      <c r="SG49" s="48" t="s">
        <v>4</v>
      </c>
      <c r="SH49" s="49">
        <v>1</v>
      </c>
      <c r="SI49" s="5"/>
      <c r="SJ49" s="42">
        <f t="shared" si="283"/>
        <v>0</v>
      </c>
      <c r="SK49" s="43">
        <f t="shared" si="284"/>
        <v>0</v>
      </c>
      <c r="SL49" s="30"/>
      <c r="SM49" s="47">
        <v>2</v>
      </c>
      <c r="SN49" s="48" t="s">
        <v>4</v>
      </c>
      <c r="SO49" s="49">
        <v>2</v>
      </c>
      <c r="SP49" s="5"/>
      <c r="SQ49" s="42">
        <f t="shared" si="285"/>
        <v>0</v>
      </c>
      <c r="SR49" s="43">
        <f t="shared" si="286"/>
        <v>0</v>
      </c>
    </row>
    <row r="50" spans="1:512" customFormat="1" ht="16" customHeight="1" x14ac:dyDescent="0.15">
      <c r="A50" s="34">
        <v>46196</v>
      </c>
      <c r="B50" s="35">
        <v>0.20833333333333334</v>
      </c>
      <c r="C50" s="79" t="s">
        <v>56</v>
      </c>
      <c r="D50" s="79" t="s">
        <v>55</v>
      </c>
      <c r="E50" s="2">
        <v>1</v>
      </c>
      <c r="F50" s="50" t="s">
        <v>4</v>
      </c>
      <c r="G50" s="1">
        <v>2</v>
      </c>
      <c r="H50" s="16">
        <v>3.4</v>
      </c>
      <c r="I50" s="32">
        <f t="shared" si="0"/>
        <v>-1</v>
      </c>
      <c r="J50" s="47">
        <v>0</v>
      </c>
      <c r="K50" s="48" t="s">
        <v>4</v>
      </c>
      <c r="L50" s="49">
        <v>2</v>
      </c>
      <c r="M50" s="5"/>
      <c r="N50" s="42">
        <f t="shared" si="1"/>
        <v>3.4</v>
      </c>
      <c r="O50" s="43">
        <f t="shared" si="2"/>
        <v>-2</v>
      </c>
      <c r="P50" s="43">
        <f>IF($I50=0,IF(AND(#REF!&gt;#REF!,OR(AND(T50="",Q50&gt;S50),T50=1)),1,IF(AND(#REF!&lt;#REF!,OR(AND(T50="",Q50&lt;S50),T50=2)),1,0)),0)</f>
        <v>0</v>
      </c>
      <c r="Q50" s="47">
        <v>1</v>
      </c>
      <c r="R50" s="48" t="s">
        <v>4</v>
      </c>
      <c r="S50" s="49">
        <v>1</v>
      </c>
      <c r="T50" s="5"/>
      <c r="U50" s="42">
        <f t="shared" si="145"/>
        <v>0</v>
      </c>
      <c r="V50" s="43">
        <f t="shared" si="146"/>
        <v>0</v>
      </c>
      <c r="W50" s="30"/>
      <c r="X50" s="47">
        <v>0</v>
      </c>
      <c r="Y50" s="48" t="s">
        <v>4</v>
      </c>
      <c r="Z50" s="49">
        <v>0</v>
      </c>
      <c r="AA50" s="5"/>
      <c r="AB50" s="42">
        <f t="shared" si="147"/>
        <v>0</v>
      </c>
      <c r="AC50" s="43">
        <f t="shared" si="148"/>
        <v>0</v>
      </c>
      <c r="AD50" s="30"/>
      <c r="AE50" s="47">
        <v>2</v>
      </c>
      <c r="AF50" s="48" t="s">
        <v>4</v>
      </c>
      <c r="AG50" s="49">
        <v>2</v>
      </c>
      <c r="AH50" s="5"/>
      <c r="AI50" s="42">
        <f t="shared" si="149"/>
        <v>0</v>
      </c>
      <c r="AJ50" s="43">
        <f t="shared" si="150"/>
        <v>0</v>
      </c>
      <c r="AK50" s="30"/>
      <c r="AL50" s="47">
        <v>0</v>
      </c>
      <c r="AM50" s="48" t="s">
        <v>4</v>
      </c>
      <c r="AN50" s="49">
        <v>2</v>
      </c>
      <c r="AO50" s="5"/>
      <c r="AP50" s="42">
        <f t="shared" si="151"/>
        <v>3.4</v>
      </c>
      <c r="AQ50" s="43">
        <f t="shared" si="152"/>
        <v>-2</v>
      </c>
      <c r="AR50" s="30"/>
      <c r="AS50" s="47">
        <v>0</v>
      </c>
      <c r="AT50" s="48" t="s">
        <v>4</v>
      </c>
      <c r="AU50" s="49">
        <v>2</v>
      </c>
      <c r="AV50" s="5"/>
      <c r="AW50" s="42">
        <f t="shared" si="153"/>
        <v>3.4</v>
      </c>
      <c r="AX50" s="43">
        <f t="shared" si="154"/>
        <v>-2</v>
      </c>
      <c r="AY50" s="30"/>
      <c r="AZ50" s="47">
        <v>1</v>
      </c>
      <c r="BA50" s="48" t="s">
        <v>4</v>
      </c>
      <c r="BB50" s="49">
        <v>1</v>
      </c>
      <c r="BC50" s="5"/>
      <c r="BD50" s="42">
        <f t="shared" si="155"/>
        <v>0</v>
      </c>
      <c r="BE50" s="43">
        <f t="shared" si="156"/>
        <v>0</v>
      </c>
      <c r="BF50" s="30"/>
      <c r="BG50" s="47">
        <v>0</v>
      </c>
      <c r="BH50" s="48" t="s">
        <v>4</v>
      </c>
      <c r="BI50" s="49">
        <v>3</v>
      </c>
      <c r="BJ50" s="5"/>
      <c r="BK50" s="42">
        <f t="shared" si="157"/>
        <v>3.4</v>
      </c>
      <c r="BL50" s="43">
        <f t="shared" si="158"/>
        <v>-3</v>
      </c>
      <c r="BM50" s="30"/>
      <c r="BN50" s="47">
        <v>1</v>
      </c>
      <c r="BO50" s="48" t="s">
        <v>4</v>
      </c>
      <c r="BP50" s="49">
        <v>1</v>
      </c>
      <c r="BQ50" s="5"/>
      <c r="BR50" s="42">
        <f t="shared" si="159"/>
        <v>0</v>
      </c>
      <c r="BS50" s="43">
        <f t="shared" si="160"/>
        <v>0</v>
      </c>
      <c r="BT50" s="30"/>
      <c r="BU50" s="47">
        <v>1</v>
      </c>
      <c r="BV50" s="48" t="s">
        <v>4</v>
      </c>
      <c r="BW50" s="49">
        <v>1</v>
      </c>
      <c r="BX50" s="5"/>
      <c r="BY50" s="42">
        <f t="shared" si="161"/>
        <v>0</v>
      </c>
      <c r="BZ50" s="43">
        <f t="shared" si="162"/>
        <v>0</v>
      </c>
      <c r="CA50" s="30"/>
      <c r="CB50" s="47">
        <v>1</v>
      </c>
      <c r="CC50" s="48" t="s">
        <v>4</v>
      </c>
      <c r="CD50" s="49">
        <v>1</v>
      </c>
      <c r="CE50" s="5"/>
      <c r="CF50" s="42">
        <f t="shared" si="163"/>
        <v>0</v>
      </c>
      <c r="CG50" s="43">
        <f t="shared" si="164"/>
        <v>0</v>
      </c>
      <c r="CH50" s="30"/>
      <c r="CI50" s="47">
        <v>3</v>
      </c>
      <c r="CJ50" s="48" t="s">
        <v>4</v>
      </c>
      <c r="CK50" s="49">
        <v>2</v>
      </c>
      <c r="CL50" s="5"/>
      <c r="CM50" s="42">
        <f t="shared" si="165"/>
        <v>0</v>
      </c>
      <c r="CN50" s="43">
        <f t="shared" si="166"/>
        <v>1</v>
      </c>
      <c r="CO50" s="30"/>
      <c r="CP50" s="47">
        <v>0</v>
      </c>
      <c r="CQ50" s="48" t="s">
        <v>4</v>
      </c>
      <c r="CR50" s="49">
        <v>1</v>
      </c>
      <c r="CS50" s="5"/>
      <c r="CT50" s="42">
        <f t="shared" si="167"/>
        <v>3.4</v>
      </c>
      <c r="CU50" s="43">
        <f t="shared" si="168"/>
        <v>-1</v>
      </c>
      <c r="CV50" s="30"/>
      <c r="CW50" s="47">
        <v>1</v>
      </c>
      <c r="CX50" s="48" t="s">
        <v>4</v>
      </c>
      <c r="CY50" s="49">
        <v>1</v>
      </c>
      <c r="CZ50" s="5"/>
      <c r="DA50" s="42">
        <f t="shared" si="169"/>
        <v>0</v>
      </c>
      <c r="DB50" s="43">
        <f t="shared" si="170"/>
        <v>0</v>
      </c>
      <c r="DC50" s="30"/>
      <c r="DD50" s="47">
        <v>3</v>
      </c>
      <c r="DE50" s="48" t="s">
        <v>4</v>
      </c>
      <c r="DF50" s="49">
        <v>4</v>
      </c>
      <c r="DG50" s="5"/>
      <c r="DH50" s="42">
        <f t="shared" si="171"/>
        <v>3.4</v>
      </c>
      <c r="DI50" s="43">
        <f t="shared" si="172"/>
        <v>-1</v>
      </c>
      <c r="DJ50" s="30"/>
      <c r="DK50" s="47">
        <v>0</v>
      </c>
      <c r="DL50" s="48" t="s">
        <v>4</v>
      </c>
      <c r="DM50" s="49">
        <v>2</v>
      </c>
      <c r="DN50" s="5"/>
      <c r="DO50" s="42">
        <f t="shared" si="173"/>
        <v>3.4</v>
      </c>
      <c r="DP50" s="43">
        <f t="shared" si="174"/>
        <v>-2</v>
      </c>
      <c r="DQ50" s="30"/>
      <c r="DR50" s="47">
        <v>0</v>
      </c>
      <c r="DS50" s="48" t="s">
        <v>4</v>
      </c>
      <c r="DT50" s="49">
        <v>3</v>
      </c>
      <c r="DU50" s="5"/>
      <c r="DV50" s="42">
        <f t="shared" si="175"/>
        <v>3.4</v>
      </c>
      <c r="DW50" s="43">
        <f t="shared" si="176"/>
        <v>-3</v>
      </c>
      <c r="DX50" s="30"/>
      <c r="DY50" s="47">
        <v>0</v>
      </c>
      <c r="DZ50" s="48" t="s">
        <v>4</v>
      </c>
      <c r="EA50" s="49">
        <v>1</v>
      </c>
      <c r="EB50" s="5"/>
      <c r="EC50" s="42">
        <f t="shared" si="177"/>
        <v>3.4</v>
      </c>
      <c r="ED50" s="43">
        <f t="shared" si="178"/>
        <v>-1</v>
      </c>
      <c r="EE50" s="30"/>
      <c r="EF50" s="47">
        <v>0</v>
      </c>
      <c r="EG50" s="48" t="s">
        <v>4</v>
      </c>
      <c r="EH50" s="49">
        <v>0</v>
      </c>
      <c r="EI50" s="5"/>
      <c r="EJ50" s="42">
        <f t="shared" si="179"/>
        <v>0</v>
      </c>
      <c r="EK50" s="43">
        <f t="shared" si="180"/>
        <v>0</v>
      </c>
      <c r="EL50" s="30"/>
      <c r="EM50" s="47">
        <v>1</v>
      </c>
      <c r="EN50" s="48" t="s">
        <v>4</v>
      </c>
      <c r="EO50" s="49">
        <v>5</v>
      </c>
      <c r="EP50" s="5"/>
      <c r="EQ50" s="42">
        <f t="shared" si="181"/>
        <v>3.4</v>
      </c>
      <c r="ER50" s="43">
        <f t="shared" si="182"/>
        <v>-4</v>
      </c>
      <c r="ES50" s="30"/>
      <c r="ET50" s="47">
        <v>0</v>
      </c>
      <c r="EU50" s="48" t="s">
        <v>4</v>
      </c>
      <c r="EV50" s="49">
        <v>1</v>
      </c>
      <c r="EW50" s="5"/>
      <c r="EX50" s="42">
        <f t="shared" si="183"/>
        <v>3.4</v>
      </c>
      <c r="EY50" s="43">
        <f t="shared" si="184"/>
        <v>-1</v>
      </c>
      <c r="EZ50" s="30"/>
      <c r="FA50" s="47">
        <v>0</v>
      </c>
      <c r="FB50" s="48" t="s">
        <v>4</v>
      </c>
      <c r="FC50" s="49">
        <v>2</v>
      </c>
      <c r="FD50" s="5"/>
      <c r="FE50" s="42">
        <f t="shared" si="185"/>
        <v>3.4</v>
      </c>
      <c r="FF50" s="43">
        <f t="shared" si="186"/>
        <v>-2</v>
      </c>
      <c r="FG50" s="30"/>
      <c r="FH50" s="47">
        <v>1</v>
      </c>
      <c r="FI50" s="48" t="s">
        <v>4</v>
      </c>
      <c r="FJ50" s="49">
        <v>1</v>
      </c>
      <c r="FK50" s="5"/>
      <c r="FL50" s="42">
        <f t="shared" si="187"/>
        <v>0</v>
      </c>
      <c r="FM50" s="43">
        <f t="shared" si="188"/>
        <v>0</v>
      </c>
      <c r="FN50" s="30"/>
      <c r="FO50" s="47">
        <v>0</v>
      </c>
      <c r="FP50" s="48" t="s">
        <v>4</v>
      </c>
      <c r="FQ50" s="49">
        <v>0</v>
      </c>
      <c r="FR50" s="5"/>
      <c r="FS50" s="42">
        <f t="shared" si="189"/>
        <v>0</v>
      </c>
      <c r="FT50" s="43">
        <f t="shared" si="190"/>
        <v>0</v>
      </c>
      <c r="FU50" s="30"/>
      <c r="FV50" s="47">
        <v>0</v>
      </c>
      <c r="FW50" s="48" t="s">
        <v>4</v>
      </c>
      <c r="FX50" s="49">
        <v>2</v>
      </c>
      <c r="FY50" s="5"/>
      <c r="FZ50" s="42">
        <f t="shared" si="191"/>
        <v>3.4</v>
      </c>
      <c r="GA50" s="43">
        <f t="shared" si="192"/>
        <v>-2</v>
      </c>
      <c r="GB50" s="30"/>
      <c r="GC50" s="47">
        <v>0</v>
      </c>
      <c r="GD50" s="48" t="s">
        <v>4</v>
      </c>
      <c r="GE50" s="49">
        <v>2</v>
      </c>
      <c r="GF50" s="5"/>
      <c r="GG50" s="42">
        <f t="shared" si="193"/>
        <v>3.4</v>
      </c>
      <c r="GH50" s="43">
        <f t="shared" si="194"/>
        <v>-2</v>
      </c>
      <c r="GI50" s="30"/>
      <c r="GJ50" s="47">
        <v>0</v>
      </c>
      <c r="GK50" s="48" t="s">
        <v>4</v>
      </c>
      <c r="GL50" s="49">
        <v>2</v>
      </c>
      <c r="GM50" s="5"/>
      <c r="GN50" s="42">
        <f t="shared" si="195"/>
        <v>3.4</v>
      </c>
      <c r="GO50" s="43">
        <f t="shared" si="196"/>
        <v>-2</v>
      </c>
      <c r="GP50" s="30"/>
      <c r="GQ50" s="47">
        <v>1</v>
      </c>
      <c r="GR50" s="48" t="s">
        <v>4</v>
      </c>
      <c r="GS50" s="49">
        <v>2</v>
      </c>
      <c r="GT50" s="5"/>
      <c r="GU50" s="42">
        <f t="shared" si="197"/>
        <v>5.0999999999999996</v>
      </c>
      <c r="GV50" s="43">
        <f t="shared" si="198"/>
        <v>-1</v>
      </c>
      <c r="GW50" s="30"/>
      <c r="GX50" s="47">
        <v>0</v>
      </c>
      <c r="GY50" s="48" t="s">
        <v>4</v>
      </c>
      <c r="GZ50" s="49">
        <v>2</v>
      </c>
      <c r="HA50" s="5"/>
      <c r="HB50" s="42">
        <f t="shared" si="199"/>
        <v>3.4</v>
      </c>
      <c r="HC50" s="43">
        <f t="shared" si="200"/>
        <v>-2</v>
      </c>
      <c r="HD50" s="30"/>
      <c r="HE50" s="47">
        <v>1</v>
      </c>
      <c r="HF50" s="48" t="s">
        <v>4</v>
      </c>
      <c r="HG50" s="49">
        <v>1</v>
      </c>
      <c r="HH50" s="5"/>
      <c r="HI50" s="42">
        <f t="shared" si="201"/>
        <v>0</v>
      </c>
      <c r="HJ50" s="43">
        <f t="shared" si="202"/>
        <v>0</v>
      </c>
      <c r="HK50" s="30"/>
      <c r="HL50" s="47">
        <v>0</v>
      </c>
      <c r="HM50" s="48" t="s">
        <v>4</v>
      </c>
      <c r="HN50" s="49">
        <v>2</v>
      </c>
      <c r="HO50" s="5"/>
      <c r="HP50" s="42">
        <f t="shared" si="203"/>
        <v>3.4</v>
      </c>
      <c r="HQ50" s="43">
        <f t="shared" si="204"/>
        <v>-2</v>
      </c>
      <c r="HR50" s="30"/>
      <c r="HS50" s="47">
        <v>0</v>
      </c>
      <c r="HT50" s="48" t="s">
        <v>4</v>
      </c>
      <c r="HU50" s="49">
        <v>1</v>
      </c>
      <c r="HV50" s="5"/>
      <c r="HW50" s="42">
        <f t="shared" si="205"/>
        <v>3.4</v>
      </c>
      <c r="HX50" s="43">
        <f t="shared" si="206"/>
        <v>-1</v>
      </c>
      <c r="HY50" s="30"/>
      <c r="HZ50" s="47">
        <v>1</v>
      </c>
      <c r="IA50" s="48" t="s">
        <v>4</v>
      </c>
      <c r="IB50" s="49">
        <v>2</v>
      </c>
      <c r="IC50" s="5"/>
      <c r="ID50" s="42">
        <f t="shared" si="207"/>
        <v>5.0999999999999996</v>
      </c>
      <c r="IE50" s="43">
        <f t="shared" si="208"/>
        <v>-1</v>
      </c>
      <c r="IF50" s="30"/>
      <c r="IG50" s="47">
        <v>1</v>
      </c>
      <c r="IH50" s="48" t="s">
        <v>4</v>
      </c>
      <c r="II50" s="49">
        <v>3</v>
      </c>
      <c r="IJ50" s="5"/>
      <c r="IK50" s="42">
        <f t="shared" si="209"/>
        <v>3.4</v>
      </c>
      <c r="IL50" s="43">
        <f t="shared" si="210"/>
        <v>-2</v>
      </c>
      <c r="IM50" s="30"/>
      <c r="IN50" s="47">
        <v>0</v>
      </c>
      <c r="IO50" s="48" t="s">
        <v>4</v>
      </c>
      <c r="IP50" s="49">
        <v>0</v>
      </c>
      <c r="IQ50" s="5"/>
      <c r="IR50" s="42">
        <f t="shared" si="211"/>
        <v>0</v>
      </c>
      <c r="IS50" s="43">
        <f t="shared" si="212"/>
        <v>0</v>
      </c>
      <c r="IT50" s="30"/>
      <c r="IU50" s="47">
        <v>0</v>
      </c>
      <c r="IV50" s="48" t="s">
        <v>4</v>
      </c>
      <c r="IW50" s="49">
        <v>2</v>
      </c>
      <c r="IX50" s="5"/>
      <c r="IY50" s="42">
        <f t="shared" si="213"/>
        <v>3.4</v>
      </c>
      <c r="IZ50" s="43">
        <f t="shared" si="214"/>
        <v>-2</v>
      </c>
      <c r="JA50" s="30"/>
      <c r="JB50" s="47">
        <v>0</v>
      </c>
      <c r="JC50" s="48" t="s">
        <v>4</v>
      </c>
      <c r="JD50" s="49">
        <v>1</v>
      </c>
      <c r="JE50" s="5"/>
      <c r="JF50" s="42">
        <f t="shared" si="215"/>
        <v>3.4</v>
      </c>
      <c r="JG50" s="43">
        <f t="shared" si="216"/>
        <v>-1</v>
      </c>
      <c r="JH50" s="30"/>
      <c r="JI50" s="47">
        <v>1</v>
      </c>
      <c r="JJ50" s="48" t="s">
        <v>4</v>
      </c>
      <c r="JK50" s="49">
        <v>4</v>
      </c>
      <c r="JL50" s="5"/>
      <c r="JM50" s="42">
        <f t="shared" si="217"/>
        <v>3.4</v>
      </c>
      <c r="JN50" s="43">
        <f t="shared" si="218"/>
        <v>-3</v>
      </c>
      <c r="JO50" s="30"/>
      <c r="JP50" s="47">
        <v>0</v>
      </c>
      <c r="JQ50" s="48" t="s">
        <v>4</v>
      </c>
      <c r="JR50" s="49">
        <v>0</v>
      </c>
      <c r="JS50" s="5"/>
      <c r="JT50" s="42">
        <f t="shared" si="219"/>
        <v>0</v>
      </c>
      <c r="JU50" s="43">
        <f t="shared" si="220"/>
        <v>0</v>
      </c>
      <c r="JV50" s="30"/>
      <c r="JW50" s="47">
        <v>1</v>
      </c>
      <c r="JX50" s="48" t="s">
        <v>4</v>
      </c>
      <c r="JY50" s="49">
        <v>2</v>
      </c>
      <c r="JZ50" s="5"/>
      <c r="KA50" s="42">
        <f t="shared" si="221"/>
        <v>5.0999999999999996</v>
      </c>
      <c r="KB50" s="43">
        <f t="shared" si="222"/>
        <v>-1</v>
      </c>
      <c r="KC50" s="30"/>
      <c r="KD50" s="47">
        <v>1</v>
      </c>
      <c r="KE50" s="48" t="s">
        <v>4</v>
      </c>
      <c r="KF50" s="49">
        <v>1</v>
      </c>
      <c r="KG50" s="5"/>
      <c r="KH50" s="42">
        <f t="shared" si="223"/>
        <v>0</v>
      </c>
      <c r="KI50" s="43">
        <f t="shared" si="224"/>
        <v>0</v>
      </c>
      <c r="KJ50" s="30"/>
      <c r="KK50" s="47">
        <v>1</v>
      </c>
      <c r="KL50" s="48" t="s">
        <v>4</v>
      </c>
      <c r="KM50" s="49">
        <v>1</v>
      </c>
      <c r="KN50" s="5"/>
      <c r="KO50" s="42">
        <f t="shared" si="225"/>
        <v>0</v>
      </c>
      <c r="KP50" s="43">
        <f t="shared" si="226"/>
        <v>0</v>
      </c>
      <c r="KQ50" s="30"/>
      <c r="KR50" s="47">
        <v>0</v>
      </c>
      <c r="KS50" s="48" t="s">
        <v>4</v>
      </c>
      <c r="KT50" s="49">
        <v>0</v>
      </c>
      <c r="KU50" s="5"/>
      <c r="KV50" s="42">
        <f t="shared" si="227"/>
        <v>0</v>
      </c>
      <c r="KW50" s="43">
        <f t="shared" si="228"/>
        <v>0</v>
      </c>
      <c r="KX50" s="30"/>
      <c r="KY50" s="47">
        <v>1</v>
      </c>
      <c r="KZ50" s="48" t="s">
        <v>4</v>
      </c>
      <c r="LA50" s="49">
        <v>2</v>
      </c>
      <c r="LB50" s="5"/>
      <c r="LC50" s="42">
        <f t="shared" si="229"/>
        <v>5.0999999999999996</v>
      </c>
      <c r="LD50" s="43">
        <f t="shared" si="230"/>
        <v>-1</v>
      </c>
      <c r="LE50" s="30"/>
      <c r="LF50" s="47">
        <v>1</v>
      </c>
      <c r="LG50" s="48" t="s">
        <v>4</v>
      </c>
      <c r="LH50" s="49">
        <v>3</v>
      </c>
      <c r="LI50" s="5"/>
      <c r="LJ50" s="42">
        <f t="shared" si="231"/>
        <v>3.4</v>
      </c>
      <c r="LK50" s="43">
        <f t="shared" si="232"/>
        <v>-2</v>
      </c>
      <c r="LL50" s="30"/>
      <c r="LM50" s="47">
        <v>2</v>
      </c>
      <c r="LN50" s="48" t="s">
        <v>4</v>
      </c>
      <c r="LO50" s="49">
        <v>2</v>
      </c>
      <c r="LP50" s="5"/>
      <c r="LQ50" s="42">
        <f t="shared" si="233"/>
        <v>0</v>
      </c>
      <c r="LR50" s="43">
        <f t="shared" si="234"/>
        <v>0</v>
      </c>
      <c r="LS50" s="30"/>
      <c r="LT50" s="47">
        <v>0</v>
      </c>
      <c r="LU50" s="48" t="s">
        <v>4</v>
      </c>
      <c r="LV50" s="49">
        <v>1</v>
      </c>
      <c r="LW50" s="5"/>
      <c r="LX50" s="42">
        <f t="shared" si="235"/>
        <v>3.4</v>
      </c>
      <c r="LY50" s="43">
        <f t="shared" si="236"/>
        <v>-1</v>
      </c>
      <c r="LZ50" s="30"/>
      <c r="MA50" s="47">
        <v>1</v>
      </c>
      <c r="MB50" s="48" t="s">
        <v>4</v>
      </c>
      <c r="MC50" s="49">
        <v>2</v>
      </c>
      <c r="MD50" s="5"/>
      <c r="ME50" s="42">
        <f t="shared" si="237"/>
        <v>5.0999999999999996</v>
      </c>
      <c r="MF50" s="43">
        <f t="shared" si="238"/>
        <v>-1</v>
      </c>
      <c r="MG50" s="30"/>
      <c r="MH50" s="47">
        <v>1</v>
      </c>
      <c r="MI50" s="48" t="s">
        <v>4</v>
      </c>
      <c r="MJ50" s="49">
        <v>2</v>
      </c>
      <c r="MK50" s="5"/>
      <c r="ML50" s="42">
        <f t="shared" si="239"/>
        <v>5.0999999999999996</v>
      </c>
      <c r="MM50" s="43">
        <f t="shared" si="240"/>
        <v>-1</v>
      </c>
      <c r="MN50" s="30"/>
      <c r="MO50" s="47">
        <v>1</v>
      </c>
      <c r="MP50" s="48" t="s">
        <v>4</v>
      </c>
      <c r="MQ50" s="49">
        <v>1</v>
      </c>
      <c r="MR50" s="5"/>
      <c r="MS50" s="42">
        <f t="shared" si="241"/>
        <v>0</v>
      </c>
      <c r="MT50" s="43">
        <f t="shared" si="242"/>
        <v>0</v>
      </c>
      <c r="MU50" s="30"/>
      <c r="MV50" s="47">
        <v>0</v>
      </c>
      <c r="MW50" s="48" t="s">
        <v>4</v>
      </c>
      <c r="MX50" s="49">
        <v>3</v>
      </c>
      <c r="MY50" s="5"/>
      <c r="MZ50" s="42">
        <f t="shared" si="243"/>
        <v>3.4</v>
      </c>
      <c r="NA50" s="43">
        <f t="shared" si="244"/>
        <v>-3</v>
      </c>
      <c r="NB50" s="30"/>
      <c r="NC50" s="47">
        <v>1</v>
      </c>
      <c r="ND50" s="48" t="s">
        <v>4</v>
      </c>
      <c r="NE50" s="49">
        <v>2</v>
      </c>
      <c r="NF50" s="5"/>
      <c r="NG50" s="42">
        <f t="shared" si="245"/>
        <v>5.0999999999999996</v>
      </c>
      <c r="NH50" s="43">
        <f t="shared" si="246"/>
        <v>-1</v>
      </c>
      <c r="NI50" s="30"/>
      <c r="NJ50" s="47">
        <v>5</v>
      </c>
      <c r="NK50" s="48" t="s">
        <v>4</v>
      </c>
      <c r="NL50" s="49">
        <v>4</v>
      </c>
      <c r="NM50" s="5"/>
      <c r="NN50" s="42">
        <f t="shared" si="247"/>
        <v>0</v>
      </c>
      <c r="NO50" s="43">
        <f t="shared" si="248"/>
        <v>1</v>
      </c>
      <c r="NP50" s="30"/>
      <c r="NQ50" s="47">
        <v>0</v>
      </c>
      <c r="NR50" s="48" t="s">
        <v>4</v>
      </c>
      <c r="NS50" s="49">
        <v>0</v>
      </c>
      <c r="NT50" s="5"/>
      <c r="NU50" s="42">
        <f t="shared" si="249"/>
        <v>0</v>
      </c>
      <c r="NV50" s="43">
        <f t="shared" si="250"/>
        <v>0</v>
      </c>
      <c r="NW50" s="30"/>
      <c r="NX50" s="47">
        <v>1</v>
      </c>
      <c r="NY50" s="48" t="s">
        <v>4</v>
      </c>
      <c r="NZ50" s="49">
        <v>2</v>
      </c>
      <c r="OA50" s="5"/>
      <c r="OB50" s="42">
        <f t="shared" si="251"/>
        <v>5.0999999999999996</v>
      </c>
      <c r="OC50" s="43">
        <f t="shared" si="252"/>
        <v>-1</v>
      </c>
      <c r="OD50" s="30"/>
      <c r="OE50" s="47">
        <v>0</v>
      </c>
      <c r="OF50" s="48" t="s">
        <v>4</v>
      </c>
      <c r="OG50" s="49">
        <v>2</v>
      </c>
      <c r="OH50" s="5"/>
      <c r="OI50" s="42">
        <f t="shared" si="253"/>
        <v>3.4</v>
      </c>
      <c r="OJ50" s="43">
        <f t="shared" si="254"/>
        <v>-2</v>
      </c>
      <c r="OK50" s="30"/>
      <c r="OL50" s="47">
        <v>0</v>
      </c>
      <c r="OM50" s="48" t="s">
        <v>4</v>
      </c>
      <c r="ON50" s="49">
        <v>1</v>
      </c>
      <c r="OO50" s="5"/>
      <c r="OP50" s="42">
        <f t="shared" si="255"/>
        <v>3.4</v>
      </c>
      <c r="OQ50" s="43">
        <f t="shared" si="256"/>
        <v>-1</v>
      </c>
      <c r="OR50" s="30"/>
      <c r="OS50" s="47">
        <v>1</v>
      </c>
      <c r="OT50" s="48" t="s">
        <v>4</v>
      </c>
      <c r="OU50" s="49">
        <v>1</v>
      </c>
      <c r="OV50" s="5"/>
      <c r="OW50" s="42">
        <f t="shared" si="257"/>
        <v>0</v>
      </c>
      <c r="OX50" s="43">
        <f t="shared" si="258"/>
        <v>0</v>
      </c>
      <c r="OY50" s="30"/>
      <c r="OZ50" s="47">
        <v>1</v>
      </c>
      <c r="PA50" s="48" t="s">
        <v>4</v>
      </c>
      <c r="PB50" s="49">
        <v>2</v>
      </c>
      <c r="PC50" s="5"/>
      <c r="PD50" s="42">
        <f t="shared" si="259"/>
        <v>5.0999999999999996</v>
      </c>
      <c r="PE50" s="43">
        <f t="shared" si="260"/>
        <v>-1</v>
      </c>
      <c r="PF50" s="30"/>
      <c r="PG50" s="47">
        <v>1</v>
      </c>
      <c r="PH50" s="48" t="s">
        <v>4</v>
      </c>
      <c r="PI50" s="49">
        <v>2</v>
      </c>
      <c r="PJ50" s="5"/>
      <c r="PK50" s="42">
        <f t="shared" si="261"/>
        <v>5.0999999999999996</v>
      </c>
      <c r="PL50" s="43">
        <f t="shared" si="262"/>
        <v>-1</v>
      </c>
      <c r="PM50" s="30"/>
      <c r="PN50" s="47">
        <v>0</v>
      </c>
      <c r="PO50" s="48" t="s">
        <v>4</v>
      </c>
      <c r="PP50" s="49">
        <v>2</v>
      </c>
      <c r="PQ50" s="5"/>
      <c r="PR50" s="42">
        <f t="shared" si="263"/>
        <v>3.4</v>
      </c>
      <c r="PS50" s="43">
        <f t="shared" si="264"/>
        <v>-2</v>
      </c>
      <c r="PT50" s="30"/>
      <c r="PU50" s="47">
        <v>2</v>
      </c>
      <c r="PV50" s="48" t="s">
        <v>4</v>
      </c>
      <c r="PW50" s="49">
        <v>2</v>
      </c>
      <c r="PX50" s="5"/>
      <c r="PY50" s="42">
        <f t="shared" si="265"/>
        <v>0</v>
      </c>
      <c r="PZ50" s="43">
        <f t="shared" si="266"/>
        <v>0</v>
      </c>
      <c r="QA50" s="30"/>
      <c r="QB50" s="47">
        <v>0</v>
      </c>
      <c r="QC50" s="48" t="s">
        <v>4</v>
      </c>
      <c r="QD50" s="49">
        <v>2</v>
      </c>
      <c r="QE50" s="5"/>
      <c r="QF50" s="42">
        <f t="shared" si="267"/>
        <v>3.4</v>
      </c>
      <c r="QG50" s="43">
        <f t="shared" si="268"/>
        <v>-2</v>
      </c>
      <c r="QH50" s="30"/>
      <c r="QI50" s="47">
        <v>2</v>
      </c>
      <c r="QJ50" s="48" t="s">
        <v>4</v>
      </c>
      <c r="QK50" s="49">
        <v>2</v>
      </c>
      <c r="QL50" s="5"/>
      <c r="QM50" s="42">
        <f t="shared" si="269"/>
        <v>0</v>
      </c>
      <c r="QN50" s="43">
        <f t="shared" si="270"/>
        <v>0</v>
      </c>
      <c r="QO50" s="30"/>
      <c r="QP50" s="47">
        <v>0</v>
      </c>
      <c r="QQ50" s="48" t="s">
        <v>4</v>
      </c>
      <c r="QR50" s="49">
        <v>3</v>
      </c>
      <c r="QS50" s="5"/>
      <c r="QT50" s="42">
        <f t="shared" si="271"/>
        <v>3.4</v>
      </c>
      <c r="QU50" s="43">
        <f t="shared" si="272"/>
        <v>-3</v>
      </c>
      <c r="QV50" s="30"/>
      <c r="QW50" s="47">
        <v>0</v>
      </c>
      <c r="QX50" s="48" t="s">
        <v>4</v>
      </c>
      <c r="QY50" s="49">
        <v>1</v>
      </c>
      <c r="QZ50" s="5"/>
      <c r="RA50" s="42">
        <f t="shared" si="273"/>
        <v>3.4</v>
      </c>
      <c r="RB50" s="43">
        <f t="shared" si="274"/>
        <v>-1</v>
      </c>
      <c r="RC50" s="30"/>
      <c r="RD50" s="47"/>
      <c r="RE50" s="48" t="s">
        <v>4</v>
      </c>
      <c r="RF50" s="49"/>
      <c r="RG50" s="5"/>
      <c r="RH50" s="42" t="str">
        <f t="shared" si="275"/>
        <v/>
      </c>
      <c r="RI50" s="43">
        <f t="shared" si="276"/>
        <v>0</v>
      </c>
      <c r="RJ50" s="30"/>
      <c r="RK50" s="47">
        <v>1</v>
      </c>
      <c r="RL50" s="48" t="s">
        <v>4</v>
      </c>
      <c r="RM50" s="49">
        <v>0</v>
      </c>
      <c r="RN50" s="5"/>
      <c r="RO50" s="42">
        <f t="shared" si="277"/>
        <v>0</v>
      </c>
      <c r="RP50" s="43">
        <f t="shared" si="278"/>
        <v>1</v>
      </c>
      <c r="RQ50" s="30"/>
      <c r="RR50" s="47">
        <v>1</v>
      </c>
      <c r="RS50" s="48" t="s">
        <v>4</v>
      </c>
      <c r="RT50" s="49">
        <v>0</v>
      </c>
      <c r="RU50" s="5"/>
      <c r="RV50" s="42">
        <f t="shared" si="279"/>
        <v>0</v>
      </c>
      <c r="RW50" s="43">
        <f t="shared" si="280"/>
        <v>1</v>
      </c>
      <c r="RX50" s="30"/>
      <c r="RY50" s="47">
        <v>1</v>
      </c>
      <c r="RZ50" s="48" t="s">
        <v>4</v>
      </c>
      <c r="SA50" s="49">
        <v>0</v>
      </c>
      <c r="SB50" s="5"/>
      <c r="SC50" s="42">
        <f t="shared" si="281"/>
        <v>0</v>
      </c>
      <c r="SD50" s="43">
        <f t="shared" si="282"/>
        <v>1</v>
      </c>
      <c r="SE50" s="30"/>
      <c r="SF50" s="47">
        <v>1</v>
      </c>
      <c r="SG50" s="48" t="s">
        <v>4</v>
      </c>
      <c r="SH50" s="49">
        <v>0</v>
      </c>
      <c r="SI50" s="5"/>
      <c r="SJ50" s="42">
        <f t="shared" si="283"/>
        <v>0</v>
      </c>
      <c r="SK50" s="43">
        <f t="shared" si="284"/>
        <v>1</v>
      </c>
      <c r="SL50" s="30"/>
      <c r="SM50" s="47">
        <v>1</v>
      </c>
      <c r="SN50" s="48" t="s">
        <v>4</v>
      </c>
      <c r="SO50" s="49">
        <v>2</v>
      </c>
      <c r="SP50" s="5"/>
      <c r="SQ50" s="42">
        <f t="shared" si="285"/>
        <v>5.0999999999999996</v>
      </c>
      <c r="SR50" s="43">
        <f t="shared" si="286"/>
        <v>-1</v>
      </c>
    </row>
    <row r="51" spans="1:512" customFormat="1" ht="16" customHeight="1" x14ac:dyDescent="0.15">
      <c r="A51" s="34">
        <v>46196</v>
      </c>
      <c r="B51" s="35">
        <v>0.79166666666666663</v>
      </c>
      <c r="C51" s="51" t="s">
        <v>9</v>
      </c>
      <c r="D51" s="51" t="s">
        <v>60</v>
      </c>
      <c r="E51" s="2">
        <v>5</v>
      </c>
      <c r="F51" s="50" t="s">
        <v>4</v>
      </c>
      <c r="G51" s="1">
        <v>0</v>
      </c>
      <c r="H51" s="16">
        <v>3.4</v>
      </c>
      <c r="I51" s="32">
        <f t="shared" si="0"/>
        <v>5</v>
      </c>
      <c r="J51" s="47">
        <v>2</v>
      </c>
      <c r="K51" s="48" t="s">
        <v>4</v>
      </c>
      <c r="L51" s="49">
        <v>0</v>
      </c>
      <c r="M51" s="5"/>
      <c r="N51" s="42">
        <f t="shared" si="1"/>
        <v>3.4</v>
      </c>
      <c r="O51" s="43">
        <f t="shared" si="2"/>
        <v>2</v>
      </c>
      <c r="P51" s="43">
        <f>IF($I51=0,IF(AND(#REF!&gt;#REF!,OR(AND(T51="",Q51&gt;S51),T51=1)),1,IF(AND(#REF!&lt;#REF!,OR(AND(T51="",Q51&lt;S51),T51=2)),1,0)),0)</f>
        <v>0</v>
      </c>
      <c r="Q51" s="47">
        <v>3</v>
      </c>
      <c r="R51" s="48" t="s">
        <v>4</v>
      </c>
      <c r="S51" s="49">
        <v>1</v>
      </c>
      <c r="T51" s="5"/>
      <c r="U51" s="42">
        <f t="shared" si="145"/>
        <v>3.4</v>
      </c>
      <c r="V51" s="43">
        <f t="shared" si="146"/>
        <v>2</v>
      </c>
      <c r="W51" s="30"/>
      <c r="X51" s="47">
        <v>2</v>
      </c>
      <c r="Y51" s="48" t="s">
        <v>4</v>
      </c>
      <c r="Z51" s="49">
        <v>0</v>
      </c>
      <c r="AA51" s="5"/>
      <c r="AB51" s="42">
        <f t="shared" si="147"/>
        <v>3.4</v>
      </c>
      <c r="AC51" s="43">
        <f t="shared" si="148"/>
        <v>2</v>
      </c>
      <c r="AD51" s="30"/>
      <c r="AE51" s="47">
        <v>2</v>
      </c>
      <c r="AF51" s="48" t="s">
        <v>4</v>
      </c>
      <c r="AG51" s="49">
        <v>0</v>
      </c>
      <c r="AH51" s="5"/>
      <c r="AI51" s="42">
        <f t="shared" si="149"/>
        <v>3.4</v>
      </c>
      <c r="AJ51" s="43">
        <f t="shared" si="150"/>
        <v>2</v>
      </c>
      <c r="AK51" s="30"/>
      <c r="AL51" s="47">
        <v>3</v>
      </c>
      <c r="AM51" s="48" t="s">
        <v>4</v>
      </c>
      <c r="AN51" s="49">
        <v>1</v>
      </c>
      <c r="AO51" s="5"/>
      <c r="AP51" s="42">
        <f t="shared" si="151"/>
        <v>3.4</v>
      </c>
      <c r="AQ51" s="43">
        <f t="shared" si="152"/>
        <v>2</v>
      </c>
      <c r="AR51" s="30"/>
      <c r="AS51" s="47">
        <v>4</v>
      </c>
      <c r="AT51" s="48" t="s">
        <v>4</v>
      </c>
      <c r="AU51" s="49">
        <v>0</v>
      </c>
      <c r="AV51" s="5"/>
      <c r="AW51" s="42">
        <f t="shared" si="153"/>
        <v>3.4</v>
      </c>
      <c r="AX51" s="43">
        <f t="shared" si="154"/>
        <v>4</v>
      </c>
      <c r="AY51" s="30"/>
      <c r="AZ51" s="47">
        <v>2</v>
      </c>
      <c r="BA51" s="48" t="s">
        <v>4</v>
      </c>
      <c r="BB51" s="49">
        <v>0</v>
      </c>
      <c r="BC51" s="5"/>
      <c r="BD51" s="42">
        <f t="shared" si="155"/>
        <v>3.4</v>
      </c>
      <c r="BE51" s="43">
        <f t="shared" si="156"/>
        <v>2</v>
      </c>
      <c r="BF51" s="30"/>
      <c r="BG51" s="47">
        <v>3</v>
      </c>
      <c r="BH51" s="48" t="s">
        <v>4</v>
      </c>
      <c r="BI51" s="49">
        <v>1</v>
      </c>
      <c r="BJ51" s="5"/>
      <c r="BK51" s="42">
        <f t="shared" si="157"/>
        <v>3.4</v>
      </c>
      <c r="BL51" s="43">
        <f t="shared" si="158"/>
        <v>2</v>
      </c>
      <c r="BM51" s="30"/>
      <c r="BN51" s="47">
        <v>1</v>
      </c>
      <c r="BO51" s="48" t="s">
        <v>4</v>
      </c>
      <c r="BP51" s="49">
        <v>1</v>
      </c>
      <c r="BQ51" s="5"/>
      <c r="BR51" s="42">
        <f t="shared" si="159"/>
        <v>0</v>
      </c>
      <c r="BS51" s="43">
        <f t="shared" si="160"/>
        <v>0</v>
      </c>
      <c r="BT51" s="30"/>
      <c r="BU51" s="47">
        <v>1</v>
      </c>
      <c r="BV51" s="48" t="s">
        <v>4</v>
      </c>
      <c r="BW51" s="49">
        <v>0</v>
      </c>
      <c r="BX51" s="5"/>
      <c r="BY51" s="42">
        <f t="shared" si="161"/>
        <v>3.4</v>
      </c>
      <c r="BZ51" s="43">
        <f t="shared" si="162"/>
        <v>1</v>
      </c>
      <c r="CA51" s="30"/>
      <c r="CB51" s="47">
        <v>5</v>
      </c>
      <c r="CC51" s="48" t="s">
        <v>4</v>
      </c>
      <c r="CD51" s="49">
        <v>1</v>
      </c>
      <c r="CE51" s="5"/>
      <c r="CF51" s="42">
        <f t="shared" si="163"/>
        <v>3.4</v>
      </c>
      <c r="CG51" s="43">
        <f t="shared" si="164"/>
        <v>4</v>
      </c>
      <c r="CH51" s="30"/>
      <c r="CI51" s="47">
        <v>3</v>
      </c>
      <c r="CJ51" s="48" t="s">
        <v>4</v>
      </c>
      <c r="CK51" s="49">
        <v>1</v>
      </c>
      <c r="CL51" s="5"/>
      <c r="CM51" s="42">
        <f t="shared" si="165"/>
        <v>3.4</v>
      </c>
      <c r="CN51" s="43">
        <f t="shared" si="166"/>
        <v>2</v>
      </c>
      <c r="CO51" s="30"/>
      <c r="CP51" s="47">
        <v>4</v>
      </c>
      <c r="CQ51" s="48" t="s">
        <v>4</v>
      </c>
      <c r="CR51" s="49">
        <v>0</v>
      </c>
      <c r="CS51" s="5"/>
      <c r="CT51" s="42">
        <f t="shared" si="167"/>
        <v>3.4</v>
      </c>
      <c r="CU51" s="43">
        <f t="shared" si="168"/>
        <v>4</v>
      </c>
      <c r="CV51" s="30"/>
      <c r="CW51" s="47">
        <v>2</v>
      </c>
      <c r="CX51" s="48" t="s">
        <v>4</v>
      </c>
      <c r="CY51" s="49">
        <v>0</v>
      </c>
      <c r="CZ51" s="5"/>
      <c r="DA51" s="42">
        <f t="shared" si="169"/>
        <v>3.4</v>
      </c>
      <c r="DB51" s="43">
        <f t="shared" si="170"/>
        <v>2</v>
      </c>
      <c r="DC51" s="30"/>
      <c r="DD51" s="47">
        <v>2</v>
      </c>
      <c r="DE51" s="48" t="s">
        <v>4</v>
      </c>
      <c r="DF51" s="49">
        <v>0</v>
      </c>
      <c r="DG51" s="5"/>
      <c r="DH51" s="42">
        <f t="shared" si="171"/>
        <v>3.4</v>
      </c>
      <c r="DI51" s="43">
        <f t="shared" si="172"/>
        <v>2</v>
      </c>
      <c r="DJ51" s="30"/>
      <c r="DK51" s="47">
        <v>2</v>
      </c>
      <c r="DL51" s="48" t="s">
        <v>4</v>
      </c>
      <c r="DM51" s="49">
        <v>0</v>
      </c>
      <c r="DN51" s="5"/>
      <c r="DO51" s="42">
        <f t="shared" si="173"/>
        <v>3.4</v>
      </c>
      <c r="DP51" s="43">
        <f t="shared" si="174"/>
        <v>2</v>
      </c>
      <c r="DQ51" s="30"/>
      <c r="DR51" s="47">
        <v>2</v>
      </c>
      <c r="DS51" s="48" t="s">
        <v>4</v>
      </c>
      <c r="DT51" s="49">
        <v>0</v>
      </c>
      <c r="DU51" s="5"/>
      <c r="DV51" s="42">
        <f t="shared" si="175"/>
        <v>3.4</v>
      </c>
      <c r="DW51" s="43">
        <f t="shared" si="176"/>
        <v>2</v>
      </c>
      <c r="DX51" s="30"/>
      <c r="DY51" s="47">
        <v>3</v>
      </c>
      <c r="DZ51" s="48" t="s">
        <v>4</v>
      </c>
      <c r="EA51" s="49">
        <v>0</v>
      </c>
      <c r="EB51" s="5"/>
      <c r="EC51" s="42">
        <f t="shared" si="177"/>
        <v>3.4</v>
      </c>
      <c r="ED51" s="43">
        <f t="shared" si="178"/>
        <v>3</v>
      </c>
      <c r="EE51" s="30"/>
      <c r="EF51" s="47">
        <v>1</v>
      </c>
      <c r="EG51" s="48" t="s">
        <v>4</v>
      </c>
      <c r="EH51" s="49">
        <v>0</v>
      </c>
      <c r="EI51" s="5"/>
      <c r="EJ51" s="42">
        <f t="shared" si="179"/>
        <v>3.4</v>
      </c>
      <c r="EK51" s="43">
        <f t="shared" si="180"/>
        <v>1</v>
      </c>
      <c r="EL51" s="30"/>
      <c r="EM51" s="47">
        <v>5</v>
      </c>
      <c r="EN51" s="48" t="s">
        <v>4</v>
      </c>
      <c r="EO51" s="49">
        <v>0</v>
      </c>
      <c r="EP51" s="5"/>
      <c r="EQ51" s="42">
        <f t="shared" si="181"/>
        <v>5.0999999999999996</v>
      </c>
      <c r="ER51" s="43">
        <f t="shared" si="182"/>
        <v>5</v>
      </c>
      <c r="ES51" s="30"/>
      <c r="ET51" s="47">
        <v>2</v>
      </c>
      <c r="EU51" s="48" t="s">
        <v>4</v>
      </c>
      <c r="EV51" s="49">
        <v>0</v>
      </c>
      <c r="EW51" s="5"/>
      <c r="EX51" s="42">
        <f t="shared" si="183"/>
        <v>3.4</v>
      </c>
      <c r="EY51" s="43">
        <f t="shared" si="184"/>
        <v>2</v>
      </c>
      <c r="EZ51" s="30"/>
      <c r="FA51" s="47">
        <v>3</v>
      </c>
      <c r="FB51" s="48" t="s">
        <v>4</v>
      </c>
      <c r="FC51" s="49">
        <v>1</v>
      </c>
      <c r="FD51" s="5"/>
      <c r="FE51" s="42">
        <f t="shared" si="185"/>
        <v>3.4</v>
      </c>
      <c r="FF51" s="43">
        <f t="shared" si="186"/>
        <v>2</v>
      </c>
      <c r="FG51" s="30"/>
      <c r="FH51" s="47">
        <v>2</v>
      </c>
      <c r="FI51" s="48" t="s">
        <v>4</v>
      </c>
      <c r="FJ51" s="49">
        <v>0</v>
      </c>
      <c r="FK51" s="5"/>
      <c r="FL51" s="42">
        <f t="shared" si="187"/>
        <v>3.4</v>
      </c>
      <c r="FM51" s="43">
        <f t="shared" si="188"/>
        <v>2</v>
      </c>
      <c r="FN51" s="30"/>
      <c r="FO51" s="47">
        <v>2</v>
      </c>
      <c r="FP51" s="48" t="s">
        <v>4</v>
      </c>
      <c r="FQ51" s="49">
        <v>0</v>
      </c>
      <c r="FR51" s="5"/>
      <c r="FS51" s="42">
        <f t="shared" si="189"/>
        <v>3.4</v>
      </c>
      <c r="FT51" s="43">
        <f t="shared" si="190"/>
        <v>2</v>
      </c>
      <c r="FU51" s="30"/>
      <c r="FV51" s="47">
        <v>3</v>
      </c>
      <c r="FW51" s="48" t="s">
        <v>4</v>
      </c>
      <c r="FX51" s="49">
        <v>0</v>
      </c>
      <c r="FY51" s="5"/>
      <c r="FZ51" s="42">
        <f t="shared" si="191"/>
        <v>3.4</v>
      </c>
      <c r="GA51" s="43">
        <f t="shared" si="192"/>
        <v>3</v>
      </c>
      <c r="GB51" s="30"/>
      <c r="GC51" s="47">
        <v>3</v>
      </c>
      <c r="GD51" s="48" t="s">
        <v>4</v>
      </c>
      <c r="GE51" s="49">
        <v>0</v>
      </c>
      <c r="GF51" s="5"/>
      <c r="GG51" s="42">
        <f t="shared" si="193"/>
        <v>3.4</v>
      </c>
      <c r="GH51" s="43">
        <f t="shared" si="194"/>
        <v>3</v>
      </c>
      <c r="GI51" s="30"/>
      <c r="GJ51" s="47">
        <v>3</v>
      </c>
      <c r="GK51" s="48" t="s">
        <v>4</v>
      </c>
      <c r="GL51" s="49">
        <v>0</v>
      </c>
      <c r="GM51" s="5"/>
      <c r="GN51" s="42">
        <f t="shared" si="195"/>
        <v>3.4</v>
      </c>
      <c r="GO51" s="43">
        <f t="shared" si="196"/>
        <v>3</v>
      </c>
      <c r="GP51" s="30"/>
      <c r="GQ51" s="47">
        <v>2</v>
      </c>
      <c r="GR51" s="48" t="s">
        <v>4</v>
      </c>
      <c r="GS51" s="49">
        <v>0</v>
      </c>
      <c r="GT51" s="5"/>
      <c r="GU51" s="42">
        <f t="shared" si="197"/>
        <v>3.4</v>
      </c>
      <c r="GV51" s="43">
        <f t="shared" si="198"/>
        <v>2</v>
      </c>
      <c r="GW51" s="30"/>
      <c r="GX51" s="47">
        <v>1</v>
      </c>
      <c r="GY51" s="48" t="s">
        <v>4</v>
      </c>
      <c r="GZ51" s="49">
        <v>3</v>
      </c>
      <c r="HA51" s="5"/>
      <c r="HB51" s="42">
        <f t="shared" si="199"/>
        <v>0</v>
      </c>
      <c r="HC51" s="43">
        <f t="shared" si="200"/>
        <v>-2</v>
      </c>
      <c r="HD51" s="30"/>
      <c r="HE51" s="47">
        <v>4</v>
      </c>
      <c r="HF51" s="48" t="s">
        <v>4</v>
      </c>
      <c r="HG51" s="49">
        <v>0</v>
      </c>
      <c r="HH51" s="5"/>
      <c r="HI51" s="42">
        <f t="shared" si="201"/>
        <v>3.4</v>
      </c>
      <c r="HJ51" s="43">
        <f t="shared" si="202"/>
        <v>4</v>
      </c>
      <c r="HK51" s="30"/>
      <c r="HL51" s="47">
        <v>4</v>
      </c>
      <c r="HM51" s="48" t="s">
        <v>4</v>
      </c>
      <c r="HN51" s="49">
        <v>0</v>
      </c>
      <c r="HO51" s="5"/>
      <c r="HP51" s="42">
        <f t="shared" si="203"/>
        <v>3.4</v>
      </c>
      <c r="HQ51" s="43">
        <f t="shared" si="204"/>
        <v>4</v>
      </c>
      <c r="HR51" s="30"/>
      <c r="HS51" s="47">
        <v>2</v>
      </c>
      <c r="HT51" s="48" t="s">
        <v>4</v>
      </c>
      <c r="HU51" s="49">
        <v>0</v>
      </c>
      <c r="HV51" s="5"/>
      <c r="HW51" s="42">
        <f t="shared" si="205"/>
        <v>3.4</v>
      </c>
      <c r="HX51" s="43">
        <f t="shared" si="206"/>
        <v>2</v>
      </c>
      <c r="HY51" s="30"/>
      <c r="HZ51" s="47">
        <v>4</v>
      </c>
      <c r="IA51" s="48" t="s">
        <v>4</v>
      </c>
      <c r="IB51" s="49">
        <v>0</v>
      </c>
      <c r="IC51" s="5"/>
      <c r="ID51" s="42">
        <f t="shared" si="207"/>
        <v>3.4</v>
      </c>
      <c r="IE51" s="43">
        <f t="shared" si="208"/>
        <v>4</v>
      </c>
      <c r="IF51" s="30"/>
      <c r="IG51" s="47">
        <v>0</v>
      </c>
      <c r="IH51" s="48" t="s">
        <v>4</v>
      </c>
      <c r="II51" s="49">
        <v>0</v>
      </c>
      <c r="IJ51" s="5"/>
      <c r="IK51" s="42">
        <f t="shared" si="209"/>
        <v>0</v>
      </c>
      <c r="IL51" s="43">
        <f t="shared" si="210"/>
        <v>0</v>
      </c>
      <c r="IM51" s="30"/>
      <c r="IN51" s="47">
        <v>3</v>
      </c>
      <c r="IO51" s="48" t="s">
        <v>4</v>
      </c>
      <c r="IP51" s="49">
        <v>0</v>
      </c>
      <c r="IQ51" s="5"/>
      <c r="IR51" s="42">
        <f t="shared" si="211"/>
        <v>3.4</v>
      </c>
      <c r="IS51" s="43">
        <f t="shared" si="212"/>
        <v>3</v>
      </c>
      <c r="IT51" s="30"/>
      <c r="IU51" s="47">
        <v>2</v>
      </c>
      <c r="IV51" s="48" t="s">
        <v>4</v>
      </c>
      <c r="IW51" s="49">
        <v>0</v>
      </c>
      <c r="IX51" s="5"/>
      <c r="IY51" s="42">
        <f t="shared" si="213"/>
        <v>3.4</v>
      </c>
      <c r="IZ51" s="43">
        <f t="shared" si="214"/>
        <v>2</v>
      </c>
      <c r="JA51" s="30"/>
      <c r="JB51" s="47">
        <v>2</v>
      </c>
      <c r="JC51" s="48" t="s">
        <v>4</v>
      </c>
      <c r="JD51" s="49">
        <v>0</v>
      </c>
      <c r="JE51" s="5"/>
      <c r="JF51" s="42">
        <f t="shared" si="215"/>
        <v>3.4</v>
      </c>
      <c r="JG51" s="43">
        <f t="shared" si="216"/>
        <v>2</v>
      </c>
      <c r="JH51" s="30"/>
      <c r="JI51" s="47">
        <v>3</v>
      </c>
      <c r="JJ51" s="48" t="s">
        <v>4</v>
      </c>
      <c r="JK51" s="49">
        <v>0</v>
      </c>
      <c r="JL51" s="5"/>
      <c r="JM51" s="42">
        <f t="shared" si="217"/>
        <v>3.4</v>
      </c>
      <c r="JN51" s="43">
        <f t="shared" si="218"/>
        <v>3</v>
      </c>
      <c r="JO51" s="30"/>
      <c r="JP51" s="47">
        <v>2</v>
      </c>
      <c r="JQ51" s="48" t="s">
        <v>4</v>
      </c>
      <c r="JR51" s="49">
        <v>0</v>
      </c>
      <c r="JS51" s="5"/>
      <c r="JT51" s="42">
        <f t="shared" si="219"/>
        <v>3.4</v>
      </c>
      <c r="JU51" s="43">
        <f t="shared" si="220"/>
        <v>2</v>
      </c>
      <c r="JV51" s="30"/>
      <c r="JW51" s="47">
        <v>3</v>
      </c>
      <c r="JX51" s="48" t="s">
        <v>4</v>
      </c>
      <c r="JY51" s="49">
        <v>0</v>
      </c>
      <c r="JZ51" s="5"/>
      <c r="KA51" s="42">
        <f t="shared" si="221"/>
        <v>3.4</v>
      </c>
      <c r="KB51" s="43">
        <f t="shared" si="222"/>
        <v>3</v>
      </c>
      <c r="KC51" s="30"/>
      <c r="KD51" s="47">
        <v>2</v>
      </c>
      <c r="KE51" s="48" t="s">
        <v>4</v>
      </c>
      <c r="KF51" s="49">
        <v>0</v>
      </c>
      <c r="KG51" s="5"/>
      <c r="KH51" s="42">
        <f t="shared" si="223"/>
        <v>3.4</v>
      </c>
      <c r="KI51" s="43">
        <f t="shared" si="224"/>
        <v>2</v>
      </c>
      <c r="KJ51" s="30"/>
      <c r="KK51" s="47">
        <v>2</v>
      </c>
      <c r="KL51" s="48" t="s">
        <v>4</v>
      </c>
      <c r="KM51" s="49">
        <v>0</v>
      </c>
      <c r="KN51" s="5"/>
      <c r="KO51" s="42">
        <f t="shared" si="225"/>
        <v>3.4</v>
      </c>
      <c r="KP51" s="43">
        <f t="shared" si="226"/>
        <v>2</v>
      </c>
      <c r="KQ51" s="30"/>
      <c r="KR51" s="47">
        <v>2</v>
      </c>
      <c r="KS51" s="48" t="s">
        <v>4</v>
      </c>
      <c r="KT51" s="49">
        <v>0</v>
      </c>
      <c r="KU51" s="5"/>
      <c r="KV51" s="42">
        <f t="shared" si="227"/>
        <v>3.4</v>
      </c>
      <c r="KW51" s="43">
        <f t="shared" si="228"/>
        <v>2</v>
      </c>
      <c r="KX51" s="30"/>
      <c r="KY51" s="47">
        <v>2</v>
      </c>
      <c r="KZ51" s="48" t="s">
        <v>4</v>
      </c>
      <c r="LA51" s="49">
        <v>1</v>
      </c>
      <c r="LB51" s="5"/>
      <c r="LC51" s="42">
        <f t="shared" si="229"/>
        <v>3.4</v>
      </c>
      <c r="LD51" s="43">
        <f t="shared" si="230"/>
        <v>1</v>
      </c>
      <c r="LE51" s="30"/>
      <c r="LF51" s="47">
        <v>5</v>
      </c>
      <c r="LG51" s="48" t="s">
        <v>4</v>
      </c>
      <c r="LH51" s="49">
        <v>0</v>
      </c>
      <c r="LI51" s="5"/>
      <c r="LJ51" s="42">
        <f t="shared" si="231"/>
        <v>5.0999999999999996</v>
      </c>
      <c r="LK51" s="43">
        <f t="shared" si="232"/>
        <v>5</v>
      </c>
      <c r="LL51" s="30"/>
      <c r="LM51" s="47">
        <v>1</v>
      </c>
      <c r="LN51" s="48" t="s">
        <v>4</v>
      </c>
      <c r="LO51" s="49">
        <v>0</v>
      </c>
      <c r="LP51" s="5"/>
      <c r="LQ51" s="42">
        <f t="shared" si="233"/>
        <v>3.4</v>
      </c>
      <c r="LR51" s="43">
        <f t="shared" si="234"/>
        <v>1</v>
      </c>
      <c r="LS51" s="30"/>
      <c r="LT51" s="47">
        <v>2</v>
      </c>
      <c r="LU51" s="48" t="s">
        <v>4</v>
      </c>
      <c r="LV51" s="49">
        <v>0</v>
      </c>
      <c r="LW51" s="5"/>
      <c r="LX51" s="42">
        <f t="shared" si="235"/>
        <v>3.4</v>
      </c>
      <c r="LY51" s="43">
        <f t="shared" si="236"/>
        <v>2</v>
      </c>
      <c r="LZ51" s="30"/>
      <c r="MA51" s="47">
        <v>5</v>
      </c>
      <c r="MB51" s="48" t="s">
        <v>4</v>
      </c>
      <c r="MC51" s="49">
        <v>0</v>
      </c>
      <c r="MD51" s="5"/>
      <c r="ME51" s="42">
        <f t="shared" si="237"/>
        <v>5.0999999999999996</v>
      </c>
      <c r="MF51" s="43">
        <f t="shared" si="238"/>
        <v>5</v>
      </c>
      <c r="MG51" s="30"/>
      <c r="MH51" s="47">
        <v>4</v>
      </c>
      <c r="MI51" s="48" t="s">
        <v>4</v>
      </c>
      <c r="MJ51" s="49">
        <v>0</v>
      </c>
      <c r="MK51" s="5"/>
      <c r="ML51" s="42">
        <f t="shared" si="239"/>
        <v>3.4</v>
      </c>
      <c r="MM51" s="43">
        <f t="shared" si="240"/>
        <v>4</v>
      </c>
      <c r="MN51" s="30"/>
      <c r="MO51" s="47">
        <v>4</v>
      </c>
      <c r="MP51" s="48" t="s">
        <v>4</v>
      </c>
      <c r="MQ51" s="49">
        <v>1</v>
      </c>
      <c r="MR51" s="5"/>
      <c r="MS51" s="42">
        <f t="shared" si="241"/>
        <v>3.4</v>
      </c>
      <c r="MT51" s="43">
        <f t="shared" si="242"/>
        <v>3</v>
      </c>
      <c r="MU51" s="30"/>
      <c r="MV51" s="47">
        <v>3</v>
      </c>
      <c r="MW51" s="48" t="s">
        <v>4</v>
      </c>
      <c r="MX51" s="49">
        <v>0</v>
      </c>
      <c r="MY51" s="5"/>
      <c r="MZ51" s="42">
        <f t="shared" si="243"/>
        <v>3.4</v>
      </c>
      <c r="NA51" s="43">
        <f t="shared" si="244"/>
        <v>3</v>
      </c>
      <c r="NB51" s="30"/>
      <c r="NC51" s="47">
        <v>3</v>
      </c>
      <c r="ND51" s="48" t="s">
        <v>4</v>
      </c>
      <c r="NE51" s="49">
        <v>1</v>
      </c>
      <c r="NF51" s="5"/>
      <c r="NG51" s="42">
        <f t="shared" si="245"/>
        <v>3.4</v>
      </c>
      <c r="NH51" s="43">
        <f t="shared" si="246"/>
        <v>2</v>
      </c>
      <c r="NI51" s="30"/>
      <c r="NJ51" s="47">
        <v>1</v>
      </c>
      <c r="NK51" s="48" t="s">
        <v>4</v>
      </c>
      <c r="NL51" s="49">
        <v>2</v>
      </c>
      <c r="NM51" s="5"/>
      <c r="NN51" s="42">
        <f t="shared" si="247"/>
        <v>0</v>
      </c>
      <c r="NO51" s="43">
        <f t="shared" si="248"/>
        <v>-1</v>
      </c>
      <c r="NP51" s="30"/>
      <c r="NQ51" s="47">
        <v>2</v>
      </c>
      <c r="NR51" s="48" t="s">
        <v>4</v>
      </c>
      <c r="NS51" s="49">
        <v>0</v>
      </c>
      <c r="NT51" s="5"/>
      <c r="NU51" s="42">
        <f t="shared" si="249"/>
        <v>3.4</v>
      </c>
      <c r="NV51" s="43">
        <f t="shared" si="250"/>
        <v>2</v>
      </c>
      <c r="NW51" s="30"/>
      <c r="NX51" s="47">
        <v>2</v>
      </c>
      <c r="NY51" s="48" t="s">
        <v>4</v>
      </c>
      <c r="NZ51" s="49">
        <v>0</v>
      </c>
      <c r="OA51" s="5"/>
      <c r="OB51" s="42">
        <f t="shared" si="251"/>
        <v>3.4</v>
      </c>
      <c r="OC51" s="43">
        <f t="shared" si="252"/>
        <v>2</v>
      </c>
      <c r="OD51" s="30"/>
      <c r="OE51" s="47">
        <v>4</v>
      </c>
      <c r="OF51" s="48" t="s">
        <v>4</v>
      </c>
      <c r="OG51" s="49">
        <v>0</v>
      </c>
      <c r="OH51" s="5"/>
      <c r="OI51" s="42">
        <f t="shared" si="253"/>
        <v>3.4</v>
      </c>
      <c r="OJ51" s="43">
        <f t="shared" si="254"/>
        <v>4</v>
      </c>
      <c r="OK51" s="30"/>
      <c r="OL51" s="47">
        <v>3</v>
      </c>
      <c r="OM51" s="48" t="s">
        <v>4</v>
      </c>
      <c r="ON51" s="49">
        <v>0</v>
      </c>
      <c r="OO51" s="5"/>
      <c r="OP51" s="42">
        <f t="shared" si="255"/>
        <v>3.4</v>
      </c>
      <c r="OQ51" s="43">
        <f t="shared" si="256"/>
        <v>3</v>
      </c>
      <c r="OR51" s="30"/>
      <c r="OS51" s="47">
        <v>2</v>
      </c>
      <c r="OT51" s="48" t="s">
        <v>4</v>
      </c>
      <c r="OU51" s="49">
        <v>0</v>
      </c>
      <c r="OV51" s="5"/>
      <c r="OW51" s="42">
        <f t="shared" si="257"/>
        <v>3.4</v>
      </c>
      <c r="OX51" s="43">
        <f t="shared" si="258"/>
        <v>2</v>
      </c>
      <c r="OY51" s="30"/>
      <c r="OZ51" s="47">
        <v>4</v>
      </c>
      <c r="PA51" s="48" t="s">
        <v>4</v>
      </c>
      <c r="PB51" s="49">
        <v>1</v>
      </c>
      <c r="PC51" s="5"/>
      <c r="PD51" s="42">
        <f t="shared" si="259"/>
        <v>3.4</v>
      </c>
      <c r="PE51" s="43">
        <f t="shared" si="260"/>
        <v>3</v>
      </c>
      <c r="PF51" s="30"/>
      <c r="PG51" s="47">
        <v>2</v>
      </c>
      <c r="PH51" s="48" t="s">
        <v>4</v>
      </c>
      <c r="PI51" s="49">
        <v>1</v>
      </c>
      <c r="PJ51" s="5"/>
      <c r="PK51" s="42">
        <f t="shared" si="261"/>
        <v>3.4</v>
      </c>
      <c r="PL51" s="43">
        <f t="shared" si="262"/>
        <v>1</v>
      </c>
      <c r="PM51" s="30"/>
      <c r="PN51" s="47">
        <v>2</v>
      </c>
      <c r="PO51" s="48" t="s">
        <v>4</v>
      </c>
      <c r="PP51" s="49">
        <v>0</v>
      </c>
      <c r="PQ51" s="5"/>
      <c r="PR51" s="42">
        <f t="shared" si="263"/>
        <v>3.4</v>
      </c>
      <c r="PS51" s="43">
        <f t="shared" si="264"/>
        <v>2</v>
      </c>
      <c r="PT51" s="30"/>
      <c r="PU51" s="47">
        <v>3</v>
      </c>
      <c r="PV51" s="48" t="s">
        <v>4</v>
      </c>
      <c r="PW51" s="49">
        <v>0</v>
      </c>
      <c r="PX51" s="5"/>
      <c r="PY51" s="42">
        <f t="shared" si="265"/>
        <v>3.4</v>
      </c>
      <c r="PZ51" s="43">
        <f t="shared" si="266"/>
        <v>3</v>
      </c>
      <c r="QA51" s="30"/>
      <c r="QB51" s="47">
        <v>3</v>
      </c>
      <c r="QC51" s="48" t="s">
        <v>4</v>
      </c>
      <c r="QD51" s="49">
        <v>1</v>
      </c>
      <c r="QE51" s="5"/>
      <c r="QF51" s="42">
        <f t="shared" si="267"/>
        <v>3.4</v>
      </c>
      <c r="QG51" s="43">
        <f t="shared" si="268"/>
        <v>2</v>
      </c>
      <c r="QH51" s="30"/>
      <c r="QI51" s="47">
        <v>3</v>
      </c>
      <c r="QJ51" s="48" t="s">
        <v>4</v>
      </c>
      <c r="QK51" s="49">
        <v>0</v>
      </c>
      <c r="QL51" s="5"/>
      <c r="QM51" s="42">
        <f t="shared" si="269"/>
        <v>3.4</v>
      </c>
      <c r="QN51" s="43">
        <f t="shared" si="270"/>
        <v>3</v>
      </c>
      <c r="QO51" s="30"/>
      <c r="QP51" s="47">
        <v>4</v>
      </c>
      <c r="QQ51" s="48" t="s">
        <v>4</v>
      </c>
      <c r="QR51" s="49">
        <v>0</v>
      </c>
      <c r="QS51" s="5"/>
      <c r="QT51" s="42">
        <f t="shared" si="271"/>
        <v>3.4</v>
      </c>
      <c r="QU51" s="43">
        <f t="shared" si="272"/>
        <v>4</v>
      </c>
      <c r="QV51" s="30"/>
      <c r="QW51" s="47">
        <v>2</v>
      </c>
      <c r="QX51" s="48" t="s">
        <v>4</v>
      </c>
      <c r="QY51" s="49">
        <v>0</v>
      </c>
      <c r="QZ51" s="5"/>
      <c r="RA51" s="42">
        <f t="shared" si="273"/>
        <v>3.4</v>
      </c>
      <c r="RB51" s="43">
        <f t="shared" si="274"/>
        <v>2</v>
      </c>
      <c r="RC51" s="30"/>
      <c r="RD51" s="47"/>
      <c r="RE51" s="48" t="s">
        <v>4</v>
      </c>
      <c r="RF51" s="49"/>
      <c r="RG51" s="5"/>
      <c r="RH51" s="42" t="str">
        <f t="shared" si="275"/>
        <v/>
      </c>
      <c r="RI51" s="43">
        <f t="shared" si="276"/>
        <v>0</v>
      </c>
      <c r="RJ51" s="30"/>
      <c r="RK51" s="47">
        <v>2</v>
      </c>
      <c r="RL51" s="48" t="s">
        <v>4</v>
      </c>
      <c r="RM51" s="49">
        <v>0</v>
      </c>
      <c r="RN51" s="5"/>
      <c r="RO51" s="42">
        <f t="shared" si="277"/>
        <v>3.4</v>
      </c>
      <c r="RP51" s="43">
        <f t="shared" si="278"/>
        <v>2</v>
      </c>
      <c r="RQ51" s="30"/>
      <c r="RR51" s="47">
        <v>3</v>
      </c>
      <c r="RS51" s="48" t="s">
        <v>4</v>
      </c>
      <c r="RT51" s="49">
        <v>0</v>
      </c>
      <c r="RU51" s="5"/>
      <c r="RV51" s="42">
        <f t="shared" si="279"/>
        <v>3.4</v>
      </c>
      <c r="RW51" s="43">
        <f t="shared" si="280"/>
        <v>3</v>
      </c>
      <c r="RX51" s="30"/>
      <c r="RY51" s="47">
        <v>3</v>
      </c>
      <c r="RZ51" s="48" t="s">
        <v>4</v>
      </c>
      <c r="SA51" s="49">
        <v>0</v>
      </c>
      <c r="SB51" s="5"/>
      <c r="SC51" s="42">
        <f t="shared" si="281"/>
        <v>3.4</v>
      </c>
      <c r="SD51" s="43">
        <f t="shared" si="282"/>
        <v>3</v>
      </c>
      <c r="SE51" s="30"/>
      <c r="SF51" s="47">
        <v>3</v>
      </c>
      <c r="SG51" s="48" t="s">
        <v>4</v>
      </c>
      <c r="SH51" s="49">
        <v>0</v>
      </c>
      <c r="SI51" s="5"/>
      <c r="SJ51" s="42">
        <f t="shared" si="283"/>
        <v>3.4</v>
      </c>
      <c r="SK51" s="43">
        <f t="shared" si="284"/>
        <v>3</v>
      </c>
      <c r="SL51" s="30"/>
      <c r="SM51" s="47">
        <v>2</v>
      </c>
      <c r="SN51" s="48" t="s">
        <v>4</v>
      </c>
      <c r="SO51" s="49">
        <v>1</v>
      </c>
      <c r="SP51" s="5"/>
      <c r="SQ51" s="42">
        <f t="shared" si="285"/>
        <v>3.4</v>
      </c>
      <c r="SR51" s="43">
        <f t="shared" si="286"/>
        <v>1</v>
      </c>
    </row>
    <row r="52" spans="1:512" customFormat="1" ht="16" customHeight="1" x14ac:dyDescent="0.15">
      <c r="A52" s="34">
        <v>46196</v>
      </c>
      <c r="B52" s="35">
        <v>0.91666666666666663</v>
      </c>
      <c r="C52" s="79" t="s">
        <v>8</v>
      </c>
      <c r="D52" s="79" t="s">
        <v>58</v>
      </c>
      <c r="E52" s="2">
        <v>0</v>
      </c>
      <c r="F52" s="50" t="s">
        <v>4</v>
      </c>
      <c r="G52" s="1">
        <v>0</v>
      </c>
      <c r="H52" s="16">
        <v>3.4</v>
      </c>
      <c r="I52" s="32">
        <f t="shared" si="0"/>
        <v>0</v>
      </c>
      <c r="J52" s="47">
        <v>2</v>
      </c>
      <c r="K52" s="48" t="s">
        <v>4</v>
      </c>
      <c r="L52" s="49">
        <v>1</v>
      </c>
      <c r="M52" s="5"/>
      <c r="N52" s="42">
        <f t="shared" si="1"/>
        <v>0</v>
      </c>
      <c r="O52" s="43">
        <f t="shared" si="2"/>
        <v>1</v>
      </c>
      <c r="P52" s="43" t="e">
        <f>IF($I52=0,IF(AND(#REF!&gt;#REF!,OR(AND(T52="",Q52&gt;S52),T52=1)),1,IF(AND(#REF!&lt;#REF!,OR(AND(T52="",Q52&lt;S52),T52=2)),1,0)),0)</f>
        <v>#REF!</v>
      </c>
      <c r="Q52" s="47">
        <v>2</v>
      </c>
      <c r="R52" s="48" t="s">
        <v>4</v>
      </c>
      <c r="S52" s="49">
        <v>0</v>
      </c>
      <c r="T52" s="5"/>
      <c r="U52" s="42">
        <f t="shared" si="145"/>
        <v>0</v>
      </c>
      <c r="V52" s="43">
        <f t="shared" si="146"/>
        <v>2</v>
      </c>
      <c r="W52" s="30"/>
      <c r="X52" s="47">
        <v>1</v>
      </c>
      <c r="Y52" s="48" t="s">
        <v>4</v>
      </c>
      <c r="Z52" s="49">
        <v>0</v>
      </c>
      <c r="AA52" s="5"/>
      <c r="AB52" s="42">
        <f t="shared" si="147"/>
        <v>0</v>
      </c>
      <c r="AC52" s="43">
        <f t="shared" si="148"/>
        <v>1</v>
      </c>
      <c r="AD52" s="30"/>
      <c r="AE52" s="47">
        <v>2</v>
      </c>
      <c r="AF52" s="48" t="s">
        <v>4</v>
      </c>
      <c r="AG52" s="49">
        <v>2</v>
      </c>
      <c r="AH52" s="5"/>
      <c r="AI52" s="42">
        <f t="shared" si="149"/>
        <v>3.4</v>
      </c>
      <c r="AJ52" s="43">
        <f t="shared" si="150"/>
        <v>0</v>
      </c>
      <c r="AK52" s="30"/>
      <c r="AL52" s="47">
        <v>2</v>
      </c>
      <c r="AM52" s="48" t="s">
        <v>4</v>
      </c>
      <c r="AN52" s="49">
        <v>1</v>
      </c>
      <c r="AO52" s="5"/>
      <c r="AP52" s="42">
        <f t="shared" si="151"/>
        <v>0</v>
      </c>
      <c r="AQ52" s="43">
        <f t="shared" si="152"/>
        <v>1</v>
      </c>
      <c r="AR52" s="30"/>
      <c r="AS52" s="47">
        <v>1</v>
      </c>
      <c r="AT52" s="48" t="s">
        <v>4</v>
      </c>
      <c r="AU52" s="49">
        <v>2</v>
      </c>
      <c r="AV52" s="5"/>
      <c r="AW52" s="42">
        <f t="shared" si="153"/>
        <v>0</v>
      </c>
      <c r="AX52" s="43">
        <f t="shared" si="154"/>
        <v>-1</v>
      </c>
      <c r="AY52" s="30"/>
      <c r="AZ52" s="47">
        <v>3</v>
      </c>
      <c r="BA52" s="48" t="s">
        <v>4</v>
      </c>
      <c r="BB52" s="49">
        <v>1</v>
      </c>
      <c r="BC52" s="5"/>
      <c r="BD52" s="42">
        <f t="shared" si="155"/>
        <v>0</v>
      </c>
      <c r="BE52" s="43">
        <f t="shared" si="156"/>
        <v>2</v>
      </c>
      <c r="BF52" s="30"/>
      <c r="BG52" s="47">
        <v>4</v>
      </c>
      <c r="BH52" s="48" t="s">
        <v>4</v>
      </c>
      <c r="BI52" s="49">
        <v>2</v>
      </c>
      <c r="BJ52" s="5"/>
      <c r="BK52" s="42">
        <f t="shared" si="157"/>
        <v>0</v>
      </c>
      <c r="BL52" s="43">
        <f t="shared" si="158"/>
        <v>2</v>
      </c>
      <c r="BM52" s="30"/>
      <c r="BN52" s="47">
        <v>2</v>
      </c>
      <c r="BO52" s="48" t="s">
        <v>4</v>
      </c>
      <c r="BP52" s="49">
        <v>1</v>
      </c>
      <c r="BQ52" s="5"/>
      <c r="BR52" s="42">
        <f t="shared" si="159"/>
        <v>0</v>
      </c>
      <c r="BS52" s="43">
        <f t="shared" si="160"/>
        <v>1</v>
      </c>
      <c r="BT52" s="30"/>
      <c r="BU52" s="47">
        <v>3</v>
      </c>
      <c r="BV52" s="48" t="s">
        <v>4</v>
      </c>
      <c r="BW52" s="49">
        <v>1</v>
      </c>
      <c r="BX52" s="5"/>
      <c r="BY52" s="42">
        <f t="shared" si="161"/>
        <v>0</v>
      </c>
      <c r="BZ52" s="43">
        <f t="shared" si="162"/>
        <v>2</v>
      </c>
      <c r="CA52" s="30"/>
      <c r="CB52" s="47">
        <v>4</v>
      </c>
      <c r="CC52" s="48" t="s">
        <v>4</v>
      </c>
      <c r="CD52" s="49">
        <v>1</v>
      </c>
      <c r="CE52" s="5"/>
      <c r="CF52" s="42">
        <f t="shared" si="163"/>
        <v>0</v>
      </c>
      <c r="CG52" s="43">
        <f t="shared" si="164"/>
        <v>3</v>
      </c>
      <c r="CH52" s="30"/>
      <c r="CI52" s="47">
        <v>2</v>
      </c>
      <c r="CJ52" s="48" t="s">
        <v>4</v>
      </c>
      <c r="CK52" s="49">
        <v>1</v>
      </c>
      <c r="CL52" s="5"/>
      <c r="CM52" s="42">
        <f t="shared" si="165"/>
        <v>0</v>
      </c>
      <c r="CN52" s="43">
        <f t="shared" si="166"/>
        <v>1</v>
      </c>
      <c r="CO52" s="30"/>
      <c r="CP52" s="47">
        <v>3</v>
      </c>
      <c r="CQ52" s="48" t="s">
        <v>4</v>
      </c>
      <c r="CR52" s="49">
        <v>0</v>
      </c>
      <c r="CS52" s="5"/>
      <c r="CT52" s="42">
        <f t="shared" si="167"/>
        <v>0</v>
      </c>
      <c r="CU52" s="43">
        <f t="shared" si="168"/>
        <v>3</v>
      </c>
      <c r="CV52" s="30"/>
      <c r="CW52" s="47">
        <v>1</v>
      </c>
      <c r="CX52" s="48" t="s">
        <v>4</v>
      </c>
      <c r="CY52" s="49">
        <v>0</v>
      </c>
      <c r="CZ52" s="5"/>
      <c r="DA52" s="42">
        <f t="shared" si="169"/>
        <v>0</v>
      </c>
      <c r="DB52" s="43">
        <f t="shared" si="170"/>
        <v>1</v>
      </c>
      <c r="DC52" s="30"/>
      <c r="DD52" s="47">
        <v>2</v>
      </c>
      <c r="DE52" s="48" t="s">
        <v>4</v>
      </c>
      <c r="DF52" s="49">
        <v>1</v>
      </c>
      <c r="DG52" s="5"/>
      <c r="DH52" s="42">
        <f t="shared" si="171"/>
        <v>0</v>
      </c>
      <c r="DI52" s="43">
        <f t="shared" si="172"/>
        <v>1</v>
      </c>
      <c r="DJ52" s="30"/>
      <c r="DK52" s="47">
        <v>2</v>
      </c>
      <c r="DL52" s="48" t="s">
        <v>4</v>
      </c>
      <c r="DM52" s="49">
        <v>1</v>
      </c>
      <c r="DN52" s="5"/>
      <c r="DO52" s="42">
        <f t="shared" si="173"/>
        <v>0</v>
      </c>
      <c r="DP52" s="43">
        <f t="shared" si="174"/>
        <v>1</v>
      </c>
      <c r="DQ52" s="30"/>
      <c r="DR52" s="47">
        <v>3</v>
      </c>
      <c r="DS52" s="48" t="s">
        <v>4</v>
      </c>
      <c r="DT52" s="49">
        <v>0</v>
      </c>
      <c r="DU52" s="5"/>
      <c r="DV52" s="42">
        <f t="shared" si="175"/>
        <v>0</v>
      </c>
      <c r="DW52" s="43">
        <f t="shared" si="176"/>
        <v>3</v>
      </c>
      <c r="DX52" s="30"/>
      <c r="DY52" s="47">
        <v>3</v>
      </c>
      <c r="DZ52" s="48" t="s">
        <v>4</v>
      </c>
      <c r="EA52" s="49">
        <v>1</v>
      </c>
      <c r="EB52" s="5"/>
      <c r="EC52" s="42">
        <f t="shared" si="177"/>
        <v>0</v>
      </c>
      <c r="ED52" s="43">
        <f t="shared" si="178"/>
        <v>2</v>
      </c>
      <c r="EE52" s="30"/>
      <c r="EF52" s="47">
        <v>2</v>
      </c>
      <c r="EG52" s="48" t="s">
        <v>4</v>
      </c>
      <c r="EH52" s="49">
        <v>1</v>
      </c>
      <c r="EI52" s="5"/>
      <c r="EJ52" s="42">
        <f t="shared" si="179"/>
        <v>0</v>
      </c>
      <c r="EK52" s="43">
        <f t="shared" si="180"/>
        <v>1</v>
      </c>
      <c r="EL52" s="30"/>
      <c r="EM52" s="47">
        <v>2</v>
      </c>
      <c r="EN52" s="48" t="s">
        <v>4</v>
      </c>
      <c r="EO52" s="49">
        <v>1</v>
      </c>
      <c r="EP52" s="5"/>
      <c r="EQ52" s="42">
        <f t="shared" si="181"/>
        <v>0</v>
      </c>
      <c r="ER52" s="43">
        <f t="shared" si="182"/>
        <v>1</v>
      </c>
      <c r="ES52" s="30"/>
      <c r="ET52" s="47">
        <v>1</v>
      </c>
      <c r="EU52" s="48" t="s">
        <v>4</v>
      </c>
      <c r="EV52" s="49">
        <v>1</v>
      </c>
      <c r="EW52" s="5"/>
      <c r="EX52" s="42">
        <f t="shared" si="183"/>
        <v>3.4</v>
      </c>
      <c r="EY52" s="43">
        <f t="shared" si="184"/>
        <v>0</v>
      </c>
      <c r="EZ52" s="30"/>
      <c r="FA52" s="47">
        <v>2</v>
      </c>
      <c r="FB52" s="48" t="s">
        <v>4</v>
      </c>
      <c r="FC52" s="49">
        <v>0</v>
      </c>
      <c r="FD52" s="5"/>
      <c r="FE52" s="42">
        <f t="shared" si="185"/>
        <v>0</v>
      </c>
      <c r="FF52" s="43">
        <f t="shared" si="186"/>
        <v>2</v>
      </c>
      <c r="FG52" s="30"/>
      <c r="FH52" s="47">
        <v>2</v>
      </c>
      <c r="FI52" s="48" t="s">
        <v>4</v>
      </c>
      <c r="FJ52" s="49">
        <v>1</v>
      </c>
      <c r="FK52" s="5"/>
      <c r="FL52" s="42">
        <f t="shared" si="187"/>
        <v>0</v>
      </c>
      <c r="FM52" s="43">
        <f t="shared" si="188"/>
        <v>1</v>
      </c>
      <c r="FN52" s="30"/>
      <c r="FO52" s="47">
        <v>1</v>
      </c>
      <c r="FP52" s="48" t="s">
        <v>4</v>
      </c>
      <c r="FQ52" s="49">
        <v>0</v>
      </c>
      <c r="FR52" s="5"/>
      <c r="FS52" s="42">
        <f t="shared" si="189"/>
        <v>0</v>
      </c>
      <c r="FT52" s="43">
        <f t="shared" si="190"/>
        <v>1</v>
      </c>
      <c r="FU52" s="30"/>
      <c r="FV52" s="47">
        <v>2</v>
      </c>
      <c r="FW52" s="48" t="s">
        <v>4</v>
      </c>
      <c r="FX52" s="49">
        <v>0</v>
      </c>
      <c r="FY52" s="5"/>
      <c r="FZ52" s="42">
        <f t="shared" si="191"/>
        <v>0</v>
      </c>
      <c r="GA52" s="43">
        <f t="shared" si="192"/>
        <v>2</v>
      </c>
      <c r="GB52" s="30"/>
      <c r="GC52" s="47">
        <v>2</v>
      </c>
      <c r="GD52" s="48" t="s">
        <v>4</v>
      </c>
      <c r="GE52" s="49">
        <v>0</v>
      </c>
      <c r="GF52" s="5"/>
      <c r="GG52" s="42">
        <f t="shared" si="193"/>
        <v>0</v>
      </c>
      <c r="GH52" s="43">
        <f t="shared" si="194"/>
        <v>2</v>
      </c>
      <c r="GI52" s="30"/>
      <c r="GJ52" s="47">
        <v>2</v>
      </c>
      <c r="GK52" s="48" t="s">
        <v>4</v>
      </c>
      <c r="GL52" s="49">
        <v>0</v>
      </c>
      <c r="GM52" s="5"/>
      <c r="GN52" s="42">
        <f t="shared" si="195"/>
        <v>0</v>
      </c>
      <c r="GO52" s="43">
        <f t="shared" si="196"/>
        <v>2</v>
      </c>
      <c r="GP52" s="30"/>
      <c r="GQ52" s="47">
        <v>3</v>
      </c>
      <c r="GR52" s="48" t="s">
        <v>4</v>
      </c>
      <c r="GS52" s="49">
        <v>1</v>
      </c>
      <c r="GT52" s="5"/>
      <c r="GU52" s="42">
        <f t="shared" si="197"/>
        <v>0</v>
      </c>
      <c r="GV52" s="43">
        <f t="shared" si="198"/>
        <v>2</v>
      </c>
      <c r="GW52" s="30"/>
      <c r="GX52" s="47">
        <v>2</v>
      </c>
      <c r="GY52" s="48" t="s">
        <v>4</v>
      </c>
      <c r="GZ52" s="49">
        <v>0</v>
      </c>
      <c r="HA52" s="5"/>
      <c r="HB52" s="42">
        <f t="shared" si="199"/>
        <v>0</v>
      </c>
      <c r="HC52" s="43">
        <f t="shared" si="200"/>
        <v>2</v>
      </c>
      <c r="HD52" s="30"/>
      <c r="HE52" s="47">
        <v>3</v>
      </c>
      <c r="HF52" s="48" t="s">
        <v>4</v>
      </c>
      <c r="HG52" s="49">
        <v>1</v>
      </c>
      <c r="HH52" s="5"/>
      <c r="HI52" s="42">
        <f t="shared" si="201"/>
        <v>0</v>
      </c>
      <c r="HJ52" s="43">
        <f t="shared" si="202"/>
        <v>2</v>
      </c>
      <c r="HK52" s="30"/>
      <c r="HL52" s="47">
        <v>3</v>
      </c>
      <c r="HM52" s="48" t="s">
        <v>4</v>
      </c>
      <c r="HN52" s="49">
        <v>0</v>
      </c>
      <c r="HO52" s="5"/>
      <c r="HP52" s="42">
        <f t="shared" si="203"/>
        <v>0</v>
      </c>
      <c r="HQ52" s="43">
        <f t="shared" si="204"/>
        <v>3</v>
      </c>
      <c r="HR52" s="30"/>
      <c r="HS52" s="47">
        <v>2</v>
      </c>
      <c r="HT52" s="48" t="s">
        <v>4</v>
      </c>
      <c r="HU52" s="49">
        <v>0</v>
      </c>
      <c r="HV52" s="5"/>
      <c r="HW52" s="42">
        <f t="shared" si="205"/>
        <v>0</v>
      </c>
      <c r="HX52" s="43">
        <f t="shared" si="206"/>
        <v>2</v>
      </c>
      <c r="HY52" s="30"/>
      <c r="HZ52" s="47">
        <v>3</v>
      </c>
      <c r="IA52" s="48" t="s">
        <v>4</v>
      </c>
      <c r="IB52" s="49">
        <v>1</v>
      </c>
      <c r="IC52" s="5"/>
      <c r="ID52" s="42">
        <f t="shared" si="207"/>
        <v>0</v>
      </c>
      <c r="IE52" s="43">
        <f t="shared" si="208"/>
        <v>2</v>
      </c>
      <c r="IF52" s="30"/>
      <c r="IG52" s="47">
        <v>0</v>
      </c>
      <c r="IH52" s="48" t="s">
        <v>4</v>
      </c>
      <c r="II52" s="49">
        <v>2</v>
      </c>
      <c r="IJ52" s="5"/>
      <c r="IK52" s="42">
        <f t="shared" si="209"/>
        <v>0</v>
      </c>
      <c r="IL52" s="43">
        <f t="shared" si="210"/>
        <v>-2</v>
      </c>
      <c r="IM52" s="30"/>
      <c r="IN52" s="47">
        <v>2</v>
      </c>
      <c r="IO52" s="48" t="s">
        <v>4</v>
      </c>
      <c r="IP52" s="49">
        <v>0</v>
      </c>
      <c r="IQ52" s="5"/>
      <c r="IR52" s="42">
        <f t="shared" si="211"/>
        <v>0</v>
      </c>
      <c r="IS52" s="43">
        <f t="shared" si="212"/>
        <v>2</v>
      </c>
      <c r="IT52" s="30"/>
      <c r="IU52" s="47">
        <v>2</v>
      </c>
      <c r="IV52" s="48" t="s">
        <v>4</v>
      </c>
      <c r="IW52" s="49">
        <v>0</v>
      </c>
      <c r="IX52" s="5"/>
      <c r="IY52" s="42">
        <f t="shared" si="213"/>
        <v>0</v>
      </c>
      <c r="IZ52" s="43">
        <f t="shared" si="214"/>
        <v>2</v>
      </c>
      <c r="JA52" s="30"/>
      <c r="JB52" s="47">
        <v>3</v>
      </c>
      <c r="JC52" s="48" t="s">
        <v>4</v>
      </c>
      <c r="JD52" s="49">
        <v>1</v>
      </c>
      <c r="JE52" s="5"/>
      <c r="JF52" s="42">
        <f t="shared" si="215"/>
        <v>0</v>
      </c>
      <c r="JG52" s="43">
        <f t="shared" si="216"/>
        <v>2</v>
      </c>
      <c r="JH52" s="30"/>
      <c r="JI52" s="47">
        <v>1</v>
      </c>
      <c r="JJ52" s="48" t="s">
        <v>4</v>
      </c>
      <c r="JK52" s="49">
        <v>1</v>
      </c>
      <c r="JL52" s="5"/>
      <c r="JM52" s="42">
        <f t="shared" si="217"/>
        <v>3.4</v>
      </c>
      <c r="JN52" s="43">
        <f t="shared" si="218"/>
        <v>0</v>
      </c>
      <c r="JO52" s="30"/>
      <c r="JP52" s="47">
        <v>3</v>
      </c>
      <c r="JQ52" s="48" t="s">
        <v>4</v>
      </c>
      <c r="JR52" s="49">
        <v>2</v>
      </c>
      <c r="JS52" s="5"/>
      <c r="JT52" s="42">
        <f t="shared" si="219"/>
        <v>0</v>
      </c>
      <c r="JU52" s="43">
        <f t="shared" si="220"/>
        <v>1</v>
      </c>
      <c r="JV52" s="30"/>
      <c r="JW52" s="47">
        <v>5</v>
      </c>
      <c r="JX52" s="48" t="s">
        <v>4</v>
      </c>
      <c r="JY52" s="49">
        <v>1</v>
      </c>
      <c r="JZ52" s="5"/>
      <c r="KA52" s="42">
        <f t="shared" si="221"/>
        <v>0</v>
      </c>
      <c r="KB52" s="43">
        <f t="shared" si="222"/>
        <v>4</v>
      </c>
      <c r="KC52" s="30"/>
      <c r="KD52" s="47">
        <v>2</v>
      </c>
      <c r="KE52" s="48" t="s">
        <v>4</v>
      </c>
      <c r="KF52" s="49">
        <v>1</v>
      </c>
      <c r="KG52" s="5"/>
      <c r="KH52" s="42">
        <f t="shared" si="223"/>
        <v>0</v>
      </c>
      <c r="KI52" s="43">
        <f t="shared" si="224"/>
        <v>1</v>
      </c>
      <c r="KJ52" s="30"/>
      <c r="KK52" s="47">
        <v>2</v>
      </c>
      <c r="KL52" s="48" t="s">
        <v>4</v>
      </c>
      <c r="KM52" s="49">
        <v>0</v>
      </c>
      <c r="KN52" s="5"/>
      <c r="KO52" s="42">
        <f t="shared" si="225"/>
        <v>0</v>
      </c>
      <c r="KP52" s="43">
        <f t="shared" si="226"/>
        <v>2</v>
      </c>
      <c r="KQ52" s="30"/>
      <c r="KR52" s="47">
        <v>2</v>
      </c>
      <c r="KS52" s="48" t="s">
        <v>4</v>
      </c>
      <c r="KT52" s="49">
        <v>0</v>
      </c>
      <c r="KU52" s="5"/>
      <c r="KV52" s="42">
        <f t="shared" si="227"/>
        <v>0</v>
      </c>
      <c r="KW52" s="43">
        <f t="shared" si="228"/>
        <v>2</v>
      </c>
      <c r="KX52" s="30"/>
      <c r="KY52" s="47">
        <v>2</v>
      </c>
      <c r="KZ52" s="48" t="s">
        <v>4</v>
      </c>
      <c r="LA52" s="49">
        <v>1</v>
      </c>
      <c r="LB52" s="5"/>
      <c r="LC52" s="42">
        <f t="shared" si="229"/>
        <v>0</v>
      </c>
      <c r="LD52" s="43">
        <f t="shared" si="230"/>
        <v>1</v>
      </c>
      <c r="LE52" s="30"/>
      <c r="LF52" s="47">
        <v>3</v>
      </c>
      <c r="LG52" s="48" t="s">
        <v>4</v>
      </c>
      <c r="LH52" s="49">
        <v>1</v>
      </c>
      <c r="LI52" s="5"/>
      <c r="LJ52" s="42">
        <f t="shared" si="231"/>
        <v>0</v>
      </c>
      <c r="LK52" s="43">
        <f t="shared" si="232"/>
        <v>2</v>
      </c>
      <c r="LL52" s="30"/>
      <c r="LM52" s="47">
        <v>1</v>
      </c>
      <c r="LN52" s="48" t="s">
        <v>4</v>
      </c>
      <c r="LO52" s="49">
        <v>0</v>
      </c>
      <c r="LP52" s="5"/>
      <c r="LQ52" s="42">
        <f t="shared" si="233"/>
        <v>0</v>
      </c>
      <c r="LR52" s="43">
        <f t="shared" si="234"/>
        <v>1</v>
      </c>
      <c r="LS52" s="30"/>
      <c r="LT52" s="47">
        <v>2</v>
      </c>
      <c r="LU52" s="48" t="s">
        <v>4</v>
      </c>
      <c r="LV52" s="49">
        <v>0</v>
      </c>
      <c r="LW52" s="5"/>
      <c r="LX52" s="42">
        <f t="shared" si="235"/>
        <v>0</v>
      </c>
      <c r="LY52" s="43">
        <f t="shared" si="236"/>
        <v>2</v>
      </c>
      <c r="LZ52" s="30"/>
      <c r="MA52" s="47">
        <v>3</v>
      </c>
      <c r="MB52" s="48" t="s">
        <v>4</v>
      </c>
      <c r="MC52" s="49">
        <v>2</v>
      </c>
      <c r="MD52" s="5"/>
      <c r="ME52" s="42">
        <f t="shared" si="237"/>
        <v>0</v>
      </c>
      <c r="MF52" s="43">
        <f t="shared" si="238"/>
        <v>1</v>
      </c>
      <c r="MG52" s="30"/>
      <c r="MH52" s="47">
        <v>4</v>
      </c>
      <c r="MI52" s="48" t="s">
        <v>4</v>
      </c>
      <c r="MJ52" s="49">
        <v>0</v>
      </c>
      <c r="MK52" s="5"/>
      <c r="ML52" s="42">
        <f t="shared" si="239"/>
        <v>0</v>
      </c>
      <c r="MM52" s="43">
        <f t="shared" si="240"/>
        <v>4</v>
      </c>
      <c r="MN52" s="30"/>
      <c r="MO52" s="47">
        <v>4</v>
      </c>
      <c r="MP52" s="48" t="s">
        <v>4</v>
      </c>
      <c r="MQ52" s="49">
        <v>0</v>
      </c>
      <c r="MR52" s="5"/>
      <c r="MS52" s="42">
        <f t="shared" si="241"/>
        <v>0</v>
      </c>
      <c r="MT52" s="43">
        <f t="shared" si="242"/>
        <v>4</v>
      </c>
      <c r="MU52" s="30"/>
      <c r="MV52" s="47">
        <v>2</v>
      </c>
      <c r="MW52" s="48" t="s">
        <v>4</v>
      </c>
      <c r="MX52" s="49">
        <v>0</v>
      </c>
      <c r="MY52" s="5"/>
      <c r="MZ52" s="42">
        <f t="shared" si="243"/>
        <v>0</v>
      </c>
      <c r="NA52" s="43">
        <f t="shared" si="244"/>
        <v>2</v>
      </c>
      <c r="NB52" s="30"/>
      <c r="NC52" s="47">
        <v>3</v>
      </c>
      <c r="ND52" s="48" t="s">
        <v>4</v>
      </c>
      <c r="NE52" s="49">
        <v>3</v>
      </c>
      <c r="NF52" s="5"/>
      <c r="NG52" s="42">
        <f t="shared" si="245"/>
        <v>3.4</v>
      </c>
      <c r="NH52" s="43">
        <f t="shared" si="246"/>
        <v>0</v>
      </c>
      <c r="NI52" s="30"/>
      <c r="NJ52" s="47">
        <v>3</v>
      </c>
      <c r="NK52" s="48" t="s">
        <v>4</v>
      </c>
      <c r="NL52" s="49">
        <v>1</v>
      </c>
      <c r="NM52" s="5"/>
      <c r="NN52" s="42">
        <f t="shared" si="247"/>
        <v>0</v>
      </c>
      <c r="NO52" s="43">
        <f t="shared" si="248"/>
        <v>2</v>
      </c>
      <c r="NP52" s="30"/>
      <c r="NQ52" s="47">
        <v>3</v>
      </c>
      <c r="NR52" s="48" t="s">
        <v>4</v>
      </c>
      <c r="NS52" s="49">
        <v>1</v>
      </c>
      <c r="NT52" s="5"/>
      <c r="NU52" s="42">
        <f t="shared" si="249"/>
        <v>0</v>
      </c>
      <c r="NV52" s="43">
        <f t="shared" si="250"/>
        <v>2</v>
      </c>
      <c r="NW52" s="30"/>
      <c r="NX52" s="47">
        <v>2</v>
      </c>
      <c r="NY52" s="48" t="s">
        <v>4</v>
      </c>
      <c r="NZ52" s="49">
        <v>0</v>
      </c>
      <c r="OA52" s="5"/>
      <c r="OB52" s="42">
        <f t="shared" si="251"/>
        <v>0</v>
      </c>
      <c r="OC52" s="43">
        <f t="shared" si="252"/>
        <v>2</v>
      </c>
      <c r="OD52" s="30"/>
      <c r="OE52" s="47">
        <v>2</v>
      </c>
      <c r="OF52" s="48" t="s">
        <v>4</v>
      </c>
      <c r="OG52" s="49">
        <v>0</v>
      </c>
      <c r="OH52" s="5"/>
      <c r="OI52" s="42">
        <f t="shared" si="253"/>
        <v>0</v>
      </c>
      <c r="OJ52" s="43">
        <f t="shared" si="254"/>
        <v>2</v>
      </c>
      <c r="OK52" s="30"/>
      <c r="OL52" s="47">
        <v>2</v>
      </c>
      <c r="OM52" s="48" t="s">
        <v>4</v>
      </c>
      <c r="ON52" s="49">
        <v>0</v>
      </c>
      <c r="OO52" s="5"/>
      <c r="OP52" s="42">
        <f t="shared" si="255"/>
        <v>0</v>
      </c>
      <c r="OQ52" s="43">
        <f t="shared" si="256"/>
        <v>2</v>
      </c>
      <c r="OR52" s="30"/>
      <c r="OS52" s="47">
        <v>1</v>
      </c>
      <c r="OT52" s="48" t="s">
        <v>4</v>
      </c>
      <c r="OU52" s="49">
        <v>1</v>
      </c>
      <c r="OV52" s="5"/>
      <c r="OW52" s="42">
        <f t="shared" si="257"/>
        <v>3.4</v>
      </c>
      <c r="OX52" s="43">
        <f t="shared" si="258"/>
        <v>0</v>
      </c>
      <c r="OY52" s="30"/>
      <c r="OZ52" s="47">
        <v>3</v>
      </c>
      <c r="PA52" s="48" t="s">
        <v>4</v>
      </c>
      <c r="PB52" s="49">
        <v>2</v>
      </c>
      <c r="PC52" s="5"/>
      <c r="PD52" s="42">
        <f t="shared" si="259"/>
        <v>0</v>
      </c>
      <c r="PE52" s="43">
        <f t="shared" si="260"/>
        <v>1</v>
      </c>
      <c r="PF52" s="30"/>
      <c r="PG52" s="47">
        <v>2</v>
      </c>
      <c r="PH52" s="48" t="s">
        <v>4</v>
      </c>
      <c r="PI52" s="49">
        <v>1</v>
      </c>
      <c r="PJ52" s="5"/>
      <c r="PK52" s="42">
        <f t="shared" si="261"/>
        <v>0</v>
      </c>
      <c r="PL52" s="43">
        <f t="shared" si="262"/>
        <v>1</v>
      </c>
      <c r="PM52" s="30"/>
      <c r="PN52" s="47">
        <v>2</v>
      </c>
      <c r="PO52" s="48" t="s">
        <v>4</v>
      </c>
      <c r="PP52" s="49">
        <v>1</v>
      </c>
      <c r="PQ52" s="5"/>
      <c r="PR52" s="42">
        <f t="shared" si="263"/>
        <v>0</v>
      </c>
      <c r="PS52" s="43">
        <f t="shared" si="264"/>
        <v>1</v>
      </c>
      <c r="PT52" s="30"/>
      <c r="PU52" s="47">
        <v>3</v>
      </c>
      <c r="PV52" s="48" t="s">
        <v>4</v>
      </c>
      <c r="PW52" s="49">
        <v>1</v>
      </c>
      <c r="PX52" s="5"/>
      <c r="PY52" s="42">
        <f t="shared" si="265"/>
        <v>0</v>
      </c>
      <c r="PZ52" s="43">
        <f t="shared" si="266"/>
        <v>2</v>
      </c>
      <c r="QA52" s="30"/>
      <c r="QB52" s="47">
        <v>3</v>
      </c>
      <c r="QC52" s="48" t="s">
        <v>4</v>
      </c>
      <c r="QD52" s="49">
        <v>1</v>
      </c>
      <c r="QE52" s="5"/>
      <c r="QF52" s="42">
        <f t="shared" si="267"/>
        <v>0</v>
      </c>
      <c r="QG52" s="43">
        <f t="shared" si="268"/>
        <v>2</v>
      </c>
      <c r="QH52" s="30"/>
      <c r="QI52" s="47">
        <v>3</v>
      </c>
      <c r="QJ52" s="48" t="s">
        <v>4</v>
      </c>
      <c r="QK52" s="49">
        <v>1</v>
      </c>
      <c r="QL52" s="5"/>
      <c r="QM52" s="42">
        <f t="shared" si="269"/>
        <v>0</v>
      </c>
      <c r="QN52" s="43">
        <f t="shared" si="270"/>
        <v>2</v>
      </c>
      <c r="QO52" s="30"/>
      <c r="QP52" s="47">
        <v>3</v>
      </c>
      <c r="QQ52" s="48" t="s">
        <v>4</v>
      </c>
      <c r="QR52" s="49">
        <v>2</v>
      </c>
      <c r="QS52" s="5"/>
      <c r="QT52" s="42">
        <f t="shared" si="271"/>
        <v>0</v>
      </c>
      <c r="QU52" s="43">
        <f t="shared" si="272"/>
        <v>1</v>
      </c>
      <c r="QV52" s="30"/>
      <c r="QW52" s="47">
        <v>3</v>
      </c>
      <c r="QX52" s="48" t="s">
        <v>4</v>
      </c>
      <c r="QY52" s="49">
        <v>0</v>
      </c>
      <c r="QZ52" s="5"/>
      <c r="RA52" s="42">
        <f t="shared" si="273"/>
        <v>0</v>
      </c>
      <c r="RB52" s="43">
        <f t="shared" si="274"/>
        <v>3</v>
      </c>
      <c r="RC52" s="30"/>
      <c r="RD52" s="47"/>
      <c r="RE52" s="48" t="s">
        <v>4</v>
      </c>
      <c r="RF52" s="49"/>
      <c r="RG52" s="5"/>
      <c r="RH52" s="42" t="str">
        <f t="shared" si="275"/>
        <v/>
      </c>
      <c r="RI52" s="43">
        <f t="shared" si="276"/>
        <v>0</v>
      </c>
      <c r="RJ52" s="30"/>
      <c r="RK52" s="47">
        <v>2</v>
      </c>
      <c r="RL52" s="48" t="s">
        <v>4</v>
      </c>
      <c r="RM52" s="49">
        <v>0</v>
      </c>
      <c r="RN52" s="5"/>
      <c r="RO52" s="42">
        <f t="shared" si="277"/>
        <v>0</v>
      </c>
      <c r="RP52" s="43">
        <f t="shared" si="278"/>
        <v>2</v>
      </c>
      <c r="RQ52" s="30"/>
      <c r="RR52" s="47">
        <v>2</v>
      </c>
      <c r="RS52" s="48" t="s">
        <v>4</v>
      </c>
      <c r="RT52" s="49">
        <v>0</v>
      </c>
      <c r="RU52" s="5"/>
      <c r="RV52" s="42">
        <f t="shared" si="279"/>
        <v>0</v>
      </c>
      <c r="RW52" s="43">
        <f t="shared" si="280"/>
        <v>2</v>
      </c>
      <c r="RX52" s="30"/>
      <c r="RY52" s="47">
        <v>2</v>
      </c>
      <c r="RZ52" s="48" t="s">
        <v>4</v>
      </c>
      <c r="SA52" s="49">
        <v>0</v>
      </c>
      <c r="SB52" s="5"/>
      <c r="SC52" s="42">
        <f t="shared" si="281"/>
        <v>0</v>
      </c>
      <c r="SD52" s="43">
        <f t="shared" si="282"/>
        <v>2</v>
      </c>
      <c r="SE52" s="30"/>
      <c r="SF52" s="47">
        <v>2</v>
      </c>
      <c r="SG52" s="48" t="s">
        <v>4</v>
      </c>
      <c r="SH52" s="49">
        <v>0</v>
      </c>
      <c r="SI52" s="5"/>
      <c r="SJ52" s="42">
        <f t="shared" si="283"/>
        <v>0</v>
      </c>
      <c r="SK52" s="43">
        <f t="shared" si="284"/>
        <v>2</v>
      </c>
      <c r="SL52" s="30"/>
      <c r="SM52" s="47">
        <v>3</v>
      </c>
      <c r="SN52" s="48" t="s">
        <v>4</v>
      </c>
      <c r="SO52" s="49">
        <v>1</v>
      </c>
      <c r="SP52" s="5"/>
      <c r="SQ52" s="42">
        <f t="shared" si="285"/>
        <v>0</v>
      </c>
      <c r="SR52" s="43">
        <f t="shared" si="286"/>
        <v>2</v>
      </c>
    </row>
    <row r="53" spans="1:512" customFormat="1" ht="16" customHeight="1" x14ac:dyDescent="0.15">
      <c r="A53" s="34">
        <v>46197</v>
      </c>
      <c r="B53" s="35">
        <v>4.1666666666666664E-2</v>
      </c>
      <c r="C53" s="51" t="s">
        <v>59</v>
      </c>
      <c r="D53" s="51" t="s">
        <v>22</v>
      </c>
      <c r="E53" s="2">
        <v>0</v>
      </c>
      <c r="F53" s="50" t="s">
        <v>4</v>
      </c>
      <c r="G53" s="1">
        <v>1</v>
      </c>
      <c r="H53" s="16">
        <v>3.6</v>
      </c>
      <c r="I53" s="32">
        <f t="shared" si="0"/>
        <v>-1</v>
      </c>
      <c r="J53" s="47">
        <v>1</v>
      </c>
      <c r="K53" s="48" t="s">
        <v>4</v>
      </c>
      <c r="L53" s="49">
        <v>2</v>
      </c>
      <c r="M53" s="5"/>
      <c r="N53" s="42">
        <f t="shared" si="1"/>
        <v>3.6</v>
      </c>
      <c r="O53" s="43">
        <f t="shared" si="2"/>
        <v>-1</v>
      </c>
      <c r="P53" s="43">
        <f>IF($I53=0,IF(AND(#REF!&gt;#REF!,OR(AND(T53="",Q53&gt;S53),T53=1)),1,IF(AND(#REF!&lt;#REF!,OR(AND(T53="",Q53&lt;S53),T53=2)),1,0)),0)</f>
        <v>0</v>
      </c>
      <c r="Q53" s="47">
        <v>1</v>
      </c>
      <c r="R53" s="48" t="s">
        <v>4</v>
      </c>
      <c r="S53" s="49">
        <v>3</v>
      </c>
      <c r="T53" s="5"/>
      <c r="U53" s="42">
        <f t="shared" si="145"/>
        <v>3.6</v>
      </c>
      <c r="V53" s="43">
        <f t="shared" si="146"/>
        <v>-2</v>
      </c>
      <c r="W53" s="30"/>
      <c r="X53" s="47">
        <v>0</v>
      </c>
      <c r="Y53" s="48" t="s">
        <v>4</v>
      </c>
      <c r="Z53" s="49">
        <v>1</v>
      </c>
      <c r="AA53" s="5"/>
      <c r="AB53" s="42">
        <f t="shared" si="147"/>
        <v>5.4</v>
      </c>
      <c r="AC53" s="43">
        <f t="shared" si="148"/>
        <v>-1</v>
      </c>
      <c r="AD53" s="30"/>
      <c r="AE53" s="47">
        <v>0</v>
      </c>
      <c r="AF53" s="48" t="s">
        <v>4</v>
      </c>
      <c r="AG53" s="49">
        <v>0</v>
      </c>
      <c r="AH53" s="5"/>
      <c r="AI53" s="42">
        <f t="shared" si="149"/>
        <v>0</v>
      </c>
      <c r="AJ53" s="43">
        <f t="shared" si="150"/>
        <v>0</v>
      </c>
      <c r="AK53" s="30"/>
      <c r="AL53" s="47">
        <v>0</v>
      </c>
      <c r="AM53" s="48" t="s">
        <v>4</v>
      </c>
      <c r="AN53" s="49">
        <v>2</v>
      </c>
      <c r="AO53" s="5"/>
      <c r="AP53" s="42">
        <f t="shared" si="151"/>
        <v>3.6</v>
      </c>
      <c r="AQ53" s="43">
        <f t="shared" si="152"/>
        <v>-2</v>
      </c>
      <c r="AR53" s="30"/>
      <c r="AS53" s="47">
        <v>0</v>
      </c>
      <c r="AT53" s="48" t="s">
        <v>4</v>
      </c>
      <c r="AU53" s="49">
        <v>1</v>
      </c>
      <c r="AV53" s="5"/>
      <c r="AW53" s="42">
        <f t="shared" si="153"/>
        <v>5.4</v>
      </c>
      <c r="AX53" s="43">
        <f t="shared" si="154"/>
        <v>-1</v>
      </c>
      <c r="AY53" s="30"/>
      <c r="AZ53" s="47">
        <v>1</v>
      </c>
      <c r="BA53" s="48" t="s">
        <v>4</v>
      </c>
      <c r="BB53" s="49">
        <v>2</v>
      </c>
      <c r="BC53" s="5"/>
      <c r="BD53" s="42">
        <f t="shared" si="155"/>
        <v>3.6</v>
      </c>
      <c r="BE53" s="43">
        <f t="shared" si="156"/>
        <v>-1</v>
      </c>
      <c r="BF53" s="30"/>
      <c r="BG53" s="47">
        <v>1</v>
      </c>
      <c r="BH53" s="48" t="s">
        <v>4</v>
      </c>
      <c r="BI53" s="49">
        <v>2</v>
      </c>
      <c r="BJ53" s="5"/>
      <c r="BK53" s="42">
        <f t="shared" si="157"/>
        <v>3.6</v>
      </c>
      <c r="BL53" s="43">
        <f t="shared" si="158"/>
        <v>-1</v>
      </c>
      <c r="BM53" s="30"/>
      <c r="BN53" s="47">
        <v>0</v>
      </c>
      <c r="BO53" s="48" t="s">
        <v>4</v>
      </c>
      <c r="BP53" s="49">
        <v>2</v>
      </c>
      <c r="BQ53" s="5"/>
      <c r="BR53" s="42">
        <f t="shared" si="159"/>
        <v>3.6</v>
      </c>
      <c r="BS53" s="43">
        <f t="shared" si="160"/>
        <v>-2</v>
      </c>
      <c r="BT53" s="30"/>
      <c r="BU53" s="47">
        <v>0</v>
      </c>
      <c r="BV53" s="48" t="s">
        <v>4</v>
      </c>
      <c r="BW53" s="49">
        <v>1</v>
      </c>
      <c r="BX53" s="5"/>
      <c r="BY53" s="42">
        <f t="shared" si="161"/>
        <v>5.4</v>
      </c>
      <c r="BZ53" s="43">
        <f t="shared" si="162"/>
        <v>-1</v>
      </c>
      <c r="CA53" s="30"/>
      <c r="CB53" s="47">
        <v>1</v>
      </c>
      <c r="CC53" s="48" t="s">
        <v>4</v>
      </c>
      <c r="CD53" s="49">
        <v>3</v>
      </c>
      <c r="CE53" s="5"/>
      <c r="CF53" s="42">
        <f t="shared" si="163"/>
        <v>3.6</v>
      </c>
      <c r="CG53" s="43">
        <f t="shared" si="164"/>
        <v>-2</v>
      </c>
      <c r="CH53" s="30"/>
      <c r="CI53" s="47">
        <v>0</v>
      </c>
      <c r="CJ53" s="48" t="s">
        <v>4</v>
      </c>
      <c r="CK53" s="49">
        <v>2</v>
      </c>
      <c r="CL53" s="5"/>
      <c r="CM53" s="42">
        <f t="shared" si="165"/>
        <v>3.6</v>
      </c>
      <c r="CN53" s="43">
        <f t="shared" si="166"/>
        <v>-2</v>
      </c>
      <c r="CO53" s="30"/>
      <c r="CP53" s="47">
        <v>0</v>
      </c>
      <c r="CQ53" s="48" t="s">
        <v>4</v>
      </c>
      <c r="CR53" s="49">
        <v>4</v>
      </c>
      <c r="CS53" s="5"/>
      <c r="CT53" s="42">
        <f t="shared" si="167"/>
        <v>3.6</v>
      </c>
      <c r="CU53" s="43">
        <f t="shared" si="168"/>
        <v>-4</v>
      </c>
      <c r="CV53" s="30"/>
      <c r="CW53" s="47">
        <v>0</v>
      </c>
      <c r="CX53" s="48" t="s">
        <v>4</v>
      </c>
      <c r="CY53" s="49">
        <v>2</v>
      </c>
      <c r="CZ53" s="5"/>
      <c r="DA53" s="42">
        <f t="shared" si="169"/>
        <v>3.6</v>
      </c>
      <c r="DB53" s="43">
        <f t="shared" si="170"/>
        <v>-2</v>
      </c>
      <c r="DC53" s="30"/>
      <c r="DD53" s="47">
        <v>0</v>
      </c>
      <c r="DE53" s="48" t="s">
        <v>4</v>
      </c>
      <c r="DF53" s="49">
        <v>1</v>
      </c>
      <c r="DG53" s="5"/>
      <c r="DH53" s="42">
        <f t="shared" si="171"/>
        <v>5.4</v>
      </c>
      <c r="DI53" s="43">
        <f t="shared" si="172"/>
        <v>-1</v>
      </c>
      <c r="DJ53" s="30"/>
      <c r="DK53" s="47">
        <v>0</v>
      </c>
      <c r="DL53" s="48" t="s">
        <v>4</v>
      </c>
      <c r="DM53" s="49">
        <v>2</v>
      </c>
      <c r="DN53" s="5"/>
      <c r="DO53" s="42">
        <f t="shared" si="173"/>
        <v>3.6</v>
      </c>
      <c r="DP53" s="43">
        <f t="shared" si="174"/>
        <v>-2</v>
      </c>
      <c r="DQ53" s="30"/>
      <c r="DR53" s="47">
        <v>0</v>
      </c>
      <c r="DS53" s="48" t="s">
        <v>4</v>
      </c>
      <c r="DT53" s="49">
        <v>2</v>
      </c>
      <c r="DU53" s="5"/>
      <c r="DV53" s="42">
        <f t="shared" si="175"/>
        <v>3.6</v>
      </c>
      <c r="DW53" s="43">
        <f t="shared" si="176"/>
        <v>-2</v>
      </c>
      <c r="DX53" s="30"/>
      <c r="DY53" s="47">
        <v>0</v>
      </c>
      <c r="DZ53" s="48" t="s">
        <v>4</v>
      </c>
      <c r="EA53" s="49">
        <v>1</v>
      </c>
      <c r="EB53" s="5"/>
      <c r="EC53" s="42">
        <f t="shared" si="177"/>
        <v>5.4</v>
      </c>
      <c r="ED53" s="43">
        <f t="shared" si="178"/>
        <v>-1</v>
      </c>
      <c r="EE53" s="30"/>
      <c r="EF53" s="47">
        <v>0</v>
      </c>
      <c r="EG53" s="48" t="s">
        <v>4</v>
      </c>
      <c r="EH53" s="49">
        <v>1</v>
      </c>
      <c r="EI53" s="5"/>
      <c r="EJ53" s="42">
        <f t="shared" si="179"/>
        <v>5.4</v>
      </c>
      <c r="EK53" s="43">
        <f t="shared" si="180"/>
        <v>-1</v>
      </c>
      <c r="EL53" s="30"/>
      <c r="EM53" s="47">
        <v>1</v>
      </c>
      <c r="EN53" s="48" t="s">
        <v>4</v>
      </c>
      <c r="EO53" s="49">
        <v>3</v>
      </c>
      <c r="EP53" s="5"/>
      <c r="EQ53" s="42">
        <f t="shared" si="181"/>
        <v>3.6</v>
      </c>
      <c r="ER53" s="43">
        <f t="shared" si="182"/>
        <v>-2</v>
      </c>
      <c r="ES53" s="30"/>
      <c r="ET53" s="47">
        <v>1</v>
      </c>
      <c r="EU53" s="48" t="s">
        <v>4</v>
      </c>
      <c r="EV53" s="49">
        <v>2</v>
      </c>
      <c r="EW53" s="5"/>
      <c r="EX53" s="42">
        <f t="shared" si="183"/>
        <v>3.6</v>
      </c>
      <c r="EY53" s="43">
        <f t="shared" si="184"/>
        <v>-1</v>
      </c>
      <c r="EZ53" s="30"/>
      <c r="FA53" s="47">
        <v>0</v>
      </c>
      <c r="FB53" s="48" t="s">
        <v>4</v>
      </c>
      <c r="FC53" s="49">
        <v>2</v>
      </c>
      <c r="FD53" s="5"/>
      <c r="FE53" s="42">
        <f t="shared" si="185"/>
        <v>3.6</v>
      </c>
      <c r="FF53" s="43">
        <f t="shared" si="186"/>
        <v>-2</v>
      </c>
      <c r="FG53" s="30"/>
      <c r="FH53" s="47">
        <v>0</v>
      </c>
      <c r="FI53" s="48" t="s">
        <v>4</v>
      </c>
      <c r="FJ53" s="49">
        <v>2</v>
      </c>
      <c r="FK53" s="5"/>
      <c r="FL53" s="42">
        <f t="shared" si="187"/>
        <v>3.6</v>
      </c>
      <c r="FM53" s="43">
        <f t="shared" si="188"/>
        <v>-2</v>
      </c>
      <c r="FN53" s="30"/>
      <c r="FO53" s="47">
        <v>0</v>
      </c>
      <c r="FP53" s="48" t="s">
        <v>4</v>
      </c>
      <c r="FQ53" s="49">
        <v>2</v>
      </c>
      <c r="FR53" s="5"/>
      <c r="FS53" s="42">
        <f t="shared" si="189"/>
        <v>3.6</v>
      </c>
      <c r="FT53" s="43">
        <f t="shared" si="190"/>
        <v>-2</v>
      </c>
      <c r="FU53" s="30"/>
      <c r="FV53" s="47">
        <v>0</v>
      </c>
      <c r="FW53" s="48" t="s">
        <v>4</v>
      </c>
      <c r="FX53" s="49">
        <v>3</v>
      </c>
      <c r="FY53" s="5"/>
      <c r="FZ53" s="42">
        <f t="shared" si="191"/>
        <v>3.6</v>
      </c>
      <c r="GA53" s="43">
        <f t="shared" si="192"/>
        <v>-3</v>
      </c>
      <c r="GB53" s="30"/>
      <c r="GC53" s="47">
        <v>0</v>
      </c>
      <c r="GD53" s="48" t="s">
        <v>4</v>
      </c>
      <c r="GE53" s="49">
        <v>1</v>
      </c>
      <c r="GF53" s="5"/>
      <c r="GG53" s="42">
        <f t="shared" si="193"/>
        <v>5.4</v>
      </c>
      <c r="GH53" s="43">
        <f t="shared" si="194"/>
        <v>-1</v>
      </c>
      <c r="GI53" s="30"/>
      <c r="GJ53" s="47">
        <v>0</v>
      </c>
      <c r="GK53" s="48" t="s">
        <v>4</v>
      </c>
      <c r="GL53" s="49">
        <v>2</v>
      </c>
      <c r="GM53" s="5"/>
      <c r="GN53" s="42">
        <f t="shared" si="195"/>
        <v>3.6</v>
      </c>
      <c r="GO53" s="43">
        <f t="shared" si="196"/>
        <v>-2</v>
      </c>
      <c r="GP53" s="30"/>
      <c r="GQ53" s="47">
        <v>0</v>
      </c>
      <c r="GR53" s="48" t="s">
        <v>4</v>
      </c>
      <c r="GS53" s="49">
        <v>3</v>
      </c>
      <c r="GT53" s="5"/>
      <c r="GU53" s="42">
        <f t="shared" si="197"/>
        <v>3.6</v>
      </c>
      <c r="GV53" s="43">
        <f t="shared" si="198"/>
        <v>-3</v>
      </c>
      <c r="GW53" s="30"/>
      <c r="GX53" s="47">
        <v>1</v>
      </c>
      <c r="GY53" s="48" t="s">
        <v>4</v>
      </c>
      <c r="GZ53" s="49">
        <v>2</v>
      </c>
      <c r="HA53" s="5"/>
      <c r="HB53" s="42">
        <f t="shared" si="199"/>
        <v>3.6</v>
      </c>
      <c r="HC53" s="43">
        <f t="shared" si="200"/>
        <v>-1</v>
      </c>
      <c r="HD53" s="30"/>
      <c r="HE53" s="47">
        <v>1</v>
      </c>
      <c r="HF53" s="48" t="s">
        <v>4</v>
      </c>
      <c r="HG53" s="49">
        <v>3</v>
      </c>
      <c r="HH53" s="5"/>
      <c r="HI53" s="42">
        <f t="shared" si="201"/>
        <v>3.6</v>
      </c>
      <c r="HJ53" s="43">
        <f t="shared" si="202"/>
        <v>-2</v>
      </c>
      <c r="HK53" s="30"/>
      <c r="HL53" s="47">
        <v>0</v>
      </c>
      <c r="HM53" s="48" t="s">
        <v>4</v>
      </c>
      <c r="HN53" s="49">
        <v>2</v>
      </c>
      <c r="HO53" s="5"/>
      <c r="HP53" s="42">
        <f t="shared" si="203"/>
        <v>3.6</v>
      </c>
      <c r="HQ53" s="43">
        <f t="shared" si="204"/>
        <v>-2</v>
      </c>
      <c r="HR53" s="30"/>
      <c r="HS53" s="47">
        <v>1</v>
      </c>
      <c r="HT53" s="48" t="s">
        <v>4</v>
      </c>
      <c r="HU53" s="49">
        <v>2</v>
      </c>
      <c r="HV53" s="5"/>
      <c r="HW53" s="42">
        <f t="shared" si="205"/>
        <v>3.6</v>
      </c>
      <c r="HX53" s="43">
        <f t="shared" si="206"/>
        <v>-1</v>
      </c>
      <c r="HY53" s="30"/>
      <c r="HZ53" s="47">
        <v>0</v>
      </c>
      <c r="IA53" s="48" t="s">
        <v>4</v>
      </c>
      <c r="IB53" s="49">
        <v>2</v>
      </c>
      <c r="IC53" s="5"/>
      <c r="ID53" s="42">
        <f t="shared" si="207"/>
        <v>3.6</v>
      </c>
      <c r="IE53" s="43">
        <f t="shared" si="208"/>
        <v>-2</v>
      </c>
      <c r="IF53" s="30"/>
      <c r="IG53" s="47">
        <v>0</v>
      </c>
      <c r="IH53" s="48" t="s">
        <v>4</v>
      </c>
      <c r="II53" s="49">
        <v>2</v>
      </c>
      <c r="IJ53" s="5"/>
      <c r="IK53" s="42">
        <f t="shared" si="209"/>
        <v>3.6</v>
      </c>
      <c r="IL53" s="43">
        <f t="shared" si="210"/>
        <v>-2</v>
      </c>
      <c r="IM53" s="30"/>
      <c r="IN53" s="47">
        <v>1</v>
      </c>
      <c r="IO53" s="48" t="s">
        <v>4</v>
      </c>
      <c r="IP53" s="49">
        <v>2</v>
      </c>
      <c r="IQ53" s="5"/>
      <c r="IR53" s="42">
        <f t="shared" si="211"/>
        <v>3.6</v>
      </c>
      <c r="IS53" s="43">
        <f t="shared" si="212"/>
        <v>-1</v>
      </c>
      <c r="IT53" s="30"/>
      <c r="IU53" s="47">
        <v>0</v>
      </c>
      <c r="IV53" s="48" t="s">
        <v>4</v>
      </c>
      <c r="IW53" s="49">
        <v>2</v>
      </c>
      <c r="IX53" s="5"/>
      <c r="IY53" s="42">
        <f t="shared" si="213"/>
        <v>3.6</v>
      </c>
      <c r="IZ53" s="43">
        <f t="shared" si="214"/>
        <v>-2</v>
      </c>
      <c r="JA53" s="30"/>
      <c r="JB53" s="47">
        <v>0</v>
      </c>
      <c r="JC53" s="48" t="s">
        <v>4</v>
      </c>
      <c r="JD53" s="49">
        <v>2</v>
      </c>
      <c r="JE53" s="5"/>
      <c r="JF53" s="42">
        <f t="shared" si="215"/>
        <v>3.6</v>
      </c>
      <c r="JG53" s="43">
        <f t="shared" si="216"/>
        <v>-2</v>
      </c>
      <c r="JH53" s="30"/>
      <c r="JI53" s="47">
        <v>0</v>
      </c>
      <c r="JJ53" s="48" t="s">
        <v>4</v>
      </c>
      <c r="JK53" s="49">
        <v>3</v>
      </c>
      <c r="JL53" s="5"/>
      <c r="JM53" s="42">
        <f t="shared" si="217"/>
        <v>3.6</v>
      </c>
      <c r="JN53" s="43">
        <f t="shared" si="218"/>
        <v>-3</v>
      </c>
      <c r="JO53" s="30"/>
      <c r="JP53" s="47">
        <v>0</v>
      </c>
      <c r="JQ53" s="48" t="s">
        <v>4</v>
      </c>
      <c r="JR53" s="49">
        <v>3</v>
      </c>
      <c r="JS53" s="5"/>
      <c r="JT53" s="42">
        <f t="shared" si="219"/>
        <v>3.6</v>
      </c>
      <c r="JU53" s="43">
        <f t="shared" si="220"/>
        <v>-3</v>
      </c>
      <c r="JV53" s="30"/>
      <c r="JW53" s="47">
        <v>1</v>
      </c>
      <c r="JX53" s="48" t="s">
        <v>4</v>
      </c>
      <c r="JY53" s="49">
        <v>2</v>
      </c>
      <c r="JZ53" s="5"/>
      <c r="KA53" s="42">
        <f t="shared" si="221"/>
        <v>3.6</v>
      </c>
      <c r="KB53" s="43">
        <f t="shared" si="222"/>
        <v>-1</v>
      </c>
      <c r="KC53" s="30"/>
      <c r="KD53" s="47">
        <v>2</v>
      </c>
      <c r="KE53" s="48" t="s">
        <v>4</v>
      </c>
      <c r="KF53" s="49">
        <v>3</v>
      </c>
      <c r="KG53" s="5"/>
      <c r="KH53" s="42">
        <f t="shared" si="223"/>
        <v>3.6</v>
      </c>
      <c r="KI53" s="43">
        <f t="shared" si="224"/>
        <v>-1</v>
      </c>
      <c r="KJ53" s="30"/>
      <c r="KK53" s="47">
        <v>0</v>
      </c>
      <c r="KL53" s="48" t="s">
        <v>4</v>
      </c>
      <c r="KM53" s="49">
        <v>1</v>
      </c>
      <c r="KN53" s="5"/>
      <c r="KO53" s="42">
        <f t="shared" si="225"/>
        <v>5.4</v>
      </c>
      <c r="KP53" s="43">
        <f t="shared" si="226"/>
        <v>-1</v>
      </c>
      <c r="KQ53" s="30"/>
      <c r="KR53" s="47">
        <v>0</v>
      </c>
      <c r="KS53" s="48" t="s">
        <v>4</v>
      </c>
      <c r="KT53" s="49">
        <v>1</v>
      </c>
      <c r="KU53" s="5"/>
      <c r="KV53" s="42">
        <f t="shared" si="227"/>
        <v>5.4</v>
      </c>
      <c r="KW53" s="43">
        <f t="shared" si="228"/>
        <v>-1</v>
      </c>
      <c r="KX53" s="30"/>
      <c r="KY53" s="47">
        <v>1</v>
      </c>
      <c r="KZ53" s="48" t="s">
        <v>4</v>
      </c>
      <c r="LA53" s="49">
        <v>2</v>
      </c>
      <c r="LB53" s="5"/>
      <c r="LC53" s="42">
        <f t="shared" si="229"/>
        <v>3.6</v>
      </c>
      <c r="LD53" s="43">
        <f t="shared" si="230"/>
        <v>-1</v>
      </c>
      <c r="LE53" s="30"/>
      <c r="LF53" s="47">
        <v>0</v>
      </c>
      <c r="LG53" s="48" t="s">
        <v>4</v>
      </c>
      <c r="LH53" s="49">
        <v>3</v>
      </c>
      <c r="LI53" s="5"/>
      <c r="LJ53" s="42">
        <f t="shared" si="231"/>
        <v>3.6</v>
      </c>
      <c r="LK53" s="43">
        <f t="shared" si="232"/>
        <v>-3</v>
      </c>
      <c r="LL53" s="30"/>
      <c r="LM53" s="47">
        <v>2</v>
      </c>
      <c r="LN53" s="48" t="s">
        <v>4</v>
      </c>
      <c r="LO53" s="49">
        <v>3</v>
      </c>
      <c r="LP53" s="5"/>
      <c r="LQ53" s="42">
        <f t="shared" si="233"/>
        <v>3.6</v>
      </c>
      <c r="LR53" s="43">
        <f t="shared" si="234"/>
        <v>-1</v>
      </c>
      <c r="LS53" s="30"/>
      <c r="LT53" s="47">
        <v>0</v>
      </c>
      <c r="LU53" s="48" t="s">
        <v>4</v>
      </c>
      <c r="LV53" s="49">
        <v>2</v>
      </c>
      <c r="LW53" s="5"/>
      <c r="LX53" s="42">
        <f t="shared" si="235"/>
        <v>3.6</v>
      </c>
      <c r="LY53" s="43">
        <f t="shared" si="236"/>
        <v>-2</v>
      </c>
      <c r="LZ53" s="30"/>
      <c r="MA53" s="47">
        <v>0</v>
      </c>
      <c r="MB53" s="48" t="s">
        <v>4</v>
      </c>
      <c r="MC53" s="49">
        <v>5</v>
      </c>
      <c r="MD53" s="5"/>
      <c r="ME53" s="42">
        <f t="shared" si="237"/>
        <v>3.6</v>
      </c>
      <c r="MF53" s="43">
        <f t="shared" si="238"/>
        <v>-5</v>
      </c>
      <c r="MG53" s="30"/>
      <c r="MH53" s="47">
        <v>0</v>
      </c>
      <c r="MI53" s="48" t="s">
        <v>4</v>
      </c>
      <c r="MJ53" s="49">
        <v>5</v>
      </c>
      <c r="MK53" s="5"/>
      <c r="ML53" s="42">
        <f t="shared" si="239"/>
        <v>3.6</v>
      </c>
      <c r="MM53" s="43">
        <f t="shared" si="240"/>
        <v>-5</v>
      </c>
      <c r="MN53" s="30"/>
      <c r="MO53" s="47">
        <v>0</v>
      </c>
      <c r="MP53" s="48" t="s">
        <v>4</v>
      </c>
      <c r="MQ53" s="49">
        <v>3</v>
      </c>
      <c r="MR53" s="5"/>
      <c r="MS53" s="42">
        <f t="shared" si="241"/>
        <v>3.6</v>
      </c>
      <c r="MT53" s="43">
        <f t="shared" si="242"/>
        <v>-3</v>
      </c>
      <c r="MU53" s="30"/>
      <c r="MV53" s="47">
        <v>1</v>
      </c>
      <c r="MW53" s="48" t="s">
        <v>4</v>
      </c>
      <c r="MX53" s="49">
        <v>2</v>
      </c>
      <c r="MY53" s="5"/>
      <c r="MZ53" s="42">
        <f t="shared" si="243"/>
        <v>3.6</v>
      </c>
      <c r="NA53" s="43">
        <f t="shared" si="244"/>
        <v>-1</v>
      </c>
      <c r="NB53" s="30"/>
      <c r="NC53" s="47">
        <v>2</v>
      </c>
      <c r="ND53" s="48" t="s">
        <v>4</v>
      </c>
      <c r="NE53" s="49">
        <v>2</v>
      </c>
      <c r="NF53" s="5"/>
      <c r="NG53" s="42">
        <f t="shared" si="245"/>
        <v>0</v>
      </c>
      <c r="NH53" s="43">
        <f t="shared" si="246"/>
        <v>0</v>
      </c>
      <c r="NI53" s="30"/>
      <c r="NJ53" s="47">
        <v>2</v>
      </c>
      <c r="NK53" s="48" t="s">
        <v>4</v>
      </c>
      <c r="NL53" s="49">
        <v>2</v>
      </c>
      <c r="NM53" s="5"/>
      <c r="NN53" s="42">
        <f t="shared" si="247"/>
        <v>0</v>
      </c>
      <c r="NO53" s="43">
        <f t="shared" si="248"/>
        <v>0</v>
      </c>
      <c r="NP53" s="30"/>
      <c r="NQ53" s="47">
        <v>0</v>
      </c>
      <c r="NR53" s="48" t="s">
        <v>4</v>
      </c>
      <c r="NS53" s="49">
        <v>2</v>
      </c>
      <c r="NT53" s="5"/>
      <c r="NU53" s="42">
        <f t="shared" si="249"/>
        <v>3.6</v>
      </c>
      <c r="NV53" s="43">
        <f t="shared" si="250"/>
        <v>-2</v>
      </c>
      <c r="NW53" s="30"/>
      <c r="NX53" s="47">
        <v>1</v>
      </c>
      <c r="NY53" s="48" t="s">
        <v>4</v>
      </c>
      <c r="NZ53" s="49">
        <v>2</v>
      </c>
      <c r="OA53" s="5"/>
      <c r="OB53" s="42">
        <f t="shared" si="251"/>
        <v>3.6</v>
      </c>
      <c r="OC53" s="43">
        <f t="shared" si="252"/>
        <v>-1</v>
      </c>
      <c r="OD53" s="30"/>
      <c r="OE53" s="47">
        <v>0</v>
      </c>
      <c r="OF53" s="48" t="s">
        <v>4</v>
      </c>
      <c r="OG53" s="49">
        <v>2</v>
      </c>
      <c r="OH53" s="5"/>
      <c r="OI53" s="42">
        <f t="shared" si="253"/>
        <v>3.6</v>
      </c>
      <c r="OJ53" s="43">
        <f t="shared" si="254"/>
        <v>-2</v>
      </c>
      <c r="OK53" s="30"/>
      <c r="OL53" s="47">
        <v>0</v>
      </c>
      <c r="OM53" s="48" t="s">
        <v>4</v>
      </c>
      <c r="ON53" s="49">
        <v>1</v>
      </c>
      <c r="OO53" s="5"/>
      <c r="OP53" s="42">
        <f t="shared" si="255"/>
        <v>5.4</v>
      </c>
      <c r="OQ53" s="43">
        <f t="shared" si="256"/>
        <v>-1</v>
      </c>
      <c r="OR53" s="30"/>
      <c r="OS53" s="47">
        <v>0</v>
      </c>
      <c r="OT53" s="48" t="s">
        <v>4</v>
      </c>
      <c r="OU53" s="49">
        <v>1</v>
      </c>
      <c r="OV53" s="5"/>
      <c r="OW53" s="42">
        <f t="shared" si="257"/>
        <v>5.4</v>
      </c>
      <c r="OX53" s="43">
        <f t="shared" si="258"/>
        <v>-1</v>
      </c>
      <c r="OY53" s="30"/>
      <c r="OZ53" s="47">
        <v>1</v>
      </c>
      <c r="PA53" s="48" t="s">
        <v>4</v>
      </c>
      <c r="PB53" s="49">
        <v>2</v>
      </c>
      <c r="PC53" s="5"/>
      <c r="PD53" s="42">
        <f t="shared" si="259"/>
        <v>3.6</v>
      </c>
      <c r="PE53" s="43">
        <f t="shared" si="260"/>
        <v>-1</v>
      </c>
      <c r="PF53" s="30"/>
      <c r="PG53" s="47">
        <v>1</v>
      </c>
      <c r="PH53" s="48" t="s">
        <v>4</v>
      </c>
      <c r="PI53" s="49">
        <v>2</v>
      </c>
      <c r="PJ53" s="5"/>
      <c r="PK53" s="42">
        <f t="shared" si="261"/>
        <v>3.6</v>
      </c>
      <c r="PL53" s="43">
        <f t="shared" si="262"/>
        <v>-1</v>
      </c>
      <c r="PM53" s="30"/>
      <c r="PN53" s="47">
        <v>0</v>
      </c>
      <c r="PO53" s="48" t="s">
        <v>4</v>
      </c>
      <c r="PP53" s="49">
        <v>2</v>
      </c>
      <c r="PQ53" s="5"/>
      <c r="PR53" s="42">
        <f t="shared" si="263"/>
        <v>3.6</v>
      </c>
      <c r="PS53" s="43">
        <f t="shared" si="264"/>
        <v>-2</v>
      </c>
      <c r="PT53" s="30"/>
      <c r="PU53" s="47">
        <v>0</v>
      </c>
      <c r="PV53" s="48" t="s">
        <v>4</v>
      </c>
      <c r="PW53" s="49">
        <v>2</v>
      </c>
      <c r="PX53" s="5"/>
      <c r="PY53" s="42">
        <f t="shared" si="265"/>
        <v>3.6</v>
      </c>
      <c r="PZ53" s="43">
        <f t="shared" si="266"/>
        <v>-2</v>
      </c>
      <c r="QA53" s="30"/>
      <c r="QB53" s="47">
        <v>0</v>
      </c>
      <c r="QC53" s="48" t="s">
        <v>4</v>
      </c>
      <c r="QD53" s="49">
        <v>2</v>
      </c>
      <c r="QE53" s="5"/>
      <c r="QF53" s="42">
        <f t="shared" si="267"/>
        <v>3.6</v>
      </c>
      <c r="QG53" s="43">
        <f t="shared" si="268"/>
        <v>-2</v>
      </c>
      <c r="QH53" s="30"/>
      <c r="QI53" s="47">
        <v>0</v>
      </c>
      <c r="QJ53" s="48" t="s">
        <v>4</v>
      </c>
      <c r="QK53" s="49">
        <v>2</v>
      </c>
      <c r="QL53" s="5"/>
      <c r="QM53" s="42">
        <f t="shared" si="269"/>
        <v>3.6</v>
      </c>
      <c r="QN53" s="43">
        <f t="shared" si="270"/>
        <v>-2</v>
      </c>
      <c r="QO53" s="30"/>
      <c r="QP53" s="47">
        <v>0</v>
      </c>
      <c r="QQ53" s="48" t="s">
        <v>4</v>
      </c>
      <c r="QR53" s="49">
        <v>2</v>
      </c>
      <c r="QS53" s="5"/>
      <c r="QT53" s="42">
        <f t="shared" si="271"/>
        <v>3.6</v>
      </c>
      <c r="QU53" s="43">
        <f t="shared" si="272"/>
        <v>-2</v>
      </c>
      <c r="QV53" s="30"/>
      <c r="QW53" s="47">
        <v>1</v>
      </c>
      <c r="QX53" s="48" t="s">
        <v>4</v>
      </c>
      <c r="QY53" s="49">
        <v>1</v>
      </c>
      <c r="QZ53" s="5"/>
      <c r="RA53" s="42">
        <f t="shared" si="273"/>
        <v>0</v>
      </c>
      <c r="RB53" s="43">
        <f t="shared" si="274"/>
        <v>0</v>
      </c>
      <c r="RC53" s="30"/>
      <c r="RD53" s="47"/>
      <c r="RE53" s="48" t="s">
        <v>4</v>
      </c>
      <c r="RF53" s="49"/>
      <c r="RG53" s="5"/>
      <c r="RH53" s="42" t="str">
        <f t="shared" si="275"/>
        <v/>
      </c>
      <c r="RI53" s="43">
        <f t="shared" si="276"/>
        <v>0</v>
      </c>
      <c r="RJ53" s="30"/>
      <c r="RK53" s="47">
        <v>1</v>
      </c>
      <c r="RL53" s="48" t="s">
        <v>4</v>
      </c>
      <c r="RM53" s="49">
        <v>1</v>
      </c>
      <c r="RN53" s="5"/>
      <c r="RO53" s="42">
        <f t="shared" si="277"/>
        <v>0</v>
      </c>
      <c r="RP53" s="43">
        <f t="shared" si="278"/>
        <v>0</v>
      </c>
      <c r="RQ53" s="30"/>
      <c r="RR53" s="47">
        <v>1</v>
      </c>
      <c r="RS53" s="48" t="s">
        <v>4</v>
      </c>
      <c r="RT53" s="49">
        <v>1</v>
      </c>
      <c r="RU53" s="5"/>
      <c r="RV53" s="42">
        <f t="shared" si="279"/>
        <v>0</v>
      </c>
      <c r="RW53" s="43">
        <f t="shared" si="280"/>
        <v>0</v>
      </c>
      <c r="RX53" s="30"/>
      <c r="RY53" s="47">
        <v>1</v>
      </c>
      <c r="RZ53" s="48" t="s">
        <v>4</v>
      </c>
      <c r="SA53" s="49">
        <v>1</v>
      </c>
      <c r="SB53" s="5"/>
      <c r="SC53" s="42">
        <f t="shared" si="281"/>
        <v>0</v>
      </c>
      <c r="SD53" s="43">
        <f t="shared" si="282"/>
        <v>0</v>
      </c>
      <c r="SE53" s="30"/>
      <c r="SF53" s="47">
        <v>2</v>
      </c>
      <c r="SG53" s="48" t="s">
        <v>4</v>
      </c>
      <c r="SH53" s="49">
        <v>2</v>
      </c>
      <c r="SI53" s="5"/>
      <c r="SJ53" s="42">
        <f t="shared" si="283"/>
        <v>0</v>
      </c>
      <c r="SK53" s="43">
        <f t="shared" si="284"/>
        <v>0</v>
      </c>
      <c r="SL53" s="30"/>
      <c r="SM53" s="47">
        <v>1</v>
      </c>
      <c r="SN53" s="48" t="s">
        <v>4</v>
      </c>
      <c r="SO53" s="49">
        <v>3</v>
      </c>
      <c r="SP53" s="5"/>
      <c r="SQ53" s="42">
        <f t="shared" si="285"/>
        <v>3.6</v>
      </c>
      <c r="SR53" s="43">
        <f t="shared" si="286"/>
        <v>-2</v>
      </c>
    </row>
    <row r="54" spans="1:512" customFormat="1" ht="16" customHeight="1" x14ac:dyDescent="0.15">
      <c r="A54" s="34">
        <v>46197</v>
      </c>
      <c r="B54" s="35">
        <v>0.16666666666666666</v>
      </c>
      <c r="C54" s="79" t="s">
        <v>61</v>
      </c>
      <c r="D54" s="79" t="s">
        <v>57</v>
      </c>
      <c r="E54" s="2">
        <v>1</v>
      </c>
      <c r="F54" s="50" t="s">
        <v>4</v>
      </c>
      <c r="G54" s="1">
        <v>0</v>
      </c>
      <c r="H54" s="16">
        <v>3.6</v>
      </c>
      <c r="I54" s="32">
        <f t="shared" si="0"/>
        <v>1</v>
      </c>
      <c r="J54" s="47">
        <v>1</v>
      </c>
      <c r="K54" s="48" t="s">
        <v>4</v>
      </c>
      <c r="L54" s="49">
        <v>3</v>
      </c>
      <c r="M54" s="5"/>
      <c r="N54" s="42">
        <f t="shared" si="1"/>
        <v>0</v>
      </c>
      <c r="O54" s="43">
        <f t="shared" si="2"/>
        <v>-2</v>
      </c>
      <c r="P54" s="43">
        <f>IF($I54=0,IF(AND(#REF!&gt;#REF!,OR(AND(T54="",Q54&gt;S54),T54=1)),1,IF(AND(#REF!&lt;#REF!,OR(AND(T54="",Q54&lt;S54),T54=2)),1,0)),0)</f>
        <v>0</v>
      </c>
      <c r="Q54" s="47">
        <v>2</v>
      </c>
      <c r="R54" s="48" t="s">
        <v>4</v>
      </c>
      <c r="S54" s="49">
        <v>0</v>
      </c>
      <c r="T54" s="5"/>
      <c r="U54" s="42">
        <f t="shared" si="145"/>
        <v>3.6</v>
      </c>
      <c r="V54" s="43">
        <f t="shared" si="146"/>
        <v>2</v>
      </c>
      <c r="W54" s="30"/>
      <c r="X54" s="47">
        <v>2</v>
      </c>
      <c r="Y54" s="48" t="s">
        <v>4</v>
      </c>
      <c r="Z54" s="49">
        <v>1</v>
      </c>
      <c r="AA54" s="5"/>
      <c r="AB54" s="42">
        <f t="shared" si="147"/>
        <v>3.6</v>
      </c>
      <c r="AC54" s="43">
        <f t="shared" si="148"/>
        <v>1</v>
      </c>
      <c r="AD54" s="30"/>
      <c r="AE54" s="47">
        <v>1</v>
      </c>
      <c r="AF54" s="48" t="s">
        <v>4</v>
      </c>
      <c r="AG54" s="49">
        <v>1</v>
      </c>
      <c r="AH54" s="5"/>
      <c r="AI54" s="42">
        <f t="shared" si="149"/>
        <v>0</v>
      </c>
      <c r="AJ54" s="43">
        <f t="shared" si="150"/>
        <v>0</v>
      </c>
      <c r="AK54" s="30"/>
      <c r="AL54" s="47">
        <v>3</v>
      </c>
      <c r="AM54" s="48" t="s">
        <v>4</v>
      </c>
      <c r="AN54" s="49">
        <v>0</v>
      </c>
      <c r="AO54" s="5"/>
      <c r="AP54" s="42">
        <f t="shared" si="151"/>
        <v>3.6</v>
      </c>
      <c r="AQ54" s="43">
        <f t="shared" si="152"/>
        <v>3</v>
      </c>
      <c r="AR54" s="30"/>
      <c r="AS54" s="47">
        <v>2</v>
      </c>
      <c r="AT54" s="48" t="s">
        <v>4</v>
      </c>
      <c r="AU54" s="49">
        <v>1</v>
      </c>
      <c r="AV54" s="5"/>
      <c r="AW54" s="42">
        <f t="shared" si="153"/>
        <v>3.6</v>
      </c>
      <c r="AX54" s="43">
        <f t="shared" si="154"/>
        <v>1</v>
      </c>
      <c r="AY54" s="30"/>
      <c r="AZ54" s="47">
        <v>3</v>
      </c>
      <c r="BA54" s="48" t="s">
        <v>4</v>
      </c>
      <c r="BB54" s="49">
        <v>0</v>
      </c>
      <c r="BC54" s="5"/>
      <c r="BD54" s="42">
        <f t="shared" si="155"/>
        <v>3.6</v>
      </c>
      <c r="BE54" s="43">
        <f t="shared" si="156"/>
        <v>3</v>
      </c>
      <c r="BF54" s="30"/>
      <c r="BG54" s="47">
        <v>3</v>
      </c>
      <c r="BH54" s="48" t="s">
        <v>4</v>
      </c>
      <c r="BI54" s="49">
        <v>1</v>
      </c>
      <c r="BJ54" s="5"/>
      <c r="BK54" s="42">
        <f t="shared" si="157"/>
        <v>3.6</v>
      </c>
      <c r="BL54" s="43">
        <f t="shared" si="158"/>
        <v>2</v>
      </c>
      <c r="BM54" s="30"/>
      <c r="BN54" s="47">
        <v>2</v>
      </c>
      <c r="BO54" s="48" t="s">
        <v>4</v>
      </c>
      <c r="BP54" s="49">
        <v>0</v>
      </c>
      <c r="BQ54" s="5"/>
      <c r="BR54" s="42">
        <f t="shared" si="159"/>
        <v>3.6</v>
      </c>
      <c r="BS54" s="43">
        <f t="shared" si="160"/>
        <v>2</v>
      </c>
      <c r="BT54" s="30"/>
      <c r="BU54" s="47">
        <v>1</v>
      </c>
      <c r="BV54" s="48" t="s">
        <v>4</v>
      </c>
      <c r="BW54" s="49">
        <v>1</v>
      </c>
      <c r="BX54" s="5"/>
      <c r="BY54" s="42">
        <f t="shared" si="161"/>
        <v>0</v>
      </c>
      <c r="BZ54" s="43">
        <f t="shared" si="162"/>
        <v>0</v>
      </c>
      <c r="CA54" s="30"/>
      <c r="CB54" s="47">
        <v>2</v>
      </c>
      <c r="CC54" s="48" t="s">
        <v>4</v>
      </c>
      <c r="CD54" s="49">
        <v>2</v>
      </c>
      <c r="CE54" s="5"/>
      <c r="CF54" s="42">
        <f t="shared" si="163"/>
        <v>0</v>
      </c>
      <c r="CG54" s="43">
        <f t="shared" si="164"/>
        <v>0</v>
      </c>
      <c r="CH54" s="30"/>
      <c r="CI54" s="47">
        <v>2</v>
      </c>
      <c r="CJ54" s="48" t="s">
        <v>4</v>
      </c>
      <c r="CK54" s="49">
        <v>1</v>
      </c>
      <c r="CL54" s="5"/>
      <c r="CM54" s="42">
        <f t="shared" si="165"/>
        <v>3.6</v>
      </c>
      <c r="CN54" s="43">
        <f t="shared" si="166"/>
        <v>1</v>
      </c>
      <c r="CO54" s="30"/>
      <c r="CP54" s="47">
        <v>2</v>
      </c>
      <c r="CQ54" s="48" t="s">
        <v>4</v>
      </c>
      <c r="CR54" s="49">
        <v>1</v>
      </c>
      <c r="CS54" s="5"/>
      <c r="CT54" s="42">
        <f t="shared" si="167"/>
        <v>3.6</v>
      </c>
      <c r="CU54" s="43">
        <f t="shared" si="168"/>
        <v>1</v>
      </c>
      <c r="CV54" s="30"/>
      <c r="CW54" s="47">
        <v>2</v>
      </c>
      <c r="CX54" s="48" t="s">
        <v>4</v>
      </c>
      <c r="CY54" s="49">
        <v>0</v>
      </c>
      <c r="CZ54" s="5"/>
      <c r="DA54" s="42">
        <f t="shared" si="169"/>
        <v>3.6</v>
      </c>
      <c r="DB54" s="43">
        <f t="shared" si="170"/>
        <v>2</v>
      </c>
      <c r="DC54" s="30"/>
      <c r="DD54" s="47">
        <v>0</v>
      </c>
      <c r="DE54" s="48" t="s">
        <v>4</v>
      </c>
      <c r="DF54" s="49">
        <v>0</v>
      </c>
      <c r="DG54" s="5"/>
      <c r="DH54" s="42">
        <f t="shared" si="171"/>
        <v>0</v>
      </c>
      <c r="DI54" s="43">
        <f t="shared" si="172"/>
        <v>0</v>
      </c>
      <c r="DJ54" s="30"/>
      <c r="DK54" s="47">
        <v>1</v>
      </c>
      <c r="DL54" s="48" t="s">
        <v>4</v>
      </c>
      <c r="DM54" s="49">
        <v>0</v>
      </c>
      <c r="DN54" s="5"/>
      <c r="DO54" s="42">
        <f t="shared" si="173"/>
        <v>5.4</v>
      </c>
      <c r="DP54" s="43">
        <f t="shared" si="174"/>
        <v>1</v>
      </c>
      <c r="DQ54" s="30"/>
      <c r="DR54" s="47">
        <v>2</v>
      </c>
      <c r="DS54" s="48" t="s">
        <v>4</v>
      </c>
      <c r="DT54" s="49">
        <v>1</v>
      </c>
      <c r="DU54" s="5"/>
      <c r="DV54" s="42">
        <f t="shared" si="175"/>
        <v>3.6</v>
      </c>
      <c r="DW54" s="43">
        <f t="shared" si="176"/>
        <v>1</v>
      </c>
      <c r="DX54" s="30"/>
      <c r="DY54" s="47">
        <v>1</v>
      </c>
      <c r="DZ54" s="48" t="s">
        <v>4</v>
      </c>
      <c r="EA54" s="49">
        <v>2</v>
      </c>
      <c r="EB54" s="5"/>
      <c r="EC54" s="42">
        <f t="shared" si="177"/>
        <v>0</v>
      </c>
      <c r="ED54" s="43">
        <f t="shared" si="178"/>
        <v>-1</v>
      </c>
      <c r="EE54" s="30"/>
      <c r="EF54" s="47">
        <v>1</v>
      </c>
      <c r="EG54" s="48" t="s">
        <v>4</v>
      </c>
      <c r="EH54" s="49">
        <v>0</v>
      </c>
      <c r="EI54" s="5"/>
      <c r="EJ54" s="42">
        <f t="shared" si="179"/>
        <v>5.4</v>
      </c>
      <c r="EK54" s="43">
        <f t="shared" si="180"/>
        <v>1</v>
      </c>
      <c r="EL54" s="30"/>
      <c r="EM54" s="47">
        <v>2</v>
      </c>
      <c r="EN54" s="48" t="s">
        <v>4</v>
      </c>
      <c r="EO54" s="49">
        <v>0</v>
      </c>
      <c r="EP54" s="5"/>
      <c r="EQ54" s="42">
        <f t="shared" si="181"/>
        <v>3.6</v>
      </c>
      <c r="ER54" s="43">
        <f t="shared" si="182"/>
        <v>2</v>
      </c>
      <c r="ES54" s="30"/>
      <c r="ET54" s="47">
        <v>1</v>
      </c>
      <c r="EU54" s="48" t="s">
        <v>4</v>
      </c>
      <c r="EV54" s="49">
        <v>1</v>
      </c>
      <c r="EW54" s="5"/>
      <c r="EX54" s="42">
        <f t="shared" si="183"/>
        <v>0</v>
      </c>
      <c r="EY54" s="43">
        <f t="shared" si="184"/>
        <v>0</v>
      </c>
      <c r="EZ54" s="30"/>
      <c r="FA54" s="47">
        <v>3</v>
      </c>
      <c r="FB54" s="48" t="s">
        <v>4</v>
      </c>
      <c r="FC54" s="49">
        <v>1</v>
      </c>
      <c r="FD54" s="5"/>
      <c r="FE54" s="42">
        <f t="shared" si="185"/>
        <v>3.6</v>
      </c>
      <c r="FF54" s="43">
        <f t="shared" si="186"/>
        <v>2</v>
      </c>
      <c r="FG54" s="30"/>
      <c r="FH54" s="47">
        <v>1</v>
      </c>
      <c r="FI54" s="48" t="s">
        <v>4</v>
      </c>
      <c r="FJ54" s="49">
        <v>1</v>
      </c>
      <c r="FK54" s="5"/>
      <c r="FL54" s="42">
        <f t="shared" si="187"/>
        <v>0</v>
      </c>
      <c r="FM54" s="43">
        <f t="shared" si="188"/>
        <v>0</v>
      </c>
      <c r="FN54" s="30"/>
      <c r="FO54" s="47">
        <v>1</v>
      </c>
      <c r="FP54" s="48" t="s">
        <v>4</v>
      </c>
      <c r="FQ54" s="49">
        <v>0</v>
      </c>
      <c r="FR54" s="5"/>
      <c r="FS54" s="42">
        <f t="shared" si="189"/>
        <v>5.4</v>
      </c>
      <c r="FT54" s="43">
        <f t="shared" si="190"/>
        <v>1</v>
      </c>
      <c r="FU54" s="30"/>
      <c r="FV54" s="47">
        <v>2</v>
      </c>
      <c r="FW54" s="48" t="s">
        <v>4</v>
      </c>
      <c r="FX54" s="49">
        <v>0</v>
      </c>
      <c r="FY54" s="5"/>
      <c r="FZ54" s="42">
        <f t="shared" si="191"/>
        <v>3.6</v>
      </c>
      <c r="GA54" s="43">
        <f t="shared" si="192"/>
        <v>2</v>
      </c>
      <c r="GB54" s="30"/>
      <c r="GC54" s="47">
        <v>3</v>
      </c>
      <c r="GD54" s="48" t="s">
        <v>4</v>
      </c>
      <c r="GE54" s="49">
        <v>1</v>
      </c>
      <c r="GF54" s="5"/>
      <c r="GG54" s="42">
        <f t="shared" si="193"/>
        <v>3.6</v>
      </c>
      <c r="GH54" s="43">
        <f t="shared" si="194"/>
        <v>2</v>
      </c>
      <c r="GI54" s="30"/>
      <c r="GJ54" s="47">
        <v>2</v>
      </c>
      <c r="GK54" s="48" t="s">
        <v>4</v>
      </c>
      <c r="GL54" s="49">
        <v>0</v>
      </c>
      <c r="GM54" s="5"/>
      <c r="GN54" s="42">
        <f t="shared" si="195"/>
        <v>3.6</v>
      </c>
      <c r="GO54" s="43">
        <f t="shared" si="196"/>
        <v>2</v>
      </c>
      <c r="GP54" s="30"/>
      <c r="GQ54" s="47">
        <v>2</v>
      </c>
      <c r="GR54" s="48" t="s">
        <v>4</v>
      </c>
      <c r="GS54" s="49">
        <v>1</v>
      </c>
      <c r="GT54" s="5"/>
      <c r="GU54" s="42">
        <f t="shared" si="197"/>
        <v>3.6</v>
      </c>
      <c r="GV54" s="43">
        <f t="shared" si="198"/>
        <v>1</v>
      </c>
      <c r="GW54" s="30"/>
      <c r="GX54" s="47">
        <v>2</v>
      </c>
      <c r="GY54" s="48" t="s">
        <v>4</v>
      </c>
      <c r="GZ54" s="49">
        <v>0</v>
      </c>
      <c r="HA54" s="5"/>
      <c r="HB54" s="42">
        <f t="shared" si="199"/>
        <v>3.6</v>
      </c>
      <c r="HC54" s="43">
        <f t="shared" si="200"/>
        <v>2</v>
      </c>
      <c r="HD54" s="30"/>
      <c r="HE54" s="47">
        <v>3</v>
      </c>
      <c r="HF54" s="48" t="s">
        <v>4</v>
      </c>
      <c r="HG54" s="49">
        <v>0</v>
      </c>
      <c r="HH54" s="5"/>
      <c r="HI54" s="42">
        <f t="shared" si="201"/>
        <v>3.6</v>
      </c>
      <c r="HJ54" s="43">
        <f t="shared" si="202"/>
        <v>3</v>
      </c>
      <c r="HK54" s="30"/>
      <c r="HL54" s="47">
        <v>2</v>
      </c>
      <c r="HM54" s="48" t="s">
        <v>4</v>
      </c>
      <c r="HN54" s="49">
        <v>0</v>
      </c>
      <c r="HO54" s="5"/>
      <c r="HP54" s="42">
        <f t="shared" si="203"/>
        <v>3.6</v>
      </c>
      <c r="HQ54" s="43">
        <f t="shared" si="204"/>
        <v>2</v>
      </c>
      <c r="HR54" s="30"/>
      <c r="HS54" s="47">
        <v>1</v>
      </c>
      <c r="HT54" s="48" t="s">
        <v>4</v>
      </c>
      <c r="HU54" s="49">
        <v>0</v>
      </c>
      <c r="HV54" s="5"/>
      <c r="HW54" s="42">
        <f t="shared" si="205"/>
        <v>5.4</v>
      </c>
      <c r="HX54" s="43">
        <f t="shared" si="206"/>
        <v>1</v>
      </c>
      <c r="HY54" s="30"/>
      <c r="HZ54" s="47">
        <v>3</v>
      </c>
      <c r="IA54" s="48" t="s">
        <v>4</v>
      </c>
      <c r="IB54" s="49">
        <v>1</v>
      </c>
      <c r="IC54" s="5"/>
      <c r="ID54" s="42">
        <f t="shared" si="207"/>
        <v>3.6</v>
      </c>
      <c r="IE54" s="43">
        <f t="shared" si="208"/>
        <v>2</v>
      </c>
      <c r="IF54" s="30"/>
      <c r="IG54" s="47">
        <v>1</v>
      </c>
      <c r="IH54" s="48" t="s">
        <v>4</v>
      </c>
      <c r="II54" s="49">
        <v>4</v>
      </c>
      <c r="IJ54" s="5"/>
      <c r="IK54" s="42">
        <f t="shared" si="209"/>
        <v>0</v>
      </c>
      <c r="IL54" s="43">
        <f t="shared" si="210"/>
        <v>-3</v>
      </c>
      <c r="IM54" s="30"/>
      <c r="IN54" s="47">
        <v>2</v>
      </c>
      <c r="IO54" s="48" t="s">
        <v>4</v>
      </c>
      <c r="IP54" s="49">
        <v>2</v>
      </c>
      <c r="IQ54" s="5"/>
      <c r="IR54" s="42">
        <f t="shared" si="211"/>
        <v>0</v>
      </c>
      <c r="IS54" s="43">
        <f t="shared" si="212"/>
        <v>0</v>
      </c>
      <c r="IT54" s="30"/>
      <c r="IU54" s="47">
        <v>2</v>
      </c>
      <c r="IV54" s="48" t="s">
        <v>4</v>
      </c>
      <c r="IW54" s="49">
        <v>0</v>
      </c>
      <c r="IX54" s="5"/>
      <c r="IY54" s="42">
        <f t="shared" si="213"/>
        <v>3.6</v>
      </c>
      <c r="IZ54" s="43">
        <f t="shared" si="214"/>
        <v>2</v>
      </c>
      <c r="JA54" s="30"/>
      <c r="JB54" s="47">
        <v>2</v>
      </c>
      <c r="JC54" s="48" t="s">
        <v>4</v>
      </c>
      <c r="JD54" s="49">
        <v>0</v>
      </c>
      <c r="JE54" s="5"/>
      <c r="JF54" s="42">
        <f t="shared" si="215"/>
        <v>3.6</v>
      </c>
      <c r="JG54" s="43">
        <f t="shared" si="216"/>
        <v>2</v>
      </c>
      <c r="JH54" s="30"/>
      <c r="JI54" s="47">
        <v>2</v>
      </c>
      <c r="JJ54" s="48" t="s">
        <v>4</v>
      </c>
      <c r="JK54" s="49">
        <v>3</v>
      </c>
      <c r="JL54" s="5"/>
      <c r="JM54" s="42">
        <f t="shared" si="217"/>
        <v>0</v>
      </c>
      <c r="JN54" s="43">
        <f t="shared" si="218"/>
        <v>-1</v>
      </c>
      <c r="JO54" s="30"/>
      <c r="JP54" s="47">
        <v>1</v>
      </c>
      <c r="JQ54" s="48" t="s">
        <v>4</v>
      </c>
      <c r="JR54" s="49">
        <v>1</v>
      </c>
      <c r="JS54" s="5"/>
      <c r="JT54" s="42">
        <f t="shared" si="219"/>
        <v>0</v>
      </c>
      <c r="JU54" s="43">
        <f t="shared" si="220"/>
        <v>0</v>
      </c>
      <c r="JV54" s="30"/>
      <c r="JW54" s="47">
        <v>2</v>
      </c>
      <c r="JX54" s="48" t="s">
        <v>4</v>
      </c>
      <c r="JY54" s="49">
        <v>2</v>
      </c>
      <c r="JZ54" s="5"/>
      <c r="KA54" s="42">
        <f t="shared" si="221"/>
        <v>0</v>
      </c>
      <c r="KB54" s="43">
        <f t="shared" si="222"/>
        <v>0</v>
      </c>
      <c r="KC54" s="30"/>
      <c r="KD54" s="47">
        <v>1</v>
      </c>
      <c r="KE54" s="48" t="s">
        <v>4</v>
      </c>
      <c r="KF54" s="49">
        <v>1</v>
      </c>
      <c r="KG54" s="5"/>
      <c r="KH54" s="42">
        <f t="shared" si="223"/>
        <v>0</v>
      </c>
      <c r="KI54" s="43">
        <f t="shared" si="224"/>
        <v>0</v>
      </c>
      <c r="KJ54" s="30"/>
      <c r="KK54" s="47">
        <v>1</v>
      </c>
      <c r="KL54" s="48" t="s">
        <v>4</v>
      </c>
      <c r="KM54" s="49">
        <v>0</v>
      </c>
      <c r="KN54" s="5"/>
      <c r="KO54" s="42">
        <f t="shared" si="225"/>
        <v>5.4</v>
      </c>
      <c r="KP54" s="43">
        <f t="shared" si="226"/>
        <v>1</v>
      </c>
      <c r="KQ54" s="30"/>
      <c r="KR54" s="47">
        <v>1</v>
      </c>
      <c r="KS54" s="48" t="s">
        <v>4</v>
      </c>
      <c r="KT54" s="49">
        <v>0</v>
      </c>
      <c r="KU54" s="5"/>
      <c r="KV54" s="42">
        <f t="shared" si="227"/>
        <v>5.4</v>
      </c>
      <c r="KW54" s="43">
        <f t="shared" si="228"/>
        <v>1</v>
      </c>
      <c r="KX54" s="30"/>
      <c r="KY54" s="47">
        <v>2</v>
      </c>
      <c r="KZ54" s="48" t="s">
        <v>4</v>
      </c>
      <c r="LA54" s="49">
        <v>1</v>
      </c>
      <c r="LB54" s="5"/>
      <c r="LC54" s="42">
        <f t="shared" si="229"/>
        <v>3.6</v>
      </c>
      <c r="LD54" s="43">
        <f t="shared" si="230"/>
        <v>1</v>
      </c>
      <c r="LE54" s="30"/>
      <c r="LF54" s="47">
        <v>4</v>
      </c>
      <c r="LG54" s="48" t="s">
        <v>4</v>
      </c>
      <c r="LH54" s="49">
        <v>1</v>
      </c>
      <c r="LI54" s="5"/>
      <c r="LJ54" s="42">
        <f t="shared" si="231"/>
        <v>3.6</v>
      </c>
      <c r="LK54" s="43">
        <f t="shared" si="232"/>
        <v>3</v>
      </c>
      <c r="LL54" s="30"/>
      <c r="LM54" s="47">
        <v>1</v>
      </c>
      <c r="LN54" s="48" t="s">
        <v>4</v>
      </c>
      <c r="LO54" s="49">
        <v>1</v>
      </c>
      <c r="LP54" s="5"/>
      <c r="LQ54" s="42">
        <f t="shared" si="233"/>
        <v>0</v>
      </c>
      <c r="LR54" s="43">
        <f t="shared" si="234"/>
        <v>0</v>
      </c>
      <c r="LS54" s="30"/>
      <c r="LT54" s="47">
        <v>2</v>
      </c>
      <c r="LU54" s="48" t="s">
        <v>4</v>
      </c>
      <c r="LV54" s="49">
        <v>0</v>
      </c>
      <c r="LW54" s="5"/>
      <c r="LX54" s="42">
        <f t="shared" si="235"/>
        <v>3.6</v>
      </c>
      <c r="LY54" s="43">
        <f t="shared" si="236"/>
        <v>2</v>
      </c>
      <c r="LZ54" s="30"/>
      <c r="MA54" s="47">
        <v>3</v>
      </c>
      <c r="MB54" s="48" t="s">
        <v>4</v>
      </c>
      <c r="MC54" s="49">
        <v>3</v>
      </c>
      <c r="MD54" s="5"/>
      <c r="ME54" s="42">
        <f t="shared" si="237"/>
        <v>0</v>
      </c>
      <c r="MF54" s="43">
        <f t="shared" si="238"/>
        <v>0</v>
      </c>
      <c r="MG54" s="30"/>
      <c r="MH54" s="47">
        <v>2</v>
      </c>
      <c r="MI54" s="48" t="s">
        <v>4</v>
      </c>
      <c r="MJ54" s="49">
        <v>2</v>
      </c>
      <c r="MK54" s="5"/>
      <c r="ML54" s="42">
        <f t="shared" si="239"/>
        <v>0</v>
      </c>
      <c r="MM54" s="43">
        <f t="shared" si="240"/>
        <v>0</v>
      </c>
      <c r="MN54" s="30"/>
      <c r="MO54" s="47">
        <v>2</v>
      </c>
      <c r="MP54" s="48" t="s">
        <v>4</v>
      </c>
      <c r="MQ54" s="49">
        <v>0</v>
      </c>
      <c r="MR54" s="5"/>
      <c r="MS54" s="42">
        <f t="shared" si="241"/>
        <v>3.6</v>
      </c>
      <c r="MT54" s="43">
        <f t="shared" si="242"/>
        <v>2</v>
      </c>
      <c r="MU54" s="30"/>
      <c r="MV54" s="47">
        <v>2</v>
      </c>
      <c r="MW54" s="48" t="s">
        <v>4</v>
      </c>
      <c r="MX54" s="49">
        <v>0</v>
      </c>
      <c r="MY54" s="5"/>
      <c r="MZ54" s="42">
        <f t="shared" si="243"/>
        <v>3.6</v>
      </c>
      <c r="NA54" s="43">
        <f t="shared" si="244"/>
        <v>2</v>
      </c>
      <c r="NB54" s="30"/>
      <c r="NC54" s="47">
        <v>1</v>
      </c>
      <c r="ND54" s="48" t="s">
        <v>4</v>
      </c>
      <c r="NE54" s="49">
        <v>2</v>
      </c>
      <c r="NF54" s="5"/>
      <c r="NG54" s="42">
        <f t="shared" si="245"/>
        <v>0</v>
      </c>
      <c r="NH54" s="43">
        <f t="shared" si="246"/>
        <v>-1</v>
      </c>
      <c r="NI54" s="30"/>
      <c r="NJ54" s="47">
        <v>1</v>
      </c>
      <c r="NK54" s="48" t="s">
        <v>4</v>
      </c>
      <c r="NL54" s="49">
        <v>3</v>
      </c>
      <c r="NM54" s="5"/>
      <c r="NN54" s="42">
        <f t="shared" si="247"/>
        <v>0</v>
      </c>
      <c r="NO54" s="43">
        <f t="shared" si="248"/>
        <v>-2</v>
      </c>
      <c r="NP54" s="30"/>
      <c r="NQ54" s="47">
        <v>1</v>
      </c>
      <c r="NR54" s="48" t="s">
        <v>4</v>
      </c>
      <c r="NS54" s="49">
        <v>0</v>
      </c>
      <c r="NT54" s="5"/>
      <c r="NU54" s="42">
        <f t="shared" si="249"/>
        <v>5.4</v>
      </c>
      <c r="NV54" s="43">
        <f t="shared" si="250"/>
        <v>1</v>
      </c>
      <c r="NW54" s="30"/>
      <c r="NX54" s="47">
        <v>2</v>
      </c>
      <c r="NY54" s="48" t="s">
        <v>4</v>
      </c>
      <c r="NZ54" s="49">
        <v>1</v>
      </c>
      <c r="OA54" s="5"/>
      <c r="OB54" s="42">
        <f t="shared" si="251"/>
        <v>3.6</v>
      </c>
      <c r="OC54" s="43">
        <f t="shared" si="252"/>
        <v>1</v>
      </c>
      <c r="OD54" s="30"/>
      <c r="OE54" s="47">
        <v>3</v>
      </c>
      <c r="OF54" s="48" t="s">
        <v>4</v>
      </c>
      <c r="OG54" s="49">
        <v>1</v>
      </c>
      <c r="OH54" s="5"/>
      <c r="OI54" s="42">
        <f t="shared" si="253"/>
        <v>3.6</v>
      </c>
      <c r="OJ54" s="43">
        <f t="shared" si="254"/>
        <v>2</v>
      </c>
      <c r="OK54" s="30"/>
      <c r="OL54" s="47">
        <v>2</v>
      </c>
      <c r="OM54" s="48" t="s">
        <v>4</v>
      </c>
      <c r="ON54" s="49">
        <v>0</v>
      </c>
      <c r="OO54" s="5"/>
      <c r="OP54" s="42">
        <f t="shared" si="255"/>
        <v>3.6</v>
      </c>
      <c r="OQ54" s="43">
        <f t="shared" si="256"/>
        <v>2</v>
      </c>
      <c r="OR54" s="30"/>
      <c r="OS54" s="47">
        <v>1</v>
      </c>
      <c r="OT54" s="48" t="s">
        <v>4</v>
      </c>
      <c r="OU54" s="49">
        <v>0</v>
      </c>
      <c r="OV54" s="5"/>
      <c r="OW54" s="42">
        <f t="shared" si="257"/>
        <v>5.4</v>
      </c>
      <c r="OX54" s="43">
        <f t="shared" si="258"/>
        <v>1</v>
      </c>
      <c r="OY54" s="30"/>
      <c r="OZ54" s="47">
        <v>2</v>
      </c>
      <c r="PA54" s="48" t="s">
        <v>4</v>
      </c>
      <c r="PB54" s="49">
        <v>1</v>
      </c>
      <c r="PC54" s="5"/>
      <c r="PD54" s="42">
        <f t="shared" si="259"/>
        <v>3.6</v>
      </c>
      <c r="PE54" s="43">
        <f t="shared" si="260"/>
        <v>1</v>
      </c>
      <c r="PF54" s="30"/>
      <c r="PG54" s="47">
        <v>1</v>
      </c>
      <c r="PH54" s="48" t="s">
        <v>4</v>
      </c>
      <c r="PI54" s="49">
        <v>1</v>
      </c>
      <c r="PJ54" s="5"/>
      <c r="PK54" s="42">
        <f t="shared" si="261"/>
        <v>0</v>
      </c>
      <c r="PL54" s="43">
        <f t="shared" si="262"/>
        <v>0</v>
      </c>
      <c r="PM54" s="30"/>
      <c r="PN54" s="47">
        <v>2</v>
      </c>
      <c r="PO54" s="48" t="s">
        <v>4</v>
      </c>
      <c r="PP54" s="49">
        <v>0</v>
      </c>
      <c r="PQ54" s="5"/>
      <c r="PR54" s="42">
        <f t="shared" si="263"/>
        <v>3.6</v>
      </c>
      <c r="PS54" s="43">
        <f t="shared" si="264"/>
        <v>2</v>
      </c>
      <c r="PT54" s="30"/>
      <c r="PU54" s="47">
        <v>3</v>
      </c>
      <c r="PV54" s="48" t="s">
        <v>4</v>
      </c>
      <c r="PW54" s="49">
        <v>2</v>
      </c>
      <c r="PX54" s="5"/>
      <c r="PY54" s="42">
        <f t="shared" si="265"/>
        <v>3.6</v>
      </c>
      <c r="PZ54" s="43">
        <f t="shared" si="266"/>
        <v>1</v>
      </c>
      <c r="QA54" s="30"/>
      <c r="QB54" s="47">
        <v>2</v>
      </c>
      <c r="QC54" s="48" t="s">
        <v>4</v>
      </c>
      <c r="QD54" s="49">
        <v>0</v>
      </c>
      <c r="QE54" s="5"/>
      <c r="QF54" s="42">
        <f t="shared" si="267"/>
        <v>3.6</v>
      </c>
      <c r="QG54" s="43">
        <f t="shared" si="268"/>
        <v>2</v>
      </c>
      <c r="QH54" s="30"/>
      <c r="QI54" s="47">
        <v>2</v>
      </c>
      <c r="QJ54" s="48" t="s">
        <v>4</v>
      </c>
      <c r="QK54" s="49">
        <v>0</v>
      </c>
      <c r="QL54" s="5"/>
      <c r="QM54" s="42">
        <f t="shared" si="269"/>
        <v>3.6</v>
      </c>
      <c r="QN54" s="43">
        <f t="shared" si="270"/>
        <v>2</v>
      </c>
      <c r="QO54" s="30"/>
      <c r="QP54" s="47">
        <v>3</v>
      </c>
      <c r="QQ54" s="48" t="s">
        <v>4</v>
      </c>
      <c r="QR54" s="49">
        <v>0</v>
      </c>
      <c r="QS54" s="5"/>
      <c r="QT54" s="42">
        <f t="shared" si="271"/>
        <v>3.6</v>
      </c>
      <c r="QU54" s="43">
        <f t="shared" si="272"/>
        <v>3</v>
      </c>
      <c r="QV54" s="30"/>
      <c r="QW54" s="47">
        <v>2</v>
      </c>
      <c r="QX54" s="48" t="s">
        <v>4</v>
      </c>
      <c r="QY54" s="49">
        <v>0</v>
      </c>
      <c r="QZ54" s="5"/>
      <c r="RA54" s="42">
        <f t="shared" si="273"/>
        <v>3.6</v>
      </c>
      <c r="RB54" s="43">
        <f t="shared" si="274"/>
        <v>2</v>
      </c>
      <c r="RC54" s="30"/>
      <c r="RD54" s="47"/>
      <c r="RE54" s="48" t="s">
        <v>4</v>
      </c>
      <c r="RF54" s="49"/>
      <c r="RG54" s="5"/>
      <c r="RH54" s="42" t="str">
        <f t="shared" si="275"/>
        <v/>
      </c>
      <c r="RI54" s="43">
        <f t="shared" si="276"/>
        <v>0</v>
      </c>
      <c r="RJ54" s="30"/>
      <c r="RK54" s="47">
        <v>2</v>
      </c>
      <c r="RL54" s="48" t="s">
        <v>4</v>
      </c>
      <c r="RM54" s="49">
        <v>0</v>
      </c>
      <c r="RN54" s="5"/>
      <c r="RO54" s="42">
        <f t="shared" si="277"/>
        <v>3.6</v>
      </c>
      <c r="RP54" s="43">
        <f t="shared" si="278"/>
        <v>2</v>
      </c>
      <c r="RQ54" s="30"/>
      <c r="RR54" s="47">
        <v>2</v>
      </c>
      <c r="RS54" s="48" t="s">
        <v>4</v>
      </c>
      <c r="RT54" s="49">
        <v>0</v>
      </c>
      <c r="RU54" s="5"/>
      <c r="RV54" s="42">
        <f t="shared" si="279"/>
        <v>3.6</v>
      </c>
      <c r="RW54" s="43">
        <f t="shared" si="280"/>
        <v>2</v>
      </c>
      <c r="RX54" s="30"/>
      <c r="RY54" s="47">
        <v>2</v>
      </c>
      <c r="RZ54" s="48" t="s">
        <v>4</v>
      </c>
      <c r="SA54" s="49">
        <v>0</v>
      </c>
      <c r="SB54" s="5"/>
      <c r="SC54" s="42">
        <f t="shared" si="281"/>
        <v>3.6</v>
      </c>
      <c r="SD54" s="43">
        <f t="shared" si="282"/>
        <v>2</v>
      </c>
      <c r="SE54" s="30"/>
      <c r="SF54" s="47">
        <v>2</v>
      </c>
      <c r="SG54" s="48" t="s">
        <v>4</v>
      </c>
      <c r="SH54" s="49">
        <v>0</v>
      </c>
      <c r="SI54" s="5"/>
      <c r="SJ54" s="42">
        <f t="shared" si="283"/>
        <v>3.6</v>
      </c>
      <c r="SK54" s="43">
        <f t="shared" si="284"/>
        <v>2</v>
      </c>
      <c r="SL54" s="30"/>
      <c r="SM54" s="47">
        <v>2</v>
      </c>
      <c r="SN54" s="48" t="s">
        <v>4</v>
      </c>
      <c r="SO54" s="49">
        <v>1</v>
      </c>
      <c r="SP54" s="5"/>
      <c r="SQ54" s="42">
        <f t="shared" si="285"/>
        <v>3.6</v>
      </c>
      <c r="SR54" s="43">
        <f t="shared" si="286"/>
        <v>1</v>
      </c>
    </row>
    <row r="55" spans="1:512" customFormat="1" ht="9" customHeight="1" x14ac:dyDescent="0.2">
      <c r="A55" s="34"/>
      <c r="B55" s="35"/>
      <c r="C55" s="79"/>
      <c r="D55" s="79"/>
      <c r="E55" s="36"/>
      <c r="F55" s="6"/>
      <c r="G55" s="5"/>
      <c r="H55" s="8"/>
      <c r="I55" s="32"/>
      <c r="J55" s="47"/>
      <c r="K55" s="48"/>
      <c r="L55" s="49"/>
      <c r="M55" s="5"/>
      <c r="N55" s="42"/>
      <c r="O55" s="43"/>
      <c r="P55" s="43"/>
      <c r="Q55" s="47"/>
      <c r="R55" s="48" t="s">
        <v>4</v>
      </c>
      <c r="S55" s="49"/>
      <c r="T55" s="5"/>
      <c r="U55" s="42"/>
      <c r="V55" s="43"/>
      <c r="W55" s="30"/>
      <c r="X55" s="47"/>
      <c r="Y55" s="48"/>
      <c r="Z55" s="49"/>
      <c r="AA55" s="5"/>
      <c r="AB55" s="42"/>
      <c r="AC55" s="43"/>
      <c r="AD55" s="30"/>
      <c r="AE55" s="47"/>
      <c r="AF55" s="48" t="s">
        <v>4</v>
      </c>
      <c r="AG55" s="49"/>
      <c r="AH55" s="5"/>
      <c r="AI55" s="42"/>
      <c r="AJ55" s="43"/>
      <c r="AK55" s="30"/>
      <c r="AL55" s="47"/>
      <c r="AM55" s="48"/>
      <c r="AN55" s="49"/>
      <c r="AO55" s="5"/>
      <c r="AP55" s="42"/>
      <c r="AQ55" s="43"/>
      <c r="AR55" s="30"/>
      <c r="AS55" s="47"/>
      <c r="AT55" s="48" t="s">
        <v>4</v>
      </c>
      <c r="AU55" s="49"/>
      <c r="AV55" s="5"/>
      <c r="AW55" s="42"/>
      <c r="AX55" s="43"/>
      <c r="AY55" s="30"/>
      <c r="AZ55" s="47"/>
      <c r="BA55" s="48" t="s">
        <v>4</v>
      </c>
      <c r="BB55" s="49"/>
      <c r="BC55" s="5"/>
      <c r="BD55" s="42"/>
      <c r="BE55" s="43"/>
      <c r="BF55" s="30"/>
      <c r="BG55" s="47"/>
      <c r="BH55" s="48"/>
      <c r="BI55" s="49"/>
      <c r="BJ55" s="5"/>
      <c r="BK55" s="42"/>
      <c r="BL55" s="43"/>
      <c r="BM55" s="30"/>
      <c r="BN55" s="47"/>
      <c r="BO55" s="48"/>
      <c r="BP55" s="49"/>
      <c r="BQ55" s="5"/>
      <c r="BR55" s="42"/>
      <c r="BS55" s="43"/>
      <c r="BT55" s="30"/>
      <c r="BU55" s="47"/>
      <c r="BV55" s="48" t="s">
        <v>4</v>
      </c>
      <c r="BW55" s="49"/>
      <c r="BX55" s="5"/>
      <c r="BY55" s="42"/>
      <c r="BZ55" s="43"/>
      <c r="CA55" s="30"/>
      <c r="CB55" s="47"/>
      <c r="CC55" s="48" t="s">
        <v>4</v>
      </c>
      <c r="CD55" s="49"/>
      <c r="CE55" s="5"/>
      <c r="CF55" s="42"/>
      <c r="CG55" s="43"/>
      <c r="CH55" s="30"/>
      <c r="CI55" s="47"/>
      <c r="CJ55" s="48" t="s">
        <v>4</v>
      </c>
      <c r="CK55" s="49"/>
      <c r="CL55" s="5"/>
      <c r="CM55" s="42"/>
      <c r="CN55" s="43"/>
      <c r="CO55" s="30"/>
      <c r="CP55" s="47"/>
      <c r="CQ55" s="48" t="s">
        <v>4</v>
      </c>
      <c r="CR55" s="49"/>
      <c r="CS55" s="5"/>
      <c r="CT55" s="42"/>
      <c r="CU55" s="43"/>
      <c r="CV55" s="30"/>
      <c r="CW55" s="47"/>
      <c r="CX55" s="48" t="s">
        <v>4</v>
      </c>
      <c r="CY55" s="49"/>
      <c r="CZ55" s="5"/>
      <c r="DA55" s="42"/>
      <c r="DB55" s="43"/>
      <c r="DC55" s="30"/>
      <c r="DD55" s="47"/>
      <c r="DE55" s="48" t="s">
        <v>4</v>
      </c>
      <c r="DF55" s="49"/>
      <c r="DG55" s="5"/>
      <c r="DH55" s="42"/>
      <c r="DI55" s="43"/>
      <c r="DJ55" s="30"/>
      <c r="DK55" s="47"/>
      <c r="DL55" s="48" t="s">
        <v>4</v>
      </c>
      <c r="DM55" s="49"/>
      <c r="DN55" s="5"/>
      <c r="DO55" s="42"/>
      <c r="DP55" s="43"/>
      <c r="DQ55" s="30"/>
      <c r="DR55" s="47"/>
      <c r="DS55" s="48" t="s">
        <v>4</v>
      </c>
      <c r="DT55" s="49"/>
      <c r="DU55" s="5"/>
      <c r="DV55" s="42"/>
      <c r="DW55" s="43"/>
      <c r="DX55" s="30"/>
      <c r="DY55" s="47"/>
      <c r="DZ55" s="48" t="s">
        <v>4</v>
      </c>
      <c r="EA55" s="49"/>
      <c r="EB55" s="5"/>
      <c r="EC55" s="42"/>
      <c r="ED55" s="43"/>
      <c r="EE55" s="30"/>
      <c r="EF55" s="47"/>
      <c r="EG55" s="48" t="s">
        <v>4</v>
      </c>
      <c r="EH55" s="49"/>
      <c r="EI55" s="5"/>
      <c r="EJ55" s="42"/>
      <c r="EK55" s="43"/>
      <c r="EL55" s="30"/>
      <c r="EM55" s="47"/>
      <c r="EN55" s="48" t="s">
        <v>4</v>
      </c>
      <c r="EO55" s="49"/>
      <c r="EP55" s="5"/>
      <c r="EQ55" s="42"/>
      <c r="ER55" s="43"/>
      <c r="ES55" s="30"/>
      <c r="ET55" s="47"/>
      <c r="EU55" s="48" t="s">
        <v>4</v>
      </c>
      <c r="EV55" s="49"/>
      <c r="EW55" s="5"/>
      <c r="EX55" s="42"/>
      <c r="EY55" s="43"/>
      <c r="EZ55" s="30"/>
      <c r="FA55" s="47"/>
      <c r="FB55" s="48" t="s">
        <v>4</v>
      </c>
      <c r="FC55" s="49"/>
      <c r="FD55" s="5"/>
      <c r="FE55" s="42"/>
      <c r="FF55" s="43"/>
      <c r="FG55" s="30"/>
      <c r="FH55" s="47"/>
      <c r="FI55" s="48" t="s">
        <v>4</v>
      </c>
      <c r="FJ55" s="49"/>
      <c r="FK55" s="5"/>
      <c r="FL55" s="42"/>
      <c r="FM55" s="43"/>
      <c r="FN55" s="30"/>
      <c r="FO55" s="47"/>
      <c r="FP55" s="48" t="s">
        <v>4</v>
      </c>
      <c r="FQ55" s="49"/>
      <c r="FR55" s="5"/>
      <c r="FS55" s="42"/>
      <c r="FT55" s="43"/>
      <c r="FU55" s="30"/>
      <c r="FV55" s="47"/>
      <c r="FW55" s="48" t="s">
        <v>4</v>
      </c>
      <c r="FX55" s="49"/>
      <c r="FY55" s="5"/>
      <c r="FZ55" s="42"/>
      <c r="GA55" s="43"/>
      <c r="GB55" s="30"/>
      <c r="GC55" s="47"/>
      <c r="GD55" s="48" t="s">
        <v>4</v>
      </c>
      <c r="GE55" s="49"/>
      <c r="GF55" s="5"/>
      <c r="GG55" s="42"/>
      <c r="GH55" s="43"/>
      <c r="GI55" s="30"/>
      <c r="GJ55" s="47"/>
      <c r="GK55" s="48" t="s">
        <v>4</v>
      </c>
      <c r="GL55" s="49"/>
      <c r="GM55" s="5"/>
      <c r="GN55" s="42"/>
      <c r="GO55" s="43"/>
      <c r="GP55" s="30"/>
      <c r="GQ55" s="47"/>
      <c r="GR55" s="48" t="s">
        <v>4</v>
      </c>
      <c r="GS55" s="49"/>
      <c r="GT55" s="5"/>
      <c r="GU55" s="42"/>
      <c r="GV55" s="43"/>
      <c r="GW55" s="30"/>
      <c r="GX55" s="47"/>
      <c r="GY55" s="48" t="s">
        <v>4</v>
      </c>
      <c r="GZ55" s="49"/>
      <c r="HA55" s="5"/>
      <c r="HB55" s="42"/>
      <c r="HC55" s="43"/>
      <c r="HD55" s="30"/>
      <c r="HE55" s="47"/>
      <c r="HF55" s="48" t="s">
        <v>4</v>
      </c>
      <c r="HG55" s="49"/>
      <c r="HH55" s="5"/>
      <c r="HI55" s="42"/>
      <c r="HJ55" s="43"/>
      <c r="HK55" s="30"/>
      <c r="HL55" s="47"/>
      <c r="HM55" s="48" t="s">
        <v>4</v>
      </c>
      <c r="HN55" s="49"/>
      <c r="HO55" s="5"/>
      <c r="HP55" s="42"/>
      <c r="HQ55" s="43"/>
      <c r="HR55" s="30"/>
      <c r="HS55" s="47"/>
      <c r="HT55" s="48" t="s">
        <v>4</v>
      </c>
      <c r="HU55" s="49"/>
      <c r="HV55" s="5"/>
      <c r="HW55" s="42"/>
      <c r="HX55" s="43"/>
      <c r="HY55" s="30"/>
      <c r="HZ55" s="47"/>
      <c r="IA55" s="48" t="s">
        <v>4</v>
      </c>
      <c r="IB55" s="49"/>
      <c r="IC55" s="5"/>
      <c r="ID55" s="42"/>
      <c r="IE55" s="43"/>
      <c r="IF55" s="30"/>
      <c r="IG55" s="47"/>
      <c r="IH55" s="48" t="s">
        <v>4</v>
      </c>
      <c r="II55" s="49"/>
      <c r="IJ55" s="5"/>
      <c r="IK55" s="42"/>
      <c r="IL55" s="43"/>
      <c r="IM55" s="30"/>
      <c r="IN55" s="47"/>
      <c r="IO55" s="48" t="s">
        <v>4</v>
      </c>
      <c r="IP55" s="49"/>
      <c r="IQ55" s="5"/>
      <c r="IR55" s="42"/>
      <c r="IS55" s="43"/>
      <c r="IT55" s="30"/>
      <c r="IU55" s="47"/>
      <c r="IV55" s="48" t="s">
        <v>4</v>
      </c>
      <c r="IW55" s="49"/>
      <c r="IX55" s="5"/>
      <c r="IY55" s="42"/>
      <c r="IZ55" s="43"/>
      <c r="JA55" s="30"/>
      <c r="JB55" s="47"/>
      <c r="JC55" s="48" t="s">
        <v>4</v>
      </c>
      <c r="JD55" s="49"/>
      <c r="JE55" s="5"/>
      <c r="JF55" s="42"/>
      <c r="JG55" s="43"/>
      <c r="JH55" s="30"/>
      <c r="JI55" s="47"/>
      <c r="JJ55" s="48" t="s">
        <v>4</v>
      </c>
      <c r="JK55" s="49"/>
      <c r="JL55" s="5"/>
      <c r="JM55" s="42"/>
      <c r="JN55" s="43"/>
      <c r="JO55" s="30"/>
      <c r="JP55" s="47"/>
      <c r="JQ55" s="48" t="s">
        <v>4</v>
      </c>
      <c r="JR55" s="49"/>
      <c r="JS55" s="5"/>
      <c r="JT55" s="42"/>
      <c r="JU55" s="43"/>
      <c r="JV55" s="30"/>
      <c r="JW55" s="47"/>
      <c r="JX55" s="48" t="s">
        <v>4</v>
      </c>
      <c r="JY55" s="49"/>
      <c r="JZ55" s="5"/>
      <c r="KA55" s="42"/>
      <c r="KB55" s="43"/>
      <c r="KC55" s="30"/>
      <c r="KD55" s="47"/>
      <c r="KE55" s="48" t="s">
        <v>4</v>
      </c>
      <c r="KF55" s="49"/>
      <c r="KG55" s="5"/>
      <c r="KH55" s="42"/>
      <c r="KI55" s="43"/>
      <c r="KJ55" s="30"/>
      <c r="KK55" s="47"/>
      <c r="KL55" s="48" t="s">
        <v>4</v>
      </c>
      <c r="KM55" s="49"/>
      <c r="KN55" s="5"/>
      <c r="KO55" s="42"/>
      <c r="KP55" s="43"/>
      <c r="KQ55" s="30"/>
      <c r="KR55" s="47"/>
      <c r="KS55" s="48" t="s">
        <v>4</v>
      </c>
      <c r="KT55" s="49"/>
      <c r="KU55" s="5"/>
      <c r="KV55" s="42"/>
      <c r="KW55" s="43"/>
      <c r="KX55" s="30"/>
      <c r="KY55" s="47"/>
      <c r="KZ55" s="48" t="s">
        <v>4</v>
      </c>
      <c r="LA55" s="49"/>
      <c r="LB55" s="5"/>
      <c r="LC55" s="42"/>
      <c r="LD55" s="43"/>
      <c r="LE55" s="30"/>
      <c r="LF55" s="47"/>
      <c r="LG55" s="48" t="s">
        <v>4</v>
      </c>
      <c r="LH55" s="49"/>
      <c r="LI55" s="5"/>
      <c r="LJ55" s="42"/>
      <c r="LK55" s="43"/>
      <c r="LL55" s="30"/>
      <c r="LM55" s="47"/>
      <c r="LN55" s="48" t="s">
        <v>4</v>
      </c>
      <c r="LO55" s="49"/>
      <c r="LP55" s="5"/>
      <c r="LQ55" s="42"/>
      <c r="LR55" s="43"/>
      <c r="LS55" s="30"/>
      <c r="LT55" s="47"/>
      <c r="LU55" s="48"/>
      <c r="LV55" s="49"/>
      <c r="LW55" s="5"/>
      <c r="LX55" s="42"/>
      <c r="LY55" s="43"/>
      <c r="LZ55" s="30"/>
      <c r="MA55" s="47"/>
      <c r="MB55" s="48" t="s">
        <v>4</v>
      </c>
      <c r="MC55" s="49"/>
      <c r="MD55" s="5"/>
      <c r="ME55" s="42"/>
      <c r="MF55" s="43"/>
      <c r="MG55" s="30"/>
      <c r="MH55" s="47"/>
      <c r="MI55" s="48" t="s">
        <v>4</v>
      </c>
      <c r="MJ55" s="49"/>
      <c r="MK55" s="5"/>
      <c r="ML55" s="42"/>
      <c r="MM55" s="43"/>
      <c r="MN55" s="30"/>
      <c r="MO55" s="47"/>
      <c r="MP55" s="48" t="s">
        <v>4</v>
      </c>
      <c r="MQ55" s="49"/>
      <c r="MR55" s="5"/>
      <c r="MS55" s="42"/>
      <c r="MT55" s="43"/>
      <c r="MU55" s="30"/>
      <c r="MV55" s="47"/>
      <c r="MW55" s="48" t="s">
        <v>4</v>
      </c>
      <c r="MX55" s="49"/>
      <c r="MY55" s="5"/>
      <c r="MZ55" s="42"/>
      <c r="NA55" s="43"/>
      <c r="NB55" s="30"/>
      <c r="NC55" s="47"/>
      <c r="ND55" s="48" t="s">
        <v>4</v>
      </c>
      <c r="NE55" s="49"/>
      <c r="NF55" s="5"/>
      <c r="NG55" s="42"/>
      <c r="NH55" s="43"/>
      <c r="NI55" s="30"/>
      <c r="NJ55" s="47"/>
      <c r="NK55" s="48"/>
      <c r="NL55" s="49"/>
      <c r="NM55" s="5"/>
      <c r="NN55" s="42"/>
      <c r="NO55" s="43"/>
      <c r="NP55" s="30"/>
      <c r="NQ55" s="47"/>
      <c r="NR55" s="48"/>
      <c r="NS55" s="49"/>
      <c r="NT55" s="5"/>
      <c r="NU55" s="42"/>
      <c r="NV55" s="43"/>
      <c r="NW55" s="30"/>
      <c r="NX55" s="47"/>
      <c r="NY55" s="48"/>
      <c r="NZ55" s="49"/>
      <c r="OA55" s="5"/>
      <c r="OB55" s="42"/>
      <c r="OC55" s="43"/>
      <c r="OD55" s="30"/>
      <c r="OE55" s="47"/>
      <c r="OF55" s="48" t="s">
        <v>4</v>
      </c>
      <c r="OG55" s="49"/>
      <c r="OH55" s="5"/>
      <c r="OI55" s="42"/>
      <c r="OJ55" s="43"/>
      <c r="OK55" s="30"/>
      <c r="OL55" s="47"/>
      <c r="OM55" s="48" t="s">
        <v>4</v>
      </c>
      <c r="ON55" s="49"/>
      <c r="OO55" s="5"/>
      <c r="OP55" s="42"/>
      <c r="OQ55" s="43"/>
      <c r="OR55" s="30"/>
      <c r="OS55" s="47"/>
      <c r="OT55" s="48"/>
      <c r="OU55" s="49"/>
      <c r="OV55" s="5"/>
      <c r="OW55" s="42"/>
      <c r="OX55" s="43"/>
      <c r="OY55" s="30"/>
      <c r="OZ55" s="47"/>
      <c r="PA55" s="48" t="s">
        <v>4</v>
      </c>
      <c r="PB55" s="49"/>
      <c r="PC55" s="5"/>
      <c r="PD55" s="42"/>
      <c r="PE55" s="43"/>
      <c r="PF55" s="30"/>
      <c r="PG55" s="47"/>
      <c r="PH55" s="48" t="s">
        <v>4</v>
      </c>
      <c r="PI55" s="49"/>
      <c r="PJ55" s="5"/>
      <c r="PK55" s="42"/>
      <c r="PL55" s="43"/>
      <c r="PM55" s="30"/>
      <c r="PN55" s="47"/>
      <c r="PO55" s="48" t="s">
        <v>4</v>
      </c>
      <c r="PP55" s="49"/>
      <c r="PQ55" s="5"/>
      <c r="PR55" s="42"/>
      <c r="PS55" s="43"/>
      <c r="PT55" s="30"/>
      <c r="PU55" s="47"/>
      <c r="PV55" s="48"/>
      <c r="PW55" s="49"/>
      <c r="PX55" s="5"/>
      <c r="PY55" s="42"/>
      <c r="PZ55" s="43"/>
      <c r="QA55" s="30"/>
      <c r="QB55" s="47"/>
      <c r="QC55" s="48"/>
      <c r="QD55" s="49"/>
      <c r="QE55" s="5"/>
      <c r="QF55" s="42"/>
      <c r="QG55" s="43"/>
      <c r="QH55" s="30"/>
      <c r="QI55" s="47"/>
      <c r="QJ55" s="48"/>
      <c r="QK55" s="49"/>
      <c r="QL55" s="5"/>
      <c r="QM55" s="42"/>
      <c r="QN55" s="43"/>
      <c r="QO55" s="30"/>
      <c r="QP55" s="47"/>
      <c r="QQ55" s="48"/>
      <c r="QR55" s="49"/>
      <c r="QS55" s="5"/>
      <c r="QT55" s="42"/>
      <c r="QU55" s="43"/>
      <c r="QV55" s="30"/>
      <c r="QW55" s="47"/>
      <c r="QX55" s="48"/>
      <c r="QY55" s="49"/>
      <c r="QZ55" s="5"/>
      <c r="RA55" s="42"/>
      <c r="RB55" s="43"/>
      <c r="RC55" s="30"/>
      <c r="RD55" s="47"/>
      <c r="RE55" s="48" t="s">
        <v>4</v>
      </c>
      <c r="RF55" s="49"/>
      <c r="RG55" s="5"/>
      <c r="RH55" s="42"/>
      <c r="RI55" s="43"/>
      <c r="RJ55" s="30"/>
      <c r="RK55" s="47"/>
      <c r="RL55" s="48"/>
      <c r="RM55" s="49"/>
      <c r="RN55" s="5"/>
      <c r="RO55" s="42"/>
      <c r="RP55" s="43"/>
      <c r="RQ55" s="30"/>
      <c r="RR55" s="47"/>
      <c r="RS55" s="48"/>
      <c r="RT55" s="49"/>
      <c r="RU55" s="5"/>
      <c r="RV55" s="42"/>
      <c r="RW55" s="43"/>
      <c r="RX55" s="30"/>
      <c r="RY55" s="47"/>
      <c r="RZ55" s="48"/>
      <c r="SA55" s="49"/>
      <c r="SB55" s="5"/>
      <c r="SC55" s="42"/>
      <c r="SD55" s="43"/>
      <c r="SE55" s="30"/>
      <c r="SF55" s="47"/>
      <c r="SG55" s="48"/>
      <c r="SH55" s="49"/>
      <c r="SI55" s="5"/>
      <c r="SJ55" s="42"/>
      <c r="SK55" s="43"/>
      <c r="SL55" s="30"/>
      <c r="SM55" s="47"/>
      <c r="SN55" s="48"/>
      <c r="SO55" s="49"/>
      <c r="SP55" s="5"/>
      <c r="SQ55" s="42"/>
      <c r="SR55" s="43"/>
    </row>
    <row r="56" spans="1:512" customFormat="1" ht="16" customHeight="1" x14ac:dyDescent="0.15">
      <c r="A56" s="34">
        <v>46197</v>
      </c>
      <c r="B56" s="35">
        <v>0.875</v>
      </c>
      <c r="C56" s="51" t="s">
        <v>21</v>
      </c>
      <c r="D56" s="51" t="s">
        <v>31</v>
      </c>
      <c r="E56" s="2">
        <v>2</v>
      </c>
      <c r="F56" s="50" t="s">
        <v>4</v>
      </c>
      <c r="G56" s="1">
        <v>1</v>
      </c>
      <c r="H56" s="16">
        <v>3.6</v>
      </c>
      <c r="I56" s="32">
        <f t="shared" si="0"/>
        <v>1</v>
      </c>
      <c r="J56" s="47">
        <v>1</v>
      </c>
      <c r="K56" s="48" t="s">
        <v>4</v>
      </c>
      <c r="L56" s="49">
        <v>1</v>
      </c>
      <c r="M56" s="5"/>
      <c r="N56" s="42">
        <f t="shared" si="1"/>
        <v>0</v>
      </c>
      <c r="O56" s="43">
        <f t="shared" si="2"/>
        <v>0</v>
      </c>
      <c r="P56" s="43">
        <f>IF($I56=0,IF(AND(#REF!&gt;#REF!,OR(AND(T56="",Q56&gt;S56),T56=1)),1,IF(AND(#REF!&lt;#REF!,OR(AND(T56="",Q56&lt;S56),T56=2)),1,0)),0)</f>
        <v>0</v>
      </c>
      <c r="Q56" s="47">
        <v>1</v>
      </c>
      <c r="R56" s="48" t="s">
        <v>4</v>
      </c>
      <c r="S56" s="49">
        <v>0</v>
      </c>
      <c r="T56" s="5"/>
      <c r="U56" s="42">
        <f t="shared" ref="U56:U79" si="287">IF(OR($G56="",S56=""),"",IF(AND($E56=Q56,$G56=S56),$H56*1.5,IF(AND($I56&gt;0,V56&gt;0),$H56,IF(AND($I56&lt;0,V56&lt;0),$H56,IF(AND($I56=0,V56=0),$H56,0)))))</f>
        <v>3.6</v>
      </c>
      <c r="V56" s="43">
        <f t="shared" ref="V56:V79" si="288">Q56-S56</f>
        <v>1</v>
      </c>
      <c r="W56" s="30"/>
      <c r="X56" s="47">
        <v>3</v>
      </c>
      <c r="Y56" s="48" t="s">
        <v>4</v>
      </c>
      <c r="Z56" s="49">
        <v>0</v>
      </c>
      <c r="AA56" s="5"/>
      <c r="AB56" s="42">
        <f t="shared" ref="AB56:AB79" si="289">IF(OR($G56="",Z56=""),"",IF(AND($E56=X56,$G56=Z56),$H56*1.5,IF(AND($I56&gt;0,AC56&gt;0),$H56,IF(AND($I56&lt;0,AC56&lt;0),$H56,IF(AND($I56=0,AC56=0),$H56,0)))))</f>
        <v>3.6</v>
      </c>
      <c r="AC56" s="43">
        <f t="shared" ref="AC56:AC79" si="290">X56-Z56</f>
        <v>3</v>
      </c>
      <c r="AD56" s="30"/>
      <c r="AE56" s="47">
        <v>2</v>
      </c>
      <c r="AF56" s="48" t="s">
        <v>4</v>
      </c>
      <c r="AG56" s="49">
        <v>0</v>
      </c>
      <c r="AH56" s="5"/>
      <c r="AI56" s="42">
        <f t="shared" ref="AI56:AI79" si="291">IF(OR($G56="",AG56=""),"",IF(AND($E56=AE56,$G56=AG56),$H56*1.5,IF(AND($I56&gt;0,AJ56&gt;0),$H56,IF(AND($I56&lt;0,AJ56&lt;0),$H56,IF(AND($I56=0,AJ56=0),$H56,0)))))</f>
        <v>3.6</v>
      </c>
      <c r="AJ56" s="43">
        <f t="shared" ref="AJ56:AJ79" si="292">AE56-AG56</f>
        <v>2</v>
      </c>
      <c r="AK56" s="30"/>
      <c r="AL56" s="47">
        <v>1</v>
      </c>
      <c r="AM56" s="48" t="s">
        <v>4</v>
      </c>
      <c r="AN56" s="49">
        <v>1</v>
      </c>
      <c r="AO56" s="5"/>
      <c r="AP56" s="42">
        <f t="shared" ref="AP56:AP79" si="293">IF(OR($G56="",AN56=""),"",IF(AND($E56=AL56,$G56=AN56),$H56*1.5,IF(AND($I56&gt;0,AQ56&gt;0),$H56,IF(AND($I56&lt;0,AQ56&lt;0),$H56,IF(AND($I56=0,AQ56=0),$H56,0)))))</f>
        <v>0</v>
      </c>
      <c r="AQ56" s="43">
        <f t="shared" ref="AQ56:AQ79" si="294">AL56-AN56</f>
        <v>0</v>
      </c>
      <c r="AR56" s="30"/>
      <c r="AS56" s="47">
        <v>3</v>
      </c>
      <c r="AT56" s="48" t="s">
        <v>4</v>
      </c>
      <c r="AU56" s="49">
        <v>2</v>
      </c>
      <c r="AV56" s="5"/>
      <c r="AW56" s="42">
        <f t="shared" ref="AW56:AW79" si="295">IF(OR($G56="",AU56=""),"",IF(AND($E56=AS56,$G56=AU56),$H56*1.5,IF(AND($I56&gt;0,AX56&gt;0),$H56,IF(AND($I56&lt;0,AX56&lt;0),$H56,IF(AND($I56=0,AX56=0),$H56,0)))))</f>
        <v>3.6</v>
      </c>
      <c r="AX56" s="43">
        <f t="shared" ref="AX56:AX79" si="296">AS56-AU56</f>
        <v>1</v>
      </c>
      <c r="AY56" s="30"/>
      <c r="AZ56" s="47">
        <v>2</v>
      </c>
      <c r="BA56" s="48" t="s">
        <v>4</v>
      </c>
      <c r="BB56" s="49">
        <v>0</v>
      </c>
      <c r="BC56" s="5"/>
      <c r="BD56" s="42">
        <f t="shared" ref="BD56:BD79" si="297">IF(OR($G56="",BB56=""),"",IF(AND($E56=AZ56,$G56=BB56),$H56*1.5,IF(AND($I56&gt;0,BE56&gt;0),$H56,IF(AND($I56&lt;0,BE56&lt;0),$H56,IF(AND($I56=0,BE56=0),$H56,0)))))</f>
        <v>3.6</v>
      </c>
      <c r="BE56" s="43">
        <f t="shared" ref="BE56:BE79" si="298">AZ56-BB56</f>
        <v>2</v>
      </c>
      <c r="BF56" s="30"/>
      <c r="BG56" s="47">
        <v>1</v>
      </c>
      <c r="BH56" s="48" t="s">
        <v>4</v>
      </c>
      <c r="BI56" s="49">
        <v>1</v>
      </c>
      <c r="BJ56" s="5"/>
      <c r="BK56" s="42">
        <f t="shared" ref="BK56:BK79" si="299">IF(OR($G56="",BI56=""),"",IF(AND($E56=BG56,$G56=BI56),$H56*1.5,IF(AND($I56&gt;0,BL56&gt;0),$H56,IF(AND($I56&lt;0,BL56&lt;0),$H56,IF(AND($I56=0,BL56=0),$H56,0)))))</f>
        <v>0</v>
      </c>
      <c r="BL56" s="43">
        <f t="shared" ref="BL56:BL79" si="300">BG56-BI56</f>
        <v>0</v>
      </c>
      <c r="BM56" s="30"/>
      <c r="BN56" s="47">
        <v>2</v>
      </c>
      <c r="BO56" s="48" t="s">
        <v>4</v>
      </c>
      <c r="BP56" s="49">
        <v>0</v>
      </c>
      <c r="BQ56" s="5"/>
      <c r="BR56" s="42">
        <f t="shared" ref="BR56:BR79" si="301">IF(OR($G56="",BP56=""),"",IF(AND($E56=BN56,$G56=BP56),$H56*1.5,IF(AND($I56&gt;0,BS56&gt;0),$H56,IF(AND($I56&lt;0,BS56&lt;0),$H56,IF(AND($I56=0,BS56=0),$H56,0)))))</f>
        <v>3.6</v>
      </c>
      <c r="BS56" s="43">
        <f t="shared" ref="BS56:BS79" si="302">BN56-BP56</f>
        <v>2</v>
      </c>
      <c r="BT56" s="30"/>
      <c r="BU56" s="47">
        <v>2</v>
      </c>
      <c r="BV56" s="48" t="s">
        <v>4</v>
      </c>
      <c r="BW56" s="49">
        <v>0</v>
      </c>
      <c r="BX56" s="5"/>
      <c r="BY56" s="42">
        <f t="shared" ref="BY56:BY79" si="303">IF(OR($G56="",BW56=""),"",IF(AND($E56=BU56,$G56=BW56),$H56*1.5,IF(AND($I56&gt;0,BZ56&gt;0),$H56,IF(AND($I56&lt;0,BZ56&lt;0),$H56,IF(AND($I56=0,BZ56=0),$H56,0)))))</f>
        <v>3.6</v>
      </c>
      <c r="BZ56" s="43">
        <f t="shared" ref="BZ56:BZ79" si="304">BU56-BW56</f>
        <v>2</v>
      </c>
      <c r="CA56" s="30"/>
      <c r="CB56" s="47">
        <v>2</v>
      </c>
      <c r="CC56" s="48" t="s">
        <v>4</v>
      </c>
      <c r="CD56" s="49">
        <v>1</v>
      </c>
      <c r="CE56" s="5"/>
      <c r="CF56" s="42">
        <f t="shared" ref="CF56:CF79" si="305">IF(OR($G56="",CD56=""),"",IF(AND($E56=CB56,$G56=CD56),$H56*1.5,IF(AND($I56&gt;0,CG56&gt;0),$H56,IF(AND($I56&lt;0,CG56&lt;0),$H56,IF(AND($I56=0,CG56=0),$H56,0)))))</f>
        <v>5.4</v>
      </c>
      <c r="CG56" s="43">
        <f t="shared" ref="CG56:CG79" si="306">CB56-CD56</f>
        <v>1</v>
      </c>
      <c r="CH56" s="30"/>
      <c r="CI56" s="47">
        <v>1</v>
      </c>
      <c r="CJ56" s="48" t="s">
        <v>4</v>
      </c>
      <c r="CK56" s="49">
        <v>1</v>
      </c>
      <c r="CL56" s="5"/>
      <c r="CM56" s="42">
        <f t="shared" ref="CM56:CM79" si="307">IF(OR($G56="",CK56=""),"",IF(AND($E56=CI56,$G56=CK56),$H56*1.5,IF(AND($I56&gt;0,CN56&gt;0),$H56,IF(AND($I56&lt;0,CN56&lt;0),$H56,IF(AND($I56=0,CN56=0),$H56,0)))))</f>
        <v>0</v>
      </c>
      <c r="CN56" s="43">
        <f t="shared" ref="CN56:CN79" si="308">CI56-CK56</f>
        <v>0</v>
      </c>
      <c r="CO56" s="30"/>
      <c r="CP56" s="47">
        <v>1</v>
      </c>
      <c r="CQ56" s="48" t="s">
        <v>4</v>
      </c>
      <c r="CR56" s="49">
        <v>1</v>
      </c>
      <c r="CS56" s="5"/>
      <c r="CT56" s="42">
        <f t="shared" ref="CT56:CT79" si="309">IF(OR($G56="",CR56=""),"",IF(AND($E56=CP56,$G56=CR56),$H56*1.5,IF(AND($I56&gt;0,CU56&gt;0),$H56,IF(AND($I56&lt;0,CU56&lt;0),$H56,IF(AND($I56=0,CU56=0),$H56,0)))))</f>
        <v>0</v>
      </c>
      <c r="CU56" s="43">
        <f t="shared" ref="CU56:CU79" si="310">CP56-CR56</f>
        <v>0</v>
      </c>
      <c r="CV56" s="30"/>
      <c r="CW56" s="47">
        <v>1</v>
      </c>
      <c r="CX56" s="48" t="s">
        <v>4</v>
      </c>
      <c r="CY56" s="49">
        <v>0</v>
      </c>
      <c r="CZ56" s="5"/>
      <c r="DA56" s="42">
        <f t="shared" ref="DA56:DA79" si="311">IF(OR($G56="",CY56=""),"",IF(AND($E56=CW56,$G56=CY56),$H56*1.5,IF(AND($I56&gt;0,DB56&gt;0),$H56,IF(AND($I56&lt;0,DB56&lt;0),$H56,IF(AND($I56=0,DB56=0),$H56,0)))))</f>
        <v>3.6</v>
      </c>
      <c r="DB56" s="43">
        <f t="shared" ref="DB56:DB79" si="312">CW56-CY56</f>
        <v>1</v>
      </c>
      <c r="DC56" s="30"/>
      <c r="DD56" s="47">
        <v>0</v>
      </c>
      <c r="DE56" s="48" t="s">
        <v>4</v>
      </c>
      <c r="DF56" s="49">
        <v>1</v>
      </c>
      <c r="DG56" s="5"/>
      <c r="DH56" s="42">
        <f t="shared" ref="DH56:DH79" si="313">IF(OR($G56="",DF56=""),"",IF(AND($E56=DD56,$G56=DF56),$H56*1.5,IF(AND($I56&gt;0,DI56&gt;0),$H56,IF(AND($I56&lt;0,DI56&lt;0),$H56,IF(AND($I56=0,DI56=0),$H56,0)))))</f>
        <v>0</v>
      </c>
      <c r="DI56" s="43">
        <f t="shared" ref="DI56:DI79" si="314">DD56-DF56</f>
        <v>-1</v>
      </c>
      <c r="DJ56" s="30"/>
      <c r="DK56" s="47">
        <v>2</v>
      </c>
      <c r="DL56" s="48" t="s">
        <v>4</v>
      </c>
      <c r="DM56" s="49">
        <v>0</v>
      </c>
      <c r="DN56" s="5"/>
      <c r="DO56" s="42">
        <f t="shared" ref="DO56:DO79" si="315">IF(OR($G56="",DM56=""),"",IF(AND($E56=DK56,$G56=DM56),$H56*1.5,IF(AND($I56&gt;0,DP56&gt;0),$H56,IF(AND($I56&lt;0,DP56&lt;0),$H56,IF(AND($I56=0,DP56=0),$H56,0)))))</f>
        <v>3.6</v>
      </c>
      <c r="DP56" s="43">
        <f t="shared" ref="DP56:DP79" si="316">DK56-DM56</f>
        <v>2</v>
      </c>
      <c r="DQ56" s="30"/>
      <c r="DR56" s="47">
        <v>3</v>
      </c>
      <c r="DS56" s="48" t="s">
        <v>4</v>
      </c>
      <c r="DT56" s="49">
        <v>1</v>
      </c>
      <c r="DU56" s="5"/>
      <c r="DV56" s="42">
        <f t="shared" ref="DV56:DV79" si="317">IF(OR($G56="",DT56=""),"",IF(AND($E56=DR56,$G56=DT56),$H56*1.5,IF(AND($I56&gt;0,DW56&gt;0),$H56,IF(AND($I56&lt;0,DW56&lt;0),$H56,IF(AND($I56=0,DW56=0),$H56,0)))))</f>
        <v>3.6</v>
      </c>
      <c r="DW56" s="43">
        <f t="shared" ref="DW56:DW79" si="318">DR56-DT56</f>
        <v>2</v>
      </c>
      <c r="DX56" s="30"/>
      <c r="DY56" s="47">
        <v>2</v>
      </c>
      <c r="DZ56" s="48" t="s">
        <v>4</v>
      </c>
      <c r="EA56" s="49">
        <v>1</v>
      </c>
      <c r="EB56" s="5"/>
      <c r="EC56" s="42">
        <f t="shared" ref="EC56:EC79" si="319">IF(OR($G56="",EA56=""),"",IF(AND($E56=DY56,$G56=EA56),$H56*1.5,IF(AND($I56&gt;0,ED56&gt;0),$H56,IF(AND($I56&lt;0,ED56&lt;0),$H56,IF(AND($I56=0,ED56=0),$H56,0)))))</f>
        <v>5.4</v>
      </c>
      <c r="ED56" s="43">
        <f t="shared" ref="ED56:ED79" si="320">DY56-EA56</f>
        <v>1</v>
      </c>
      <c r="EE56" s="30"/>
      <c r="EF56" s="47">
        <v>1</v>
      </c>
      <c r="EG56" s="48" t="s">
        <v>4</v>
      </c>
      <c r="EH56" s="49">
        <v>0</v>
      </c>
      <c r="EI56" s="5"/>
      <c r="EJ56" s="42">
        <f t="shared" ref="EJ56:EJ79" si="321">IF(OR($G56="",EH56=""),"",IF(AND($E56=EF56,$G56=EH56),$H56*1.5,IF(AND($I56&gt;0,EK56&gt;0),$H56,IF(AND($I56&lt;0,EK56&lt;0),$H56,IF(AND($I56=0,EK56=0),$H56,0)))))</f>
        <v>3.6</v>
      </c>
      <c r="EK56" s="43">
        <f t="shared" ref="EK56:EK79" si="322">EF56-EH56</f>
        <v>1</v>
      </c>
      <c r="EL56" s="30"/>
      <c r="EM56" s="47">
        <v>3</v>
      </c>
      <c r="EN56" s="48" t="s">
        <v>4</v>
      </c>
      <c r="EO56" s="49">
        <v>0</v>
      </c>
      <c r="EP56" s="5"/>
      <c r="EQ56" s="42">
        <f t="shared" ref="EQ56:EQ79" si="323">IF(OR($G56="",EO56=""),"",IF(AND($E56=EM56,$G56=EO56),$H56*1.5,IF(AND($I56&gt;0,ER56&gt;0),$H56,IF(AND($I56&lt;0,ER56&lt;0),$H56,IF(AND($I56=0,ER56=0),$H56,0)))))</f>
        <v>3.6</v>
      </c>
      <c r="ER56" s="43">
        <f t="shared" ref="ER56:ER79" si="324">EM56-EO56</f>
        <v>3</v>
      </c>
      <c r="ES56" s="30"/>
      <c r="ET56" s="47">
        <v>2</v>
      </c>
      <c r="EU56" s="48" t="s">
        <v>4</v>
      </c>
      <c r="EV56" s="49">
        <v>2</v>
      </c>
      <c r="EW56" s="5"/>
      <c r="EX56" s="42">
        <f t="shared" ref="EX56:EX79" si="325">IF(OR($G56="",EV56=""),"",IF(AND($E56=ET56,$G56=EV56),$H56*1.5,IF(AND($I56&gt;0,EY56&gt;0),$H56,IF(AND($I56&lt;0,EY56&lt;0),$H56,IF(AND($I56=0,EY56=0),$H56,0)))))</f>
        <v>0</v>
      </c>
      <c r="EY56" s="43">
        <f t="shared" ref="EY56:EY79" si="326">ET56-EV56</f>
        <v>0</v>
      </c>
      <c r="EZ56" s="30"/>
      <c r="FA56" s="47">
        <v>1</v>
      </c>
      <c r="FB56" s="48" t="s">
        <v>4</v>
      </c>
      <c r="FC56" s="49">
        <v>1</v>
      </c>
      <c r="FD56" s="5"/>
      <c r="FE56" s="42">
        <f t="shared" ref="FE56:FE79" si="327">IF(OR($G56="",FC56=""),"",IF(AND($E56=FA56,$G56=FC56),$H56*1.5,IF(AND($I56&gt;0,FF56&gt;0),$H56,IF(AND($I56&lt;0,FF56&lt;0),$H56,IF(AND($I56=0,FF56=0),$H56,0)))))</f>
        <v>0</v>
      </c>
      <c r="FF56" s="43">
        <f t="shared" ref="FF56:FF79" si="328">FA56-FC56</f>
        <v>0</v>
      </c>
      <c r="FG56" s="30"/>
      <c r="FH56" s="47">
        <v>2</v>
      </c>
      <c r="FI56" s="48" t="s">
        <v>4</v>
      </c>
      <c r="FJ56" s="49">
        <v>2</v>
      </c>
      <c r="FK56" s="5"/>
      <c r="FL56" s="42">
        <f t="shared" ref="FL56:FL79" si="329">IF(OR($G56="",FJ56=""),"",IF(AND($E56=FH56,$G56=FJ56),$H56*1.5,IF(AND($I56&gt;0,FM56&gt;0),$H56,IF(AND($I56&lt;0,FM56&lt;0),$H56,IF(AND($I56=0,FM56=0),$H56,0)))))</f>
        <v>0</v>
      </c>
      <c r="FM56" s="43">
        <f t="shared" ref="FM56:FM79" si="330">FH56-FJ56</f>
        <v>0</v>
      </c>
      <c r="FN56" s="30"/>
      <c r="FO56" s="47">
        <v>2</v>
      </c>
      <c r="FP56" s="48" t="s">
        <v>4</v>
      </c>
      <c r="FQ56" s="49">
        <v>1</v>
      </c>
      <c r="FR56" s="5"/>
      <c r="FS56" s="42">
        <f t="shared" ref="FS56:FS79" si="331">IF(OR($G56="",FQ56=""),"",IF(AND($E56=FO56,$G56=FQ56),$H56*1.5,IF(AND($I56&gt;0,FT56&gt;0),$H56,IF(AND($I56&lt;0,FT56&lt;0),$H56,IF(AND($I56=0,FT56=0),$H56,0)))))</f>
        <v>5.4</v>
      </c>
      <c r="FT56" s="43">
        <f t="shared" ref="FT56:FT79" si="332">FO56-FQ56</f>
        <v>1</v>
      </c>
      <c r="FU56" s="30"/>
      <c r="FV56" s="47">
        <v>2</v>
      </c>
      <c r="FW56" s="48" t="s">
        <v>4</v>
      </c>
      <c r="FX56" s="49">
        <v>0</v>
      </c>
      <c r="FY56" s="5"/>
      <c r="FZ56" s="42">
        <f t="shared" ref="FZ56:FZ79" si="333">IF(OR($G56="",FX56=""),"",IF(AND($E56=FV56,$G56=FX56),$H56*1.5,IF(AND($I56&gt;0,GA56&gt;0),$H56,IF(AND($I56&lt;0,GA56&lt;0),$H56,IF(AND($I56=0,GA56=0),$H56,0)))))</f>
        <v>3.6</v>
      </c>
      <c r="GA56" s="43">
        <f t="shared" ref="GA56:GA79" si="334">FV56-FX56</f>
        <v>2</v>
      </c>
      <c r="GB56" s="30"/>
      <c r="GC56" s="47">
        <v>2</v>
      </c>
      <c r="GD56" s="48" t="s">
        <v>4</v>
      </c>
      <c r="GE56" s="49">
        <v>2</v>
      </c>
      <c r="GF56" s="5"/>
      <c r="GG56" s="42">
        <f t="shared" ref="GG56:GG79" si="335">IF(OR($G56="",GE56=""),"",IF(AND($E56=GC56,$G56=GE56),$H56*1.5,IF(AND($I56&gt;0,GH56&gt;0),$H56,IF(AND($I56&lt;0,GH56&lt;0),$H56,IF(AND($I56=0,GH56=0),$H56,0)))))</f>
        <v>0</v>
      </c>
      <c r="GH56" s="43">
        <f t="shared" ref="GH56:GH79" si="336">GC56-GE56</f>
        <v>0</v>
      </c>
      <c r="GI56" s="30"/>
      <c r="GJ56" s="47">
        <v>2</v>
      </c>
      <c r="GK56" s="48" t="s">
        <v>4</v>
      </c>
      <c r="GL56" s="49">
        <v>1</v>
      </c>
      <c r="GM56" s="5"/>
      <c r="GN56" s="42">
        <f t="shared" ref="GN56:GN79" si="337">IF(OR($G56="",GL56=""),"",IF(AND($E56=GJ56,$G56=GL56),$H56*1.5,IF(AND($I56&gt;0,GO56&gt;0),$H56,IF(AND($I56&lt;0,GO56&lt;0),$H56,IF(AND($I56=0,GO56=0),$H56,0)))))</f>
        <v>5.4</v>
      </c>
      <c r="GO56" s="43">
        <f t="shared" ref="GO56:GO79" si="338">GJ56-GL56</f>
        <v>1</v>
      </c>
      <c r="GP56" s="30"/>
      <c r="GQ56" s="47">
        <v>1</v>
      </c>
      <c r="GR56" s="48" t="s">
        <v>4</v>
      </c>
      <c r="GS56" s="49">
        <v>1</v>
      </c>
      <c r="GT56" s="5"/>
      <c r="GU56" s="42">
        <f t="shared" ref="GU56:GU79" si="339">IF(OR($G56="",GS56=""),"",IF(AND($E56=GQ56,$G56=GS56),$H56*1.5,IF(AND($I56&gt;0,GV56&gt;0),$H56,IF(AND($I56&lt;0,GV56&lt;0),$H56,IF(AND($I56=0,GV56=0),$H56,0)))))</f>
        <v>0</v>
      </c>
      <c r="GV56" s="43">
        <f t="shared" ref="GV56:GV79" si="340">GQ56-GS56</f>
        <v>0</v>
      </c>
      <c r="GW56" s="30"/>
      <c r="GX56" s="47">
        <v>2</v>
      </c>
      <c r="GY56" s="48" t="s">
        <v>4</v>
      </c>
      <c r="GZ56" s="49">
        <v>1</v>
      </c>
      <c r="HA56" s="5"/>
      <c r="HB56" s="42">
        <f t="shared" ref="HB56:HB79" si="341">IF(OR($G56="",GZ56=""),"",IF(AND($E56=GX56,$G56=GZ56),$H56*1.5,IF(AND($I56&gt;0,HC56&gt;0),$H56,IF(AND($I56&lt;0,HC56&lt;0),$H56,IF(AND($I56=0,HC56=0),$H56,0)))))</f>
        <v>5.4</v>
      </c>
      <c r="HC56" s="43">
        <f t="shared" ref="HC56:HC79" si="342">GX56-GZ56</f>
        <v>1</v>
      </c>
      <c r="HD56" s="30"/>
      <c r="HE56" s="47">
        <v>2</v>
      </c>
      <c r="HF56" s="48" t="s">
        <v>4</v>
      </c>
      <c r="HG56" s="49">
        <v>1</v>
      </c>
      <c r="HH56" s="5"/>
      <c r="HI56" s="42">
        <f t="shared" ref="HI56:HI79" si="343">IF(OR($G56="",HG56=""),"",IF(AND($E56=HE56,$G56=HG56),$H56*1.5,IF(AND($I56&gt;0,HJ56&gt;0),$H56,IF(AND($I56&lt;0,HJ56&lt;0),$H56,IF(AND($I56=0,HJ56=0),$H56,0)))))</f>
        <v>5.4</v>
      </c>
      <c r="HJ56" s="43">
        <f t="shared" ref="HJ56:HJ79" si="344">HE56-HG56</f>
        <v>1</v>
      </c>
      <c r="HK56" s="30"/>
      <c r="HL56" s="47">
        <v>2</v>
      </c>
      <c r="HM56" s="48" t="s">
        <v>4</v>
      </c>
      <c r="HN56" s="49">
        <v>1</v>
      </c>
      <c r="HO56" s="5"/>
      <c r="HP56" s="42">
        <f t="shared" ref="HP56:HP79" si="345">IF(OR($G56="",HN56=""),"",IF(AND($E56=HL56,$G56=HN56),$H56*1.5,IF(AND($I56&gt;0,HQ56&gt;0),$H56,IF(AND($I56&lt;0,HQ56&lt;0),$H56,IF(AND($I56=0,HQ56=0),$H56,0)))))</f>
        <v>5.4</v>
      </c>
      <c r="HQ56" s="43">
        <f t="shared" ref="HQ56:HQ79" si="346">HL56-HN56</f>
        <v>1</v>
      </c>
      <c r="HR56" s="30"/>
      <c r="HS56" s="47">
        <v>2</v>
      </c>
      <c r="HT56" s="48" t="s">
        <v>4</v>
      </c>
      <c r="HU56" s="49">
        <v>1</v>
      </c>
      <c r="HV56" s="5"/>
      <c r="HW56" s="42">
        <f t="shared" ref="HW56:HW79" si="347">IF(OR($G56="",HU56=""),"",IF(AND($E56=HS56,$G56=HU56),$H56*1.5,IF(AND($I56&gt;0,HX56&gt;0),$H56,IF(AND($I56&lt;0,HX56&lt;0),$H56,IF(AND($I56=0,HX56=0),$H56,0)))))</f>
        <v>5.4</v>
      </c>
      <c r="HX56" s="43">
        <f t="shared" ref="HX56:HX79" si="348">HS56-HU56</f>
        <v>1</v>
      </c>
      <c r="HY56" s="30"/>
      <c r="HZ56" s="47">
        <v>3</v>
      </c>
      <c r="IA56" s="48" t="s">
        <v>4</v>
      </c>
      <c r="IB56" s="49">
        <v>1</v>
      </c>
      <c r="IC56" s="5"/>
      <c r="ID56" s="42">
        <f t="shared" ref="ID56:ID79" si="349">IF(OR($G56="",IB56=""),"",IF(AND($E56=HZ56,$G56=IB56),$H56*1.5,IF(AND($I56&gt;0,IE56&gt;0),$H56,IF(AND($I56&lt;0,IE56&lt;0),$H56,IF(AND($I56=0,IE56=0),$H56,0)))))</f>
        <v>3.6</v>
      </c>
      <c r="IE56" s="43">
        <f t="shared" ref="IE56:IE79" si="350">HZ56-IB56</f>
        <v>2</v>
      </c>
      <c r="IF56" s="30"/>
      <c r="IG56" s="47">
        <v>4</v>
      </c>
      <c r="IH56" s="48" t="s">
        <v>4</v>
      </c>
      <c r="II56" s="49">
        <v>0</v>
      </c>
      <c r="IJ56" s="5"/>
      <c r="IK56" s="42">
        <f t="shared" ref="IK56:IK79" si="351">IF(OR($G56="",II56=""),"",IF(AND($E56=IG56,$G56=II56),$H56*1.5,IF(AND($I56&gt;0,IL56&gt;0),$H56,IF(AND($I56&lt;0,IL56&lt;0),$H56,IF(AND($I56=0,IL56=0),$H56,0)))))</f>
        <v>3.6</v>
      </c>
      <c r="IL56" s="43">
        <f t="shared" ref="IL56:IL79" si="352">IG56-II56</f>
        <v>4</v>
      </c>
      <c r="IM56" s="30"/>
      <c r="IN56" s="47">
        <v>1</v>
      </c>
      <c r="IO56" s="48" t="s">
        <v>4</v>
      </c>
      <c r="IP56" s="49">
        <v>1</v>
      </c>
      <c r="IQ56" s="5"/>
      <c r="IR56" s="42">
        <f t="shared" ref="IR56:IR79" si="353">IF(OR($G56="",IP56=""),"",IF(AND($E56=IN56,$G56=IP56),$H56*1.5,IF(AND($I56&gt;0,IS56&gt;0),$H56,IF(AND($I56&lt;0,IS56&lt;0),$H56,IF(AND($I56=0,IS56=0),$H56,0)))))</f>
        <v>0</v>
      </c>
      <c r="IS56" s="43">
        <f t="shared" ref="IS56:IS79" si="354">IN56-IP56</f>
        <v>0</v>
      </c>
      <c r="IT56" s="30"/>
      <c r="IU56" s="47">
        <v>2</v>
      </c>
      <c r="IV56" s="48" t="s">
        <v>4</v>
      </c>
      <c r="IW56" s="49">
        <v>0</v>
      </c>
      <c r="IX56" s="5"/>
      <c r="IY56" s="42">
        <f t="shared" ref="IY56:IY79" si="355">IF(OR($G56="",IW56=""),"",IF(AND($E56=IU56,$G56=IW56),$H56*1.5,IF(AND($I56&gt;0,IZ56&gt;0),$H56,IF(AND($I56&lt;0,IZ56&lt;0),$H56,IF(AND($I56=0,IZ56=0),$H56,0)))))</f>
        <v>3.6</v>
      </c>
      <c r="IZ56" s="43">
        <f t="shared" ref="IZ56:IZ79" si="356">IU56-IW56</f>
        <v>2</v>
      </c>
      <c r="JA56" s="30"/>
      <c r="JB56" s="47">
        <v>1</v>
      </c>
      <c r="JC56" s="48" t="s">
        <v>4</v>
      </c>
      <c r="JD56" s="49">
        <v>0</v>
      </c>
      <c r="JE56" s="5"/>
      <c r="JF56" s="42">
        <f t="shared" ref="JF56:JF79" si="357">IF(OR($G56="",JD56=""),"",IF(AND($E56=JB56,$G56=JD56),$H56*1.5,IF(AND($I56&gt;0,JG56&gt;0),$H56,IF(AND($I56&lt;0,JG56&lt;0),$H56,IF(AND($I56=0,JG56=0),$H56,0)))))</f>
        <v>3.6</v>
      </c>
      <c r="JG56" s="43">
        <f t="shared" ref="JG56:JG79" si="358">JB56-JD56</f>
        <v>1</v>
      </c>
      <c r="JH56" s="30"/>
      <c r="JI56" s="47">
        <v>2</v>
      </c>
      <c r="JJ56" s="48" t="s">
        <v>4</v>
      </c>
      <c r="JK56" s="49">
        <v>2</v>
      </c>
      <c r="JL56" s="5"/>
      <c r="JM56" s="42">
        <f t="shared" ref="JM56:JM79" si="359">IF(OR($G56="",JK56=""),"",IF(AND($E56=JI56,$G56=JK56),$H56*1.5,IF(AND($I56&gt;0,JN56&gt;0),$H56,IF(AND($I56&lt;0,JN56&lt;0),$H56,IF(AND($I56=0,JN56=0),$H56,0)))))</f>
        <v>0</v>
      </c>
      <c r="JN56" s="43">
        <f t="shared" ref="JN56:JN79" si="360">JI56-JK56</f>
        <v>0</v>
      </c>
      <c r="JO56" s="30"/>
      <c r="JP56" s="47">
        <v>2</v>
      </c>
      <c r="JQ56" s="48" t="s">
        <v>4</v>
      </c>
      <c r="JR56" s="49">
        <v>0</v>
      </c>
      <c r="JS56" s="5"/>
      <c r="JT56" s="42">
        <f t="shared" ref="JT56:JT79" si="361">IF(OR($G56="",JR56=""),"",IF(AND($E56=JP56,$G56=JR56),$H56*1.5,IF(AND($I56&gt;0,JU56&gt;0),$H56,IF(AND($I56&lt;0,JU56&lt;0),$H56,IF(AND($I56=0,JU56=0),$H56,0)))))</f>
        <v>3.6</v>
      </c>
      <c r="JU56" s="43">
        <f t="shared" ref="JU56:JU79" si="362">JP56-JR56</f>
        <v>2</v>
      </c>
      <c r="JV56" s="30"/>
      <c r="JW56" s="47">
        <v>1</v>
      </c>
      <c r="JX56" s="48" t="s">
        <v>4</v>
      </c>
      <c r="JY56" s="49">
        <v>3</v>
      </c>
      <c r="JZ56" s="5"/>
      <c r="KA56" s="42">
        <f t="shared" ref="KA56:KA79" si="363">IF(OR($G56="",JY56=""),"",IF(AND($E56=JW56,$G56=JY56),$H56*1.5,IF(AND($I56&gt;0,KB56&gt;0),$H56,IF(AND($I56&lt;0,KB56&lt;0),$H56,IF(AND($I56=0,KB56=0),$H56,0)))))</f>
        <v>0</v>
      </c>
      <c r="KB56" s="43">
        <f t="shared" ref="KB56:KB79" si="364">JW56-JY56</f>
        <v>-2</v>
      </c>
      <c r="KC56" s="30"/>
      <c r="KD56" s="47">
        <v>3</v>
      </c>
      <c r="KE56" s="48" t="s">
        <v>4</v>
      </c>
      <c r="KF56" s="49">
        <v>2</v>
      </c>
      <c r="KG56" s="5"/>
      <c r="KH56" s="42">
        <f t="shared" ref="KH56:KH79" si="365">IF(OR($G56="",KF56=""),"",IF(AND($E56=KD56,$G56=KF56),$H56*1.5,IF(AND($I56&gt;0,KI56&gt;0),$H56,IF(AND($I56&lt;0,KI56&lt;0),$H56,IF(AND($I56=0,KI56=0),$H56,0)))))</f>
        <v>3.6</v>
      </c>
      <c r="KI56" s="43">
        <f t="shared" ref="KI56:KI79" si="366">KD56-KF56</f>
        <v>1</v>
      </c>
      <c r="KJ56" s="30"/>
      <c r="KK56" s="47">
        <v>1</v>
      </c>
      <c r="KL56" s="48" t="s">
        <v>4</v>
      </c>
      <c r="KM56" s="49">
        <v>1</v>
      </c>
      <c r="KN56" s="5"/>
      <c r="KO56" s="42">
        <f t="shared" ref="KO56:KO79" si="367">IF(OR($G56="",KM56=""),"",IF(AND($E56=KK56,$G56=KM56),$H56*1.5,IF(AND($I56&gt;0,KP56&gt;0),$H56,IF(AND($I56&lt;0,KP56&lt;0),$H56,IF(AND($I56=0,KP56=0),$H56,0)))))</f>
        <v>0</v>
      </c>
      <c r="KP56" s="43">
        <f t="shared" ref="KP56:KP79" si="368">KK56-KM56</f>
        <v>0</v>
      </c>
      <c r="KQ56" s="30"/>
      <c r="KR56" s="47">
        <v>1</v>
      </c>
      <c r="KS56" s="48" t="s">
        <v>4</v>
      </c>
      <c r="KT56" s="49">
        <v>0</v>
      </c>
      <c r="KU56" s="5"/>
      <c r="KV56" s="42">
        <f t="shared" ref="KV56:KV79" si="369">IF(OR($G56="",KT56=""),"",IF(AND($E56=KR56,$G56=KT56),$H56*1.5,IF(AND($I56&gt;0,KW56&gt;0),$H56,IF(AND($I56&lt;0,KW56&lt;0),$H56,IF(AND($I56=0,KW56=0),$H56,0)))))</f>
        <v>3.6</v>
      </c>
      <c r="KW56" s="43">
        <f t="shared" ref="KW56:KW79" si="370">KR56-KT56</f>
        <v>1</v>
      </c>
      <c r="KX56" s="30"/>
      <c r="KY56" s="47">
        <v>2</v>
      </c>
      <c r="KZ56" s="48" t="s">
        <v>4</v>
      </c>
      <c r="LA56" s="49">
        <v>1</v>
      </c>
      <c r="LB56" s="5"/>
      <c r="LC56" s="42">
        <f t="shared" ref="LC56:LC79" si="371">IF(OR($G56="",LA56=""),"",IF(AND($E56=KY56,$G56=LA56),$H56*1.5,IF(AND($I56&gt;0,LD56&gt;0),$H56,IF(AND($I56&lt;0,LD56&lt;0),$H56,IF(AND($I56=0,LD56=0),$H56,0)))))</f>
        <v>5.4</v>
      </c>
      <c r="LD56" s="43">
        <f t="shared" ref="LD56:LD79" si="372">KY56-LA56</f>
        <v>1</v>
      </c>
      <c r="LE56" s="30"/>
      <c r="LF56" s="47">
        <v>3</v>
      </c>
      <c r="LG56" s="48" t="s">
        <v>4</v>
      </c>
      <c r="LH56" s="49">
        <v>1</v>
      </c>
      <c r="LI56" s="5"/>
      <c r="LJ56" s="42">
        <f t="shared" ref="LJ56:LJ79" si="373">IF(OR($G56="",LH56=""),"",IF(AND($E56=LF56,$G56=LH56),$H56*1.5,IF(AND($I56&gt;0,LK56&gt;0),$H56,IF(AND($I56&lt;0,LK56&lt;0),$H56,IF(AND($I56=0,LK56=0),$H56,0)))))</f>
        <v>3.6</v>
      </c>
      <c r="LK56" s="43">
        <f t="shared" ref="LK56:LK79" si="374">LF56-LH56</f>
        <v>2</v>
      </c>
      <c r="LL56" s="30"/>
      <c r="LM56" s="47">
        <v>1</v>
      </c>
      <c r="LN56" s="48" t="s">
        <v>4</v>
      </c>
      <c r="LO56" s="49">
        <v>2</v>
      </c>
      <c r="LP56" s="5"/>
      <c r="LQ56" s="42">
        <f t="shared" ref="LQ56:LQ79" si="375">IF(OR($G56="",LO56=""),"",IF(AND($E56=LM56,$G56=LO56),$H56*1.5,IF(AND($I56&gt;0,LR56&gt;0),$H56,IF(AND($I56&lt;0,LR56&lt;0),$H56,IF(AND($I56=0,LR56=0),$H56,0)))))</f>
        <v>0</v>
      </c>
      <c r="LR56" s="43">
        <f t="shared" ref="LR56:LR79" si="376">LM56-LO56</f>
        <v>-1</v>
      </c>
      <c r="LS56" s="30"/>
      <c r="LT56" s="47">
        <v>1</v>
      </c>
      <c r="LU56" s="48" t="s">
        <v>4</v>
      </c>
      <c r="LV56" s="49">
        <v>1</v>
      </c>
      <c r="LW56" s="5"/>
      <c r="LX56" s="42">
        <f t="shared" ref="LX56:LX79" si="377">IF(OR($G56="",LV56=""),"",IF(AND($E56=LT56,$G56=LV56),$H56*1.5,IF(AND($I56&gt;0,LY56&gt;0),$H56,IF(AND($I56&lt;0,LY56&lt;0),$H56,IF(AND($I56=0,LY56=0),$H56,0)))))</f>
        <v>0</v>
      </c>
      <c r="LY56" s="43">
        <f t="shared" ref="LY56:LY79" si="378">LT56-LV56</f>
        <v>0</v>
      </c>
      <c r="LZ56" s="30"/>
      <c r="MA56" s="47">
        <v>3</v>
      </c>
      <c r="MB56" s="48" t="s">
        <v>4</v>
      </c>
      <c r="MC56" s="49">
        <v>1</v>
      </c>
      <c r="MD56" s="5"/>
      <c r="ME56" s="42">
        <f t="shared" ref="ME56:ME79" si="379">IF(OR($G56="",MC56=""),"",IF(AND($E56=MA56,$G56=MC56),$H56*1.5,IF(AND($I56&gt;0,MF56&gt;0),$H56,IF(AND($I56&lt;0,MF56&lt;0),$H56,IF(AND($I56=0,MF56=0),$H56,0)))))</f>
        <v>3.6</v>
      </c>
      <c r="MF56" s="43">
        <f t="shared" ref="MF56:MF79" si="380">MA56-MC56</f>
        <v>2</v>
      </c>
      <c r="MG56" s="30"/>
      <c r="MH56" s="47">
        <v>3</v>
      </c>
      <c r="MI56" s="48" t="s">
        <v>4</v>
      </c>
      <c r="MJ56" s="49">
        <v>1</v>
      </c>
      <c r="MK56" s="5"/>
      <c r="ML56" s="42">
        <f t="shared" ref="ML56:ML79" si="381">IF(OR($G56="",MJ56=""),"",IF(AND($E56=MH56,$G56=MJ56),$H56*1.5,IF(AND($I56&gt;0,MM56&gt;0),$H56,IF(AND($I56&lt;0,MM56&lt;0),$H56,IF(AND($I56=0,MM56=0),$H56,0)))))</f>
        <v>3.6</v>
      </c>
      <c r="MM56" s="43">
        <f t="shared" ref="MM56:MM79" si="382">MH56-MJ56</f>
        <v>2</v>
      </c>
      <c r="MN56" s="30"/>
      <c r="MO56" s="47">
        <v>2</v>
      </c>
      <c r="MP56" s="48" t="s">
        <v>4</v>
      </c>
      <c r="MQ56" s="49">
        <v>1</v>
      </c>
      <c r="MR56" s="5"/>
      <c r="MS56" s="42">
        <f t="shared" ref="MS56:MS79" si="383">IF(OR($G56="",MQ56=""),"",IF(AND($E56=MO56,$G56=MQ56),$H56*1.5,IF(AND($I56&gt;0,MT56&gt;0),$H56,IF(AND($I56&lt;0,MT56&lt;0),$H56,IF(AND($I56=0,MT56=0),$H56,0)))))</f>
        <v>5.4</v>
      </c>
      <c r="MT56" s="43">
        <f t="shared" ref="MT56:MT79" si="384">MO56-MQ56</f>
        <v>1</v>
      </c>
      <c r="MU56" s="30"/>
      <c r="MV56" s="47">
        <v>2</v>
      </c>
      <c r="MW56" s="48" t="s">
        <v>4</v>
      </c>
      <c r="MX56" s="49">
        <v>1</v>
      </c>
      <c r="MY56" s="5"/>
      <c r="MZ56" s="42">
        <f t="shared" ref="MZ56:MZ79" si="385">IF(OR($G56="",MX56=""),"",IF(AND($E56=MV56,$G56=MX56),$H56*1.5,IF(AND($I56&gt;0,NA56&gt;0),$H56,IF(AND($I56&lt;0,NA56&lt;0),$H56,IF(AND($I56=0,NA56=0),$H56,0)))))</f>
        <v>5.4</v>
      </c>
      <c r="NA56" s="43">
        <f t="shared" ref="NA56:NA79" si="386">MV56-MX56</f>
        <v>1</v>
      </c>
      <c r="NB56" s="30"/>
      <c r="NC56" s="47">
        <v>1</v>
      </c>
      <c r="ND56" s="48" t="s">
        <v>4</v>
      </c>
      <c r="NE56" s="49">
        <v>2</v>
      </c>
      <c r="NF56" s="5"/>
      <c r="NG56" s="42">
        <f t="shared" ref="NG56:NG79" si="387">IF(OR($G56="",NE56=""),"",IF(AND($E56=NC56,$G56=NE56),$H56*1.5,IF(AND($I56&gt;0,NH56&gt;0),$H56,IF(AND($I56&lt;0,NH56&lt;0),$H56,IF(AND($I56=0,NH56=0),$H56,0)))))</f>
        <v>0</v>
      </c>
      <c r="NH56" s="43">
        <f t="shared" ref="NH56:NH79" si="388">NC56-NE56</f>
        <v>-1</v>
      </c>
      <c r="NI56" s="30"/>
      <c r="NJ56" s="47">
        <v>1</v>
      </c>
      <c r="NK56" s="48" t="s">
        <v>4</v>
      </c>
      <c r="NL56" s="49">
        <v>3</v>
      </c>
      <c r="NM56" s="5"/>
      <c r="NN56" s="42">
        <f t="shared" ref="NN56:NN79" si="389">IF(OR($G56="",NL56=""),"",IF(AND($E56=NJ56,$G56=NL56),$H56*1.5,IF(AND($I56&gt;0,NO56&gt;0),$H56,IF(AND($I56&lt;0,NO56&lt;0),$H56,IF(AND($I56=0,NO56=0),$H56,0)))))</f>
        <v>0</v>
      </c>
      <c r="NO56" s="43">
        <f t="shared" ref="NO56:NO79" si="390">NJ56-NL56</f>
        <v>-2</v>
      </c>
      <c r="NP56" s="30"/>
      <c r="NQ56" s="47">
        <v>1</v>
      </c>
      <c r="NR56" s="48" t="s">
        <v>4</v>
      </c>
      <c r="NS56" s="49">
        <v>0</v>
      </c>
      <c r="NT56" s="5"/>
      <c r="NU56" s="42">
        <f t="shared" ref="NU56:NU79" si="391">IF(OR($G56="",NS56=""),"",IF(AND($E56=NQ56,$G56=NS56),$H56*1.5,IF(AND($I56&gt;0,NV56&gt;0),$H56,IF(AND($I56&lt;0,NV56&lt;0),$H56,IF(AND($I56=0,NV56=0),$H56,0)))))</f>
        <v>3.6</v>
      </c>
      <c r="NV56" s="43">
        <f t="shared" ref="NV56:NV79" si="392">NQ56-NS56</f>
        <v>1</v>
      </c>
      <c r="NW56" s="30"/>
      <c r="NX56" s="47">
        <v>2</v>
      </c>
      <c r="NY56" s="48" t="s">
        <v>4</v>
      </c>
      <c r="NZ56" s="49">
        <v>1</v>
      </c>
      <c r="OA56" s="5"/>
      <c r="OB56" s="42">
        <f t="shared" ref="OB56:OB79" si="393">IF(OR($G56="",NZ56=""),"",IF(AND($E56=NX56,$G56=NZ56),$H56*1.5,IF(AND($I56&gt;0,OC56&gt;0),$H56,IF(AND($I56&lt;0,OC56&lt;0),$H56,IF(AND($I56=0,OC56=0),$H56,0)))))</f>
        <v>5.4</v>
      </c>
      <c r="OC56" s="43">
        <f t="shared" ref="OC56:OC79" si="394">NX56-NZ56</f>
        <v>1</v>
      </c>
      <c r="OD56" s="30"/>
      <c r="OE56" s="47">
        <v>0</v>
      </c>
      <c r="OF56" s="48" t="s">
        <v>4</v>
      </c>
      <c r="OG56" s="49">
        <v>1</v>
      </c>
      <c r="OH56" s="5"/>
      <c r="OI56" s="42">
        <f t="shared" ref="OI56:OI79" si="395">IF(OR($G56="",OG56=""),"",IF(AND($E56=OE56,$G56=OG56),$H56*1.5,IF(AND($I56&gt;0,OJ56&gt;0),$H56,IF(AND($I56&lt;0,OJ56&lt;0),$H56,IF(AND($I56=0,OJ56=0),$H56,0)))))</f>
        <v>0</v>
      </c>
      <c r="OJ56" s="43">
        <f t="shared" ref="OJ56:OJ79" si="396">OE56-OG56</f>
        <v>-1</v>
      </c>
      <c r="OK56" s="30"/>
      <c r="OL56" s="47">
        <v>2</v>
      </c>
      <c r="OM56" s="48" t="s">
        <v>4</v>
      </c>
      <c r="ON56" s="49">
        <v>2</v>
      </c>
      <c r="OO56" s="5"/>
      <c r="OP56" s="42">
        <f t="shared" ref="OP56:OP79" si="397">IF(OR($G56="",ON56=""),"",IF(AND($E56=OL56,$G56=ON56),$H56*1.5,IF(AND($I56&gt;0,OQ56&gt;0),$H56,IF(AND($I56&lt;0,OQ56&lt;0),$H56,IF(AND($I56=0,OQ56=0),$H56,0)))))</f>
        <v>0</v>
      </c>
      <c r="OQ56" s="43">
        <f t="shared" ref="OQ56:OQ79" si="398">OL56-ON56</f>
        <v>0</v>
      </c>
      <c r="OR56" s="30"/>
      <c r="OS56" s="47">
        <v>0</v>
      </c>
      <c r="OT56" s="48" t="s">
        <v>4</v>
      </c>
      <c r="OU56" s="49">
        <v>1</v>
      </c>
      <c r="OV56" s="5"/>
      <c r="OW56" s="42">
        <f t="shared" ref="OW56:OW79" si="399">IF(OR($G56="",OU56=""),"",IF(AND($E56=OS56,$G56=OU56),$H56*1.5,IF(AND($I56&gt;0,OX56&gt;0),$H56,IF(AND($I56&lt;0,OX56&lt;0),$H56,IF(AND($I56=0,OX56=0),$H56,0)))))</f>
        <v>0</v>
      </c>
      <c r="OX56" s="43">
        <f t="shared" ref="OX56:OX79" si="400">OS56-OU56</f>
        <v>-1</v>
      </c>
      <c r="OY56" s="30"/>
      <c r="OZ56" s="47">
        <v>2</v>
      </c>
      <c r="PA56" s="48" t="s">
        <v>4</v>
      </c>
      <c r="PB56" s="49">
        <v>1</v>
      </c>
      <c r="PC56" s="5"/>
      <c r="PD56" s="42">
        <f t="shared" ref="PD56:PD79" si="401">IF(OR($G56="",PB56=""),"",IF(AND($E56=OZ56,$G56=PB56),$H56*1.5,IF(AND($I56&gt;0,PE56&gt;0),$H56,IF(AND($I56&lt;0,PE56&lt;0),$H56,IF(AND($I56=0,PE56=0),$H56,0)))))</f>
        <v>5.4</v>
      </c>
      <c r="PE56" s="43">
        <f t="shared" ref="PE56:PE79" si="402">OZ56-PB56</f>
        <v>1</v>
      </c>
      <c r="PF56" s="30"/>
      <c r="PG56" s="47">
        <v>2</v>
      </c>
      <c r="PH56" s="48" t="s">
        <v>4</v>
      </c>
      <c r="PI56" s="49">
        <v>0</v>
      </c>
      <c r="PJ56" s="5"/>
      <c r="PK56" s="42">
        <f t="shared" ref="PK56:PK79" si="403">IF(OR($G56="",PI56=""),"",IF(AND($E56=PG56,$G56=PI56),$H56*1.5,IF(AND($I56&gt;0,PL56&gt;0),$H56,IF(AND($I56&lt;0,PL56&lt;0),$H56,IF(AND($I56=0,PL56=0),$H56,0)))))</f>
        <v>3.6</v>
      </c>
      <c r="PL56" s="43">
        <f t="shared" ref="PL56:PL79" si="404">PG56-PI56</f>
        <v>2</v>
      </c>
      <c r="PM56" s="30"/>
      <c r="PN56" s="47">
        <v>1</v>
      </c>
      <c r="PO56" s="48" t="s">
        <v>4</v>
      </c>
      <c r="PP56" s="49">
        <v>2</v>
      </c>
      <c r="PQ56" s="5"/>
      <c r="PR56" s="42">
        <f t="shared" ref="PR56:PR79" si="405">IF(OR($G56="",PP56=""),"",IF(AND($E56=PN56,$G56=PP56),$H56*1.5,IF(AND($I56&gt;0,PS56&gt;0),$H56,IF(AND($I56&lt;0,PS56&lt;0),$H56,IF(AND($I56=0,PS56=0),$H56,0)))))</f>
        <v>0</v>
      </c>
      <c r="PS56" s="43">
        <f t="shared" ref="PS56:PS79" si="406">PN56-PP56</f>
        <v>-1</v>
      </c>
      <c r="PT56" s="30"/>
      <c r="PU56" s="47">
        <v>1</v>
      </c>
      <c r="PV56" s="48" t="s">
        <v>4</v>
      </c>
      <c r="PW56" s="49">
        <v>1</v>
      </c>
      <c r="PX56" s="5"/>
      <c r="PY56" s="42">
        <f t="shared" ref="PY56:PY79" si="407">IF(OR($G56="",PW56=""),"",IF(AND($E56=PU56,$G56=PW56),$H56*1.5,IF(AND($I56&gt;0,PZ56&gt;0),$H56,IF(AND($I56&lt;0,PZ56&lt;0),$H56,IF(AND($I56=0,PZ56=0),$H56,0)))))</f>
        <v>0</v>
      </c>
      <c r="PZ56" s="43">
        <f t="shared" ref="PZ56:PZ79" si="408">PU56-PW56</f>
        <v>0</v>
      </c>
      <c r="QA56" s="30"/>
      <c r="QB56" s="47">
        <v>2</v>
      </c>
      <c r="QC56" s="48" t="s">
        <v>4</v>
      </c>
      <c r="QD56" s="49">
        <v>2</v>
      </c>
      <c r="QE56" s="5"/>
      <c r="QF56" s="42">
        <f t="shared" ref="QF56:QF79" si="409">IF(OR($G56="",QD56=""),"",IF(AND($E56=QB56,$G56=QD56),$H56*1.5,IF(AND($I56&gt;0,QG56&gt;0),$H56,IF(AND($I56&lt;0,QG56&lt;0),$H56,IF(AND($I56=0,QG56=0),$H56,0)))))</f>
        <v>0</v>
      </c>
      <c r="QG56" s="43">
        <f t="shared" ref="QG56:QG79" si="410">QB56-QD56</f>
        <v>0</v>
      </c>
      <c r="QH56" s="30"/>
      <c r="QI56" s="47">
        <v>2</v>
      </c>
      <c r="QJ56" s="48" t="s">
        <v>4</v>
      </c>
      <c r="QK56" s="49">
        <v>0</v>
      </c>
      <c r="QL56" s="5"/>
      <c r="QM56" s="42">
        <f t="shared" ref="QM56:QM79" si="411">IF(OR($G56="",QK56=""),"",IF(AND($E56=QI56,$G56=QK56),$H56*1.5,IF(AND($I56&gt;0,QN56&gt;0),$H56,IF(AND($I56&lt;0,QN56&lt;0),$H56,IF(AND($I56=0,QN56=0),$H56,0)))))</f>
        <v>3.6</v>
      </c>
      <c r="QN56" s="43">
        <f t="shared" ref="QN56:QN79" si="412">QI56-QK56</f>
        <v>2</v>
      </c>
      <c r="QO56" s="30"/>
      <c r="QP56" s="47">
        <v>2</v>
      </c>
      <c r="QQ56" s="48" t="s">
        <v>4</v>
      </c>
      <c r="QR56" s="49">
        <v>0</v>
      </c>
      <c r="QS56" s="5"/>
      <c r="QT56" s="42">
        <f t="shared" ref="QT56:QT79" si="413">IF(OR($G56="",QR56=""),"",IF(AND($E56=QP56,$G56=QR56),$H56*1.5,IF(AND($I56&gt;0,QU56&gt;0),$H56,IF(AND($I56&lt;0,QU56&lt;0),$H56,IF(AND($I56=0,QU56=0),$H56,0)))))</f>
        <v>3.6</v>
      </c>
      <c r="QU56" s="43">
        <f t="shared" ref="QU56:QU79" si="414">QP56-QR56</f>
        <v>2</v>
      </c>
      <c r="QV56" s="30"/>
      <c r="QW56" s="47">
        <v>2</v>
      </c>
      <c r="QX56" s="48" t="s">
        <v>4</v>
      </c>
      <c r="QY56" s="49">
        <v>2</v>
      </c>
      <c r="QZ56" s="5"/>
      <c r="RA56" s="42">
        <f t="shared" ref="RA56:RA79" si="415">IF(OR($G56="",QY56=""),"",IF(AND($E56=QW56,$G56=QY56),$H56*1.5,IF(AND($I56&gt;0,RB56&gt;0),$H56,IF(AND($I56&lt;0,RB56&lt;0),$H56,IF(AND($I56=0,RB56=0),$H56,0)))))</f>
        <v>0</v>
      </c>
      <c r="RB56" s="43">
        <f t="shared" ref="RB56:RB79" si="416">QW56-QY56</f>
        <v>0</v>
      </c>
      <c r="RC56" s="30"/>
      <c r="RD56" s="47"/>
      <c r="RE56" s="48" t="s">
        <v>4</v>
      </c>
      <c r="RF56" s="49"/>
      <c r="RG56" s="5"/>
      <c r="RH56" s="42" t="str">
        <f t="shared" ref="RH56:RH79" si="417">IF(OR($G56="",RF56=""),"",IF(AND($E56=RD56,$G56=RF56),$H56*1.5,IF(AND($I56&gt;0,RI56&gt;0),$H56,IF(AND($I56&lt;0,RI56&lt;0),$H56,IF(AND($I56=0,RI56=0),$H56,0)))))</f>
        <v/>
      </c>
      <c r="RI56" s="43">
        <f t="shared" ref="RI56:RI79" si="418">RD56-RF56</f>
        <v>0</v>
      </c>
      <c r="RJ56" s="30"/>
      <c r="RK56" s="47">
        <v>1</v>
      </c>
      <c r="RL56" s="48" t="s">
        <v>4</v>
      </c>
      <c r="RM56" s="49">
        <v>1</v>
      </c>
      <c r="RN56" s="5"/>
      <c r="RO56" s="42">
        <f t="shared" ref="RO56:RO79" si="419">IF(OR($G56="",RM56=""),"",IF(AND($E56=RK56,$G56=RM56),$H56*1.5,IF(AND($I56&gt;0,RP56&gt;0),$H56,IF(AND($I56&lt;0,RP56&lt;0),$H56,IF(AND($I56=0,RP56=0),$H56,0)))))</f>
        <v>0</v>
      </c>
      <c r="RP56" s="43">
        <f t="shared" ref="RP56:RP79" si="420">RK56-RM56</f>
        <v>0</v>
      </c>
      <c r="RQ56" s="30"/>
      <c r="RR56" s="47">
        <v>1</v>
      </c>
      <c r="RS56" s="48" t="s">
        <v>4</v>
      </c>
      <c r="RT56" s="49">
        <v>1</v>
      </c>
      <c r="RU56" s="5"/>
      <c r="RV56" s="42">
        <f t="shared" ref="RV56:RV79" si="421">IF(OR($G56="",RT56=""),"",IF(AND($E56=RR56,$G56=RT56),$H56*1.5,IF(AND($I56&gt;0,RW56&gt;0),$H56,IF(AND($I56&lt;0,RW56&lt;0),$H56,IF(AND($I56=0,RW56=0),$H56,0)))))</f>
        <v>0</v>
      </c>
      <c r="RW56" s="43">
        <f t="shared" ref="RW56:RW79" si="422">RR56-RT56</f>
        <v>0</v>
      </c>
      <c r="RX56" s="30"/>
      <c r="RY56" s="47">
        <v>1</v>
      </c>
      <c r="RZ56" s="48" t="s">
        <v>4</v>
      </c>
      <c r="SA56" s="49">
        <v>1</v>
      </c>
      <c r="SB56" s="5"/>
      <c r="SC56" s="42">
        <f t="shared" ref="SC56:SC79" si="423">IF(OR($G56="",SA56=""),"",IF(AND($E56=RY56,$G56=SA56),$H56*1.5,IF(AND($I56&gt;0,SD56&gt;0),$H56,IF(AND($I56&lt;0,SD56&lt;0),$H56,IF(AND($I56=0,SD56=0),$H56,0)))))</f>
        <v>0</v>
      </c>
      <c r="SD56" s="43">
        <f t="shared" ref="SD56:SD79" si="424">RY56-SA56</f>
        <v>0</v>
      </c>
      <c r="SE56" s="30"/>
      <c r="SF56" s="47">
        <v>1</v>
      </c>
      <c r="SG56" s="48" t="s">
        <v>4</v>
      </c>
      <c r="SH56" s="49">
        <v>1</v>
      </c>
      <c r="SI56" s="5"/>
      <c r="SJ56" s="42">
        <f t="shared" ref="SJ56:SJ79" si="425">IF(OR($G56="",SH56=""),"",IF(AND($E56=SF56,$G56=SH56),$H56*1.5,IF(AND($I56&gt;0,SK56&gt;0),$H56,IF(AND($I56&lt;0,SK56&lt;0),$H56,IF(AND($I56=0,SK56=0),$H56,0)))))</f>
        <v>0</v>
      </c>
      <c r="SK56" s="43">
        <f t="shared" ref="SK56:SK79" si="426">SF56-SH56</f>
        <v>0</v>
      </c>
      <c r="SL56" s="30"/>
      <c r="SM56" s="47">
        <v>2</v>
      </c>
      <c r="SN56" s="48" t="s">
        <v>4</v>
      </c>
      <c r="SO56" s="49">
        <v>1</v>
      </c>
      <c r="SP56" s="5"/>
      <c r="SQ56" s="42">
        <f t="shared" ref="SQ56:SQ79" si="427">IF(OR($G56="",SO56=""),"",IF(AND($E56=SM56,$G56=SO56),$H56*1.5,IF(AND($I56&gt;0,SR56&gt;0),$H56,IF(AND($I56&lt;0,SR56&lt;0),$H56,IF(AND($I56=0,SR56=0),$H56,0)))))</f>
        <v>5.4</v>
      </c>
      <c r="SR56" s="43">
        <f t="shared" ref="SR56:SR79" si="428">SM56-SO56</f>
        <v>1</v>
      </c>
    </row>
    <row r="57" spans="1:512" customFormat="1" ht="16" customHeight="1" x14ac:dyDescent="0.15">
      <c r="A57" s="51">
        <v>46197</v>
      </c>
      <c r="B57" s="46">
        <v>0.875</v>
      </c>
      <c r="C57" s="51" t="s">
        <v>315</v>
      </c>
      <c r="D57" s="51" t="s">
        <v>34</v>
      </c>
      <c r="E57" s="2">
        <v>3</v>
      </c>
      <c r="F57" s="50" t="s">
        <v>4</v>
      </c>
      <c r="G57" s="1">
        <v>1</v>
      </c>
      <c r="H57" s="16">
        <v>3.6</v>
      </c>
      <c r="I57" s="32">
        <f t="shared" si="0"/>
        <v>2</v>
      </c>
      <c r="J57" s="47">
        <v>1</v>
      </c>
      <c r="K57" s="48" t="s">
        <v>4</v>
      </c>
      <c r="L57" s="49">
        <v>0</v>
      </c>
      <c r="M57" s="5"/>
      <c r="N57" s="42">
        <f t="shared" si="1"/>
        <v>3.6</v>
      </c>
      <c r="O57" s="43">
        <f t="shared" si="2"/>
        <v>1</v>
      </c>
      <c r="P57" s="43"/>
      <c r="Q57" s="47">
        <v>1</v>
      </c>
      <c r="R57" s="48" t="s">
        <v>4</v>
      </c>
      <c r="S57" s="49">
        <v>0</v>
      </c>
      <c r="T57" s="5"/>
      <c r="U57" s="42">
        <f t="shared" si="287"/>
        <v>3.6</v>
      </c>
      <c r="V57" s="43">
        <f t="shared" si="288"/>
        <v>1</v>
      </c>
      <c r="W57" s="30"/>
      <c r="X57" s="47">
        <v>2</v>
      </c>
      <c r="Y57" s="48" t="s">
        <v>4</v>
      </c>
      <c r="Z57" s="49">
        <v>2</v>
      </c>
      <c r="AA57" s="5"/>
      <c r="AB57" s="42">
        <f t="shared" si="289"/>
        <v>0</v>
      </c>
      <c r="AC57" s="43">
        <f t="shared" si="290"/>
        <v>0</v>
      </c>
      <c r="AD57" s="30"/>
      <c r="AE57" s="47">
        <v>1</v>
      </c>
      <c r="AF57" s="48" t="s">
        <v>4</v>
      </c>
      <c r="AG57" s="49">
        <v>2</v>
      </c>
      <c r="AH57" s="5"/>
      <c r="AI57" s="42">
        <f t="shared" si="291"/>
        <v>0</v>
      </c>
      <c r="AJ57" s="43">
        <f t="shared" si="292"/>
        <v>-1</v>
      </c>
      <c r="AK57" s="30"/>
      <c r="AL57" s="47">
        <v>2</v>
      </c>
      <c r="AM57" s="48" t="s">
        <v>4</v>
      </c>
      <c r="AN57" s="49">
        <v>1</v>
      </c>
      <c r="AO57" s="5"/>
      <c r="AP57" s="42">
        <f t="shared" si="293"/>
        <v>3.6</v>
      </c>
      <c r="AQ57" s="43">
        <f t="shared" si="294"/>
        <v>1</v>
      </c>
      <c r="AR57" s="30"/>
      <c r="AS57" s="47">
        <v>1</v>
      </c>
      <c r="AT57" s="48" t="s">
        <v>4</v>
      </c>
      <c r="AU57" s="49">
        <v>0</v>
      </c>
      <c r="AV57" s="5"/>
      <c r="AW57" s="42">
        <f t="shared" si="295"/>
        <v>3.6</v>
      </c>
      <c r="AX57" s="43">
        <f t="shared" si="296"/>
        <v>1</v>
      </c>
      <c r="AY57" s="30"/>
      <c r="AZ57" s="47">
        <v>2</v>
      </c>
      <c r="BA57" s="48" t="s">
        <v>4</v>
      </c>
      <c r="BB57" s="49">
        <v>1</v>
      </c>
      <c r="BC57" s="5"/>
      <c r="BD57" s="42">
        <f t="shared" si="297"/>
        <v>3.6</v>
      </c>
      <c r="BE57" s="43">
        <f t="shared" si="298"/>
        <v>1</v>
      </c>
      <c r="BF57" s="30"/>
      <c r="BG57" s="47">
        <v>1</v>
      </c>
      <c r="BH57" s="48" t="s">
        <v>4</v>
      </c>
      <c r="BI57" s="49">
        <v>0</v>
      </c>
      <c r="BJ57" s="5"/>
      <c r="BK57" s="42">
        <f t="shared" si="299"/>
        <v>3.6</v>
      </c>
      <c r="BL57" s="43">
        <f t="shared" si="300"/>
        <v>1</v>
      </c>
      <c r="BM57" s="30"/>
      <c r="BN57" s="47">
        <v>3</v>
      </c>
      <c r="BO57" s="48" t="s">
        <v>4</v>
      </c>
      <c r="BP57" s="49">
        <v>1</v>
      </c>
      <c r="BQ57" s="5"/>
      <c r="BR57" s="42">
        <f t="shared" si="301"/>
        <v>5.4</v>
      </c>
      <c r="BS57" s="43">
        <f t="shared" si="302"/>
        <v>2</v>
      </c>
      <c r="BT57" s="30"/>
      <c r="BU57" s="47">
        <v>1</v>
      </c>
      <c r="BV57" s="48" t="s">
        <v>4</v>
      </c>
      <c r="BW57" s="49">
        <v>0</v>
      </c>
      <c r="BX57" s="5"/>
      <c r="BY57" s="42">
        <f t="shared" si="303"/>
        <v>3.6</v>
      </c>
      <c r="BZ57" s="43">
        <f t="shared" si="304"/>
        <v>1</v>
      </c>
      <c r="CA57" s="30"/>
      <c r="CB57" s="47">
        <v>3</v>
      </c>
      <c r="CC57" s="48" t="s">
        <v>4</v>
      </c>
      <c r="CD57" s="49">
        <v>1</v>
      </c>
      <c r="CE57" s="5"/>
      <c r="CF57" s="42">
        <f t="shared" si="305"/>
        <v>5.4</v>
      </c>
      <c r="CG57" s="43">
        <f t="shared" si="306"/>
        <v>2</v>
      </c>
      <c r="CH57" s="30"/>
      <c r="CI57" s="47">
        <v>1</v>
      </c>
      <c r="CJ57" s="48" t="s">
        <v>4</v>
      </c>
      <c r="CK57" s="49">
        <v>2</v>
      </c>
      <c r="CL57" s="5"/>
      <c r="CM57" s="42">
        <f t="shared" si="307"/>
        <v>0</v>
      </c>
      <c r="CN57" s="43">
        <f t="shared" si="308"/>
        <v>-1</v>
      </c>
      <c r="CO57" s="30"/>
      <c r="CP57" s="47">
        <v>2</v>
      </c>
      <c r="CQ57" s="48" t="s">
        <v>4</v>
      </c>
      <c r="CR57" s="49">
        <v>1</v>
      </c>
      <c r="CS57" s="5"/>
      <c r="CT57" s="42">
        <f t="shared" si="309"/>
        <v>3.6</v>
      </c>
      <c r="CU57" s="43">
        <f t="shared" si="310"/>
        <v>1</v>
      </c>
      <c r="CV57" s="30"/>
      <c r="CW57" s="47">
        <v>2</v>
      </c>
      <c r="CX57" s="48" t="s">
        <v>4</v>
      </c>
      <c r="CY57" s="49">
        <v>0</v>
      </c>
      <c r="CZ57" s="5"/>
      <c r="DA57" s="42">
        <f t="shared" si="311"/>
        <v>3.6</v>
      </c>
      <c r="DB57" s="43">
        <f t="shared" si="312"/>
        <v>2</v>
      </c>
      <c r="DC57" s="30"/>
      <c r="DD57" s="47">
        <v>1</v>
      </c>
      <c r="DE57" s="48" t="s">
        <v>4</v>
      </c>
      <c r="DF57" s="49">
        <v>1</v>
      </c>
      <c r="DG57" s="5"/>
      <c r="DH57" s="42">
        <f t="shared" si="313"/>
        <v>0</v>
      </c>
      <c r="DI57" s="43">
        <f t="shared" si="314"/>
        <v>0</v>
      </c>
      <c r="DJ57" s="30"/>
      <c r="DK57" s="47">
        <v>2</v>
      </c>
      <c r="DL57" s="48" t="s">
        <v>4</v>
      </c>
      <c r="DM57" s="49">
        <v>0</v>
      </c>
      <c r="DN57" s="5"/>
      <c r="DO57" s="42">
        <f t="shared" si="315"/>
        <v>3.6</v>
      </c>
      <c r="DP57" s="43">
        <f t="shared" si="316"/>
        <v>2</v>
      </c>
      <c r="DQ57" s="30"/>
      <c r="DR57" s="47">
        <v>3</v>
      </c>
      <c r="DS57" s="48" t="s">
        <v>4</v>
      </c>
      <c r="DT57" s="49">
        <v>1</v>
      </c>
      <c r="DU57" s="5"/>
      <c r="DV57" s="42">
        <f t="shared" si="317"/>
        <v>5.4</v>
      </c>
      <c r="DW57" s="43">
        <f t="shared" si="318"/>
        <v>2</v>
      </c>
      <c r="DX57" s="30"/>
      <c r="DY57" s="47">
        <v>1</v>
      </c>
      <c r="DZ57" s="48" t="s">
        <v>4</v>
      </c>
      <c r="EA57" s="49">
        <v>1</v>
      </c>
      <c r="EB57" s="5"/>
      <c r="EC57" s="42">
        <f t="shared" si="319"/>
        <v>0</v>
      </c>
      <c r="ED57" s="43">
        <f t="shared" si="320"/>
        <v>0</v>
      </c>
      <c r="EE57" s="30"/>
      <c r="EF57" s="47">
        <v>0</v>
      </c>
      <c r="EG57" s="48" t="s">
        <v>4</v>
      </c>
      <c r="EH57" s="49">
        <v>0</v>
      </c>
      <c r="EI57" s="5"/>
      <c r="EJ57" s="42">
        <f t="shared" si="321"/>
        <v>0</v>
      </c>
      <c r="EK57" s="43">
        <f t="shared" si="322"/>
        <v>0</v>
      </c>
      <c r="EL57" s="30"/>
      <c r="EM57" s="47">
        <v>2</v>
      </c>
      <c r="EN57" s="48" t="s">
        <v>4</v>
      </c>
      <c r="EO57" s="49">
        <v>1</v>
      </c>
      <c r="EP57" s="5"/>
      <c r="EQ57" s="42">
        <f t="shared" si="323"/>
        <v>3.6</v>
      </c>
      <c r="ER57" s="43">
        <f t="shared" si="324"/>
        <v>1</v>
      </c>
      <c r="ES57" s="30"/>
      <c r="ET57" s="47">
        <v>1</v>
      </c>
      <c r="EU57" s="48" t="s">
        <v>4</v>
      </c>
      <c r="EV57" s="49">
        <v>1</v>
      </c>
      <c r="EW57" s="5"/>
      <c r="EX57" s="42">
        <f t="shared" si="325"/>
        <v>0</v>
      </c>
      <c r="EY57" s="43">
        <f t="shared" si="326"/>
        <v>0</v>
      </c>
      <c r="EZ57" s="30"/>
      <c r="FA57" s="47">
        <v>2</v>
      </c>
      <c r="FB57" s="48" t="s">
        <v>4</v>
      </c>
      <c r="FC57" s="49">
        <v>0</v>
      </c>
      <c r="FD57" s="5"/>
      <c r="FE57" s="42">
        <f t="shared" si="327"/>
        <v>3.6</v>
      </c>
      <c r="FF57" s="43">
        <f t="shared" si="328"/>
        <v>2</v>
      </c>
      <c r="FG57" s="30"/>
      <c r="FH57" s="47">
        <v>2</v>
      </c>
      <c r="FI57" s="48" t="s">
        <v>4</v>
      </c>
      <c r="FJ57" s="49">
        <v>1</v>
      </c>
      <c r="FK57" s="5"/>
      <c r="FL57" s="42">
        <f t="shared" si="329"/>
        <v>3.6</v>
      </c>
      <c r="FM57" s="43">
        <f t="shared" si="330"/>
        <v>1</v>
      </c>
      <c r="FN57" s="30"/>
      <c r="FO57" s="47">
        <v>1</v>
      </c>
      <c r="FP57" s="48" t="s">
        <v>4</v>
      </c>
      <c r="FQ57" s="49">
        <v>1</v>
      </c>
      <c r="FR57" s="5"/>
      <c r="FS57" s="42">
        <f t="shared" si="331"/>
        <v>0</v>
      </c>
      <c r="FT57" s="43">
        <f t="shared" si="332"/>
        <v>0</v>
      </c>
      <c r="FU57" s="30"/>
      <c r="FV57" s="47">
        <v>0</v>
      </c>
      <c r="FW57" s="48" t="s">
        <v>4</v>
      </c>
      <c r="FX57" s="49">
        <v>0</v>
      </c>
      <c r="FY57" s="5"/>
      <c r="FZ57" s="42">
        <f t="shared" si="333"/>
        <v>0</v>
      </c>
      <c r="GA57" s="43">
        <f t="shared" si="334"/>
        <v>0</v>
      </c>
      <c r="GB57" s="30"/>
      <c r="GC57" s="47">
        <v>2</v>
      </c>
      <c r="GD57" s="48" t="s">
        <v>4</v>
      </c>
      <c r="GE57" s="49">
        <v>0</v>
      </c>
      <c r="GF57" s="5"/>
      <c r="GG57" s="42">
        <f t="shared" si="335"/>
        <v>3.6</v>
      </c>
      <c r="GH57" s="43">
        <f t="shared" si="336"/>
        <v>2</v>
      </c>
      <c r="GI57" s="30"/>
      <c r="GJ57" s="47">
        <v>2</v>
      </c>
      <c r="GK57" s="48" t="s">
        <v>4</v>
      </c>
      <c r="GL57" s="49">
        <v>0</v>
      </c>
      <c r="GM57" s="5"/>
      <c r="GN57" s="42">
        <f t="shared" si="337"/>
        <v>3.6</v>
      </c>
      <c r="GO57" s="43">
        <f t="shared" si="338"/>
        <v>2</v>
      </c>
      <c r="GP57" s="30"/>
      <c r="GQ57" s="47">
        <v>1</v>
      </c>
      <c r="GR57" s="48" t="s">
        <v>4</v>
      </c>
      <c r="GS57" s="49">
        <v>1</v>
      </c>
      <c r="GT57" s="5"/>
      <c r="GU57" s="42">
        <f t="shared" si="339"/>
        <v>0</v>
      </c>
      <c r="GV57" s="43">
        <f t="shared" si="340"/>
        <v>0</v>
      </c>
      <c r="GW57" s="30"/>
      <c r="GX57" s="47">
        <v>2</v>
      </c>
      <c r="GY57" s="48" t="s">
        <v>4</v>
      </c>
      <c r="GZ57" s="49">
        <v>0</v>
      </c>
      <c r="HA57" s="5"/>
      <c r="HB57" s="42">
        <f t="shared" si="341"/>
        <v>3.6</v>
      </c>
      <c r="HC57" s="43">
        <f t="shared" si="342"/>
        <v>2</v>
      </c>
      <c r="HD57" s="30"/>
      <c r="HE57" s="47">
        <v>3</v>
      </c>
      <c r="HF57" s="48" t="s">
        <v>4</v>
      </c>
      <c r="HG57" s="49">
        <v>0</v>
      </c>
      <c r="HH57" s="5"/>
      <c r="HI57" s="42">
        <f t="shared" si="343"/>
        <v>3.6</v>
      </c>
      <c r="HJ57" s="43">
        <f t="shared" si="344"/>
        <v>3</v>
      </c>
      <c r="HK57" s="30"/>
      <c r="HL57" s="47">
        <v>2</v>
      </c>
      <c r="HM57" s="48" t="s">
        <v>4</v>
      </c>
      <c r="HN57" s="49">
        <v>0</v>
      </c>
      <c r="HO57" s="5"/>
      <c r="HP57" s="42">
        <f t="shared" si="345"/>
        <v>3.6</v>
      </c>
      <c r="HQ57" s="43">
        <f t="shared" si="346"/>
        <v>2</v>
      </c>
      <c r="HR57" s="30"/>
      <c r="HS57" s="47">
        <v>0</v>
      </c>
      <c r="HT57" s="48" t="s">
        <v>4</v>
      </c>
      <c r="HU57" s="49">
        <v>1</v>
      </c>
      <c r="HV57" s="5"/>
      <c r="HW57" s="42">
        <f t="shared" si="347"/>
        <v>0</v>
      </c>
      <c r="HX57" s="43">
        <f t="shared" si="348"/>
        <v>-1</v>
      </c>
      <c r="HY57" s="30"/>
      <c r="HZ57" s="47">
        <v>1</v>
      </c>
      <c r="IA57" s="48" t="s">
        <v>4</v>
      </c>
      <c r="IB57" s="49">
        <v>0</v>
      </c>
      <c r="IC57" s="5"/>
      <c r="ID57" s="42">
        <f t="shared" si="349"/>
        <v>3.6</v>
      </c>
      <c r="IE57" s="43">
        <f t="shared" si="350"/>
        <v>1</v>
      </c>
      <c r="IF57" s="30"/>
      <c r="IG57" s="47">
        <v>3</v>
      </c>
      <c r="IH57" s="48" t="s">
        <v>4</v>
      </c>
      <c r="II57" s="49">
        <v>3</v>
      </c>
      <c r="IJ57" s="5"/>
      <c r="IK57" s="42">
        <f t="shared" si="351"/>
        <v>0</v>
      </c>
      <c r="IL57" s="43">
        <f t="shared" si="352"/>
        <v>0</v>
      </c>
      <c r="IM57" s="30"/>
      <c r="IN57" s="47">
        <v>2</v>
      </c>
      <c r="IO57" s="48" t="s">
        <v>4</v>
      </c>
      <c r="IP57" s="49">
        <v>1</v>
      </c>
      <c r="IQ57" s="5"/>
      <c r="IR57" s="42">
        <f t="shared" si="353"/>
        <v>3.6</v>
      </c>
      <c r="IS57" s="43">
        <f t="shared" si="354"/>
        <v>1</v>
      </c>
      <c r="IT57" s="30"/>
      <c r="IU57" s="47">
        <v>2</v>
      </c>
      <c r="IV57" s="48" t="s">
        <v>4</v>
      </c>
      <c r="IW57" s="49">
        <v>0</v>
      </c>
      <c r="IX57" s="5"/>
      <c r="IY57" s="42">
        <f t="shared" si="355"/>
        <v>3.6</v>
      </c>
      <c r="IZ57" s="43">
        <f t="shared" si="356"/>
        <v>2</v>
      </c>
      <c r="JA57" s="30"/>
      <c r="JB57" s="47">
        <v>2</v>
      </c>
      <c r="JC57" s="48" t="s">
        <v>4</v>
      </c>
      <c r="JD57" s="49">
        <v>0</v>
      </c>
      <c r="JE57" s="5"/>
      <c r="JF57" s="42">
        <f t="shared" si="357"/>
        <v>3.6</v>
      </c>
      <c r="JG57" s="43">
        <f t="shared" si="358"/>
        <v>2</v>
      </c>
      <c r="JH57" s="30"/>
      <c r="JI57" s="47">
        <v>2</v>
      </c>
      <c r="JJ57" s="48" t="s">
        <v>4</v>
      </c>
      <c r="JK57" s="49">
        <v>0</v>
      </c>
      <c r="JL57" s="5"/>
      <c r="JM57" s="42">
        <f t="shared" si="359"/>
        <v>3.6</v>
      </c>
      <c r="JN57" s="43">
        <f t="shared" si="360"/>
        <v>2</v>
      </c>
      <c r="JO57" s="30"/>
      <c r="JP57" s="47">
        <v>3</v>
      </c>
      <c r="JQ57" s="48" t="s">
        <v>4</v>
      </c>
      <c r="JR57" s="49">
        <v>1</v>
      </c>
      <c r="JS57" s="5"/>
      <c r="JT57" s="42">
        <f t="shared" si="361"/>
        <v>5.4</v>
      </c>
      <c r="JU57" s="43">
        <f t="shared" si="362"/>
        <v>2</v>
      </c>
      <c r="JV57" s="30"/>
      <c r="JW57" s="47">
        <v>2</v>
      </c>
      <c r="JX57" s="48" t="s">
        <v>4</v>
      </c>
      <c r="JY57" s="49">
        <v>3</v>
      </c>
      <c r="JZ57" s="5"/>
      <c r="KA57" s="42">
        <f t="shared" si="363"/>
        <v>0</v>
      </c>
      <c r="KB57" s="43">
        <f t="shared" si="364"/>
        <v>-1</v>
      </c>
      <c r="KC57" s="30"/>
      <c r="KD57" s="47">
        <v>2</v>
      </c>
      <c r="KE57" s="48" t="s">
        <v>4</v>
      </c>
      <c r="KF57" s="49">
        <v>0</v>
      </c>
      <c r="KG57" s="5"/>
      <c r="KH57" s="42">
        <f t="shared" si="365"/>
        <v>3.6</v>
      </c>
      <c r="KI57" s="43">
        <f t="shared" si="366"/>
        <v>2</v>
      </c>
      <c r="KJ57" s="30"/>
      <c r="KK57" s="47">
        <v>1</v>
      </c>
      <c r="KL57" s="48" t="s">
        <v>4</v>
      </c>
      <c r="KM57" s="49">
        <v>1</v>
      </c>
      <c r="KN57" s="5"/>
      <c r="KO57" s="42">
        <f t="shared" si="367"/>
        <v>0</v>
      </c>
      <c r="KP57" s="43">
        <f t="shared" si="368"/>
        <v>0</v>
      </c>
      <c r="KQ57" s="30"/>
      <c r="KR57" s="47">
        <v>1</v>
      </c>
      <c r="KS57" s="48" t="s">
        <v>4</v>
      </c>
      <c r="KT57" s="49">
        <v>0</v>
      </c>
      <c r="KU57" s="5"/>
      <c r="KV57" s="42">
        <f t="shared" si="369"/>
        <v>3.6</v>
      </c>
      <c r="KW57" s="43">
        <f t="shared" si="370"/>
        <v>1</v>
      </c>
      <c r="KX57" s="30"/>
      <c r="KY57" s="47">
        <v>2</v>
      </c>
      <c r="KZ57" s="48" t="s">
        <v>4</v>
      </c>
      <c r="LA57" s="49">
        <v>1</v>
      </c>
      <c r="LB57" s="5"/>
      <c r="LC57" s="42">
        <f t="shared" si="371"/>
        <v>3.6</v>
      </c>
      <c r="LD57" s="43">
        <f t="shared" si="372"/>
        <v>1</v>
      </c>
      <c r="LE57" s="30"/>
      <c r="LF57" s="47">
        <v>2</v>
      </c>
      <c r="LG57" s="48" t="s">
        <v>4</v>
      </c>
      <c r="LH57" s="49">
        <v>1</v>
      </c>
      <c r="LI57" s="5"/>
      <c r="LJ57" s="42">
        <f t="shared" si="373"/>
        <v>3.6</v>
      </c>
      <c r="LK57" s="43">
        <f t="shared" si="374"/>
        <v>1</v>
      </c>
      <c r="LL57" s="30"/>
      <c r="LM57" s="47">
        <v>1</v>
      </c>
      <c r="LN57" s="48" t="s">
        <v>4</v>
      </c>
      <c r="LO57" s="49">
        <v>1</v>
      </c>
      <c r="LP57" s="5"/>
      <c r="LQ57" s="42">
        <f t="shared" si="375"/>
        <v>0</v>
      </c>
      <c r="LR57" s="43">
        <f t="shared" si="376"/>
        <v>0</v>
      </c>
      <c r="LS57" s="30"/>
      <c r="LT57" s="47">
        <v>1</v>
      </c>
      <c r="LU57" s="48" t="s">
        <v>4</v>
      </c>
      <c r="LV57" s="49">
        <v>0</v>
      </c>
      <c r="LW57" s="5"/>
      <c r="LX57" s="42">
        <f t="shared" si="377"/>
        <v>3.6</v>
      </c>
      <c r="LY57" s="43">
        <f t="shared" si="378"/>
        <v>1</v>
      </c>
      <c r="LZ57" s="30"/>
      <c r="MA57" s="47">
        <v>3</v>
      </c>
      <c r="MB57" s="48" t="s">
        <v>4</v>
      </c>
      <c r="MC57" s="49">
        <v>1</v>
      </c>
      <c r="MD57" s="5"/>
      <c r="ME57" s="42">
        <f t="shared" si="379"/>
        <v>5.4</v>
      </c>
      <c r="MF57" s="43">
        <f t="shared" si="380"/>
        <v>2</v>
      </c>
      <c r="MG57" s="30"/>
      <c r="MH57" s="47">
        <v>3</v>
      </c>
      <c r="MI57" s="48" t="s">
        <v>4</v>
      </c>
      <c r="MJ57" s="49">
        <v>0</v>
      </c>
      <c r="MK57" s="5"/>
      <c r="ML57" s="42">
        <f t="shared" si="381"/>
        <v>3.6</v>
      </c>
      <c r="MM57" s="43">
        <f t="shared" si="382"/>
        <v>3</v>
      </c>
      <c r="MN57" s="30"/>
      <c r="MO57" s="47">
        <v>1</v>
      </c>
      <c r="MP57" s="48" t="s">
        <v>4</v>
      </c>
      <c r="MQ57" s="49">
        <v>0</v>
      </c>
      <c r="MR57" s="5"/>
      <c r="MS57" s="42">
        <f t="shared" si="383"/>
        <v>3.6</v>
      </c>
      <c r="MT57" s="43">
        <f t="shared" si="384"/>
        <v>1</v>
      </c>
      <c r="MU57" s="30"/>
      <c r="MV57" s="47">
        <v>2</v>
      </c>
      <c r="MW57" s="48" t="s">
        <v>4</v>
      </c>
      <c r="MX57" s="49">
        <v>0</v>
      </c>
      <c r="MY57" s="5"/>
      <c r="MZ57" s="42">
        <f t="shared" si="385"/>
        <v>3.6</v>
      </c>
      <c r="NA57" s="43">
        <f t="shared" si="386"/>
        <v>2</v>
      </c>
      <c r="NB57" s="30"/>
      <c r="NC57" s="47">
        <v>0</v>
      </c>
      <c r="ND57" s="48" t="s">
        <v>4</v>
      </c>
      <c r="NE57" s="49">
        <v>0</v>
      </c>
      <c r="NF57" s="5"/>
      <c r="NG57" s="42">
        <f t="shared" si="387"/>
        <v>0</v>
      </c>
      <c r="NH57" s="43">
        <f t="shared" si="388"/>
        <v>0</v>
      </c>
      <c r="NI57" s="30"/>
      <c r="NJ57" s="47">
        <v>2</v>
      </c>
      <c r="NK57" s="48" t="s">
        <v>4</v>
      </c>
      <c r="NL57" s="49">
        <v>2</v>
      </c>
      <c r="NM57" s="5"/>
      <c r="NN57" s="42">
        <f t="shared" si="389"/>
        <v>0</v>
      </c>
      <c r="NO57" s="43">
        <f t="shared" si="390"/>
        <v>0</v>
      </c>
      <c r="NP57" s="30"/>
      <c r="NQ57" s="47">
        <v>2</v>
      </c>
      <c r="NR57" s="48" t="s">
        <v>4</v>
      </c>
      <c r="NS57" s="49">
        <v>1</v>
      </c>
      <c r="NT57" s="5"/>
      <c r="NU57" s="42">
        <f t="shared" si="391"/>
        <v>3.6</v>
      </c>
      <c r="NV57" s="43">
        <f t="shared" si="392"/>
        <v>1</v>
      </c>
      <c r="NW57" s="30"/>
      <c r="NX57" s="47">
        <v>2</v>
      </c>
      <c r="NY57" s="48" t="s">
        <v>4</v>
      </c>
      <c r="NZ57" s="49">
        <v>1</v>
      </c>
      <c r="OA57" s="5"/>
      <c r="OB57" s="42">
        <f t="shared" si="393"/>
        <v>3.6</v>
      </c>
      <c r="OC57" s="43">
        <f t="shared" si="394"/>
        <v>1</v>
      </c>
      <c r="OD57" s="30"/>
      <c r="OE57" s="47">
        <v>2</v>
      </c>
      <c r="OF57" s="48" t="s">
        <v>4</v>
      </c>
      <c r="OG57" s="49">
        <v>0</v>
      </c>
      <c r="OH57" s="5"/>
      <c r="OI57" s="42">
        <f t="shared" si="395"/>
        <v>3.6</v>
      </c>
      <c r="OJ57" s="43">
        <f t="shared" si="396"/>
        <v>2</v>
      </c>
      <c r="OK57" s="30"/>
      <c r="OL57" s="47">
        <v>1</v>
      </c>
      <c r="OM57" s="48" t="s">
        <v>4</v>
      </c>
      <c r="ON57" s="49">
        <v>0</v>
      </c>
      <c r="OO57" s="5"/>
      <c r="OP57" s="42">
        <f t="shared" si="397"/>
        <v>3.6</v>
      </c>
      <c r="OQ57" s="43">
        <f t="shared" si="398"/>
        <v>1</v>
      </c>
      <c r="OR57" s="30"/>
      <c r="OS57" s="47">
        <v>0</v>
      </c>
      <c r="OT57" s="48" t="s">
        <v>4</v>
      </c>
      <c r="OU57" s="49">
        <v>0</v>
      </c>
      <c r="OV57" s="5"/>
      <c r="OW57" s="42">
        <f t="shared" si="399"/>
        <v>0</v>
      </c>
      <c r="OX57" s="43">
        <f t="shared" si="400"/>
        <v>0</v>
      </c>
      <c r="OY57" s="30"/>
      <c r="OZ57" s="47">
        <v>3</v>
      </c>
      <c r="PA57" s="48" t="s">
        <v>4</v>
      </c>
      <c r="PB57" s="49">
        <v>0</v>
      </c>
      <c r="PC57" s="5"/>
      <c r="PD57" s="42">
        <f t="shared" si="401"/>
        <v>3.6</v>
      </c>
      <c r="PE57" s="43">
        <f t="shared" si="402"/>
        <v>3</v>
      </c>
      <c r="PF57" s="30"/>
      <c r="PG57" s="47">
        <v>2</v>
      </c>
      <c r="PH57" s="48" t="s">
        <v>4</v>
      </c>
      <c r="PI57" s="49">
        <v>0</v>
      </c>
      <c r="PJ57" s="5"/>
      <c r="PK57" s="42">
        <f t="shared" si="403"/>
        <v>3.6</v>
      </c>
      <c r="PL57" s="43">
        <f t="shared" si="404"/>
        <v>2</v>
      </c>
      <c r="PM57" s="30"/>
      <c r="PN57" s="47">
        <v>2</v>
      </c>
      <c r="PO57" s="48" t="s">
        <v>4</v>
      </c>
      <c r="PP57" s="49">
        <v>1</v>
      </c>
      <c r="PQ57" s="5"/>
      <c r="PR57" s="42">
        <f t="shared" si="405"/>
        <v>3.6</v>
      </c>
      <c r="PS57" s="43">
        <f t="shared" si="406"/>
        <v>1</v>
      </c>
      <c r="PT57" s="30"/>
      <c r="PU57" s="47">
        <v>2</v>
      </c>
      <c r="PV57" s="48" t="s">
        <v>4</v>
      </c>
      <c r="PW57" s="49">
        <v>2</v>
      </c>
      <c r="PX57" s="5"/>
      <c r="PY57" s="42">
        <f t="shared" si="407"/>
        <v>0</v>
      </c>
      <c r="PZ57" s="43">
        <f t="shared" si="408"/>
        <v>0</v>
      </c>
      <c r="QA57" s="30"/>
      <c r="QB57" s="47">
        <v>1</v>
      </c>
      <c r="QC57" s="48" t="s">
        <v>4</v>
      </c>
      <c r="QD57" s="49">
        <v>0</v>
      </c>
      <c r="QE57" s="5"/>
      <c r="QF57" s="42">
        <f t="shared" si="409"/>
        <v>3.6</v>
      </c>
      <c r="QG57" s="43">
        <f t="shared" si="410"/>
        <v>1</v>
      </c>
      <c r="QH57" s="30"/>
      <c r="QI57" s="47">
        <v>1</v>
      </c>
      <c r="QJ57" s="48" t="s">
        <v>4</v>
      </c>
      <c r="QK57" s="49">
        <v>0</v>
      </c>
      <c r="QL57" s="5"/>
      <c r="QM57" s="42">
        <f t="shared" si="411"/>
        <v>3.6</v>
      </c>
      <c r="QN57" s="43">
        <f t="shared" si="412"/>
        <v>1</v>
      </c>
      <c r="QO57" s="30"/>
      <c r="QP57" s="47">
        <v>0</v>
      </c>
      <c r="QQ57" s="48" t="s">
        <v>4</v>
      </c>
      <c r="QR57" s="49">
        <v>0</v>
      </c>
      <c r="QS57" s="5"/>
      <c r="QT57" s="42">
        <f t="shared" si="413"/>
        <v>0</v>
      </c>
      <c r="QU57" s="43">
        <f t="shared" si="414"/>
        <v>0</v>
      </c>
      <c r="QV57" s="30"/>
      <c r="QW57" s="47">
        <v>1</v>
      </c>
      <c r="QX57" s="48" t="s">
        <v>4</v>
      </c>
      <c r="QY57" s="49">
        <v>0</v>
      </c>
      <c r="QZ57" s="5"/>
      <c r="RA57" s="42">
        <f t="shared" si="415"/>
        <v>3.6</v>
      </c>
      <c r="RB57" s="43">
        <f t="shared" si="416"/>
        <v>1</v>
      </c>
      <c r="RC57" s="30"/>
      <c r="RD57" s="47"/>
      <c r="RE57" s="48" t="s">
        <v>4</v>
      </c>
      <c r="RF57" s="49"/>
      <c r="RG57" s="5"/>
      <c r="RH57" s="42" t="str">
        <f t="shared" si="417"/>
        <v/>
      </c>
      <c r="RI57" s="43">
        <f t="shared" si="418"/>
        <v>0</v>
      </c>
      <c r="RJ57" s="30"/>
      <c r="RK57" s="47">
        <v>1</v>
      </c>
      <c r="RL57" s="48" t="s">
        <v>4</v>
      </c>
      <c r="RM57" s="49">
        <v>0</v>
      </c>
      <c r="RN57" s="5"/>
      <c r="RO57" s="42">
        <f t="shared" si="419"/>
        <v>3.6</v>
      </c>
      <c r="RP57" s="43">
        <f t="shared" si="420"/>
        <v>1</v>
      </c>
      <c r="RQ57" s="30"/>
      <c r="RR57" s="47">
        <v>1</v>
      </c>
      <c r="RS57" s="48" t="s">
        <v>4</v>
      </c>
      <c r="RT57" s="49">
        <v>1</v>
      </c>
      <c r="RU57" s="5"/>
      <c r="RV57" s="42">
        <f t="shared" si="421"/>
        <v>0</v>
      </c>
      <c r="RW57" s="43">
        <f t="shared" si="422"/>
        <v>0</v>
      </c>
      <c r="RX57" s="30"/>
      <c r="RY57" s="47">
        <v>1</v>
      </c>
      <c r="RZ57" s="48" t="s">
        <v>4</v>
      </c>
      <c r="SA57" s="49">
        <v>1</v>
      </c>
      <c r="SB57" s="5"/>
      <c r="SC57" s="42">
        <f t="shared" si="423"/>
        <v>0</v>
      </c>
      <c r="SD57" s="43">
        <f t="shared" si="424"/>
        <v>0</v>
      </c>
      <c r="SE57" s="30"/>
      <c r="SF57" s="47">
        <v>1</v>
      </c>
      <c r="SG57" s="48" t="s">
        <v>4</v>
      </c>
      <c r="SH57" s="49">
        <v>1</v>
      </c>
      <c r="SI57" s="5"/>
      <c r="SJ57" s="42">
        <f t="shared" si="425"/>
        <v>0</v>
      </c>
      <c r="SK57" s="43">
        <f t="shared" si="426"/>
        <v>0</v>
      </c>
      <c r="SL57" s="30"/>
      <c r="SM57" s="47">
        <v>1</v>
      </c>
      <c r="SN57" s="48" t="s">
        <v>4</v>
      </c>
      <c r="SO57" s="49">
        <v>1</v>
      </c>
      <c r="SP57" s="5"/>
      <c r="SQ57" s="42">
        <f t="shared" si="427"/>
        <v>0</v>
      </c>
      <c r="SR57" s="43">
        <f t="shared" si="428"/>
        <v>0</v>
      </c>
    </row>
    <row r="58" spans="1:512" customFormat="1" ht="16" customHeight="1" x14ac:dyDescent="0.15">
      <c r="A58" s="51">
        <v>46198</v>
      </c>
      <c r="B58" s="46">
        <v>0</v>
      </c>
      <c r="C58" s="79" t="s">
        <v>20</v>
      </c>
      <c r="D58" s="79" t="s">
        <v>35</v>
      </c>
      <c r="E58" s="2">
        <v>0</v>
      </c>
      <c r="F58" s="50" t="s">
        <v>4</v>
      </c>
      <c r="G58" s="1">
        <v>3</v>
      </c>
      <c r="H58" s="16">
        <v>3.8</v>
      </c>
      <c r="I58" s="32">
        <f t="shared" si="0"/>
        <v>-3</v>
      </c>
      <c r="J58" s="47">
        <v>1</v>
      </c>
      <c r="K58" s="48" t="s">
        <v>4</v>
      </c>
      <c r="L58" s="49">
        <v>2</v>
      </c>
      <c r="M58" s="5"/>
      <c r="N58" s="42">
        <f t="shared" si="1"/>
        <v>3.8</v>
      </c>
      <c r="O58" s="43">
        <f t="shared" si="2"/>
        <v>-1</v>
      </c>
      <c r="P58" s="43"/>
      <c r="Q58" s="47">
        <v>3</v>
      </c>
      <c r="R58" s="48" t="s">
        <v>4</v>
      </c>
      <c r="S58" s="49">
        <v>1</v>
      </c>
      <c r="T58" s="5"/>
      <c r="U58" s="42">
        <f t="shared" si="287"/>
        <v>0</v>
      </c>
      <c r="V58" s="43">
        <f t="shared" si="288"/>
        <v>2</v>
      </c>
      <c r="W58" s="30"/>
      <c r="X58" s="47">
        <v>1</v>
      </c>
      <c r="Y58" s="48" t="s">
        <v>4</v>
      </c>
      <c r="Z58" s="49">
        <v>1</v>
      </c>
      <c r="AA58" s="5"/>
      <c r="AB58" s="42">
        <f t="shared" si="289"/>
        <v>0</v>
      </c>
      <c r="AC58" s="43">
        <f t="shared" si="290"/>
        <v>0</v>
      </c>
      <c r="AD58" s="30"/>
      <c r="AE58" s="47">
        <v>1</v>
      </c>
      <c r="AF58" s="48" t="s">
        <v>4</v>
      </c>
      <c r="AG58" s="49">
        <v>3</v>
      </c>
      <c r="AH58" s="5"/>
      <c r="AI58" s="42">
        <f t="shared" si="291"/>
        <v>3.8</v>
      </c>
      <c r="AJ58" s="43">
        <f t="shared" si="292"/>
        <v>-2</v>
      </c>
      <c r="AK58" s="30"/>
      <c r="AL58" s="47">
        <v>0</v>
      </c>
      <c r="AM58" s="48" t="s">
        <v>4</v>
      </c>
      <c r="AN58" s="49">
        <v>3</v>
      </c>
      <c r="AO58" s="5"/>
      <c r="AP58" s="42">
        <f t="shared" si="293"/>
        <v>5.6999999999999993</v>
      </c>
      <c r="AQ58" s="43">
        <f t="shared" si="294"/>
        <v>-3</v>
      </c>
      <c r="AR58" s="30"/>
      <c r="AS58" s="47">
        <v>1</v>
      </c>
      <c r="AT58" s="48" t="s">
        <v>4</v>
      </c>
      <c r="AU58" s="49">
        <v>5</v>
      </c>
      <c r="AV58" s="5"/>
      <c r="AW58" s="42">
        <f t="shared" si="295"/>
        <v>3.8</v>
      </c>
      <c r="AX58" s="43">
        <f t="shared" si="296"/>
        <v>-4</v>
      </c>
      <c r="AY58" s="30"/>
      <c r="AZ58" s="47">
        <v>1</v>
      </c>
      <c r="BA58" s="48" t="s">
        <v>4</v>
      </c>
      <c r="BB58" s="49">
        <v>2</v>
      </c>
      <c r="BC58" s="5"/>
      <c r="BD58" s="42">
        <f t="shared" si="297"/>
        <v>3.8</v>
      </c>
      <c r="BE58" s="43">
        <f t="shared" si="298"/>
        <v>-1</v>
      </c>
      <c r="BF58" s="30"/>
      <c r="BG58" s="47">
        <v>1</v>
      </c>
      <c r="BH58" s="48" t="s">
        <v>4</v>
      </c>
      <c r="BI58" s="49">
        <v>3</v>
      </c>
      <c r="BJ58" s="5"/>
      <c r="BK58" s="42">
        <f t="shared" si="299"/>
        <v>3.8</v>
      </c>
      <c r="BL58" s="43">
        <f t="shared" si="300"/>
        <v>-2</v>
      </c>
      <c r="BM58" s="30"/>
      <c r="BN58" s="47">
        <v>1</v>
      </c>
      <c r="BO58" s="48" t="s">
        <v>4</v>
      </c>
      <c r="BP58" s="49">
        <v>4</v>
      </c>
      <c r="BQ58" s="5"/>
      <c r="BR58" s="42">
        <f t="shared" si="301"/>
        <v>3.8</v>
      </c>
      <c r="BS58" s="43">
        <f t="shared" si="302"/>
        <v>-3</v>
      </c>
      <c r="BT58" s="30"/>
      <c r="BU58" s="47">
        <v>0</v>
      </c>
      <c r="BV58" s="48" t="s">
        <v>4</v>
      </c>
      <c r="BW58" s="49">
        <v>2</v>
      </c>
      <c r="BX58" s="5"/>
      <c r="BY58" s="42">
        <f t="shared" si="303"/>
        <v>3.8</v>
      </c>
      <c r="BZ58" s="43">
        <f t="shared" si="304"/>
        <v>-2</v>
      </c>
      <c r="CA58" s="30"/>
      <c r="CB58" s="47">
        <v>1</v>
      </c>
      <c r="CC58" s="48" t="s">
        <v>4</v>
      </c>
      <c r="CD58" s="49">
        <v>2</v>
      </c>
      <c r="CE58" s="5"/>
      <c r="CF58" s="42">
        <f t="shared" si="305"/>
        <v>3.8</v>
      </c>
      <c r="CG58" s="43">
        <f t="shared" si="306"/>
        <v>-1</v>
      </c>
      <c r="CH58" s="30"/>
      <c r="CI58" s="47">
        <v>0</v>
      </c>
      <c r="CJ58" s="48" t="s">
        <v>4</v>
      </c>
      <c r="CK58" s="49">
        <v>2</v>
      </c>
      <c r="CL58" s="5"/>
      <c r="CM58" s="42">
        <f t="shared" si="307"/>
        <v>3.8</v>
      </c>
      <c r="CN58" s="43">
        <f t="shared" si="308"/>
        <v>-2</v>
      </c>
      <c r="CO58" s="30"/>
      <c r="CP58" s="47">
        <v>0</v>
      </c>
      <c r="CQ58" s="48" t="s">
        <v>4</v>
      </c>
      <c r="CR58" s="49">
        <v>2</v>
      </c>
      <c r="CS58" s="5"/>
      <c r="CT58" s="42">
        <f t="shared" si="309"/>
        <v>3.8</v>
      </c>
      <c r="CU58" s="43">
        <f t="shared" si="310"/>
        <v>-2</v>
      </c>
      <c r="CV58" s="30"/>
      <c r="CW58" s="47">
        <v>0</v>
      </c>
      <c r="CX58" s="48" t="s">
        <v>4</v>
      </c>
      <c r="CY58" s="49">
        <v>2</v>
      </c>
      <c r="CZ58" s="5"/>
      <c r="DA58" s="42">
        <f t="shared" si="311"/>
        <v>3.8</v>
      </c>
      <c r="DB58" s="43">
        <f t="shared" si="312"/>
        <v>-2</v>
      </c>
      <c r="DC58" s="30"/>
      <c r="DD58" s="47">
        <v>1</v>
      </c>
      <c r="DE58" s="48" t="s">
        <v>4</v>
      </c>
      <c r="DF58" s="49">
        <v>2</v>
      </c>
      <c r="DG58" s="5"/>
      <c r="DH58" s="42">
        <f t="shared" si="313"/>
        <v>3.8</v>
      </c>
      <c r="DI58" s="43">
        <f t="shared" si="314"/>
        <v>-1</v>
      </c>
      <c r="DJ58" s="30"/>
      <c r="DK58" s="47">
        <v>0</v>
      </c>
      <c r="DL58" s="48" t="s">
        <v>4</v>
      </c>
      <c r="DM58" s="49">
        <v>1</v>
      </c>
      <c r="DN58" s="5"/>
      <c r="DO58" s="42">
        <f t="shared" si="315"/>
        <v>3.8</v>
      </c>
      <c r="DP58" s="43">
        <f t="shared" si="316"/>
        <v>-1</v>
      </c>
      <c r="DQ58" s="30"/>
      <c r="DR58" s="47">
        <v>1</v>
      </c>
      <c r="DS58" s="48" t="s">
        <v>4</v>
      </c>
      <c r="DT58" s="49">
        <v>2</v>
      </c>
      <c r="DU58" s="5"/>
      <c r="DV58" s="42">
        <f t="shared" si="317"/>
        <v>3.8</v>
      </c>
      <c r="DW58" s="43">
        <f t="shared" si="318"/>
        <v>-1</v>
      </c>
      <c r="DX58" s="30"/>
      <c r="DY58" s="47">
        <v>1</v>
      </c>
      <c r="DZ58" s="48" t="s">
        <v>4</v>
      </c>
      <c r="EA58" s="49">
        <v>1</v>
      </c>
      <c r="EB58" s="5"/>
      <c r="EC58" s="42">
        <f t="shared" si="319"/>
        <v>0</v>
      </c>
      <c r="ED58" s="43">
        <f t="shared" si="320"/>
        <v>0</v>
      </c>
      <c r="EE58" s="30"/>
      <c r="EF58" s="47">
        <v>0</v>
      </c>
      <c r="EG58" s="48" t="s">
        <v>4</v>
      </c>
      <c r="EH58" s="49">
        <v>1</v>
      </c>
      <c r="EI58" s="5"/>
      <c r="EJ58" s="42">
        <f t="shared" si="321"/>
        <v>3.8</v>
      </c>
      <c r="EK58" s="43">
        <f t="shared" si="322"/>
        <v>-1</v>
      </c>
      <c r="EL58" s="30"/>
      <c r="EM58" s="47">
        <v>1</v>
      </c>
      <c r="EN58" s="48" t="s">
        <v>4</v>
      </c>
      <c r="EO58" s="49">
        <v>4</v>
      </c>
      <c r="EP58" s="5"/>
      <c r="EQ58" s="42">
        <f t="shared" si="323"/>
        <v>3.8</v>
      </c>
      <c r="ER58" s="43">
        <f t="shared" si="324"/>
        <v>-3</v>
      </c>
      <c r="ES58" s="30"/>
      <c r="ET58" s="47">
        <v>2</v>
      </c>
      <c r="EU58" s="48" t="s">
        <v>4</v>
      </c>
      <c r="EV58" s="49">
        <v>3</v>
      </c>
      <c r="EW58" s="5"/>
      <c r="EX58" s="42">
        <f t="shared" si="325"/>
        <v>3.8</v>
      </c>
      <c r="EY58" s="43">
        <f t="shared" si="326"/>
        <v>-1</v>
      </c>
      <c r="EZ58" s="30"/>
      <c r="FA58" s="47">
        <v>0</v>
      </c>
      <c r="FB58" s="48" t="s">
        <v>4</v>
      </c>
      <c r="FC58" s="49">
        <v>3</v>
      </c>
      <c r="FD58" s="5"/>
      <c r="FE58" s="42">
        <f t="shared" si="327"/>
        <v>5.6999999999999993</v>
      </c>
      <c r="FF58" s="43">
        <f t="shared" si="328"/>
        <v>-3</v>
      </c>
      <c r="FG58" s="30"/>
      <c r="FH58" s="47">
        <v>0</v>
      </c>
      <c r="FI58" s="48" t="s">
        <v>4</v>
      </c>
      <c r="FJ58" s="49">
        <v>2</v>
      </c>
      <c r="FK58" s="5"/>
      <c r="FL58" s="42">
        <f t="shared" si="329"/>
        <v>3.8</v>
      </c>
      <c r="FM58" s="43">
        <f t="shared" si="330"/>
        <v>-2</v>
      </c>
      <c r="FN58" s="30"/>
      <c r="FO58" s="47">
        <v>0</v>
      </c>
      <c r="FP58" s="48" t="s">
        <v>4</v>
      </c>
      <c r="FQ58" s="49">
        <v>2</v>
      </c>
      <c r="FR58" s="5"/>
      <c r="FS58" s="42">
        <f t="shared" si="331"/>
        <v>3.8</v>
      </c>
      <c r="FT58" s="43">
        <f t="shared" si="332"/>
        <v>-2</v>
      </c>
      <c r="FU58" s="30"/>
      <c r="FV58" s="47">
        <v>0</v>
      </c>
      <c r="FW58" s="48" t="s">
        <v>4</v>
      </c>
      <c r="FX58" s="49">
        <v>2</v>
      </c>
      <c r="FY58" s="5"/>
      <c r="FZ58" s="42">
        <f t="shared" si="333"/>
        <v>3.8</v>
      </c>
      <c r="GA58" s="43">
        <f t="shared" si="334"/>
        <v>-2</v>
      </c>
      <c r="GB58" s="30"/>
      <c r="GC58" s="47">
        <v>2</v>
      </c>
      <c r="GD58" s="48" t="s">
        <v>4</v>
      </c>
      <c r="GE58" s="49">
        <v>1</v>
      </c>
      <c r="GF58" s="5"/>
      <c r="GG58" s="42">
        <f t="shared" si="335"/>
        <v>0</v>
      </c>
      <c r="GH58" s="43">
        <f t="shared" si="336"/>
        <v>1</v>
      </c>
      <c r="GI58" s="30"/>
      <c r="GJ58" s="47">
        <v>0</v>
      </c>
      <c r="GK58" s="48" t="s">
        <v>4</v>
      </c>
      <c r="GL58" s="49">
        <v>3</v>
      </c>
      <c r="GM58" s="5"/>
      <c r="GN58" s="42">
        <f t="shared" si="337"/>
        <v>5.6999999999999993</v>
      </c>
      <c r="GO58" s="43">
        <f t="shared" si="338"/>
        <v>-3</v>
      </c>
      <c r="GP58" s="30"/>
      <c r="GQ58" s="47">
        <v>0</v>
      </c>
      <c r="GR58" s="48" t="s">
        <v>4</v>
      </c>
      <c r="GS58" s="49">
        <v>3</v>
      </c>
      <c r="GT58" s="5"/>
      <c r="GU58" s="42">
        <f t="shared" si="339"/>
        <v>5.6999999999999993</v>
      </c>
      <c r="GV58" s="43">
        <f t="shared" si="340"/>
        <v>-3</v>
      </c>
      <c r="GW58" s="30"/>
      <c r="GX58" s="47">
        <v>1</v>
      </c>
      <c r="GY58" s="48" t="s">
        <v>4</v>
      </c>
      <c r="GZ58" s="49">
        <v>3</v>
      </c>
      <c r="HA58" s="5"/>
      <c r="HB58" s="42">
        <f t="shared" si="341"/>
        <v>3.8</v>
      </c>
      <c r="HC58" s="43">
        <f t="shared" si="342"/>
        <v>-2</v>
      </c>
      <c r="HD58" s="30"/>
      <c r="HE58" s="47">
        <v>1</v>
      </c>
      <c r="HF58" s="48" t="s">
        <v>4</v>
      </c>
      <c r="HG58" s="49">
        <v>3</v>
      </c>
      <c r="HH58" s="5"/>
      <c r="HI58" s="42">
        <f t="shared" si="343"/>
        <v>3.8</v>
      </c>
      <c r="HJ58" s="43">
        <f t="shared" si="344"/>
        <v>-2</v>
      </c>
      <c r="HK58" s="30"/>
      <c r="HL58" s="47">
        <v>0</v>
      </c>
      <c r="HM58" s="48" t="s">
        <v>4</v>
      </c>
      <c r="HN58" s="49">
        <v>3</v>
      </c>
      <c r="HO58" s="5"/>
      <c r="HP58" s="42">
        <f t="shared" si="345"/>
        <v>5.6999999999999993</v>
      </c>
      <c r="HQ58" s="43">
        <f t="shared" si="346"/>
        <v>-3</v>
      </c>
      <c r="HR58" s="30"/>
      <c r="HS58" s="47">
        <v>0</v>
      </c>
      <c r="HT58" s="48" t="s">
        <v>4</v>
      </c>
      <c r="HU58" s="49">
        <v>2</v>
      </c>
      <c r="HV58" s="5"/>
      <c r="HW58" s="42">
        <f t="shared" si="347"/>
        <v>3.8</v>
      </c>
      <c r="HX58" s="43">
        <f t="shared" si="348"/>
        <v>-2</v>
      </c>
      <c r="HY58" s="30"/>
      <c r="HZ58" s="47">
        <v>1</v>
      </c>
      <c r="IA58" s="48" t="s">
        <v>4</v>
      </c>
      <c r="IB58" s="49">
        <v>3</v>
      </c>
      <c r="IC58" s="5"/>
      <c r="ID58" s="42">
        <f t="shared" si="349"/>
        <v>3.8</v>
      </c>
      <c r="IE58" s="43">
        <f t="shared" si="350"/>
        <v>-2</v>
      </c>
      <c r="IF58" s="30"/>
      <c r="IG58" s="47">
        <v>2</v>
      </c>
      <c r="IH58" s="48" t="s">
        <v>4</v>
      </c>
      <c r="II58" s="49">
        <v>4</v>
      </c>
      <c r="IJ58" s="5"/>
      <c r="IK58" s="42">
        <f t="shared" si="351"/>
        <v>3.8</v>
      </c>
      <c r="IL58" s="43">
        <f t="shared" si="352"/>
        <v>-2</v>
      </c>
      <c r="IM58" s="30"/>
      <c r="IN58" s="47">
        <v>0</v>
      </c>
      <c r="IO58" s="48" t="s">
        <v>4</v>
      </c>
      <c r="IP58" s="49">
        <v>2</v>
      </c>
      <c r="IQ58" s="5"/>
      <c r="IR58" s="42">
        <f t="shared" si="353"/>
        <v>3.8</v>
      </c>
      <c r="IS58" s="43">
        <f t="shared" si="354"/>
        <v>-2</v>
      </c>
      <c r="IT58" s="30"/>
      <c r="IU58" s="47">
        <v>0</v>
      </c>
      <c r="IV58" s="48" t="s">
        <v>4</v>
      </c>
      <c r="IW58" s="49">
        <v>2</v>
      </c>
      <c r="IX58" s="5"/>
      <c r="IY58" s="42">
        <f t="shared" si="355"/>
        <v>3.8</v>
      </c>
      <c r="IZ58" s="43">
        <f t="shared" si="356"/>
        <v>-2</v>
      </c>
      <c r="JA58" s="30"/>
      <c r="JB58" s="47">
        <v>1</v>
      </c>
      <c r="JC58" s="48" t="s">
        <v>4</v>
      </c>
      <c r="JD58" s="49">
        <v>2</v>
      </c>
      <c r="JE58" s="5"/>
      <c r="JF58" s="42">
        <f t="shared" si="357"/>
        <v>3.8</v>
      </c>
      <c r="JG58" s="43">
        <f t="shared" si="358"/>
        <v>-1</v>
      </c>
      <c r="JH58" s="30"/>
      <c r="JI58" s="47">
        <v>1</v>
      </c>
      <c r="JJ58" s="48" t="s">
        <v>4</v>
      </c>
      <c r="JK58" s="49">
        <v>4</v>
      </c>
      <c r="JL58" s="5"/>
      <c r="JM58" s="42">
        <f t="shared" si="359"/>
        <v>3.8</v>
      </c>
      <c r="JN58" s="43">
        <f t="shared" si="360"/>
        <v>-3</v>
      </c>
      <c r="JO58" s="30"/>
      <c r="JP58" s="47">
        <v>1</v>
      </c>
      <c r="JQ58" s="48" t="s">
        <v>4</v>
      </c>
      <c r="JR58" s="49">
        <v>1</v>
      </c>
      <c r="JS58" s="5"/>
      <c r="JT58" s="42">
        <f t="shared" si="361"/>
        <v>0</v>
      </c>
      <c r="JU58" s="43">
        <f t="shared" si="362"/>
        <v>0</v>
      </c>
      <c r="JV58" s="30"/>
      <c r="JW58" s="47">
        <v>2</v>
      </c>
      <c r="JX58" s="48" t="s">
        <v>4</v>
      </c>
      <c r="JY58" s="49">
        <v>3</v>
      </c>
      <c r="JZ58" s="5"/>
      <c r="KA58" s="42">
        <f t="shared" si="363"/>
        <v>3.8</v>
      </c>
      <c r="KB58" s="43">
        <f t="shared" si="364"/>
        <v>-1</v>
      </c>
      <c r="KC58" s="30"/>
      <c r="KD58" s="47">
        <v>1</v>
      </c>
      <c r="KE58" s="48" t="s">
        <v>4</v>
      </c>
      <c r="KF58" s="49">
        <v>3</v>
      </c>
      <c r="KG58" s="5"/>
      <c r="KH58" s="42">
        <f t="shared" si="365"/>
        <v>3.8</v>
      </c>
      <c r="KI58" s="43">
        <f t="shared" si="366"/>
        <v>-2</v>
      </c>
      <c r="KJ58" s="30"/>
      <c r="KK58" s="47">
        <v>0</v>
      </c>
      <c r="KL58" s="48" t="s">
        <v>4</v>
      </c>
      <c r="KM58" s="49">
        <v>2</v>
      </c>
      <c r="KN58" s="5"/>
      <c r="KO58" s="42">
        <f t="shared" si="367"/>
        <v>3.8</v>
      </c>
      <c r="KP58" s="43">
        <f t="shared" si="368"/>
        <v>-2</v>
      </c>
      <c r="KQ58" s="30"/>
      <c r="KR58" s="47">
        <v>1</v>
      </c>
      <c r="KS58" s="48" t="s">
        <v>4</v>
      </c>
      <c r="KT58" s="49">
        <v>2</v>
      </c>
      <c r="KU58" s="5"/>
      <c r="KV58" s="42">
        <f t="shared" si="369"/>
        <v>3.8</v>
      </c>
      <c r="KW58" s="43">
        <f t="shared" si="370"/>
        <v>-1</v>
      </c>
      <c r="KX58" s="30"/>
      <c r="KY58" s="47">
        <v>1</v>
      </c>
      <c r="KZ58" s="48" t="s">
        <v>4</v>
      </c>
      <c r="LA58" s="49">
        <v>2</v>
      </c>
      <c r="LB58" s="5"/>
      <c r="LC58" s="42">
        <f t="shared" si="371"/>
        <v>3.8</v>
      </c>
      <c r="LD58" s="43">
        <f t="shared" si="372"/>
        <v>-1</v>
      </c>
      <c r="LE58" s="30"/>
      <c r="LF58" s="47">
        <v>1</v>
      </c>
      <c r="LG58" s="48" t="s">
        <v>4</v>
      </c>
      <c r="LH58" s="49">
        <v>3</v>
      </c>
      <c r="LI58" s="5"/>
      <c r="LJ58" s="42">
        <f t="shared" si="373"/>
        <v>3.8</v>
      </c>
      <c r="LK58" s="43">
        <f t="shared" si="374"/>
        <v>-2</v>
      </c>
      <c r="LL58" s="30"/>
      <c r="LM58" s="47">
        <v>0</v>
      </c>
      <c r="LN58" s="48" t="s">
        <v>4</v>
      </c>
      <c r="LO58" s="49">
        <v>2</v>
      </c>
      <c r="LP58" s="5"/>
      <c r="LQ58" s="42">
        <f t="shared" si="375"/>
        <v>3.8</v>
      </c>
      <c r="LR58" s="43">
        <f t="shared" si="376"/>
        <v>-2</v>
      </c>
      <c r="LS58" s="30"/>
      <c r="LT58" s="47">
        <v>0</v>
      </c>
      <c r="LU58" s="48" t="s">
        <v>4</v>
      </c>
      <c r="LV58" s="49">
        <v>1</v>
      </c>
      <c r="LW58" s="5"/>
      <c r="LX58" s="42">
        <f t="shared" si="377"/>
        <v>3.8</v>
      </c>
      <c r="LY58" s="43">
        <f t="shared" si="378"/>
        <v>-1</v>
      </c>
      <c r="LZ58" s="30"/>
      <c r="MA58" s="47">
        <v>1</v>
      </c>
      <c r="MB58" s="48" t="s">
        <v>4</v>
      </c>
      <c r="MC58" s="49">
        <v>4</v>
      </c>
      <c r="MD58" s="5"/>
      <c r="ME58" s="42">
        <f t="shared" si="379"/>
        <v>3.8</v>
      </c>
      <c r="MF58" s="43">
        <f t="shared" si="380"/>
        <v>-3</v>
      </c>
      <c r="MG58" s="30"/>
      <c r="MH58" s="47">
        <v>1</v>
      </c>
      <c r="MI58" s="48" t="s">
        <v>4</v>
      </c>
      <c r="MJ58" s="49">
        <v>4</v>
      </c>
      <c r="MK58" s="5"/>
      <c r="ML58" s="42">
        <f t="shared" si="381"/>
        <v>3.8</v>
      </c>
      <c r="MM58" s="43">
        <f t="shared" si="382"/>
        <v>-3</v>
      </c>
      <c r="MN58" s="30"/>
      <c r="MO58" s="47">
        <v>2</v>
      </c>
      <c r="MP58" s="48" t="s">
        <v>4</v>
      </c>
      <c r="MQ58" s="49">
        <v>3</v>
      </c>
      <c r="MR58" s="5"/>
      <c r="MS58" s="42">
        <f t="shared" si="383"/>
        <v>3.8</v>
      </c>
      <c r="MT58" s="43">
        <f t="shared" si="384"/>
        <v>-1</v>
      </c>
      <c r="MU58" s="30"/>
      <c r="MV58" s="47">
        <v>0</v>
      </c>
      <c r="MW58" s="48" t="s">
        <v>4</v>
      </c>
      <c r="MX58" s="49">
        <v>2</v>
      </c>
      <c r="MY58" s="5"/>
      <c r="MZ58" s="42">
        <f t="shared" si="385"/>
        <v>3.8</v>
      </c>
      <c r="NA58" s="43">
        <f t="shared" si="386"/>
        <v>-2</v>
      </c>
      <c r="NB58" s="30"/>
      <c r="NC58" s="47">
        <v>1</v>
      </c>
      <c r="ND58" s="48" t="s">
        <v>4</v>
      </c>
      <c r="NE58" s="49">
        <v>3</v>
      </c>
      <c r="NF58" s="5"/>
      <c r="NG58" s="42">
        <f t="shared" si="387"/>
        <v>3.8</v>
      </c>
      <c r="NH58" s="43">
        <f t="shared" si="388"/>
        <v>-2</v>
      </c>
      <c r="NI58" s="30"/>
      <c r="NJ58" s="47">
        <v>1</v>
      </c>
      <c r="NK58" s="48" t="s">
        <v>4</v>
      </c>
      <c r="NL58" s="49">
        <v>4</v>
      </c>
      <c r="NM58" s="5"/>
      <c r="NN58" s="42">
        <f t="shared" si="389"/>
        <v>3.8</v>
      </c>
      <c r="NO58" s="43">
        <f t="shared" si="390"/>
        <v>-3</v>
      </c>
      <c r="NP58" s="30"/>
      <c r="NQ58" s="47">
        <v>1</v>
      </c>
      <c r="NR58" s="48" t="s">
        <v>4</v>
      </c>
      <c r="NS58" s="49">
        <v>2</v>
      </c>
      <c r="NT58" s="5"/>
      <c r="NU58" s="42">
        <f t="shared" si="391"/>
        <v>3.8</v>
      </c>
      <c r="NV58" s="43">
        <f t="shared" si="392"/>
        <v>-1</v>
      </c>
      <c r="NW58" s="30"/>
      <c r="NX58" s="47">
        <v>0</v>
      </c>
      <c r="NY58" s="48" t="s">
        <v>4</v>
      </c>
      <c r="NZ58" s="49">
        <v>3</v>
      </c>
      <c r="OA58" s="5"/>
      <c r="OB58" s="42">
        <f t="shared" si="393"/>
        <v>5.6999999999999993</v>
      </c>
      <c r="OC58" s="43">
        <f t="shared" si="394"/>
        <v>-3</v>
      </c>
      <c r="OD58" s="30"/>
      <c r="OE58" s="47">
        <v>1</v>
      </c>
      <c r="OF58" s="48" t="s">
        <v>4</v>
      </c>
      <c r="OG58" s="49">
        <v>3</v>
      </c>
      <c r="OH58" s="5"/>
      <c r="OI58" s="42">
        <f t="shared" si="395"/>
        <v>3.8</v>
      </c>
      <c r="OJ58" s="43">
        <f t="shared" si="396"/>
        <v>-2</v>
      </c>
      <c r="OK58" s="30"/>
      <c r="OL58" s="47">
        <v>0</v>
      </c>
      <c r="OM58" s="48" t="s">
        <v>4</v>
      </c>
      <c r="ON58" s="49">
        <v>3</v>
      </c>
      <c r="OO58" s="5"/>
      <c r="OP58" s="42">
        <f t="shared" si="397"/>
        <v>5.6999999999999993</v>
      </c>
      <c r="OQ58" s="43">
        <f t="shared" si="398"/>
        <v>-3</v>
      </c>
      <c r="OR58" s="30"/>
      <c r="OS58" s="47">
        <v>2</v>
      </c>
      <c r="OT58" s="48" t="s">
        <v>4</v>
      </c>
      <c r="OU58" s="49">
        <v>3</v>
      </c>
      <c r="OV58" s="5"/>
      <c r="OW58" s="42">
        <f t="shared" si="399"/>
        <v>3.8</v>
      </c>
      <c r="OX58" s="43">
        <f t="shared" si="400"/>
        <v>-1</v>
      </c>
      <c r="OY58" s="30"/>
      <c r="OZ58" s="47">
        <v>1</v>
      </c>
      <c r="PA58" s="48" t="s">
        <v>4</v>
      </c>
      <c r="PB58" s="49">
        <v>3</v>
      </c>
      <c r="PC58" s="5"/>
      <c r="PD58" s="42">
        <f t="shared" si="401"/>
        <v>3.8</v>
      </c>
      <c r="PE58" s="43">
        <f t="shared" si="402"/>
        <v>-2</v>
      </c>
      <c r="PF58" s="30"/>
      <c r="PG58" s="47">
        <v>0</v>
      </c>
      <c r="PH58" s="48" t="s">
        <v>4</v>
      </c>
      <c r="PI58" s="49">
        <v>3</v>
      </c>
      <c r="PJ58" s="5"/>
      <c r="PK58" s="42">
        <f t="shared" si="403"/>
        <v>5.6999999999999993</v>
      </c>
      <c r="PL58" s="43">
        <f t="shared" si="404"/>
        <v>-3</v>
      </c>
      <c r="PM58" s="30"/>
      <c r="PN58" s="47">
        <v>1</v>
      </c>
      <c r="PO58" s="48" t="s">
        <v>4</v>
      </c>
      <c r="PP58" s="49">
        <v>2</v>
      </c>
      <c r="PQ58" s="5"/>
      <c r="PR58" s="42">
        <f t="shared" si="405"/>
        <v>3.8</v>
      </c>
      <c r="PS58" s="43">
        <f t="shared" si="406"/>
        <v>-1</v>
      </c>
      <c r="PT58" s="30"/>
      <c r="PU58" s="47">
        <v>0</v>
      </c>
      <c r="PV58" s="48" t="s">
        <v>4</v>
      </c>
      <c r="PW58" s="49">
        <v>2</v>
      </c>
      <c r="PX58" s="5"/>
      <c r="PY58" s="42">
        <f t="shared" si="407"/>
        <v>3.8</v>
      </c>
      <c r="PZ58" s="43">
        <f t="shared" si="408"/>
        <v>-2</v>
      </c>
      <c r="QA58" s="30"/>
      <c r="QB58" s="47">
        <v>0</v>
      </c>
      <c r="QC58" s="48" t="s">
        <v>4</v>
      </c>
      <c r="QD58" s="49">
        <v>2</v>
      </c>
      <c r="QE58" s="5"/>
      <c r="QF58" s="42">
        <f t="shared" si="409"/>
        <v>3.8</v>
      </c>
      <c r="QG58" s="43">
        <f t="shared" si="410"/>
        <v>-2</v>
      </c>
      <c r="QH58" s="30"/>
      <c r="QI58" s="47">
        <v>1</v>
      </c>
      <c r="QJ58" s="48" t="s">
        <v>4</v>
      </c>
      <c r="QK58" s="49">
        <v>2</v>
      </c>
      <c r="QL58" s="5"/>
      <c r="QM58" s="42">
        <f t="shared" si="411"/>
        <v>3.8</v>
      </c>
      <c r="QN58" s="43">
        <f t="shared" si="412"/>
        <v>-1</v>
      </c>
      <c r="QO58" s="30"/>
      <c r="QP58" s="47">
        <v>0</v>
      </c>
      <c r="QQ58" s="48" t="s">
        <v>4</v>
      </c>
      <c r="QR58" s="49">
        <v>3</v>
      </c>
      <c r="QS58" s="5"/>
      <c r="QT58" s="42">
        <f t="shared" si="413"/>
        <v>5.6999999999999993</v>
      </c>
      <c r="QU58" s="43">
        <f t="shared" si="414"/>
        <v>-3</v>
      </c>
      <c r="QV58" s="30"/>
      <c r="QW58" s="47">
        <v>0</v>
      </c>
      <c r="QX58" s="48" t="s">
        <v>4</v>
      </c>
      <c r="QY58" s="49">
        <v>4</v>
      </c>
      <c r="QZ58" s="5"/>
      <c r="RA58" s="42">
        <f t="shared" si="415"/>
        <v>3.8</v>
      </c>
      <c r="RB58" s="43">
        <f t="shared" si="416"/>
        <v>-4</v>
      </c>
      <c r="RC58" s="30"/>
      <c r="RD58" s="47"/>
      <c r="RE58" s="48" t="s">
        <v>4</v>
      </c>
      <c r="RF58" s="49"/>
      <c r="RG58" s="5"/>
      <c r="RH58" s="42" t="str">
        <f t="shared" si="417"/>
        <v/>
      </c>
      <c r="RI58" s="43">
        <f t="shared" si="418"/>
        <v>0</v>
      </c>
      <c r="RJ58" s="30"/>
      <c r="RK58" s="47">
        <v>1</v>
      </c>
      <c r="RL58" s="48" t="s">
        <v>4</v>
      </c>
      <c r="RM58" s="49">
        <v>2</v>
      </c>
      <c r="RN58" s="5"/>
      <c r="RO58" s="42">
        <f t="shared" si="419"/>
        <v>3.8</v>
      </c>
      <c r="RP58" s="43">
        <f t="shared" si="420"/>
        <v>-1</v>
      </c>
      <c r="RQ58" s="30"/>
      <c r="RR58" s="47">
        <v>1</v>
      </c>
      <c r="RS58" s="48" t="s">
        <v>4</v>
      </c>
      <c r="RT58" s="49">
        <v>4</v>
      </c>
      <c r="RU58" s="5"/>
      <c r="RV58" s="42">
        <f t="shared" si="421"/>
        <v>3.8</v>
      </c>
      <c r="RW58" s="43">
        <f t="shared" si="422"/>
        <v>-3</v>
      </c>
      <c r="RX58" s="30"/>
      <c r="RY58" s="47">
        <v>1</v>
      </c>
      <c r="RZ58" s="48" t="s">
        <v>4</v>
      </c>
      <c r="SA58" s="49">
        <v>4</v>
      </c>
      <c r="SB58" s="5"/>
      <c r="SC58" s="42">
        <f t="shared" si="423"/>
        <v>3.8</v>
      </c>
      <c r="SD58" s="43">
        <f t="shared" si="424"/>
        <v>-3</v>
      </c>
      <c r="SE58" s="30"/>
      <c r="SF58" s="47">
        <v>4</v>
      </c>
      <c r="SG58" s="48" t="s">
        <v>4</v>
      </c>
      <c r="SH58" s="49">
        <v>1</v>
      </c>
      <c r="SI58" s="5"/>
      <c r="SJ58" s="42">
        <f t="shared" si="425"/>
        <v>0</v>
      </c>
      <c r="SK58" s="43">
        <f t="shared" si="426"/>
        <v>3</v>
      </c>
      <c r="SL58" s="30"/>
      <c r="SM58" s="47">
        <v>1</v>
      </c>
      <c r="SN58" s="48" t="s">
        <v>4</v>
      </c>
      <c r="SO58" s="49">
        <v>3</v>
      </c>
      <c r="SP58" s="5"/>
      <c r="SQ58" s="42">
        <f t="shared" si="427"/>
        <v>3.8</v>
      </c>
      <c r="SR58" s="43">
        <f t="shared" si="428"/>
        <v>-2</v>
      </c>
    </row>
    <row r="59" spans="1:512" customFormat="1" ht="16" customHeight="1" x14ac:dyDescent="0.15">
      <c r="A59" s="34">
        <v>46198</v>
      </c>
      <c r="B59" s="35">
        <v>0</v>
      </c>
      <c r="C59" s="79" t="s">
        <v>36</v>
      </c>
      <c r="D59" s="79" t="s">
        <v>37</v>
      </c>
      <c r="E59" s="2">
        <v>4</v>
      </c>
      <c r="F59" s="50" t="s">
        <v>4</v>
      </c>
      <c r="G59" s="1">
        <v>2</v>
      </c>
      <c r="H59" s="16">
        <v>3.8</v>
      </c>
      <c r="I59" s="32">
        <f t="shared" si="0"/>
        <v>2</v>
      </c>
      <c r="J59" s="47">
        <v>1</v>
      </c>
      <c r="K59" s="48" t="s">
        <v>4</v>
      </c>
      <c r="L59" s="49">
        <v>0</v>
      </c>
      <c r="M59" s="5"/>
      <c r="N59" s="42">
        <f t="shared" si="1"/>
        <v>3.8</v>
      </c>
      <c r="O59" s="43">
        <f t="shared" si="2"/>
        <v>1</v>
      </c>
      <c r="P59" s="43">
        <f>IF($I59=0,IF(AND(#REF!&gt;#REF!,OR(AND(T59="",Q59&gt;S59),T59=1)),1,IF(AND(#REF!&lt;#REF!,OR(AND(T59="",Q59&lt;S59),T59=2)),1,0)),0)</f>
        <v>0</v>
      </c>
      <c r="Q59" s="47">
        <v>2</v>
      </c>
      <c r="R59" s="48" t="s">
        <v>4</v>
      </c>
      <c r="S59" s="49">
        <v>0</v>
      </c>
      <c r="T59" s="5"/>
      <c r="U59" s="42">
        <f t="shared" si="287"/>
        <v>3.8</v>
      </c>
      <c r="V59" s="43">
        <f t="shared" si="288"/>
        <v>2</v>
      </c>
      <c r="W59" s="30"/>
      <c r="X59" s="47">
        <v>2</v>
      </c>
      <c r="Y59" s="48" t="s">
        <v>4</v>
      </c>
      <c r="Z59" s="49">
        <v>1</v>
      </c>
      <c r="AA59" s="5"/>
      <c r="AB59" s="42">
        <f t="shared" si="289"/>
        <v>3.8</v>
      </c>
      <c r="AC59" s="43">
        <f t="shared" si="290"/>
        <v>1</v>
      </c>
      <c r="AD59" s="30"/>
      <c r="AE59" s="47">
        <v>1</v>
      </c>
      <c r="AF59" s="48" t="s">
        <v>4</v>
      </c>
      <c r="AG59" s="49">
        <v>2</v>
      </c>
      <c r="AH59" s="5"/>
      <c r="AI59" s="42">
        <f t="shared" si="291"/>
        <v>0</v>
      </c>
      <c r="AJ59" s="43">
        <f t="shared" si="292"/>
        <v>-1</v>
      </c>
      <c r="AK59" s="30"/>
      <c r="AL59" s="47">
        <v>2</v>
      </c>
      <c r="AM59" s="48" t="s">
        <v>4</v>
      </c>
      <c r="AN59" s="49">
        <v>0</v>
      </c>
      <c r="AO59" s="5"/>
      <c r="AP59" s="42">
        <f t="shared" si="293"/>
        <v>3.8</v>
      </c>
      <c r="AQ59" s="43">
        <f t="shared" si="294"/>
        <v>2</v>
      </c>
      <c r="AR59" s="30"/>
      <c r="AS59" s="47">
        <v>2</v>
      </c>
      <c r="AT59" s="48" t="s">
        <v>4</v>
      </c>
      <c r="AU59" s="49">
        <v>0</v>
      </c>
      <c r="AV59" s="5"/>
      <c r="AW59" s="42">
        <f t="shared" si="295"/>
        <v>3.8</v>
      </c>
      <c r="AX59" s="43">
        <f t="shared" si="296"/>
        <v>2</v>
      </c>
      <c r="AY59" s="30"/>
      <c r="AZ59" s="47">
        <v>2</v>
      </c>
      <c r="BA59" s="48" t="s">
        <v>4</v>
      </c>
      <c r="BB59" s="49">
        <v>0</v>
      </c>
      <c r="BC59" s="5"/>
      <c r="BD59" s="42">
        <f t="shared" si="297"/>
        <v>3.8</v>
      </c>
      <c r="BE59" s="43">
        <f t="shared" si="298"/>
        <v>2</v>
      </c>
      <c r="BF59" s="30"/>
      <c r="BG59" s="47">
        <v>1</v>
      </c>
      <c r="BH59" s="48" t="s">
        <v>4</v>
      </c>
      <c r="BI59" s="49">
        <v>1</v>
      </c>
      <c r="BJ59" s="5"/>
      <c r="BK59" s="42">
        <f t="shared" si="299"/>
        <v>0</v>
      </c>
      <c r="BL59" s="43">
        <f t="shared" si="300"/>
        <v>0</v>
      </c>
      <c r="BM59" s="30"/>
      <c r="BN59" s="47">
        <v>4</v>
      </c>
      <c r="BO59" s="48" t="s">
        <v>4</v>
      </c>
      <c r="BP59" s="49">
        <v>0</v>
      </c>
      <c r="BQ59" s="5"/>
      <c r="BR59" s="42">
        <f t="shared" si="301"/>
        <v>3.8</v>
      </c>
      <c r="BS59" s="43">
        <f t="shared" si="302"/>
        <v>4</v>
      </c>
      <c r="BT59" s="30"/>
      <c r="BU59" s="47">
        <v>1</v>
      </c>
      <c r="BV59" s="48" t="s">
        <v>4</v>
      </c>
      <c r="BW59" s="49">
        <v>1</v>
      </c>
      <c r="BX59" s="5"/>
      <c r="BY59" s="42">
        <f t="shared" si="303"/>
        <v>0</v>
      </c>
      <c r="BZ59" s="43">
        <f t="shared" si="304"/>
        <v>0</v>
      </c>
      <c r="CA59" s="30"/>
      <c r="CB59" s="47">
        <v>2</v>
      </c>
      <c r="CC59" s="48" t="s">
        <v>4</v>
      </c>
      <c r="CD59" s="49">
        <v>0</v>
      </c>
      <c r="CE59" s="5"/>
      <c r="CF59" s="42">
        <f t="shared" si="305"/>
        <v>3.8</v>
      </c>
      <c r="CG59" s="43">
        <f t="shared" si="306"/>
        <v>2</v>
      </c>
      <c r="CH59" s="30"/>
      <c r="CI59" s="47">
        <v>2</v>
      </c>
      <c r="CJ59" s="48" t="s">
        <v>4</v>
      </c>
      <c r="CK59" s="49">
        <v>0</v>
      </c>
      <c r="CL59" s="5"/>
      <c r="CM59" s="42">
        <f t="shared" si="307"/>
        <v>3.8</v>
      </c>
      <c r="CN59" s="43">
        <f t="shared" si="308"/>
        <v>2</v>
      </c>
      <c r="CO59" s="30"/>
      <c r="CP59" s="47">
        <v>3</v>
      </c>
      <c r="CQ59" s="48" t="s">
        <v>4</v>
      </c>
      <c r="CR59" s="49">
        <v>1</v>
      </c>
      <c r="CS59" s="5"/>
      <c r="CT59" s="42">
        <f t="shared" si="309"/>
        <v>3.8</v>
      </c>
      <c r="CU59" s="43">
        <f t="shared" si="310"/>
        <v>2</v>
      </c>
      <c r="CV59" s="30"/>
      <c r="CW59" s="47">
        <v>3</v>
      </c>
      <c r="CX59" s="48" t="s">
        <v>4</v>
      </c>
      <c r="CY59" s="49">
        <v>0</v>
      </c>
      <c r="CZ59" s="5"/>
      <c r="DA59" s="42">
        <f t="shared" si="311"/>
        <v>3.8</v>
      </c>
      <c r="DB59" s="43">
        <f t="shared" si="312"/>
        <v>3</v>
      </c>
      <c r="DC59" s="30"/>
      <c r="DD59" s="47">
        <v>2</v>
      </c>
      <c r="DE59" s="48" t="s">
        <v>4</v>
      </c>
      <c r="DF59" s="49">
        <v>1</v>
      </c>
      <c r="DG59" s="5"/>
      <c r="DH59" s="42">
        <f t="shared" si="313"/>
        <v>3.8</v>
      </c>
      <c r="DI59" s="43">
        <f t="shared" si="314"/>
        <v>1</v>
      </c>
      <c r="DJ59" s="30"/>
      <c r="DK59" s="47">
        <v>2</v>
      </c>
      <c r="DL59" s="48" t="s">
        <v>4</v>
      </c>
      <c r="DM59" s="49">
        <v>0</v>
      </c>
      <c r="DN59" s="5"/>
      <c r="DO59" s="42">
        <f t="shared" si="315"/>
        <v>3.8</v>
      </c>
      <c r="DP59" s="43">
        <f t="shared" si="316"/>
        <v>2</v>
      </c>
      <c r="DQ59" s="30"/>
      <c r="DR59" s="47">
        <v>3</v>
      </c>
      <c r="DS59" s="48" t="s">
        <v>4</v>
      </c>
      <c r="DT59" s="49">
        <v>0</v>
      </c>
      <c r="DU59" s="5"/>
      <c r="DV59" s="42">
        <f t="shared" si="317"/>
        <v>3.8</v>
      </c>
      <c r="DW59" s="43">
        <f t="shared" si="318"/>
        <v>3</v>
      </c>
      <c r="DX59" s="30"/>
      <c r="DY59" s="47">
        <v>3</v>
      </c>
      <c r="DZ59" s="48" t="s">
        <v>4</v>
      </c>
      <c r="EA59" s="49">
        <v>0</v>
      </c>
      <c r="EB59" s="5"/>
      <c r="EC59" s="42">
        <f t="shared" si="319"/>
        <v>3.8</v>
      </c>
      <c r="ED59" s="43">
        <f t="shared" si="320"/>
        <v>3</v>
      </c>
      <c r="EE59" s="30"/>
      <c r="EF59" s="47">
        <v>0</v>
      </c>
      <c r="EG59" s="48" t="s">
        <v>4</v>
      </c>
      <c r="EH59" s="49">
        <v>0</v>
      </c>
      <c r="EI59" s="5"/>
      <c r="EJ59" s="42">
        <f t="shared" si="321"/>
        <v>0</v>
      </c>
      <c r="EK59" s="43">
        <f t="shared" si="322"/>
        <v>0</v>
      </c>
      <c r="EL59" s="30"/>
      <c r="EM59" s="47">
        <v>5</v>
      </c>
      <c r="EN59" s="48" t="s">
        <v>4</v>
      </c>
      <c r="EO59" s="49">
        <v>1</v>
      </c>
      <c r="EP59" s="5"/>
      <c r="EQ59" s="42">
        <f t="shared" si="323"/>
        <v>3.8</v>
      </c>
      <c r="ER59" s="43">
        <f t="shared" si="324"/>
        <v>4</v>
      </c>
      <c r="ES59" s="30"/>
      <c r="ET59" s="47">
        <v>1</v>
      </c>
      <c r="EU59" s="48" t="s">
        <v>4</v>
      </c>
      <c r="EV59" s="49">
        <v>0</v>
      </c>
      <c r="EW59" s="5"/>
      <c r="EX59" s="42">
        <f t="shared" si="325"/>
        <v>3.8</v>
      </c>
      <c r="EY59" s="43">
        <f t="shared" si="326"/>
        <v>1</v>
      </c>
      <c r="EZ59" s="30"/>
      <c r="FA59" s="47">
        <v>2</v>
      </c>
      <c r="FB59" s="48" t="s">
        <v>4</v>
      </c>
      <c r="FC59" s="49">
        <v>0</v>
      </c>
      <c r="FD59" s="5"/>
      <c r="FE59" s="42">
        <f t="shared" si="327"/>
        <v>3.8</v>
      </c>
      <c r="FF59" s="43">
        <f t="shared" si="328"/>
        <v>2</v>
      </c>
      <c r="FG59" s="30"/>
      <c r="FH59" s="47">
        <v>2</v>
      </c>
      <c r="FI59" s="48" t="s">
        <v>4</v>
      </c>
      <c r="FJ59" s="49">
        <v>0</v>
      </c>
      <c r="FK59" s="5"/>
      <c r="FL59" s="42">
        <f t="shared" si="329"/>
        <v>3.8</v>
      </c>
      <c r="FM59" s="43">
        <f t="shared" si="330"/>
        <v>2</v>
      </c>
      <c r="FN59" s="30"/>
      <c r="FO59" s="47">
        <v>1</v>
      </c>
      <c r="FP59" s="48" t="s">
        <v>4</v>
      </c>
      <c r="FQ59" s="49">
        <v>0</v>
      </c>
      <c r="FR59" s="5"/>
      <c r="FS59" s="42">
        <f t="shared" si="331"/>
        <v>3.8</v>
      </c>
      <c r="FT59" s="43">
        <f t="shared" si="332"/>
        <v>1</v>
      </c>
      <c r="FU59" s="30"/>
      <c r="FV59" s="47">
        <v>3</v>
      </c>
      <c r="FW59" s="48" t="s">
        <v>4</v>
      </c>
      <c r="FX59" s="49">
        <v>0</v>
      </c>
      <c r="FY59" s="5"/>
      <c r="FZ59" s="42">
        <f t="shared" si="333"/>
        <v>3.8</v>
      </c>
      <c r="GA59" s="43">
        <f t="shared" si="334"/>
        <v>3</v>
      </c>
      <c r="GB59" s="30"/>
      <c r="GC59" s="47">
        <v>4</v>
      </c>
      <c r="GD59" s="48" t="s">
        <v>4</v>
      </c>
      <c r="GE59" s="49">
        <v>0</v>
      </c>
      <c r="GF59" s="5"/>
      <c r="GG59" s="42">
        <f t="shared" si="335"/>
        <v>3.8</v>
      </c>
      <c r="GH59" s="43">
        <f t="shared" si="336"/>
        <v>4</v>
      </c>
      <c r="GI59" s="30"/>
      <c r="GJ59" s="47">
        <v>2</v>
      </c>
      <c r="GK59" s="48" t="s">
        <v>4</v>
      </c>
      <c r="GL59" s="49">
        <v>0</v>
      </c>
      <c r="GM59" s="5"/>
      <c r="GN59" s="42">
        <f t="shared" si="337"/>
        <v>3.8</v>
      </c>
      <c r="GO59" s="43">
        <f t="shared" si="338"/>
        <v>2</v>
      </c>
      <c r="GP59" s="30"/>
      <c r="GQ59" s="47">
        <v>2</v>
      </c>
      <c r="GR59" s="48" t="s">
        <v>4</v>
      </c>
      <c r="GS59" s="49">
        <v>0</v>
      </c>
      <c r="GT59" s="5"/>
      <c r="GU59" s="42">
        <f t="shared" si="339"/>
        <v>3.8</v>
      </c>
      <c r="GV59" s="43">
        <f t="shared" si="340"/>
        <v>2</v>
      </c>
      <c r="GW59" s="30"/>
      <c r="GX59" s="47">
        <v>2</v>
      </c>
      <c r="GY59" s="48" t="s">
        <v>4</v>
      </c>
      <c r="GZ59" s="49">
        <v>0</v>
      </c>
      <c r="HA59" s="5"/>
      <c r="HB59" s="42">
        <f t="shared" si="341"/>
        <v>3.8</v>
      </c>
      <c r="HC59" s="43">
        <f t="shared" si="342"/>
        <v>2</v>
      </c>
      <c r="HD59" s="30"/>
      <c r="HE59" s="47">
        <v>3</v>
      </c>
      <c r="HF59" s="48" t="s">
        <v>4</v>
      </c>
      <c r="HG59" s="49">
        <v>0</v>
      </c>
      <c r="HH59" s="5"/>
      <c r="HI59" s="42">
        <f t="shared" si="343"/>
        <v>3.8</v>
      </c>
      <c r="HJ59" s="43">
        <f t="shared" si="344"/>
        <v>3</v>
      </c>
      <c r="HK59" s="30"/>
      <c r="HL59" s="47">
        <v>3</v>
      </c>
      <c r="HM59" s="48" t="s">
        <v>4</v>
      </c>
      <c r="HN59" s="49">
        <v>0</v>
      </c>
      <c r="HO59" s="5"/>
      <c r="HP59" s="42">
        <f t="shared" si="345"/>
        <v>3.8</v>
      </c>
      <c r="HQ59" s="43">
        <f t="shared" si="346"/>
        <v>3</v>
      </c>
      <c r="HR59" s="30"/>
      <c r="HS59" s="47">
        <v>1</v>
      </c>
      <c r="HT59" s="48" t="s">
        <v>4</v>
      </c>
      <c r="HU59" s="49">
        <v>0</v>
      </c>
      <c r="HV59" s="5"/>
      <c r="HW59" s="42">
        <f t="shared" si="347"/>
        <v>3.8</v>
      </c>
      <c r="HX59" s="43">
        <f t="shared" si="348"/>
        <v>1</v>
      </c>
      <c r="HY59" s="30"/>
      <c r="HZ59" s="47">
        <v>3</v>
      </c>
      <c r="IA59" s="48" t="s">
        <v>4</v>
      </c>
      <c r="IB59" s="49">
        <v>0</v>
      </c>
      <c r="IC59" s="5"/>
      <c r="ID59" s="42">
        <f t="shared" si="349"/>
        <v>3.8</v>
      </c>
      <c r="IE59" s="43">
        <f t="shared" si="350"/>
        <v>3</v>
      </c>
      <c r="IF59" s="30"/>
      <c r="IG59" s="47">
        <v>2</v>
      </c>
      <c r="IH59" s="48" t="s">
        <v>4</v>
      </c>
      <c r="II59" s="49">
        <v>3</v>
      </c>
      <c r="IJ59" s="5"/>
      <c r="IK59" s="42">
        <f t="shared" si="351"/>
        <v>0</v>
      </c>
      <c r="IL59" s="43">
        <f t="shared" si="352"/>
        <v>-1</v>
      </c>
      <c r="IM59" s="30"/>
      <c r="IN59" s="47">
        <v>3</v>
      </c>
      <c r="IO59" s="48" t="s">
        <v>4</v>
      </c>
      <c r="IP59" s="49">
        <v>0</v>
      </c>
      <c r="IQ59" s="5"/>
      <c r="IR59" s="42">
        <f t="shared" si="353"/>
        <v>3.8</v>
      </c>
      <c r="IS59" s="43">
        <f t="shared" si="354"/>
        <v>3</v>
      </c>
      <c r="IT59" s="30"/>
      <c r="IU59" s="47">
        <v>2</v>
      </c>
      <c r="IV59" s="48" t="s">
        <v>4</v>
      </c>
      <c r="IW59" s="49">
        <v>0</v>
      </c>
      <c r="IX59" s="5"/>
      <c r="IY59" s="42">
        <f t="shared" si="355"/>
        <v>3.8</v>
      </c>
      <c r="IZ59" s="43">
        <f t="shared" si="356"/>
        <v>2</v>
      </c>
      <c r="JA59" s="30"/>
      <c r="JB59" s="47">
        <v>2</v>
      </c>
      <c r="JC59" s="48" t="s">
        <v>4</v>
      </c>
      <c r="JD59" s="49">
        <v>0</v>
      </c>
      <c r="JE59" s="5"/>
      <c r="JF59" s="42">
        <f t="shared" si="357"/>
        <v>3.8</v>
      </c>
      <c r="JG59" s="43">
        <f t="shared" si="358"/>
        <v>2</v>
      </c>
      <c r="JH59" s="30"/>
      <c r="JI59" s="47">
        <v>4</v>
      </c>
      <c r="JJ59" s="48" t="s">
        <v>4</v>
      </c>
      <c r="JK59" s="49">
        <v>0</v>
      </c>
      <c r="JL59" s="5"/>
      <c r="JM59" s="42">
        <f t="shared" si="359"/>
        <v>3.8</v>
      </c>
      <c r="JN59" s="43">
        <f t="shared" si="360"/>
        <v>4</v>
      </c>
      <c r="JO59" s="30"/>
      <c r="JP59" s="47">
        <v>2</v>
      </c>
      <c r="JQ59" s="48" t="s">
        <v>4</v>
      </c>
      <c r="JR59" s="49">
        <v>1</v>
      </c>
      <c r="JS59" s="5"/>
      <c r="JT59" s="42">
        <f t="shared" si="361"/>
        <v>3.8</v>
      </c>
      <c r="JU59" s="43">
        <f t="shared" si="362"/>
        <v>1</v>
      </c>
      <c r="JV59" s="30"/>
      <c r="JW59" s="47">
        <v>1</v>
      </c>
      <c r="JX59" s="48" t="s">
        <v>4</v>
      </c>
      <c r="JY59" s="49">
        <v>1</v>
      </c>
      <c r="JZ59" s="5"/>
      <c r="KA59" s="42">
        <f t="shared" si="363"/>
        <v>0</v>
      </c>
      <c r="KB59" s="43">
        <f t="shared" si="364"/>
        <v>0</v>
      </c>
      <c r="KC59" s="30"/>
      <c r="KD59" s="47">
        <v>2</v>
      </c>
      <c r="KE59" s="48" t="s">
        <v>4</v>
      </c>
      <c r="KF59" s="49">
        <v>0</v>
      </c>
      <c r="KG59" s="5"/>
      <c r="KH59" s="42">
        <f t="shared" si="365"/>
        <v>3.8</v>
      </c>
      <c r="KI59" s="43">
        <f t="shared" si="366"/>
        <v>2</v>
      </c>
      <c r="KJ59" s="30"/>
      <c r="KK59" s="47">
        <v>1</v>
      </c>
      <c r="KL59" s="48" t="s">
        <v>4</v>
      </c>
      <c r="KM59" s="49">
        <v>0</v>
      </c>
      <c r="KN59" s="5"/>
      <c r="KO59" s="42">
        <f t="shared" si="367"/>
        <v>3.8</v>
      </c>
      <c r="KP59" s="43">
        <f t="shared" si="368"/>
        <v>1</v>
      </c>
      <c r="KQ59" s="30"/>
      <c r="KR59" s="47">
        <v>1</v>
      </c>
      <c r="KS59" s="48" t="s">
        <v>4</v>
      </c>
      <c r="KT59" s="49">
        <v>0</v>
      </c>
      <c r="KU59" s="5"/>
      <c r="KV59" s="42">
        <f t="shared" si="369"/>
        <v>3.8</v>
      </c>
      <c r="KW59" s="43">
        <f t="shared" si="370"/>
        <v>1</v>
      </c>
      <c r="KX59" s="30"/>
      <c r="KY59" s="47">
        <v>2</v>
      </c>
      <c r="KZ59" s="48" t="s">
        <v>4</v>
      </c>
      <c r="LA59" s="49">
        <v>1</v>
      </c>
      <c r="LB59" s="5"/>
      <c r="LC59" s="42">
        <f t="shared" si="371"/>
        <v>3.8</v>
      </c>
      <c r="LD59" s="43">
        <f t="shared" si="372"/>
        <v>1</v>
      </c>
      <c r="LE59" s="30"/>
      <c r="LF59" s="47">
        <v>5</v>
      </c>
      <c r="LG59" s="48" t="s">
        <v>4</v>
      </c>
      <c r="LH59" s="49">
        <v>2</v>
      </c>
      <c r="LI59" s="5"/>
      <c r="LJ59" s="42">
        <f t="shared" si="373"/>
        <v>3.8</v>
      </c>
      <c r="LK59" s="43">
        <f t="shared" si="374"/>
        <v>3</v>
      </c>
      <c r="LL59" s="30"/>
      <c r="LM59" s="47">
        <v>2</v>
      </c>
      <c r="LN59" s="48" t="s">
        <v>4</v>
      </c>
      <c r="LO59" s="49">
        <v>0</v>
      </c>
      <c r="LP59" s="5"/>
      <c r="LQ59" s="42">
        <f t="shared" si="375"/>
        <v>3.8</v>
      </c>
      <c r="LR59" s="43">
        <f t="shared" si="376"/>
        <v>2</v>
      </c>
      <c r="LS59" s="30"/>
      <c r="LT59" s="47">
        <v>2</v>
      </c>
      <c r="LU59" s="48" t="s">
        <v>4</v>
      </c>
      <c r="LV59" s="49">
        <v>0</v>
      </c>
      <c r="LW59" s="5"/>
      <c r="LX59" s="42">
        <f t="shared" si="377"/>
        <v>3.8</v>
      </c>
      <c r="LY59" s="43">
        <f t="shared" si="378"/>
        <v>2</v>
      </c>
      <c r="LZ59" s="30"/>
      <c r="MA59" s="47">
        <v>2</v>
      </c>
      <c r="MB59" s="48" t="s">
        <v>4</v>
      </c>
      <c r="MC59" s="49">
        <v>0</v>
      </c>
      <c r="MD59" s="5"/>
      <c r="ME59" s="42">
        <f t="shared" si="379"/>
        <v>3.8</v>
      </c>
      <c r="MF59" s="43">
        <f t="shared" si="380"/>
        <v>2</v>
      </c>
      <c r="MG59" s="30"/>
      <c r="MH59" s="47">
        <v>2</v>
      </c>
      <c r="MI59" s="48" t="s">
        <v>4</v>
      </c>
      <c r="MJ59" s="49">
        <v>0</v>
      </c>
      <c r="MK59" s="5"/>
      <c r="ML59" s="42">
        <f t="shared" si="381"/>
        <v>3.8</v>
      </c>
      <c r="MM59" s="43">
        <f t="shared" si="382"/>
        <v>2</v>
      </c>
      <c r="MN59" s="30"/>
      <c r="MO59" s="47">
        <v>3</v>
      </c>
      <c r="MP59" s="48" t="s">
        <v>4</v>
      </c>
      <c r="MQ59" s="49">
        <v>0</v>
      </c>
      <c r="MR59" s="5"/>
      <c r="MS59" s="42">
        <f t="shared" si="383"/>
        <v>3.8</v>
      </c>
      <c r="MT59" s="43">
        <f t="shared" si="384"/>
        <v>3</v>
      </c>
      <c r="MU59" s="30"/>
      <c r="MV59" s="47">
        <v>3</v>
      </c>
      <c r="MW59" s="48" t="s">
        <v>4</v>
      </c>
      <c r="MX59" s="49">
        <v>0</v>
      </c>
      <c r="MY59" s="5"/>
      <c r="MZ59" s="42">
        <f t="shared" si="385"/>
        <v>3.8</v>
      </c>
      <c r="NA59" s="43">
        <f t="shared" si="386"/>
        <v>3</v>
      </c>
      <c r="NB59" s="30"/>
      <c r="NC59" s="47">
        <v>2</v>
      </c>
      <c r="ND59" s="48" t="s">
        <v>4</v>
      </c>
      <c r="NE59" s="49">
        <v>2</v>
      </c>
      <c r="NF59" s="5"/>
      <c r="NG59" s="42">
        <f t="shared" si="387"/>
        <v>0</v>
      </c>
      <c r="NH59" s="43">
        <f t="shared" si="388"/>
        <v>0</v>
      </c>
      <c r="NI59" s="30"/>
      <c r="NJ59" s="47">
        <v>1</v>
      </c>
      <c r="NK59" s="48" t="s">
        <v>4</v>
      </c>
      <c r="NL59" s="49">
        <v>2</v>
      </c>
      <c r="NM59" s="5"/>
      <c r="NN59" s="42">
        <f t="shared" si="389"/>
        <v>0</v>
      </c>
      <c r="NO59" s="43">
        <f t="shared" si="390"/>
        <v>-1</v>
      </c>
      <c r="NP59" s="30"/>
      <c r="NQ59" s="47">
        <v>2</v>
      </c>
      <c r="NR59" s="48" t="s">
        <v>4</v>
      </c>
      <c r="NS59" s="49">
        <v>0</v>
      </c>
      <c r="NT59" s="5"/>
      <c r="NU59" s="42">
        <f t="shared" si="391"/>
        <v>3.8</v>
      </c>
      <c r="NV59" s="43">
        <f t="shared" si="392"/>
        <v>2</v>
      </c>
      <c r="NW59" s="30"/>
      <c r="NX59" s="47">
        <v>2</v>
      </c>
      <c r="NY59" s="48" t="s">
        <v>4</v>
      </c>
      <c r="NZ59" s="49">
        <v>0</v>
      </c>
      <c r="OA59" s="5"/>
      <c r="OB59" s="42">
        <f t="shared" si="393"/>
        <v>3.8</v>
      </c>
      <c r="OC59" s="43">
        <f t="shared" si="394"/>
        <v>2</v>
      </c>
      <c r="OD59" s="30"/>
      <c r="OE59" s="47">
        <v>3</v>
      </c>
      <c r="OF59" s="48" t="s">
        <v>4</v>
      </c>
      <c r="OG59" s="49">
        <v>2</v>
      </c>
      <c r="OH59" s="5"/>
      <c r="OI59" s="42">
        <f t="shared" si="395"/>
        <v>3.8</v>
      </c>
      <c r="OJ59" s="43">
        <f t="shared" si="396"/>
        <v>1</v>
      </c>
      <c r="OK59" s="30"/>
      <c r="OL59" s="47">
        <v>2</v>
      </c>
      <c r="OM59" s="48" t="s">
        <v>4</v>
      </c>
      <c r="ON59" s="49">
        <v>0</v>
      </c>
      <c r="OO59" s="5"/>
      <c r="OP59" s="42">
        <f t="shared" si="397"/>
        <v>3.8</v>
      </c>
      <c r="OQ59" s="43">
        <f t="shared" si="398"/>
        <v>2</v>
      </c>
      <c r="OR59" s="30"/>
      <c r="OS59" s="47">
        <v>1</v>
      </c>
      <c r="OT59" s="48" t="s">
        <v>4</v>
      </c>
      <c r="OU59" s="49">
        <v>0</v>
      </c>
      <c r="OV59" s="5"/>
      <c r="OW59" s="42">
        <f t="shared" si="399"/>
        <v>3.8</v>
      </c>
      <c r="OX59" s="43">
        <f t="shared" si="400"/>
        <v>1</v>
      </c>
      <c r="OY59" s="30"/>
      <c r="OZ59" s="47">
        <v>2</v>
      </c>
      <c r="PA59" s="48" t="s">
        <v>4</v>
      </c>
      <c r="PB59" s="49">
        <v>0</v>
      </c>
      <c r="PC59" s="5"/>
      <c r="PD59" s="42">
        <f t="shared" si="401"/>
        <v>3.8</v>
      </c>
      <c r="PE59" s="43">
        <f t="shared" si="402"/>
        <v>2</v>
      </c>
      <c r="PF59" s="30"/>
      <c r="PG59" s="47">
        <v>2</v>
      </c>
      <c r="PH59" s="48" t="s">
        <v>4</v>
      </c>
      <c r="PI59" s="49">
        <v>0</v>
      </c>
      <c r="PJ59" s="5"/>
      <c r="PK59" s="42">
        <f t="shared" si="403"/>
        <v>3.8</v>
      </c>
      <c r="PL59" s="43">
        <f t="shared" si="404"/>
        <v>2</v>
      </c>
      <c r="PM59" s="30"/>
      <c r="PN59" s="47">
        <v>2</v>
      </c>
      <c r="PO59" s="48" t="s">
        <v>4</v>
      </c>
      <c r="PP59" s="49">
        <v>0</v>
      </c>
      <c r="PQ59" s="5"/>
      <c r="PR59" s="42">
        <f t="shared" si="405"/>
        <v>3.8</v>
      </c>
      <c r="PS59" s="43">
        <f t="shared" si="406"/>
        <v>2</v>
      </c>
      <c r="PT59" s="30"/>
      <c r="PU59" s="47">
        <v>2</v>
      </c>
      <c r="PV59" s="48" t="s">
        <v>4</v>
      </c>
      <c r="PW59" s="49">
        <v>0</v>
      </c>
      <c r="PX59" s="5"/>
      <c r="PY59" s="42">
        <f t="shared" si="407"/>
        <v>3.8</v>
      </c>
      <c r="PZ59" s="43">
        <f t="shared" si="408"/>
        <v>2</v>
      </c>
      <c r="QA59" s="30"/>
      <c r="QB59" s="47">
        <v>3</v>
      </c>
      <c r="QC59" s="48" t="s">
        <v>4</v>
      </c>
      <c r="QD59" s="49">
        <v>0</v>
      </c>
      <c r="QE59" s="5"/>
      <c r="QF59" s="42">
        <f t="shared" si="409"/>
        <v>3.8</v>
      </c>
      <c r="QG59" s="43">
        <f t="shared" si="410"/>
        <v>3</v>
      </c>
      <c r="QH59" s="30"/>
      <c r="QI59" s="47">
        <v>2</v>
      </c>
      <c r="QJ59" s="48" t="s">
        <v>4</v>
      </c>
      <c r="QK59" s="49">
        <v>0</v>
      </c>
      <c r="QL59" s="5"/>
      <c r="QM59" s="42">
        <f t="shared" si="411"/>
        <v>3.8</v>
      </c>
      <c r="QN59" s="43">
        <f t="shared" si="412"/>
        <v>2</v>
      </c>
      <c r="QO59" s="30"/>
      <c r="QP59" s="47">
        <v>3</v>
      </c>
      <c r="QQ59" s="48" t="s">
        <v>4</v>
      </c>
      <c r="QR59" s="49">
        <v>0</v>
      </c>
      <c r="QS59" s="5"/>
      <c r="QT59" s="42">
        <f t="shared" si="413"/>
        <v>3.8</v>
      </c>
      <c r="QU59" s="43">
        <f t="shared" si="414"/>
        <v>3</v>
      </c>
      <c r="QV59" s="30"/>
      <c r="QW59" s="47">
        <v>0</v>
      </c>
      <c r="QX59" s="48" t="s">
        <v>4</v>
      </c>
      <c r="QY59" s="49">
        <v>0</v>
      </c>
      <c r="QZ59" s="5"/>
      <c r="RA59" s="42">
        <f t="shared" si="415"/>
        <v>0</v>
      </c>
      <c r="RB59" s="43">
        <f t="shared" si="416"/>
        <v>0</v>
      </c>
      <c r="RC59" s="30"/>
      <c r="RD59" s="47"/>
      <c r="RE59" s="48" t="s">
        <v>4</v>
      </c>
      <c r="RF59" s="49"/>
      <c r="RG59" s="5"/>
      <c r="RH59" s="42" t="str">
        <f t="shared" si="417"/>
        <v/>
      </c>
      <c r="RI59" s="43">
        <f t="shared" si="418"/>
        <v>0</v>
      </c>
      <c r="RJ59" s="30"/>
      <c r="RK59" s="47">
        <v>2</v>
      </c>
      <c r="RL59" s="48" t="s">
        <v>4</v>
      </c>
      <c r="RM59" s="49">
        <v>1</v>
      </c>
      <c r="RN59" s="5"/>
      <c r="RO59" s="42">
        <f t="shared" si="419"/>
        <v>3.8</v>
      </c>
      <c r="RP59" s="43">
        <f t="shared" si="420"/>
        <v>1</v>
      </c>
      <c r="RQ59" s="30"/>
      <c r="RR59" s="47">
        <v>2</v>
      </c>
      <c r="RS59" s="48" t="s">
        <v>4</v>
      </c>
      <c r="RT59" s="49">
        <v>1</v>
      </c>
      <c r="RU59" s="5"/>
      <c r="RV59" s="42">
        <f t="shared" si="421"/>
        <v>3.8</v>
      </c>
      <c r="RW59" s="43">
        <f t="shared" si="422"/>
        <v>1</v>
      </c>
      <c r="RX59" s="30"/>
      <c r="RY59" s="47">
        <v>2</v>
      </c>
      <c r="RZ59" s="48" t="s">
        <v>4</v>
      </c>
      <c r="SA59" s="49">
        <v>1</v>
      </c>
      <c r="SB59" s="5"/>
      <c r="SC59" s="42">
        <f t="shared" si="423"/>
        <v>3.8</v>
      </c>
      <c r="SD59" s="43">
        <f t="shared" si="424"/>
        <v>1</v>
      </c>
      <c r="SE59" s="30"/>
      <c r="SF59" s="47">
        <v>2</v>
      </c>
      <c r="SG59" s="48" t="s">
        <v>4</v>
      </c>
      <c r="SH59" s="49">
        <v>1</v>
      </c>
      <c r="SI59" s="5"/>
      <c r="SJ59" s="42">
        <f t="shared" si="425"/>
        <v>3.8</v>
      </c>
      <c r="SK59" s="43">
        <f t="shared" si="426"/>
        <v>1</v>
      </c>
      <c r="SL59" s="30"/>
      <c r="SM59" s="47">
        <v>1</v>
      </c>
      <c r="SN59" s="48" t="s">
        <v>4</v>
      </c>
      <c r="SO59" s="49">
        <v>1</v>
      </c>
      <c r="SP59" s="5"/>
      <c r="SQ59" s="42">
        <f t="shared" si="427"/>
        <v>0</v>
      </c>
      <c r="SR59" s="43">
        <f t="shared" si="428"/>
        <v>0</v>
      </c>
    </row>
    <row r="60" spans="1:512" customFormat="1" ht="16" customHeight="1" x14ac:dyDescent="0.15">
      <c r="A60" s="34">
        <v>46198</v>
      </c>
      <c r="B60" s="35">
        <v>0.125</v>
      </c>
      <c r="C60" s="79" t="s">
        <v>26</v>
      </c>
      <c r="D60" s="79" t="s">
        <v>28</v>
      </c>
      <c r="E60" s="2">
        <v>0</v>
      </c>
      <c r="F60" s="50" t="s">
        <v>4</v>
      </c>
      <c r="G60" s="1">
        <v>3</v>
      </c>
      <c r="H60" s="16">
        <v>3.8</v>
      </c>
      <c r="I60" s="32">
        <f t="shared" si="0"/>
        <v>-3</v>
      </c>
      <c r="J60" s="47">
        <v>1</v>
      </c>
      <c r="K60" s="48" t="s">
        <v>4</v>
      </c>
      <c r="L60" s="49">
        <v>0</v>
      </c>
      <c r="M60" s="5"/>
      <c r="N60" s="42">
        <f t="shared" si="1"/>
        <v>0</v>
      </c>
      <c r="O60" s="43">
        <f t="shared" si="2"/>
        <v>1</v>
      </c>
      <c r="P60" s="43">
        <f>IF($I60=0,IF(AND(#REF!&gt;#REF!,OR(AND(T60="",Q60&gt;S60),T60=1)),1,IF(AND(#REF!&lt;#REF!,OR(AND(T60="",Q60&lt;S60),T60=2)),1,0)),0)</f>
        <v>0</v>
      </c>
      <c r="Q60" s="47">
        <v>1</v>
      </c>
      <c r="R60" s="48" t="s">
        <v>4</v>
      </c>
      <c r="S60" s="49">
        <v>1</v>
      </c>
      <c r="T60" s="5"/>
      <c r="U60" s="42">
        <f t="shared" si="287"/>
        <v>0</v>
      </c>
      <c r="V60" s="43">
        <f t="shared" si="288"/>
        <v>0</v>
      </c>
      <c r="W60" s="30"/>
      <c r="X60" s="47">
        <v>2</v>
      </c>
      <c r="Y60" s="48" t="s">
        <v>4</v>
      </c>
      <c r="Z60" s="49">
        <v>2</v>
      </c>
      <c r="AA60" s="5"/>
      <c r="AB60" s="42">
        <f t="shared" si="289"/>
        <v>0</v>
      </c>
      <c r="AC60" s="43">
        <f t="shared" si="290"/>
        <v>0</v>
      </c>
      <c r="AD60" s="30"/>
      <c r="AE60" s="47">
        <v>1</v>
      </c>
      <c r="AF60" s="48" t="s">
        <v>4</v>
      </c>
      <c r="AG60" s="49">
        <v>4</v>
      </c>
      <c r="AH60" s="5"/>
      <c r="AI60" s="42">
        <f t="shared" si="291"/>
        <v>3.8</v>
      </c>
      <c r="AJ60" s="43">
        <f t="shared" si="292"/>
        <v>-3</v>
      </c>
      <c r="AK60" s="30"/>
      <c r="AL60" s="47">
        <v>1</v>
      </c>
      <c r="AM60" s="48" t="s">
        <v>4</v>
      </c>
      <c r="AN60" s="49">
        <v>2</v>
      </c>
      <c r="AO60" s="5"/>
      <c r="AP60" s="42">
        <f t="shared" si="293"/>
        <v>3.8</v>
      </c>
      <c r="AQ60" s="43">
        <f t="shared" si="294"/>
        <v>-1</v>
      </c>
      <c r="AR60" s="30"/>
      <c r="AS60" s="47">
        <v>1</v>
      </c>
      <c r="AT60" s="48" t="s">
        <v>4</v>
      </c>
      <c r="AU60" s="49">
        <v>2</v>
      </c>
      <c r="AV60" s="5"/>
      <c r="AW60" s="42">
        <f t="shared" si="295"/>
        <v>3.8</v>
      </c>
      <c r="AX60" s="43">
        <f t="shared" si="296"/>
        <v>-1</v>
      </c>
      <c r="AY60" s="30"/>
      <c r="AZ60" s="47">
        <v>1</v>
      </c>
      <c r="BA60" s="48" t="s">
        <v>4</v>
      </c>
      <c r="BB60" s="49">
        <v>3</v>
      </c>
      <c r="BC60" s="5"/>
      <c r="BD60" s="42">
        <f t="shared" si="297"/>
        <v>3.8</v>
      </c>
      <c r="BE60" s="43">
        <f t="shared" si="298"/>
        <v>-2</v>
      </c>
      <c r="BF60" s="30"/>
      <c r="BG60" s="47">
        <v>0</v>
      </c>
      <c r="BH60" s="48"/>
      <c r="BI60" s="49">
        <v>4</v>
      </c>
      <c r="BJ60" s="5"/>
      <c r="BK60" s="42">
        <f t="shared" si="299"/>
        <v>3.8</v>
      </c>
      <c r="BL60" s="43">
        <f t="shared" si="300"/>
        <v>-4</v>
      </c>
      <c r="BM60" s="30"/>
      <c r="BN60" s="47">
        <v>1</v>
      </c>
      <c r="BO60" s="48" t="s">
        <v>4</v>
      </c>
      <c r="BP60" s="49">
        <v>1</v>
      </c>
      <c r="BQ60" s="5"/>
      <c r="BR60" s="42">
        <f t="shared" si="301"/>
        <v>0</v>
      </c>
      <c r="BS60" s="43">
        <f t="shared" si="302"/>
        <v>0</v>
      </c>
      <c r="BT60" s="30"/>
      <c r="BU60" s="47">
        <v>1</v>
      </c>
      <c r="BV60" s="48" t="s">
        <v>4</v>
      </c>
      <c r="BW60" s="49">
        <v>1</v>
      </c>
      <c r="BX60" s="5"/>
      <c r="BY60" s="42">
        <f t="shared" si="303"/>
        <v>0</v>
      </c>
      <c r="BZ60" s="43">
        <f t="shared" si="304"/>
        <v>0</v>
      </c>
      <c r="CA60" s="30"/>
      <c r="CB60" s="47">
        <v>2</v>
      </c>
      <c r="CC60" s="48" t="s">
        <v>4</v>
      </c>
      <c r="CD60" s="49">
        <v>1</v>
      </c>
      <c r="CE60" s="5"/>
      <c r="CF60" s="42">
        <f t="shared" si="305"/>
        <v>0</v>
      </c>
      <c r="CG60" s="43">
        <f t="shared" si="306"/>
        <v>1</v>
      </c>
      <c r="CH60" s="30"/>
      <c r="CI60" s="47">
        <v>1</v>
      </c>
      <c r="CJ60" s="48" t="s">
        <v>4</v>
      </c>
      <c r="CK60" s="49">
        <v>2</v>
      </c>
      <c r="CL60" s="5"/>
      <c r="CM60" s="42">
        <f t="shared" si="307"/>
        <v>3.8</v>
      </c>
      <c r="CN60" s="43">
        <f t="shared" si="308"/>
        <v>-1</v>
      </c>
      <c r="CO60" s="30"/>
      <c r="CP60" s="47">
        <v>1</v>
      </c>
      <c r="CQ60" s="48" t="s">
        <v>4</v>
      </c>
      <c r="CR60" s="49">
        <v>2</v>
      </c>
      <c r="CS60" s="5"/>
      <c r="CT60" s="42">
        <f t="shared" si="309"/>
        <v>3.8</v>
      </c>
      <c r="CU60" s="43">
        <f t="shared" si="310"/>
        <v>-1</v>
      </c>
      <c r="CV60" s="30"/>
      <c r="CW60" s="47">
        <v>1</v>
      </c>
      <c r="CX60" s="48" t="s">
        <v>4</v>
      </c>
      <c r="CY60" s="49">
        <v>2</v>
      </c>
      <c r="CZ60" s="5"/>
      <c r="DA60" s="42">
        <f t="shared" si="311"/>
        <v>3.8</v>
      </c>
      <c r="DB60" s="43">
        <f t="shared" si="312"/>
        <v>-1</v>
      </c>
      <c r="DC60" s="30"/>
      <c r="DD60" s="47">
        <v>1</v>
      </c>
      <c r="DE60" s="48" t="s">
        <v>4</v>
      </c>
      <c r="DF60" s="49">
        <v>1</v>
      </c>
      <c r="DG60" s="5"/>
      <c r="DH60" s="42">
        <f t="shared" si="313"/>
        <v>0</v>
      </c>
      <c r="DI60" s="43">
        <f t="shared" si="314"/>
        <v>0</v>
      </c>
      <c r="DJ60" s="30"/>
      <c r="DK60" s="47">
        <v>1</v>
      </c>
      <c r="DL60" s="48" t="s">
        <v>4</v>
      </c>
      <c r="DM60" s="49">
        <v>1</v>
      </c>
      <c r="DN60" s="5"/>
      <c r="DO60" s="42">
        <f t="shared" si="315"/>
        <v>0</v>
      </c>
      <c r="DP60" s="43">
        <f t="shared" si="316"/>
        <v>0</v>
      </c>
      <c r="DQ60" s="30"/>
      <c r="DR60" s="47">
        <v>0</v>
      </c>
      <c r="DS60" s="48" t="s">
        <v>4</v>
      </c>
      <c r="DT60" s="49">
        <v>2</v>
      </c>
      <c r="DU60" s="5"/>
      <c r="DV60" s="42">
        <f t="shared" si="317"/>
        <v>3.8</v>
      </c>
      <c r="DW60" s="43">
        <f t="shared" si="318"/>
        <v>-2</v>
      </c>
      <c r="DX60" s="30"/>
      <c r="DY60" s="47">
        <v>0</v>
      </c>
      <c r="DZ60" s="48" t="s">
        <v>4</v>
      </c>
      <c r="EA60" s="49">
        <v>2</v>
      </c>
      <c r="EB60" s="5"/>
      <c r="EC60" s="42">
        <f t="shared" si="319"/>
        <v>3.8</v>
      </c>
      <c r="ED60" s="43">
        <f t="shared" si="320"/>
        <v>-2</v>
      </c>
      <c r="EE60" s="30"/>
      <c r="EF60" s="47">
        <v>1</v>
      </c>
      <c r="EG60" s="48" t="s">
        <v>4</v>
      </c>
      <c r="EH60" s="49">
        <v>1</v>
      </c>
      <c r="EI60" s="5"/>
      <c r="EJ60" s="42">
        <f t="shared" si="321"/>
        <v>0</v>
      </c>
      <c r="EK60" s="43">
        <f t="shared" si="322"/>
        <v>0</v>
      </c>
      <c r="EL60" s="30"/>
      <c r="EM60" s="47">
        <v>1</v>
      </c>
      <c r="EN60" s="48" t="s">
        <v>4</v>
      </c>
      <c r="EO60" s="49">
        <v>3</v>
      </c>
      <c r="EP60" s="5"/>
      <c r="EQ60" s="42">
        <f t="shared" si="323"/>
        <v>3.8</v>
      </c>
      <c r="ER60" s="43">
        <f t="shared" si="324"/>
        <v>-2</v>
      </c>
      <c r="ES60" s="30"/>
      <c r="ET60" s="47">
        <v>2</v>
      </c>
      <c r="EU60" s="48" t="s">
        <v>4</v>
      </c>
      <c r="EV60" s="49">
        <v>1</v>
      </c>
      <c r="EW60" s="5"/>
      <c r="EX60" s="42">
        <f t="shared" si="325"/>
        <v>0</v>
      </c>
      <c r="EY60" s="43">
        <f t="shared" si="326"/>
        <v>1</v>
      </c>
      <c r="EZ60" s="30"/>
      <c r="FA60" s="47">
        <v>1</v>
      </c>
      <c r="FB60" s="48" t="s">
        <v>4</v>
      </c>
      <c r="FC60" s="49">
        <v>1</v>
      </c>
      <c r="FD60" s="5"/>
      <c r="FE60" s="42">
        <f t="shared" si="327"/>
        <v>0</v>
      </c>
      <c r="FF60" s="43">
        <f t="shared" si="328"/>
        <v>0</v>
      </c>
      <c r="FG60" s="30"/>
      <c r="FH60" s="47">
        <v>1</v>
      </c>
      <c r="FI60" s="48" t="s">
        <v>4</v>
      </c>
      <c r="FJ60" s="49">
        <v>2</v>
      </c>
      <c r="FK60" s="5"/>
      <c r="FL60" s="42">
        <f t="shared" si="329"/>
        <v>3.8</v>
      </c>
      <c r="FM60" s="43">
        <f t="shared" si="330"/>
        <v>-1</v>
      </c>
      <c r="FN60" s="30"/>
      <c r="FO60" s="47">
        <v>2</v>
      </c>
      <c r="FP60" s="48" t="s">
        <v>4</v>
      </c>
      <c r="FQ60" s="49">
        <v>1</v>
      </c>
      <c r="FR60" s="5"/>
      <c r="FS60" s="42">
        <f t="shared" si="331"/>
        <v>0</v>
      </c>
      <c r="FT60" s="43">
        <f t="shared" si="332"/>
        <v>1</v>
      </c>
      <c r="FU60" s="30"/>
      <c r="FV60" s="47">
        <v>2</v>
      </c>
      <c r="FW60" s="48" t="s">
        <v>4</v>
      </c>
      <c r="FX60" s="49">
        <v>2</v>
      </c>
      <c r="FY60" s="5"/>
      <c r="FZ60" s="42">
        <f t="shared" si="333"/>
        <v>0</v>
      </c>
      <c r="GA60" s="43">
        <f t="shared" si="334"/>
        <v>0</v>
      </c>
      <c r="GB60" s="30"/>
      <c r="GC60" s="47">
        <v>1</v>
      </c>
      <c r="GD60" s="48" t="s">
        <v>4</v>
      </c>
      <c r="GE60" s="49">
        <v>2</v>
      </c>
      <c r="GF60" s="5"/>
      <c r="GG60" s="42">
        <f t="shared" si="335"/>
        <v>3.8</v>
      </c>
      <c r="GH60" s="43">
        <f t="shared" si="336"/>
        <v>-1</v>
      </c>
      <c r="GI60" s="30"/>
      <c r="GJ60" s="47">
        <v>1</v>
      </c>
      <c r="GK60" s="48" t="s">
        <v>4</v>
      </c>
      <c r="GL60" s="49">
        <v>2</v>
      </c>
      <c r="GM60" s="5"/>
      <c r="GN60" s="42">
        <f t="shared" si="337"/>
        <v>3.8</v>
      </c>
      <c r="GO60" s="43">
        <f t="shared" si="338"/>
        <v>-1</v>
      </c>
      <c r="GP60" s="30"/>
      <c r="GQ60" s="47">
        <v>1</v>
      </c>
      <c r="GR60" s="48" t="s">
        <v>4</v>
      </c>
      <c r="GS60" s="49">
        <v>1</v>
      </c>
      <c r="GT60" s="5"/>
      <c r="GU60" s="42">
        <f t="shared" si="339"/>
        <v>0</v>
      </c>
      <c r="GV60" s="43">
        <f t="shared" si="340"/>
        <v>0</v>
      </c>
      <c r="GW60" s="30"/>
      <c r="GX60" s="47">
        <v>1</v>
      </c>
      <c r="GY60" s="48" t="s">
        <v>4</v>
      </c>
      <c r="GZ60" s="49">
        <v>1</v>
      </c>
      <c r="HA60" s="5"/>
      <c r="HB60" s="42">
        <f t="shared" si="341"/>
        <v>0</v>
      </c>
      <c r="HC60" s="43">
        <f t="shared" si="342"/>
        <v>0</v>
      </c>
      <c r="HD60" s="30"/>
      <c r="HE60" s="47">
        <v>1</v>
      </c>
      <c r="HF60" s="48" t="s">
        <v>4</v>
      </c>
      <c r="HG60" s="49">
        <v>2</v>
      </c>
      <c r="HH60" s="5"/>
      <c r="HI60" s="42">
        <f t="shared" si="343"/>
        <v>3.8</v>
      </c>
      <c r="HJ60" s="43">
        <f t="shared" si="344"/>
        <v>-1</v>
      </c>
      <c r="HK60" s="30"/>
      <c r="HL60" s="47">
        <v>1</v>
      </c>
      <c r="HM60" s="48" t="s">
        <v>4</v>
      </c>
      <c r="HN60" s="49">
        <v>2</v>
      </c>
      <c r="HO60" s="5"/>
      <c r="HP60" s="42">
        <f t="shared" si="345"/>
        <v>3.8</v>
      </c>
      <c r="HQ60" s="43">
        <f t="shared" si="346"/>
        <v>-1</v>
      </c>
      <c r="HR60" s="30"/>
      <c r="HS60" s="47">
        <v>1</v>
      </c>
      <c r="HT60" s="48" t="s">
        <v>4</v>
      </c>
      <c r="HU60" s="49">
        <v>2</v>
      </c>
      <c r="HV60" s="5"/>
      <c r="HW60" s="42">
        <f t="shared" si="347"/>
        <v>3.8</v>
      </c>
      <c r="HX60" s="43">
        <f t="shared" si="348"/>
        <v>-1</v>
      </c>
      <c r="HY60" s="30"/>
      <c r="HZ60" s="47">
        <v>2</v>
      </c>
      <c r="IA60" s="48" t="s">
        <v>4</v>
      </c>
      <c r="IB60" s="49">
        <v>2</v>
      </c>
      <c r="IC60" s="5"/>
      <c r="ID60" s="42">
        <f t="shared" si="349"/>
        <v>0</v>
      </c>
      <c r="IE60" s="43">
        <f t="shared" si="350"/>
        <v>0</v>
      </c>
      <c r="IF60" s="30"/>
      <c r="IG60" s="47">
        <v>0</v>
      </c>
      <c r="IH60" s="48" t="s">
        <v>4</v>
      </c>
      <c r="II60" s="49">
        <v>4</v>
      </c>
      <c r="IJ60" s="5"/>
      <c r="IK60" s="42">
        <f t="shared" si="351"/>
        <v>3.8</v>
      </c>
      <c r="IL60" s="43">
        <f t="shared" si="352"/>
        <v>-4</v>
      </c>
      <c r="IM60" s="30"/>
      <c r="IN60" s="47">
        <v>2</v>
      </c>
      <c r="IO60" s="48" t="s">
        <v>4</v>
      </c>
      <c r="IP60" s="49">
        <v>2</v>
      </c>
      <c r="IQ60" s="5"/>
      <c r="IR60" s="42">
        <f t="shared" si="353"/>
        <v>0</v>
      </c>
      <c r="IS60" s="43">
        <f t="shared" si="354"/>
        <v>0</v>
      </c>
      <c r="IT60" s="30"/>
      <c r="IU60" s="47">
        <v>0</v>
      </c>
      <c r="IV60" s="48" t="s">
        <v>4</v>
      </c>
      <c r="IW60" s="49">
        <v>2</v>
      </c>
      <c r="IX60" s="5"/>
      <c r="IY60" s="42">
        <f t="shared" si="355"/>
        <v>3.8</v>
      </c>
      <c r="IZ60" s="43">
        <f t="shared" si="356"/>
        <v>-2</v>
      </c>
      <c r="JA60" s="30"/>
      <c r="JB60" s="47">
        <v>1</v>
      </c>
      <c r="JC60" s="48" t="s">
        <v>4</v>
      </c>
      <c r="JD60" s="49">
        <v>1</v>
      </c>
      <c r="JE60" s="5"/>
      <c r="JF60" s="42">
        <f t="shared" si="357"/>
        <v>0</v>
      </c>
      <c r="JG60" s="43">
        <f t="shared" si="358"/>
        <v>0</v>
      </c>
      <c r="JH60" s="30"/>
      <c r="JI60" s="47">
        <v>1</v>
      </c>
      <c r="JJ60" s="48" t="s">
        <v>4</v>
      </c>
      <c r="JK60" s="49">
        <v>2</v>
      </c>
      <c r="JL60" s="5"/>
      <c r="JM60" s="42">
        <f t="shared" si="359"/>
        <v>3.8</v>
      </c>
      <c r="JN60" s="43">
        <f t="shared" si="360"/>
        <v>-1</v>
      </c>
      <c r="JO60" s="30"/>
      <c r="JP60" s="47">
        <v>1</v>
      </c>
      <c r="JQ60" s="48" t="s">
        <v>4</v>
      </c>
      <c r="JR60" s="49">
        <v>2</v>
      </c>
      <c r="JS60" s="5"/>
      <c r="JT60" s="42">
        <f t="shared" si="361"/>
        <v>3.8</v>
      </c>
      <c r="JU60" s="43">
        <f t="shared" si="362"/>
        <v>-1</v>
      </c>
      <c r="JV60" s="30"/>
      <c r="JW60" s="47">
        <v>1</v>
      </c>
      <c r="JX60" s="48" t="s">
        <v>4</v>
      </c>
      <c r="JY60" s="49">
        <v>3</v>
      </c>
      <c r="JZ60" s="5"/>
      <c r="KA60" s="42">
        <f t="shared" si="363"/>
        <v>3.8</v>
      </c>
      <c r="KB60" s="43">
        <f t="shared" si="364"/>
        <v>-2</v>
      </c>
      <c r="KC60" s="30"/>
      <c r="KD60" s="47">
        <v>2</v>
      </c>
      <c r="KE60" s="48" t="s">
        <v>4</v>
      </c>
      <c r="KF60" s="49">
        <v>3</v>
      </c>
      <c r="KG60" s="5"/>
      <c r="KH60" s="42">
        <f t="shared" si="365"/>
        <v>3.8</v>
      </c>
      <c r="KI60" s="43">
        <f t="shared" si="366"/>
        <v>-1</v>
      </c>
      <c r="KJ60" s="30"/>
      <c r="KK60" s="47">
        <v>0</v>
      </c>
      <c r="KL60" s="48" t="s">
        <v>4</v>
      </c>
      <c r="KM60" s="49">
        <v>1</v>
      </c>
      <c r="KN60" s="5"/>
      <c r="KO60" s="42">
        <f t="shared" si="367"/>
        <v>3.8</v>
      </c>
      <c r="KP60" s="43">
        <f t="shared" si="368"/>
        <v>-1</v>
      </c>
      <c r="KQ60" s="30"/>
      <c r="KR60" s="47">
        <v>1</v>
      </c>
      <c r="KS60" s="48" t="s">
        <v>4</v>
      </c>
      <c r="KT60" s="49">
        <v>2</v>
      </c>
      <c r="KU60" s="5"/>
      <c r="KV60" s="42">
        <f t="shared" si="369"/>
        <v>3.8</v>
      </c>
      <c r="KW60" s="43">
        <f t="shared" si="370"/>
        <v>-1</v>
      </c>
      <c r="KX60" s="30"/>
      <c r="KY60" s="47">
        <v>2</v>
      </c>
      <c r="KZ60" s="48" t="s">
        <v>4</v>
      </c>
      <c r="LA60" s="49">
        <v>1</v>
      </c>
      <c r="LB60" s="5"/>
      <c r="LC60" s="42">
        <f t="shared" si="371"/>
        <v>0</v>
      </c>
      <c r="LD60" s="43">
        <f t="shared" si="372"/>
        <v>1</v>
      </c>
      <c r="LE60" s="30"/>
      <c r="LF60" s="47">
        <v>1</v>
      </c>
      <c r="LG60" s="48" t="s">
        <v>4</v>
      </c>
      <c r="LH60" s="49">
        <v>2</v>
      </c>
      <c r="LI60" s="5"/>
      <c r="LJ60" s="42">
        <f t="shared" si="373"/>
        <v>3.8</v>
      </c>
      <c r="LK60" s="43">
        <f t="shared" si="374"/>
        <v>-1</v>
      </c>
      <c r="LL60" s="30"/>
      <c r="LM60" s="47">
        <v>1</v>
      </c>
      <c r="LN60" s="48" t="s">
        <v>4</v>
      </c>
      <c r="LO60" s="49">
        <v>2</v>
      </c>
      <c r="LP60" s="5"/>
      <c r="LQ60" s="42">
        <f t="shared" si="375"/>
        <v>3.8</v>
      </c>
      <c r="LR60" s="43">
        <f t="shared" si="376"/>
        <v>-1</v>
      </c>
      <c r="LS60" s="30"/>
      <c r="LT60" s="47">
        <v>1</v>
      </c>
      <c r="LU60" s="48" t="s">
        <v>4</v>
      </c>
      <c r="LV60" s="49">
        <v>1</v>
      </c>
      <c r="LW60" s="5"/>
      <c r="LX60" s="42">
        <f t="shared" si="377"/>
        <v>0</v>
      </c>
      <c r="LY60" s="43">
        <f t="shared" si="378"/>
        <v>0</v>
      </c>
      <c r="LZ60" s="30"/>
      <c r="MA60" s="47">
        <v>0</v>
      </c>
      <c r="MB60" s="48" t="s">
        <v>4</v>
      </c>
      <c r="MC60" s="49">
        <v>0</v>
      </c>
      <c r="MD60" s="5"/>
      <c r="ME60" s="42">
        <f t="shared" si="379"/>
        <v>0</v>
      </c>
      <c r="MF60" s="43">
        <f t="shared" si="380"/>
        <v>0</v>
      </c>
      <c r="MG60" s="30"/>
      <c r="MH60" s="47">
        <v>0</v>
      </c>
      <c r="MI60" s="48" t="s">
        <v>4</v>
      </c>
      <c r="MJ60" s="49">
        <v>1</v>
      </c>
      <c r="MK60" s="5"/>
      <c r="ML60" s="42">
        <f t="shared" si="381"/>
        <v>3.8</v>
      </c>
      <c r="MM60" s="43">
        <f t="shared" si="382"/>
        <v>-1</v>
      </c>
      <c r="MN60" s="30"/>
      <c r="MO60" s="47">
        <v>2</v>
      </c>
      <c r="MP60" s="48" t="s">
        <v>4</v>
      </c>
      <c r="MQ60" s="49">
        <v>2</v>
      </c>
      <c r="MR60" s="5"/>
      <c r="MS60" s="42">
        <f t="shared" si="383"/>
        <v>0</v>
      </c>
      <c r="MT60" s="43">
        <f t="shared" si="384"/>
        <v>0</v>
      </c>
      <c r="MU60" s="30"/>
      <c r="MV60" s="47">
        <v>1</v>
      </c>
      <c r="MW60" s="48" t="s">
        <v>4</v>
      </c>
      <c r="MX60" s="49">
        <v>4</v>
      </c>
      <c r="MY60" s="5"/>
      <c r="MZ60" s="42">
        <f t="shared" si="385"/>
        <v>3.8</v>
      </c>
      <c r="NA60" s="43">
        <f t="shared" si="386"/>
        <v>-3</v>
      </c>
      <c r="NB60" s="30"/>
      <c r="NC60" s="47">
        <v>0</v>
      </c>
      <c r="ND60" s="48" t="s">
        <v>4</v>
      </c>
      <c r="NE60" s="49">
        <v>2</v>
      </c>
      <c r="NF60" s="5"/>
      <c r="NG60" s="42">
        <f t="shared" si="387"/>
        <v>3.8</v>
      </c>
      <c r="NH60" s="43">
        <f t="shared" si="388"/>
        <v>-2</v>
      </c>
      <c r="NI60" s="30"/>
      <c r="NJ60" s="47">
        <v>1</v>
      </c>
      <c r="NK60" s="48" t="s">
        <v>4</v>
      </c>
      <c r="NL60" s="49">
        <v>0</v>
      </c>
      <c r="NM60" s="5"/>
      <c r="NN60" s="42">
        <f t="shared" si="389"/>
        <v>0</v>
      </c>
      <c r="NO60" s="43">
        <f t="shared" si="390"/>
        <v>1</v>
      </c>
      <c r="NP60" s="30"/>
      <c r="NQ60" s="47">
        <v>1</v>
      </c>
      <c r="NR60" s="48" t="s">
        <v>4</v>
      </c>
      <c r="NS60" s="49">
        <v>0</v>
      </c>
      <c r="NT60" s="5"/>
      <c r="NU60" s="42">
        <f t="shared" si="391"/>
        <v>0</v>
      </c>
      <c r="NV60" s="43">
        <f t="shared" si="392"/>
        <v>1</v>
      </c>
      <c r="NW60" s="30"/>
      <c r="NX60" s="47">
        <v>1</v>
      </c>
      <c r="NY60" s="48" t="s">
        <v>4</v>
      </c>
      <c r="NZ60" s="49">
        <v>1</v>
      </c>
      <c r="OA60" s="5"/>
      <c r="OB60" s="42">
        <f t="shared" si="393"/>
        <v>0</v>
      </c>
      <c r="OC60" s="43">
        <f t="shared" si="394"/>
        <v>0</v>
      </c>
      <c r="OD60" s="30"/>
      <c r="OE60" s="47">
        <v>2</v>
      </c>
      <c r="OF60" s="48" t="s">
        <v>4</v>
      </c>
      <c r="OG60" s="49">
        <v>3</v>
      </c>
      <c r="OH60" s="5"/>
      <c r="OI60" s="42">
        <f t="shared" si="395"/>
        <v>3.8</v>
      </c>
      <c r="OJ60" s="43">
        <f t="shared" si="396"/>
        <v>-1</v>
      </c>
      <c r="OK60" s="30"/>
      <c r="OL60" s="47">
        <v>0</v>
      </c>
      <c r="OM60" s="48" t="s">
        <v>4</v>
      </c>
      <c r="ON60" s="49">
        <v>3</v>
      </c>
      <c r="OO60" s="5"/>
      <c r="OP60" s="42">
        <f t="shared" si="397"/>
        <v>5.6999999999999993</v>
      </c>
      <c r="OQ60" s="43">
        <f t="shared" si="398"/>
        <v>-3</v>
      </c>
      <c r="OR60" s="30"/>
      <c r="OS60" s="47">
        <v>0</v>
      </c>
      <c r="OT60" s="48" t="s">
        <v>4</v>
      </c>
      <c r="OU60" s="49">
        <v>2</v>
      </c>
      <c r="OV60" s="5"/>
      <c r="OW60" s="42">
        <f t="shared" si="399"/>
        <v>3.8</v>
      </c>
      <c r="OX60" s="43">
        <f t="shared" si="400"/>
        <v>-2</v>
      </c>
      <c r="OY60" s="30"/>
      <c r="OZ60" s="47">
        <v>1</v>
      </c>
      <c r="PA60" s="48" t="s">
        <v>4</v>
      </c>
      <c r="PB60" s="49">
        <v>1</v>
      </c>
      <c r="PC60" s="5"/>
      <c r="PD60" s="42">
        <f t="shared" si="401"/>
        <v>0</v>
      </c>
      <c r="PE60" s="43">
        <f t="shared" si="402"/>
        <v>0</v>
      </c>
      <c r="PF60" s="30"/>
      <c r="PG60" s="47">
        <v>1</v>
      </c>
      <c r="PH60" s="48" t="s">
        <v>4</v>
      </c>
      <c r="PI60" s="49">
        <v>2</v>
      </c>
      <c r="PJ60" s="5"/>
      <c r="PK60" s="42">
        <f t="shared" si="403"/>
        <v>3.8</v>
      </c>
      <c r="PL60" s="43">
        <f t="shared" si="404"/>
        <v>-1</v>
      </c>
      <c r="PM60" s="30"/>
      <c r="PN60" s="47">
        <v>0</v>
      </c>
      <c r="PO60" s="48" t="s">
        <v>4</v>
      </c>
      <c r="PP60" s="49">
        <v>1</v>
      </c>
      <c r="PQ60" s="5"/>
      <c r="PR60" s="42">
        <f t="shared" si="405"/>
        <v>3.8</v>
      </c>
      <c r="PS60" s="43">
        <f t="shared" si="406"/>
        <v>-1</v>
      </c>
      <c r="PT60" s="30"/>
      <c r="PU60" s="47">
        <v>1</v>
      </c>
      <c r="PV60" s="48" t="s">
        <v>4</v>
      </c>
      <c r="PW60" s="49">
        <v>1</v>
      </c>
      <c r="PX60" s="5"/>
      <c r="PY60" s="42">
        <f t="shared" si="407"/>
        <v>0</v>
      </c>
      <c r="PZ60" s="43">
        <f t="shared" si="408"/>
        <v>0</v>
      </c>
      <c r="QA60" s="30"/>
      <c r="QB60" s="47">
        <v>0</v>
      </c>
      <c r="QC60" s="48" t="s">
        <v>4</v>
      </c>
      <c r="QD60" s="49">
        <v>1</v>
      </c>
      <c r="QE60" s="5"/>
      <c r="QF60" s="42">
        <f t="shared" si="409"/>
        <v>3.8</v>
      </c>
      <c r="QG60" s="43">
        <f t="shared" si="410"/>
        <v>-1</v>
      </c>
      <c r="QH60" s="30"/>
      <c r="QI60" s="47">
        <v>3</v>
      </c>
      <c r="QJ60" s="48" t="s">
        <v>4</v>
      </c>
      <c r="QK60" s="49">
        <v>2</v>
      </c>
      <c r="QL60" s="5"/>
      <c r="QM60" s="42">
        <f t="shared" si="411"/>
        <v>0</v>
      </c>
      <c r="QN60" s="43">
        <f t="shared" si="412"/>
        <v>1</v>
      </c>
      <c r="QO60" s="30"/>
      <c r="QP60" s="47">
        <v>0</v>
      </c>
      <c r="QQ60" s="48" t="s">
        <v>4</v>
      </c>
      <c r="QR60" s="49">
        <v>2</v>
      </c>
      <c r="QS60" s="5"/>
      <c r="QT60" s="42">
        <f t="shared" si="413"/>
        <v>3.8</v>
      </c>
      <c r="QU60" s="43">
        <f t="shared" si="414"/>
        <v>-2</v>
      </c>
      <c r="QV60" s="30"/>
      <c r="QW60" s="47">
        <v>1</v>
      </c>
      <c r="QX60" s="48" t="s">
        <v>4</v>
      </c>
      <c r="QY60" s="49">
        <v>2</v>
      </c>
      <c r="QZ60" s="5"/>
      <c r="RA60" s="42">
        <f t="shared" si="415"/>
        <v>3.8</v>
      </c>
      <c r="RB60" s="43">
        <f t="shared" si="416"/>
        <v>-1</v>
      </c>
      <c r="RC60" s="30"/>
      <c r="RD60" s="47"/>
      <c r="RE60" s="48" t="s">
        <v>4</v>
      </c>
      <c r="RF60" s="49"/>
      <c r="RG60" s="5"/>
      <c r="RH60" s="42" t="str">
        <f t="shared" si="417"/>
        <v/>
      </c>
      <c r="RI60" s="43">
        <f t="shared" si="418"/>
        <v>0</v>
      </c>
      <c r="RJ60" s="30"/>
      <c r="RK60" s="47">
        <v>1</v>
      </c>
      <c r="RL60" s="48" t="s">
        <v>4</v>
      </c>
      <c r="RM60" s="49">
        <v>2</v>
      </c>
      <c r="RN60" s="5"/>
      <c r="RO60" s="42">
        <f t="shared" si="419"/>
        <v>3.8</v>
      </c>
      <c r="RP60" s="43">
        <f t="shared" si="420"/>
        <v>-1</v>
      </c>
      <c r="RQ60" s="30"/>
      <c r="RR60" s="47">
        <v>2</v>
      </c>
      <c r="RS60" s="48" t="s">
        <v>4</v>
      </c>
      <c r="RT60" s="49">
        <v>1</v>
      </c>
      <c r="RU60" s="5"/>
      <c r="RV60" s="42">
        <f t="shared" si="421"/>
        <v>0</v>
      </c>
      <c r="RW60" s="43">
        <f t="shared" si="422"/>
        <v>1</v>
      </c>
      <c r="RX60" s="30"/>
      <c r="RY60" s="47">
        <v>2</v>
      </c>
      <c r="RZ60" s="48" t="s">
        <v>4</v>
      </c>
      <c r="SA60" s="49">
        <v>1</v>
      </c>
      <c r="SB60" s="5"/>
      <c r="SC60" s="42">
        <f t="shared" si="423"/>
        <v>0</v>
      </c>
      <c r="SD60" s="43">
        <f t="shared" si="424"/>
        <v>1</v>
      </c>
      <c r="SE60" s="30"/>
      <c r="SF60" s="47">
        <v>2</v>
      </c>
      <c r="SG60" s="48" t="s">
        <v>4</v>
      </c>
      <c r="SH60" s="49">
        <v>1</v>
      </c>
      <c r="SI60" s="5"/>
      <c r="SJ60" s="42">
        <f t="shared" si="425"/>
        <v>0</v>
      </c>
      <c r="SK60" s="43">
        <f t="shared" si="426"/>
        <v>1</v>
      </c>
      <c r="SL60" s="30"/>
      <c r="SM60" s="47">
        <v>1</v>
      </c>
      <c r="SN60" s="48" t="s">
        <v>4</v>
      </c>
      <c r="SO60" s="49">
        <v>3</v>
      </c>
      <c r="SP60" s="5"/>
      <c r="SQ60" s="42">
        <f t="shared" si="427"/>
        <v>3.8</v>
      </c>
      <c r="SR60" s="43">
        <f t="shared" si="428"/>
        <v>-2</v>
      </c>
    </row>
    <row r="61" spans="1:512" customFormat="1" ht="16" customHeight="1" x14ac:dyDescent="0.15">
      <c r="A61" s="34">
        <v>46198</v>
      </c>
      <c r="B61" s="35">
        <v>0.125</v>
      </c>
      <c r="C61" s="79" t="s">
        <v>29</v>
      </c>
      <c r="D61" s="79" t="s">
        <v>30</v>
      </c>
      <c r="E61" s="2">
        <v>1</v>
      </c>
      <c r="F61" s="50" t="s">
        <v>4</v>
      </c>
      <c r="G61" s="1">
        <v>0</v>
      </c>
      <c r="H61" s="16">
        <v>3.8</v>
      </c>
      <c r="I61" s="32">
        <f t="shared" si="0"/>
        <v>1</v>
      </c>
      <c r="J61" s="47">
        <v>1</v>
      </c>
      <c r="K61" s="48" t="s">
        <v>4</v>
      </c>
      <c r="L61" s="49">
        <v>0</v>
      </c>
      <c r="M61" s="5"/>
      <c r="N61" s="42">
        <f t="shared" si="1"/>
        <v>5.6999999999999993</v>
      </c>
      <c r="O61" s="43">
        <f t="shared" si="2"/>
        <v>1</v>
      </c>
      <c r="P61" s="43">
        <f>IF($I61=0,IF(AND(#REF!&gt;#REF!,OR(AND(T61="",Q61&gt;S61),T61=1)),1,IF(AND(#REF!&lt;#REF!,OR(AND(T61="",Q61&lt;S61),T61=2)),1,0)),0)</f>
        <v>0</v>
      </c>
      <c r="Q61" s="47">
        <v>1</v>
      </c>
      <c r="R61" s="48" t="s">
        <v>4</v>
      </c>
      <c r="S61" s="49">
        <v>2</v>
      </c>
      <c r="T61" s="5"/>
      <c r="U61" s="42">
        <f t="shared" si="287"/>
        <v>0</v>
      </c>
      <c r="V61" s="43">
        <f t="shared" si="288"/>
        <v>-1</v>
      </c>
      <c r="W61" s="30"/>
      <c r="X61" s="47">
        <v>0</v>
      </c>
      <c r="Y61" s="48" t="s">
        <v>4</v>
      </c>
      <c r="Z61" s="49">
        <v>0</v>
      </c>
      <c r="AA61" s="5"/>
      <c r="AB61" s="42">
        <f t="shared" si="289"/>
        <v>0</v>
      </c>
      <c r="AC61" s="43">
        <f t="shared" si="290"/>
        <v>0</v>
      </c>
      <c r="AD61" s="30"/>
      <c r="AE61" s="47">
        <v>4</v>
      </c>
      <c r="AF61" s="48" t="s">
        <v>4</v>
      </c>
      <c r="AG61" s="49">
        <v>0</v>
      </c>
      <c r="AH61" s="5"/>
      <c r="AI61" s="42">
        <f t="shared" si="291"/>
        <v>3.8</v>
      </c>
      <c r="AJ61" s="43">
        <f t="shared" si="292"/>
        <v>4</v>
      </c>
      <c r="AK61" s="30"/>
      <c r="AL61" s="47">
        <v>1</v>
      </c>
      <c r="AM61" s="48" t="s">
        <v>4</v>
      </c>
      <c r="AN61" s="49">
        <v>1</v>
      </c>
      <c r="AO61" s="5"/>
      <c r="AP61" s="42">
        <f t="shared" si="293"/>
        <v>0</v>
      </c>
      <c r="AQ61" s="43">
        <f t="shared" si="294"/>
        <v>0</v>
      </c>
      <c r="AR61" s="30"/>
      <c r="AS61" s="47">
        <v>0</v>
      </c>
      <c r="AT61" s="48" t="s">
        <v>4</v>
      </c>
      <c r="AU61" s="49">
        <v>0</v>
      </c>
      <c r="AV61" s="5"/>
      <c r="AW61" s="42">
        <f t="shared" si="295"/>
        <v>0</v>
      </c>
      <c r="AX61" s="43">
        <f t="shared" si="296"/>
        <v>0</v>
      </c>
      <c r="AY61" s="30"/>
      <c r="AZ61" s="47">
        <v>1</v>
      </c>
      <c r="BA61" s="48" t="s">
        <v>4</v>
      </c>
      <c r="BB61" s="49">
        <v>2</v>
      </c>
      <c r="BC61" s="5"/>
      <c r="BD61" s="42">
        <f t="shared" si="297"/>
        <v>0</v>
      </c>
      <c r="BE61" s="43">
        <f t="shared" si="298"/>
        <v>-1</v>
      </c>
      <c r="BF61" s="30"/>
      <c r="BG61" s="47">
        <v>3</v>
      </c>
      <c r="BH61" s="48" t="s">
        <v>4</v>
      </c>
      <c r="BI61" s="49">
        <v>1</v>
      </c>
      <c r="BJ61" s="5"/>
      <c r="BK61" s="42">
        <f t="shared" si="299"/>
        <v>3.8</v>
      </c>
      <c r="BL61" s="43">
        <f t="shared" si="300"/>
        <v>2</v>
      </c>
      <c r="BM61" s="30"/>
      <c r="BN61" s="47">
        <v>1</v>
      </c>
      <c r="BO61" s="48" t="s">
        <v>4</v>
      </c>
      <c r="BP61" s="49">
        <v>2</v>
      </c>
      <c r="BQ61" s="5"/>
      <c r="BR61" s="42">
        <f t="shared" si="301"/>
        <v>0</v>
      </c>
      <c r="BS61" s="43">
        <f t="shared" si="302"/>
        <v>-1</v>
      </c>
      <c r="BT61" s="30"/>
      <c r="BU61" s="47">
        <v>1</v>
      </c>
      <c r="BV61" s="48" t="s">
        <v>4</v>
      </c>
      <c r="BW61" s="49">
        <v>2</v>
      </c>
      <c r="BX61" s="5"/>
      <c r="BY61" s="42">
        <f t="shared" si="303"/>
        <v>0</v>
      </c>
      <c r="BZ61" s="43">
        <f t="shared" si="304"/>
        <v>-1</v>
      </c>
      <c r="CA61" s="30"/>
      <c r="CB61" s="47">
        <v>1</v>
      </c>
      <c r="CC61" s="48" t="s">
        <v>4</v>
      </c>
      <c r="CD61" s="49">
        <v>3</v>
      </c>
      <c r="CE61" s="5"/>
      <c r="CF61" s="42">
        <f t="shared" si="305"/>
        <v>0</v>
      </c>
      <c r="CG61" s="43">
        <f t="shared" si="306"/>
        <v>-2</v>
      </c>
      <c r="CH61" s="30"/>
      <c r="CI61" s="47">
        <v>1</v>
      </c>
      <c r="CJ61" s="48" t="s">
        <v>4</v>
      </c>
      <c r="CK61" s="49">
        <v>2</v>
      </c>
      <c r="CL61" s="5"/>
      <c r="CM61" s="42">
        <f t="shared" si="307"/>
        <v>0</v>
      </c>
      <c r="CN61" s="43">
        <f t="shared" si="308"/>
        <v>-1</v>
      </c>
      <c r="CO61" s="30"/>
      <c r="CP61" s="47">
        <v>0</v>
      </c>
      <c r="CQ61" s="48" t="s">
        <v>4</v>
      </c>
      <c r="CR61" s="49">
        <v>2</v>
      </c>
      <c r="CS61" s="5"/>
      <c r="CT61" s="42">
        <f t="shared" si="309"/>
        <v>0</v>
      </c>
      <c r="CU61" s="43">
        <f t="shared" si="310"/>
        <v>-2</v>
      </c>
      <c r="CV61" s="30"/>
      <c r="CW61" s="47">
        <v>1</v>
      </c>
      <c r="CX61" s="48" t="s">
        <v>4</v>
      </c>
      <c r="CY61" s="49">
        <v>1</v>
      </c>
      <c r="CZ61" s="5"/>
      <c r="DA61" s="42">
        <f t="shared" si="311"/>
        <v>0</v>
      </c>
      <c r="DB61" s="43">
        <f t="shared" si="312"/>
        <v>0</v>
      </c>
      <c r="DC61" s="30"/>
      <c r="DD61" s="47">
        <v>0</v>
      </c>
      <c r="DE61" s="48" t="s">
        <v>4</v>
      </c>
      <c r="DF61" s="49">
        <v>0</v>
      </c>
      <c r="DG61" s="5"/>
      <c r="DH61" s="42">
        <f t="shared" si="313"/>
        <v>0</v>
      </c>
      <c r="DI61" s="43">
        <f t="shared" si="314"/>
        <v>0</v>
      </c>
      <c r="DJ61" s="30"/>
      <c r="DK61" s="47">
        <v>0</v>
      </c>
      <c r="DL61" s="48" t="s">
        <v>4</v>
      </c>
      <c r="DM61" s="49">
        <v>1</v>
      </c>
      <c r="DN61" s="5"/>
      <c r="DO61" s="42">
        <f t="shared" si="315"/>
        <v>0</v>
      </c>
      <c r="DP61" s="43">
        <f t="shared" si="316"/>
        <v>-1</v>
      </c>
      <c r="DQ61" s="30"/>
      <c r="DR61" s="47">
        <v>0</v>
      </c>
      <c r="DS61" s="48" t="s">
        <v>4</v>
      </c>
      <c r="DT61" s="49">
        <v>1</v>
      </c>
      <c r="DU61" s="5"/>
      <c r="DV61" s="42">
        <f t="shared" si="317"/>
        <v>0</v>
      </c>
      <c r="DW61" s="43">
        <f t="shared" si="318"/>
        <v>-1</v>
      </c>
      <c r="DX61" s="30"/>
      <c r="DY61" s="47">
        <v>2</v>
      </c>
      <c r="DZ61" s="48" t="s">
        <v>4</v>
      </c>
      <c r="EA61" s="49">
        <v>1</v>
      </c>
      <c r="EB61" s="5"/>
      <c r="EC61" s="42">
        <f t="shared" si="319"/>
        <v>3.8</v>
      </c>
      <c r="ED61" s="43">
        <f t="shared" si="320"/>
        <v>1</v>
      </c>
      <c r="EE61" s="30"/>
      <c r="EF61" s="47">
        <v>0</v>
      </c>
      <c r="EG61" s="48" t="s">
        <v>4</v>
      </c>
      <c r="EH61" s="49">
        <v>0</v>
      </c>
      <c r="EI61" s="5"/>
      <c r="EJ61" s="42">
        <f t="shared" si="321"/>
        <v>0</v>
      </c>
      <c r="EK61" s="43">
        <f t="shared" si="322"/>
        <v>0</v>
      </c>
      <c r="EL61" s="30"/>
      <c r="EM61" s="47">
        <v>0</v>
      </c>
      <c r="EN61" s="48" t="s">
        <v>4</v>
      </c>
      <c r="EO61" s="49">
        <v>0</v>
      </c>
      <c r="EP61" s="5"/>
      <c r="EQ61" s="42">
        <f t="shared" si="323"/>
        <v>0</v>
      </c>
      <c r="ER61" s="43">
        <f t="shared" si="324"/>
        <v>0</v>
      </c>
      <c r="ES61" s="30"/>
      <c r="ET61" s="47">
        <v>3</v>
      </c>
      <c r="EU61" s="48" t="s">
        <v>4</v>
      </c>
      <c r="EV61" s="49">
        <v>1</v>
      </c>
      <c r="EW61" s="5"/>
      <c r="EX61" s="42">
        <f t="shared" si="325"/>
        <v>3.8</v>
      </c>
      <c r="EY61" s="43">
        <f t="shared" si="326"/>
        <v>2</v>
      </c>
      <c r="EZ61" s="30"/>
      <c r="FA61" s="47">
        <v>1</v>
      </c>
      <c r="FB61" s="48" t="s">
        <v>4</v>
      </c>
      <c r="FC61" s="49">
        <v>2</v>
      </c>
      <c r="FD61" s="5"/>
      <c r="FE61" s="42">
        <f t="shared" si="327"/>
        <v>0</v>
      </c>
      <c r="FF61" s="43">
        <f t="shared" si="328"/>
        <v>-1</v>
      </c>
      <c r="FG61" s="30"/>
      <c r="FH61" s="47">
        <v>1</v>
      </c>
      <c r="FI61" s="48" t="s">
        <v>4</v>
      </c>
      <c r="FJ61" s="49">
        <v>2</v>
      </c>
      <c r="FK61" s="5"/>
      <c r="FL61" s="42">
        <f t="shared" si="329"/>
        <v>0</v>
      </c>
      <c r="FM61" s="43">
        <f t="shared" si="330"/>
        <v>-1</v>
      </c>
      <c r="FN61" s="30"/>
      <c r="FO61" s="47">
        <v>0</v>
      </c>
      <c r="FP61" s="48" t="s">
        <v>4</v>
      </c>
      <c r="FQ61" s="49">
        <v>1</v>
      </c>
      <c r="FR61" s="5"/>
      <c r="FS61" s="42">
        <f t="shared" si="331"/>
        <v>0</v>
      </c>
      <c r="FT61" s="43">
        <f t="shared" si="332"/>
        <v>-1</v>
      </c>
      <c r="FU61" s="30"/>
      <c r="FV61" s="47">
        <v>1</v>
      </c>
      <c r="FW61" s="48" t="s">
        <v>4</v>
      </c>
      <c r="FX61" s="49">
        <v>3</v>
      </c>
      <c r="FY61" s="5"/>
      <c r="FZ61" s="42">
        <f t="shared" si="333"/>
        <v>0</v>
      </c>
      <c r="GA61" s="43">
        <f t="shared" si="334"/>
        <v>-2</v>
      </c>
      <c r="GB61" s="30"/>
      <c r="GC61" s="47">
        <v>1</v>
      </c>
      <c r="GD61" s="48" t="s">
        <v>4</v>
      </c>
      <c r="GE61" s="49">
        <v>2</v>
      </c>
      <c r="GF61" s="5"/>
      <c r="GG61" s="42">
        <f t="shared" si="335"/>
        <v>0</v>
      </c>
      <c r="GH61" s="43">
        <f t="shared" si="336"/>
        <v>-1</v>
      </c>
      <c r="GI61" s="30"/>
      <c r="GJ61" s="47">
        <v>1</v>
      </c>
      <c r="GK61" s="48" t="s">
        <v>4</v>
      </c>
      <c r="GL61" s="49">
        <v>1</v>
      </c>
      <c r="GM61" s="5"/>
      <c r="GN61" s="42">
        <f t="shared" si="337"/>
        <v>0</v>
      </c>
      <c r="GO61" s="43">
        <f t="shared" si="338"/>
        <v>0</v>
      </c>
      <c r="GP61" s="30"/>
      <c r="GQ61" s="47">
        <v>1</v>
      </c>
      <c r="GR61" s="48" t="s">
        <v>4</v>
      </c>
      <c r="GS61" s="49">
        <v>2</v>
      </c>
      <c r="GT61" s="5"/>
      <c r="GU61" s="42">
        <f t="shared" si="339"/>
        <v>0</v>
      </c>
      <c r="GV61" s="43">
        <f t="shared" si="340"/>
        <v>-1</v>
      </c>
      <c r="GW61" s="30"/>
      <c r="GX61" s="47">
        <v>1</v>
      </c>
      <c r="GY61" s="48" t="s">
        <v>4</v>
      </c>
      <c r="GZ61" s="49">
        <v>2</v>
      </c>
      <c r="HA61" s="5"/>
      <c r="HB61" s="42">
        <f t="shared" si="341"/>
        <v>0</v>
      </c>
      <c r="HC61" s="43">
        <f t="shared" si="342"/>
        <v>-1</v>
      </c>
      <c r="HD61" s="30"/>
      <c r="HE61" s="47">
        <v>1</v>
      </c>
      <c r="HF61" s="48" t="s">
        <v>4</v>
      </c>
      <c r="HG61" s="49">
        <v>3</v>
      </c>
      <c r="HH61" s="5"/>
      <c r="HI61" s="42">
        <f t="shared" si="343"/>
        <v>0</v>
      </c>
      <c r="HJ61" s="43">
        <f t="shared" si="344"/>
        <v>-2</v>
      </c>
      <c r="HK61" s="30"/>
      <c r="HL61" s="47">
        <v>1</v>
      </c>
      <c r="HM61" s="48" t="s">
        <v>4</v>
      </c>
      <c r="HN61" s="49">
        <v>1</v>
      </c>
      <c r="HO61" s="5"/>
      <c r="HP61" s="42">
        <f t="shared" si="345"/>
        <v>0</v>
      </c>
      <c r="HQ61" s="43">
        <f t="shared" si="346"/>
        <v>0</v>
      </c>
      <c r="HR61" s="30"/>
      <c r="HS61" s="47">
        <v>1</v>
      </c>
      <c r="HT61" s="48" t="s">
        <v>4</v>
      </c>
      <c r="HU61" s="49">
        <v>0</v>
      </c>
      <c r="HV61" s="5"/>
      <c r="HW61" s="42">
        <f t="shared" si="347"/>
        <v>5.6999999999999993</v>
      </c>
      <c r="HX61" s="43">
        <f t="shared" si="348"/>
        <v>1</v>
      </c>
      <c r="HY61" s="30"/>
      <c r="HZ61" s="47">
        <v>1</v>
      </c>
      <c r="IA61" s="48" t="s">
        <v>4</v>
      </c>
      <c r="IB61" s="49">
        <v>1</v>
      </c>
      <c r="IC61" s="5"/>
      <c r="ID61" s="42">
        <f t="shared" si="349"/>
        <v>0</v>
      </c>
      <c r="IE61" s="43">
        <f t="shared" si="350"/>
        <v>0</v>
      </c>
      <c r="IF61" s="30"/>
      <c r="IG61" s="47">
        <v>0</v>
      </c>
      <c r="IH61" s="48" t="s">
        <v>4</v>
      </c>
      <c r="II61" s="49">
        <v>2</v>
      </c>
      <c r="IJ61" s="5"/>
      <c r="IK61" s="42">
        <f t="shared" si="351"/>
        <v>0</v>
      </c>
      <c r="IL61" s="43">
        <f t="shared" si="352"/>
        <v>-2</v>
      </c>
      <c r="IM61" s="30"/>
      <c r="IN61" s="47">
        <v>0</v>
      </c>
      <c r="IO61" s="48" t="s">
        <v>4</v>
      </c>
      <c r="IP61" s="49">
        <v>0</v>
      </c>
      <c r="IQ61" s="5"/>
      <c r="IR61" s="42">
        <f t="shared" si="353"/>
        <v>0</v>
      </c>
      <c r="IS61" s="43">
        <f t="shared" si="354"/>
        <v>0</v>
      </c>
      <c r="IT61" s="30"/>
      <c r="IU61" s="47">
        <v>2</v>
      </c>
      <c r="IV61" s="48" t="s">
        <v>4</v>
      </c>
      <c r="IW61" s="49">
        <v>0</v>
      </c>
      <c r="IX61" s="5"/>
      <c r="IY61" s="42">
        <f t="shared" si="355"/>
        <v>3.8</v>
      </c>
      <c r="IZ61" s="43">
        <f t="shared" si="356"/>
        <v>2</v>
      </c>
      <c r="JA61" s="30"/>
      <c r="JB61" s="47">
        <v>1</v>
      </c>
      <c r="JC61" s="48" t="s">
        <v>4</v>
      </c>
      <c r="JD61" s="49">
        <v>0</v>
      </c>
      <c r="JE61" s="5"/>
      <c r="JF61" s="42">
        <f t="shared" si="357"/>
        <v>5.6999999999999993</v>
      </c>
      <c r="JG61" s="43">
        <f t="shared" si="358"/>
        <v>1</v>
      </c>
      <c r="JH61" s="30"/>
      <c r="JI61" s="47">
        <v>1</v>
      </c>
      <c r="JJ61" s="48" t="s">
        <v>4</v>
      </c>
      <c r="JK61" s="49">
        <v>2</v>
      </c>
      <c r="JL61" s="5"/>
      <c r="JM61" s="42">
        <f t="shared" si="359"/>
        <v>0</v>
      </c>
      <c r="JN61" s="43">
        <f t="shared" si="360"/>
        <v>-1</v>
      </c>
      <c r="JO61" s="30"/>
      <c r="JP61" s="47">
        <v>0</v>
      </c>
      <c r="JQ61" s="48" t="s">
        <v>4</v>
      </c>
      <c r="JR61" s="49">
        <v>2</v>
      </c>
      <c r="JS61" s="5"/>
      <c r="JT61" s="42">
        <f t="shared" si="361"/>
        <v>0</v>
      </c>
      <c r="JU61" s="43">
        <f t="shared" si="362"/>
        <v>-2</v>
      </c>
      <c r="JV61" s="30"/>
      <c r="JW61" s="47">
        <v>1</v>
      </c>
      <c r="JX61" s="48" t="s">
        <v>4</v>
      </c>
      <c r="JY61" s="49">
        <v>1</v>
      </c>
      <c r="JZ61" s="5"/>
      <c r="KA61" s="42">
        <f t="shared" si="363"/>
        <v>0</v>
      </c>
      <c r="KB61" s="43">
        <f t="shared" si="364"/>
        <v>0</v>
      </c>
      <c r="KC61" s="30"/>
      <c r="KD61" s="47">
        <v>2</v>
      </c>
      <c r="KE61" s="48" t="s">
        <v>4</v>
      </c>
      <c r="KF61" s="49">
        <v>1</v>
      </c>
      <c r="KG61" s="5"/>
      <c r="KH61" s="42">
        <f t="shared" si="365"/>
        <v>3.8</v>
      </c>
      <c r="KI61" s="43">
        <f t="shared" si="366"/>
        <v>1</v>
      </c>
      <c r="KJ61" s="30"/>
      <c r="KK61" s="47">
        <v>1</v>
      </c>
      <c r="KL61" s="48" t="s">
        <v>4</v>
      </c>
      <c r="KM61" s="49">
        <v>0</v>
      </c>
      <c r="KN61" s="5"/>
      <c r="KO61" s="42">
        <f t="shared" si="367"/>
        <v>5.6999999999999993</v>
      </c>
      <c r="KP61" s="43">
        <f t="shared" si="368"/>
        <v>1</v>
      </c>
      <c r="KQ61" s="30"/>
      <c r="KR61" s="47">
        <v>1</v>
      </c>
      <c r="KS61" s="48" t="s">
        <v>4</v>
      </c>
      <c r="KT61" s="49">
        <v>1</v>
      </c>
      <c r="KU61" s="5"/>
      <c r="KV61" s="42">
        <f t="shared" si="369"/>
        <v>0</v>
      </c>
      <c r="KW61" s="43">
        <f t="shared" si="370"/>
        <v>0</v>
      </c>
      <c r="KX61" s="30"/>
      <c r="KY61" s="47">
        <v>1</v>
      </c>
      <c r="KZ61" s="48" t="s">
        <v>4</v>
      </c>
      <c r="LA61" s="49">
        <v>2</v>
      </c>
      <c r="LB61" s="5"/>
      <c r="LC61" s="42">
        <f t="shared" si="371"/>
        <v>0</v>
      </c>
      <c r="LD61" s="43">
        <f t="shared" si="372"/>
        <v>-1</v>
      </c>
      <c r="LE61" s="30"/>
      <c r="LF61" s="47">
        <v>1</v>
      </c>
      <c r="LG61" s="48" t="s">
        <v>4</v>
      </c>
      <c r="LH61" s="49">
        <v>1</v>
      </c>
      <c r="LI61" s="5"/>
      <c r="LJ61" s="42">
        <f t="shared" si="373"/>
        <v>0</v>
      </c>
      <c r="LK61" s="43">
        <f t="shared" si="374"/>
        <v>0</v>
      </c>
      <c r="LL61" s="30"/>
      <c r="LM61" s="47">
        <v>2</v>
      </c>
      <c r="LN61" s="48" t="s">
        <v>4</v>
      </c>
      <c r="LO61" s="49">
        <v>2</v>
      </c>
      <c r="LP61" s="5"/>
      <c r="LQ61" s="42">
        <f t="shared" si="375"/>
        <v>0</v>
      </c>
      <c r="LR61" s="43">
        <f t="shared" si="376"/>
        <v>0</v>
      </c>
      <c r="LS61" s="30"/>
      <c r="LT61" s="47">
        <v>0</v>
      </c>
      <c r="LU61" s="48" t="s">
        <v>4</v>
      </c>
      <c r="LV61" s="49">
        <v>1</v>
      </c>
      <c r="LW61" s="5"/>
      <c r="LX61" s="42">
        <f t="shared" si="377"/>
        <v>0</v>
      </c>
      <c r="LY61" s="43">
        <f t="shared" si="378"/>
        <v>-1</v>
      </c>
      <c r="LZ61" s="30"/>
      <c r="MA61" s="47">
        <v>0</v>
      </c>
      <c r="MB61" s="48" t="s">
        <v>4</v>
      </c>
      <c r="MC61" s="49">
        <v>2</v>
      </c>
      <c r="MD61" s="5"/>
      <c r="ME61" s="42">
        <f t="shared" si="379"/>
        <v>0</v>
      </c>
      <c r="MF61" s="43">
        <f t="shared" si="380"/>
        <v>-2</v>
      </c>
      <c r="MG61" s="30"/>
      <c r="MH61" s="47"/>
      <c r="MI61" s="48" t="s">
        <v>4</v>
      </c>
      <c r="MJ61" s="49"/>
      <c r="MK61" s="5"/>
      <c r="ML61" s="42" t="str">
        <f t="shared" si="381"/>
        <v/>
      </c>
      <c r="MM61" s="43">
        <f t="shared" si="382"/>
        <v>0</v>
      </c>
      <c r="MN61" s="30"/>
      <c r="MO61" s="47">
        <v>0</v>
      </c>
      <c r="MP61" s="48" t="s">
        <v>4</v>
      </c>
      <c r="MQ61" s="49">
        <v>1</v>
      </c>
      <c r="MR61" s="5"/>
      <c r="MS61" s="42">
        <f t="shared" si="383"/>
        <v>0</v>
      </c>
      <c r="MT61" s="43">
        <f t="shared" si="384"/>
        <v>-1</v>
      </c>
      <c r="MU61" s="30"/>
      <c r="MV61" s="47">
        <v>3</v>
      </c>
      <c r="MW61" s="48" t="s">
        <v>4</v>
      </c>
      <c r="MX61" s="49">
        <v>1</v>
      </c>
      <c r="MY61" s="5"/>
      <c r="MZ61" s="42">
        <f t="shared" si="385"/>
        <v>3.8</v>
      </c>
      <c r="NA61" s="43">
        <f t="shared" si="386"/>
        <v>2</v>
      </c>
      <c r="NB61" s="30"/>
      <c r="NC61" s="47">
        <v>3</v>
      </c>
      <c r="ND61" s="48" t="s">
        <v>4</v>
      </c>
      <c r="NE61" s="49">
        <v>1</v>
      </c>
      <c r="NF61" s="5"/>
      <c r="NG61" s="42">
        <f t="shared" si="387"/>
        <v>3.8</v>
      </c>
      <c r="NH61" s="43">
        <f t="shared" si="388"/>
        <v>2</v>
      </c>
      <c r="NI61" s="30"/>
      <c r="NJ61" s="47">
        <v>2</v>
      </c>
      <c r="NK61" s="48" t="s">
        <v>4</v>
      </c>
      <c r="NL61" s="49">
        <v>0</v>
      </c>
      <c r="NM61" s="5"/>
      <c r="NN61" s="42">
        <f t="shared" si="389"/>
        <v>3.8</v>
      </c>
      <c r="NO61" s="43">
        <f t="shared" si="390"/>
        <v>2</v>
      </c>
      <c r="NP61" s="30"/>
      <c r="NQ61" s="47">
        <v>0</v>
      </c>
      <c r="NR61" s="48" t="s">
        <v>4</v>
      </c>
      <c r="NS61" s="49">
        <v>2</v>
      </c>
      <c r="NT61" s="5"/>
      <c r="NU61" s="42">
        <f t="shared" si="391"/>
        <v>0</v>
      </c>
      <c r="NV61" s="43">
        <f t="shared" si="392"/>
        <v>-2</v>
      </c>
      <c r="NW61" s="30"/>
      <c r="NX61" s="47">
        <v>1</v>
      </c>
      <c r="NY61" s="48" t="s">
        <v>4</v>
      </c>
      <c r="NZ61" s="49">
        <v>2</v>
      </c>
      <c r="OA61" s="5"/>
      <c r="OB61" s="42">
        <f t="shared" si="393"/>
        <v>0</v>
      </c>
      <c r="OC61" s="43">
        <f t="shared" si="394"/>
        <v>-1</v>
      </c>
      <c r="OD61" s="30"/>
      <c r="OE61" s="47">
        <v>1</v>
      </c>
      <c r="OF61" s="48" t="s">
        <v>4</v>
      </c>
      <c r="OG61" s="49">
        <v>2</v>
      </c>
      <c r="OH61" s="5"/>
      <c r="OI61" s="42">
        <f t="shared" si="395"/>
        <v>0</v>
      </c>
      <c r="OJ61" s="43">
        <f t="shared" si="396"/>
        <v>-1</v>
      </c>
      <c r="OK61" s="30"/>
      <c r="OL61" s="47">
        <v>0</v>
      </c>
      <c r="OM61" s="48" t="s">
        <v>4</v>
      </c>
      <c r="ON61" s="49">
        <v>1</v>
      </c>
      <c r="OO61" s="5"/>
      <c r="OP61" s="42">
        <f t="shared" si="397"/>
        <v>0</v>
      </c>
      <c r="OQ61" s="43">
        <f t="shared" si="398"/>
        <v>-1</v>
      </c>
      <c r="OR61" s="30"/>
      <c r="OS61" s="47">
        <v>1</v>
      </c>
      <c r="OT61" s="48" t="s">
        <v>4</v>
      </c>
      <c r="OU61" s="49">
        <v>3</v>
      </c>
      <c r="OV61" s="5"/>
      <c r="OW61" s="42">
        <f t="shared" si="399"/>
        <v>0</v>
      </c>
      <c r="OX61" s="43">
        <f t="shared" si="400"/>
        <v>-2</v>
      </c>
      <c r="OY61" s="30"/>
      <c r="OZ61" s="47">
        <v>1</v>
      </c>
      <c r="PA61" s="48" t="s">
        <v>4</v>
      </c>
      <c r="PB61" s="49">
        <v>2</v>
      </c>
      <c r="PC61" s="5"/>
      <c r="PD61" s="42">
        <f t="shared" si="401"/>
        <v>0</v>
      </c>
      <c r="PE61" s="43">
        <f t="shared" si="402"/>
        <v>-1</v>
      </c>
      <c r="PF61" s="30"/>
      <c r="PG61" s="47">
        <v>1</v>
      </c>
      <c r="PH61" s="48" t="s">
        <v>4</v>
      </c>
      <c r="PI61" s="49">
        <v>2</v>
      </c>
      <c r="PJ61" s="5"/>
      <c r="PK61" s="42">
        <f t="shared" si="403"/>
        <v>0</v>
      </c>
      <c r="PL61" s="43">
        <f t="shared" si="404"/>
        <v>-1</v>
      </c>
      <c r="PM61" s="30"/>
      <c r="PN61" s="47">
        <v>1</v>
      </c>
      <c r="PO61" s="48" t="s">
        <v>4</v>
      </c>
      <c r="PP61" s="49">
        <v>1</v>
      </c>
      <c r="PQ61" s="5"/>
      <c r="PR61" s="42">
        <f t="shared" si="405"/>
        <v>0</v>
      </c>
      <c r="PS61" s="43">
        <f t="shared" si="406"/>
        <v>0</v>
      </c>
      <c r="PT61" s="30"/>
      <c r="PU61" s="47">
        <v>0</v>
      </c>
      <c r="PV61" s="48" t="s">
        <v>4</v>
      </c>
      <c r="PW61" s="49">
        <v>0</v>
      </c>
      <c r="PX61" s="5"/>
      <c r="PY61" s="42">
        <f t="shared" si="407"/>
        <v>0</v>
      </c>
      <c r="PZ61" s="43">
        <f t="shared" si="408"/>
        <v>0</v>
      </c>
      <c r="QA61" s="30"/>
      <c r="QB61" s="47">
        <v>1</v>
      </c>
      <c r="QC61" s="48" t="s">
        <v>4</v>
      </c>
      <c r="QD61" s="49">
        <v>2</v>
      </c>
      <c r="QE61" s="5"/>
      <c r="QF61" s="42">
        <f t="shared" si="409"/>
        <v>0</v>
      </c>
      <c r="QG61" s="43">
        <f t="shared" si="410"/>
        <v>-1</v>
      </c>
      <c r="QH61" s="30"/>
      <c r="QI61" s="47">
        <v>1</v>
      </c>
      <c r="QJ61" s="48" t="s">
        <v>4</v>
      </c>
      <c r="QK61" s="49">
        <v>1</v>
      </c>
      <c r="QL61" s="5"/>
      <c r="QM61" s="42">
        <f t="shared" si="411"/>
        <v>0</v>
      </c>
      <c r="QN61" s="43">
        <f t="shared" si="412"/>
        <v>0</v>
      </c>
      <c r="QO61" s="30"/>
      <c r="QP61" s="47">
        <v>2</v>
      </c>
      <c r="QQ61" s="48" t="s">
        <v>4</v>
      </c>
      <c r="QR61" s="49">
        <v>2</v>
      </c>
      <c r="QS61" s="5"/>
      <c r="QT61" s="42">
        <f t="shared" si="413"/>
        <v>0</v>
      </c>
      <c r="QU61" s="43">
        <f t="shared" si="414"/>
        <v>0</v>
      </c>
      <c r="QV61" s="30"/>
      <c r="QW61" s="47">
        <v>2</v>
      </c>
      <c r="QX61" s="48" t="s">
        <v>4</v>
      </c>
      <c r="QY61" s="49">
        <v>2</v>
      </c>
      <c r="QZ61" s="5"/>
      <c r="RA61" s="42">
        <f t="shared" si="415"/>
        <v>0</v>
      </c>
      <c r="RB61" s="43">
        <f t="shared" si="416"/>
        <v>0</v>
      </c>
      <c r="RC61" s="30"/>
      <c r="RD61" s="47"/>
      <c r="RE61" s="48" t="s">
        <v>4</v>
      </c>
      <c r="RF61" s="49"/>
      <c r="RG61" s="5"/>
      <c r="RH61" s="42" t="str">
        <f t="shared" si="417"/>
        <v/>
      </c>
      <c r="RI61" s="43">
        <f t="shared" si="418"/>
        <v>0</v>
      </c>
      <c r="RJ61" s="30"/>
      <c r="RK61" s="47">
        <v>1</v>
      </c>
      <c r="RL61" s="48" t="s">
        <v>4</v>
      </c>
      <c r="RM61" s="49">
        <v>1</v>
      </c>
      <c r="RN61" s="5"/>
      <c r="RO61" s="42">
        <f t="shared" si="419"/>
        <v>0</v>
      </c>
      <c r="RP61" s="43">
        <f t="shared" si="420"/>
        <v>0</v>
      </c>
      <c r="RQ61" s="30"/>
      <c r="RR61" s="47">
        <v>1</v>
      </c>
      <c r="RS61" s="48" t="s">
        <v>4</v>
      </c>
      <c r="RT61" s="49">
        <v>1</v>
      </c>
      <c r="RU61" s="5"/>
      <c r="RV61" s="42">
        <f t="shared" si="421"/>
        <v>0</v>
      </c>
      <c r="RW61" s="43">
        <f t="shared" si="422"/>
        <v>0</v>
      </c>
      <c r="RX61" s="30"/>
      <c r="RY61" s="47">
        <v>3</v>
      </c>
      <c r="RZ61" s="48" t="s">
        <v>4</v>
      </c>
      <c r="SA61" s="49">
        <v>3</v>
      </c>
      <c r="SB61" s="5"/>
      <c r="SC61" s="42">
        <f t="shared" si="423"/>
        <v>0</v>
      </c>
      <c r="SD61" s="43">
        <f t="shared" si="424"/>
        <v>0</v>
      </c>
      <c r="SE61" s="30"/>
      <c r="SF61" s="47">
        <v>2</v>
      </c>
      <c r="SG61" s="48" t="s">
        <v>4</v>
      </c>
      <c r="SH61" s="49">
        <v>2</v>
      </c>
      <c r="SI61" s="5"/>
      <c r="SJ61" s="42">
        <f t="shared" si="425"/>
        <v>0</v>
      </c>
      <c r="SK61" s="43">
        <f t="shared" si="426"/>
        <v>0</v>
      </c>
      <c r="SL61" s="30"/>
      <c r="SM61" s="47">
        <v>1</v>
      </c>
      <c r="SN61" s="48" t="s">
        <v>4</v>
      </c>
      <c r="SO61" s="49">
        <v>1</v>
      </c>
      <c r="SP61" s="5"/>
      <c r="SQ61" s="42">
        <f t="shared" si="427"/>
        <v>0</v>
      </c>
      <c r="SR61" s="43">
        <f t="shared" si="428"/>
        <v>0</v>
      </c>
    </row>
    <row r="62" spans="1:512" customFormat="1" ht="16" customHeight="1" x14ac:dyDescent="0.15">
      <c r="A62" s="34">
        <v>46198</v>
      </c>
      <c r="B62" s="35">
        <v>0.91666666666666663</v>
      </c>
      <c r="C62" s="79" t="s">
        <v>39</v>
      </c>
      <c r="D62" s="51" t="s">
        <v>41</v>
      </c>
      <c r="E62" s="2">
        <v>0</v>
      </c>
      <c r="F62" s="50" t="s">
        <v>4</v>
      </c>
      <c r="G62" s="1">
        <v>2</v>
      </c>
      <c r="H62" s="16">
        <v>3.8</v>
      </c>
      <c r="I62" s="32">
        <f t="shared" si="0"/>
        <v>-2</v>
      </c>
      <c r="J62" s="47">
        <v>0</v>
      </c>
      <c r="K62" s="48" t="s">
        <v>4</v>
      </c>
      <c r="L62" s="49">
        <v>2</v>
      </c>
      <c r="M62" s="5"/>
      <c r="N62" s="42">
        <f t="shared" si="1"/>
        <v>5.6999999999999993</v>
      </c>
      <c r="O62" s="43">
        <f t="shared" si="2"/>
        <v>-2</v>
      </c>
      <c r="P62" s="43">
        <f>IF($I62=0,IF(AND(#REF!&gt;#REF!,OR(AND(T62="",Q62&gt;S62),T62=1)),1,IF(AND(#REF!&lt;#REF!,OR(AND(T62="",Q62&lt;S62),T62=2)),1,0)),0)</f>
        <v>0</v>
      </c>
      <c r="Q62" s="47">
        <v>1</v>
      </c>
      <c r="R62" s="48" t="s">
        <v>4</v>
      </c>
      <c r="S62" s="49">
        <v>3</v>
      </c>
      <c r="T62" s="5"/>
      <c r="U62" s="42">
        <f t="shared" si="287"/>
        <v>3.8</v>
      </c>
      <c r="V62" s="43">
        <f t="shared" si="288"/>
        <v>-2</v>
      </c>
      <c r="W62" s="30"/>
      <c r="X62" s="47">
        <v>0</v>
      </c>
      <c r="Y62" s="48" t="s">
        <v>4</v>
      </c>
      <c r="Z62" s="49">
        <v>3</v>
      </c>
      <c r="AA62" s="5"/>
      <c r="AB62" s="42">
        <f t="shared" si="289"/>
        <v>3.8</v>
      </c>
      <c r="AC62" s="43">
        <f t="shared" si="290"/>
        <v>-3</v>
      </c>
      <c r="AD62" s="30"/>
      <c r="AE62" s="47">
        <v>0</v>
      </c>
      <c r="AF62" s="48" t="s">
        <v>4</v>
      </c>
      <c r="AG62" s="49">
        <v>3</v>
      </c>
      <c r="AH62" s="5"/>
      <c r="AI62" s="42">
        <f t="shared" si="291"/>
        <v>3.8</v>
      </c>
      <c r="AJ62" s="43">
        <f t="shared" si="292"/>
        <v>-3</v>
      </c>
      <c r="AK62" s="30"/>
      <c r="AL62" s="47">
        <v>0</v>
      </c>
      <c r="AM62" s="48" t="s">
        <v>4</v>
      </c>
      <c r="AN62" s="49">
        <v>2</v>
      </c>
      <c r="AO62" s="5"/>
      <c r="AP62" s="42">
        <f t="shared" si="293"/>
        <v>5.6999999999999993</v>
      </c>
      <c r="AQ62" s="43">
        <f t="shared" si="294"/>
        <v>-2</v>
      </c>
      <c r="AR62" s="30"/>
      <c r="AS62" s="47">
        <v>1</v>
      </c>
      <c r="AT62" s="48" t="s">
        <v>4</v>
      </c>
      <c r="AU62" s="49">
        <v>2</v>
      </c>
      <c r="AV62" s="5"/>
      <c r="AW62" s="42">
        <f t="shared" si="295"/>
        <v>3.8</v>
      </c>
      <c r="AX62" s="43">
        <f t="shared" si="296"/>
        <v>-1</v>
      </c>
      <c r="AY62" s="30"/>
      <c r="AZ62" s="47">
        <v>0</v>
      </c>
      <c r="BA62" s="48" t="s">
        <v>4</v>
      </c>
      <c r="BB62" s="49">
        <v>2</v>
      </c>
      <c r="BC62" s="5"/>
      <c r="BD62" s="42">
        <f t="shared" si="297"/>
        <v>5.6999999999999993</v>
      </c>
      <c r="BE62" s="43">
        <f t="shared" si="298"/>
        <v>-2</v>
      </c>
      <c r="BF62" s="30"/>
      <c r="BG62" s="47">
        <v>1</v>
      </c>
      <c r="BH62" s="48" t="s">
        <v>4</v>
      </c>
      <c r="BI62" s="49">
        <v>2</v>
      </c>
      <c r="BJ62" s="5"/>
      <c r="BK62" s="42">
        <f t="shared" si="299"/>
        <v>3.8</v>
      </c>
      <c r="BL62" s="43">
        <f t="shared" si="300"/>
        <v>-1</v>
      </c>
      <c r="BM62" s="30"/>
      <c r="BN62" s="47">
        <v>1</v>
      </c>
      <c r="BO62" s="48" t="s">
        <v>4</v>
      </c>
      <c r="BP62" s="49">
        <v>4</v>
      </c>
      <c r="BQ62" s="5"/>
      <c r="BR62" s="42">
        <f t="shared" si="301"/>
        <v>3.8</v>
      </c>
      <c r="BS62" s="43">
        <f t="shared" si="302"/>
        <v>-3</v>
      </c>
      <c r="BT62" s="30"/>
      <c r="BU62" s="47">
        <v>0</v>
      </c>
      <c r="BV62" s="48" t="s">
        <v>4</v>
      </c>
      <c r="BW62" s="49">
        <v>1</v>
      </c>
      <c r="BX62" s="5"/>
      <c r="BY62" s="42">
        <f t="shared" si="303"/>
        <v>3.8</v>
      </c>
      <c r="BZ62" s="43">
        <f t="shared" si="304"/>
        <v>-1</v>
      </c>
      <c r="CA62" s="30"/>
      <c r="CB62" s="47">
        <v>1</v>
      </c>
      <c r="CC62" s="48" t="s">
        <v>4</v>
      </c>
      <c r="CD62" s="49">
        <v>1</v>
      </c>
      <c r="CE62" s="5"/>
      <c r="CF62" s="42">
        <f t="shared" si="305"/>
        <v>0</v>
      </c>
      <c r="CG62" s="43">
        <f t="shared" si="306"/>
        <v>0</v>
      </c>
      <c r="CH62" s="30"/>
      <c r="CI62" s="47">
        <v>0</v>
      </c>
      <c r="CJ62" s="48" t="s">
        <v>4</v>
      </c>
      <c r="CK62" s="49">
        <v>2</v>
      </c>
      <c r="CL62" s="5"/>
      <c r="CM62" s="42">
        <f t="shared" si="307"/>
        <v>5.6999999999999993</v>
      </c>
      <c r="CN62" s="43">
        <f t="shared" si="308"/>
        <v>-2</v>
      </c>
      <c r="CO62" s="30"/>
      <c r="CP62" s="47">
        <v>1</v>
      </c>
      <c r="CQ62" s="48" t="s">
        <v>4</v>
      </c>
      <c r="CR62" s="49">
        <v>3</v>
      </c>
      <c r="CS62" s="5"/>
      <c r="CT62" s="42">
        <f t="shared" si="309"/>
        <v>3.8</v>
      </c>
      <c r="CU62" s="43">
        <f t="shared" si="310"/>
        <v>-2</v>
      </c>
      <c r="CV62" s="30"/>
      <c r="CW62" s="47">
        <v>0</v>
      </c>
      <c r="CX62" s="48" t="s">
        <v>4</v>
      </c>
      <c r="CY62" s="49">
        <v>3</v>
      </c>
      <c r="CZ62" s="5"/>
      <c r="DA62" s="42">
        <f t="shared" si="311"/>
        <v>3.8</v>
      </c>
      <c r="DB62" s="43">
        <f t="shared" si="312"/>
        <v>-3</v>
      </c>
      <c r="DC62" s="30"/>
      <c r="DD62" s="47">
        <v>0</v>
      </c>
      <c r="DE62" s="48" t="s">
        <v>4</v>
      </c>
      <c r="DF62" s="49">
        <v>2</v>
      </c>
      <c r="DG62" s="5"/>
      <c r="DH62" s="42">
        <f t="shared" si="313"/>
        <v>5.6999999999999993</v>
      </c>
      <c r="DI62" s="43">
        <f t="shared" si="314"/>
        <v>-2</v>
      </c>
      <c r="DJ62" s="30"/>
      <c r="DK62" s="47">
        <v>0</v>
      </c>
      <c r="DL62" s="48" t="s">
        <v>4</v>
      </c>
      <c r="DM62" s="49">
        <v>2</v>
      </c>
      <c r="DN62" s="5"/>
      <c r="DO62" s="42">
        <f t="shared" si="315"/>
        <v>5.6999999999999993</v>
      </c>
      <c r="DP62" s="43">
        <f t="shared" si="316"/>
        <v>-2</v>
      </c>
      <c r="DQ62" s="30"/>
      <c r="DR62" s="47">
        <v>0</v>
      </c>
      <c r="DS62" s="48" t="s">
        <v>4</v>
      </c>
      <c r="DT62" s="49">
        <v>2</v>
      </c>
      <c r="DU62" s="5"/>
      <c r="DV62" s="42">
        <f t="shared" si="317"/>
        <v>5.6999999999999993</v>
      </c>
      <c r="DW62" s="43">
        <f t="shared" si="318"/>
        <v>-2</v>
      </c>
      <c r="DX62" s="30"/>
      <c r="DY62" s="47">
        <v>0</v>
      </c>
      <c r="DZ62" s="48" t="s">
        <v>4</v>
      </c>
      <c r="EA62" s="49">
        <v>4</v>
      </c>
      <c r="EB62" s="5"/>
      <c r="EC62" s="42">
        <f t="shared" si="319"/>
        <v>3.8</v>
      </c>
      <c r="ED62" s="43">
        <f t="shared" si="320"/>
        <v>-4</v>
      </c>
      <c r="EE62" s="30"/>
      <c r="EF62" s="47">
        <v>0</v>
      </c>
      <c r="EG62" s="48" t="s">
        <v>4</v>
      </c>
      <c r="EH62" s="49">
        <v>1</v>
      </c>
      <c r="EI62" s="5"/>
      <c r="EJ62" s="42">
        <f t="shared" si="321"/>
        <v>3.8</v>
      </c>
      <c r="EK62" s="43">
        <f t="shared" si="322"/>
        <v>-1</v>
      </c>
      <c r="EL62" s="30"/>
      <c r="EM62" s="47">
        <v>1</v>
      </c>
      <c r="EN62" s="48" t="s">
        <v>4</v>
      </c>
      <c r="EO62" s="49">
        <v>2</v>
      </c>
      <c r="EP62" s="5"/>
      <c r="EQ62" s="42">
        <f t="shared" si="323"/>
        <v>3.8</v>
      </c>
      <c r="ER62" s="43">
        <f t="shared" si="324"/>
        <v>-1</v>
      </c>
      <c r="ES62" s="30"/>
      <c r="ET62" s="47">
        <v>2</v>
      </c>
      <c r="EU62" s="48" t="s">
        <v>4</v>
      </c>
      <c r="EV62" s="49">
        <v>3</v>
      </c>
      <c r="EW62" s="5"/>
      <c r="EX62" s="42">
        <f t="shared" si="325"/>
        <v>3.8</v>
      </c>
      <c r="EY62" s="43">
        <f t="shared" si="326"/>
        <v>-1</v>
      </c>
      <c r="EZ62" s="30"/>
      <c r="FA62" s="47">
        <v>0</v>
      </c>
      <c r="FB62" s="48" t="s">
        <v>4</v>
      </c>
      <c r="FC62" s="49">
        <v>2</v>
      </c>
      <c r="FD62" s="5"/>
      <c r="FE62" s="42">
        <f t="shared" si="327"/>
        <v>5.6999999999999993</v>
      </c>
      <c r="FF62" s="43">
        <f t="shared" si="328"/>
        <v>-2</v>
      </c>
      <c r="FG62" s="30"/>
      <c r="FH62" s="47">
        <v>1</v>
      </c>
      <c r="FI62" s="48" t="s">
        <v>4</v>
      </c>
      <c r="FJ62" s="49">
        <v>2</v>
      </c>
      <c r="FK62" s="5"/>
      <c r="FL62" s="42">
        <f t="shared" si="329"/>
        <v>3.8</v>
      </c>
      <c r="FM62" s="43">
        <f t="shared" si="330"/>
        <v>-1</v>
      </c>
      <c r="FN62" s="30"/>
      <c r="FO62" s="47">
        <v>1</v>
      </c>
      <c r="FP62" s="48" t="s">
        <v>4</v>
      </c>
      <c r="FQ62" s="49">
        <v>1</v>
      </c>
      <c r="FR62" s="5"/>
      <c r="FS62" s="42">
        <f t="shared" si="331"/>
        <v>0</v>
      </c>
      <c r="FT62" s="43">
        <f t="shared" si="332"/>
        <v>0</v>
      </c>
      <c r="FU62" s="30"/>
      <c r="FV62" s="47">
        <v>0</v>
      </c>
      <c r="FW62" s="48" t="s">
        <v>4</v>
      </c>
      <c r="FX62" s="49">
        <v>3</v>
      </c>
      <c r="FY62" s="5"/>
      <c r="FZ62" s="42">
        <f t="shared" si="333"/>
        <v>3.8</v>
      </c>
      <c r="GA62" s="43">
        <f t="shared" si="334"/>
        <v>-3</v>
      </c>
      <c r="GB62" s="30"/>
      <c r="GC62" s="47">
        <v>0</v>
      </c>
      <c r="GD62" s="48" t="s">
        <v>4</v>
      </c>
      <c r="GE62" s="49">
        <v>3</v>
      </c>
      <c r="GF62" s="5"/>
      <c r="GG62" s="42">
        <f t="shared" si="335"/>
        <v>3.8</v>
      </c>
      <c r="GH62" s="43">
        <f t="shared" si="336"/>
        <v>-3</v>
      </c>
      <c r="GI62" s="30"/>
      <c r="GJ62" s="47">
        <v>0</v>
      </c>
      <c r="GK62" s="48" t="s">
        <v>4</v>
      </c>
      <c r="GL62" s="49">
        <v>2</v>
      </c>
      <c r="GM62" s="5"/>
      <c r="GN62" s="42">
        <f t="shared" si="337"/>
        <v>5.6999999999999993</v>
      </c>
      <c r="GO62" s="43">
        <f t="shared" si="338"/>
        <v>-2</v>
      </c>
      <c r="GP62" s="30"/>
      <c r="GQ62" s="47">
        <v>0</v>
      </c>
      <c r="GR62" s="48" t="s">
        <v>4</v>
      </c>
      <c r="GS62" s="49">
        <v>3</v>
      </c>
      <c r="GT62" s="5"/>
      <c r="GU62" s="42">
        <f t="shared" si="339"/>
        <v>3.8</v>
      </c>
      <c r="GV62" s="43">
        <f t="shared" si="340"/>
        <v>-3</v>
      </c>
      <c r="GW62" s="30"/>
      <c r="GX62" s="47">
        <v>0</v>
      </c>
      <c r="GY62" s="48" t="s">
        <v>4</v>
      </c>
      <c r="GZ62" s="49">
        <v>2</v>
      </c>
      <c r="HA62" s="5"/>
      <c r="HB62" s="42">
        <f t="shared" si="341"/>
        <v>5.6999999999999993</v>
      </c>
      <c r="HC62" s="43">
        <f t="shared" si="342"/>
        <v>-2</v>
      </c>
      <c r="HD62" s="30"/>
      <c r="HE62" s="47">
        <v>0</v>
      </c>
      <c r="HF62" s="48" t="s">
        <v>4</v>
      </c>
      <c r="HG62" s="49">
        <v>4</v>
      </c>
      <c r="HH62" s="5"/>
      <c r="HI62" s="42">
        <f t="shared" si="343"/>
        <v>3.8</v>
      </c>
      <c r="HJ62" s="43">
        <f t="shared" si="344"/>
        <v>-4</v>
      </c>
      <c r="HK62" s="30"/>
      <c r="HL62" s="47">
        <v>0</v>
      </c>
      <c r="HM62" s="48" t="s">
        <v>4</v>
      </c>
      <c r="HN62" s="49">
        <v>2</v>
      </c>
      <c r="HO62" s="5"/>
      <c r="HP62" s="42">
        <f t="shared" si="345"/>
        <v>5.6999999999999993</v>
      </c>
      <c r="HQ62" s="43">
        <f t="shared" si="346"/>
        <v>-2</v>
      </c>
      <c r="HR62" s="30"/>
      <c r="HS62" s="47">
        <v>1</v>
      </c>
      <c r="HT62" s="48" t="s">
        <v>4</v>
      </c>
      <c r="HU62" s="49">
        <v>2</v>
      </c>
      <c r="HV62" s="5"/>
      <c r="HW62" s="42">
        <f t="shared" si="347"/>
        <v>3.8</v>
      </c>
      <c r="HX62" s="43">
        <f t="shared" si="348"/>
        <v>-1</v>
      </c>
      <c r="HY62" s="30"/>
      <c r="HZ62" s="47">
        <v>1</v>
      </c>
      <c r="IA62" s="48" t="s">
        <v>4</v>
      </c>
      <c r="IB62" s="49">
        <v>3</v>
      </c>
      <c r="IC62" s="5"/>
      <c r="ID62" s="42">
        <f t="shared" si="349"/>
        <v>3.8</v>
      </c>
      <c r="IE62" s="43">
        <f t="shared" si="350"/>
        <v>-2</v>
      </c>
      <c r="IF62" s="30"/>
      <c r="IG62" s="47">
        <v>1</v>
      </c>
      <c r="IH62" s="48" t="s">
        <v>4</v>
      </c>
      <c r="II62" s="49">
        <v>0</v>
      </c>
      <c r="IJ62" s="5"/>
      <c r="IK62" s="42">
        <f t="shared" si="351"/>
        <v>0</v>
      </c>
      <c r="IL62" s="43">
        <f t="shared" si="352"/>
        <v>1</v>
      </c>
      <c r="IM62" s="30"/>
      <c r="IN62" s="47">
        <v>0</v>
      </c>
      <c r="IO62" s="48" t="s">
        <v>4</v>
      </c>
      <c r="IP62" s="49">
        <v>1</v>
      </c>
      <c r="IQ62" s="5"/>
      <c r="IR62" s="42">
        <f t="shared" si="353"/>
        <v>3.8</v>
      </c>
      <c r="IS62" s="43">
        <f t="shared" si="354"/>
        <v>-1</v>
      </c>
      <c r="IT62" s="30"/>
      <c r="IU62" s="47">
        <v>0</v>
      </c>
      <c r="IV62" s="48" t="s">
        <v>4</v>
      </c>
      <c r="IW62" s="49">
        <v>2</v>
      </c>
      <c r="IX62" s="5"/>
      <c r="IY62" s="42">
        <f t="shared" si="355"/>
        <v>5.6999999999999993</v>
      </c>
      <c r="IZ62" s="43">
        <f t="shared" si="356"/>
        <v>-2</v>
      </c>
      <c r="JA62" s="30"/>
      <c r="JB62" s="47">
        <v>0</v>
      </c>
      <c r="JC62" s="48" t="s">
        <v>4</v>
      </c>
      <c r="JD62" s="49">
        <v>2</v>
      </c>
      <c r="JE62" s="5"/>
      <c r="JF62" s="42">
        <f t="shared" si="357"/>
        <v>5.6999999999999993</v>
      </c>
      <c r="JG62" s="43">
        <f t="shared" si="358"/>
        <v>-2</v>
      </c>
      <c r="JH62" s="30"/>
      <c r="JI62" s="47">
        <v>1</v>
      </c>
      <c r="JJ62" s="48" t="s">
        <v>4</v>
      </c>
      <c r="JK62" s="49">
        <v>3</v>
      </c>
      <c r="JL62" s="5"/>
      <c r="JM62" s="42">
        <f t="shared" si="359"/>
        <v>3.8</v>
      </c>
      <c r="JN62" s="43">
        <f t="shared" si="360"/>
        <v>-2</v>
      </c>
      <c r="JO62" s="30"/>
      <c r="JP62" s="47">
        <v>1</v>
      </c>
      <c r="JQ62" s="48" t="s">
        <v>4</v>
      </c>
      <c r="JR62" s="49">
        <v>3</v>
      </c>
      <c r="JS62" s="5"/>
      <c r="JT62" s="42">
        <f t="shared" si="361"/>
        <v>3.8</v>
      </c>
      <c r="JU62" s="43">
        <f t="shared" si="362"/>
        <v>-2</v>
      </c>
      <c r="JV62" s="30"/>
      <c r="JW62" s="47">
        <v>1</v>
      </c>
      <c r="JX62" s="48" t="s">
        <v>4</v>
      </c>
      <c r="JY62" s="49">
        <v>3</v>
      </c>
      <c r="JZ62" s="5"/>
      <c r="KA62" s="42">
        <f t="shared" si="363"/>
        <v>3.8</v>
      </c>
      <c r="KB62" s="43">
        <f t="shared" si="364"/>
        <v>-2</v>
      </c>
      <c r="KC62" s="30"/>
      <c r="KD62" s="47">
        <v>1</v>
      </c>
      <c r="KE62" s="48" t="s">
        <v>4</v>
      </c>
      <c r="KF62" s="49">
        <v>1</v>
      </c>
      <c r="KG62" s="5"/>
      <c r="KH62" s="42">
        <f t="shared" si="365"/>
        <v>0</v>
      </c>
      <c r="KI62" s="43">
        <f t="shared" si="366"/>
        <v>0</v>
      </c>
      <c r="KJ62" s="30"/>
      <c r="KK62" s="47">
        <v>0</v>
      </c>
      <c r="KL62" s="48" t="s">
        <v>4</v>
      </c>
      <c r="KM62" s="49">
        <v>1</v>
      </c>
      <c r="KN62" s="5"/>
      <c r="KO62" s="42">
        <f t="shared" si="367"/>
        <v>3.8</v>
      </c>
      <c r="KP62" s="43">
        <f t="shared" si="368"/>
        <v>-1</v>
      </c>
      <c r="KQ62" s="30"/>
      <c r="KR62" s="47">
        <v>0</v>
      </c>
      <c r="KS62" s="48" t="s">
        <v>4</v>
      </c>
      <c r="KT62" s="49">
        <v>2</v>
      </c>
      <c r="KU62" s="5"/>
      <c r="KV62" s="42">
        <f t="shared" si="369"/>
        <v>5.6999999999999993</v>
      </c>
      <c r="KW62" s="43">
        <f t="shared" si="370"/>
        <v>-2</v>
      </c>
      <c r="KX62" s="30"/>
      <c r="KY62" s="47">
        <v>1</v>
      </c>
      <c r="KZ62" s="48" t="s">
        <v>4</v>
      </c>
      <c r="LA62" s="49">
        <v>2</v>
      </c>
      <c r="LB62" s="5"/>
      <c r="LC62" s="42">
        <f t="shared" si="371"/>
        <v>3.8</v>
      </c>
      <c r="LD62" s="43">
        <f t="shared" si="372"/>
        <v>-1</v>
      </c>
      <c r="LE62" s="30"/>
      <c r="LF62" s="47">
        <v>1</v>
      </c>
      <c r="LG62" s="48" t="s">
        <v>4</v>
      </c>
      <c r="LH62" s="49">
        <v>5</v>
      </c>
      <c r="LI62" s="5"/>
      <c r="LJ62" s="42">
        <f t="shared" si="373"/>
        <v>3.8</v>
      </c>
      <c r="LK62" s="43">
        <f t="shared" si="374"/>
        <v>-4</v>
      </c>
      <c r="LL62" s="30"/>
      <c r="LM62" s="47">
        <v>1</v>
      </c>
      <c r="LN62" s="48" t="s">
        <v>4</v>
      </c>
      <c r="LO62" s="49">
        <v>1</v>
      </c>
      <c r="LP62" s="5"/>
      <c r="LQ62" s="42">
        <f t="shared" si="375"/>
        <v>0</v>
      </c>
      <c r="LR62" s="43">
        <f t="shared" si="376"/>
        <v>0</v>
      </c>
      <c r="LS62" s="30"/>
      <c r="LT62" s="47">
        <v>0</v>
      </c>
      <c r="LU62" s="48" t="s">
        <v>4</v>
      </c>
      <c r="LV62" s="49">
        <v>2</v>
      </c>
      <c r="LW62" s="5"/>
      <c r="LX62" s="42">
        <f t="shared" si="377"/>
        <v>5.6999999999999993</v>
      </c>
      <c r="LY62" s="43">
        <f t="shared" si="378"/>
        <v>-2</v>
      </c>
      <c r="LZ62" s="30"/>
      <c r="MA62" s="47">
        <v>0</v>
      </c>
      <c r="MB62" s="48" t="s">
        <v>4</v>
      </c>
      <c r="MC62" s="49">
        <v>4</v>
      </c>
      <c r="MD62" s="5"/>
      <c r="ME62" s="42">
        <f t="shared" si="379"/>
        <v>3.8</v>
      </c>
      <c r="MF62" s="43">
        <f t="shared" si="380"/>
        <v>-4</v>
      </c>
      <c r="MG62" s="30"/>
      <c r="MH62" s="47">
        <v>0</v>
      </c>
      <c r="MI62" s="48" t="s">
        <v>4</v>
      </c>
      <c r="MJ62" s="49">
        <v>2</v>
      </c>
      <c r="MK62" s="5"/>
      <c r="ML62" s="42">
        <f t="shared" si="381"/>
        <v>5.6999999999999993</v>
      </c>
      <c r="MM62" s="43">
        <f t="shared" si="382"/>
        <v>-2</v>
      </c>
      <c r="MN62" s="30"/>
      <c r="MO62" s="47">
        <v>0</v>
      </c>
      <c r="MP62" s="48" t="s">
        <v>4</v>
      </c>
      <c r="MQ62" s="49">
        <v>0</v>
      </c>
      <c r="MR62" s="5"/>
      <c r="MS62" s="42">
        <f t="shared" si="383"/>
        <v>0</v>
      </c>
      <c r="MT62" s="43">
        <f t="shared" si="384"/>
        <v>0</v>
      </c>
      <c r="MU62" s="30"/>
      <c r="MV62" s="47">
        <v>0</v>
      </c>
      <c r="MW62" s="48" t="s">
        <v>4</v>
      </c>
      <c r="MX62" s="49">
        <v>1</v>
      </c>
      <c r="MY62" s="5"/>
      <c r="MZ62" s="42">
        <f t="shared" si="385"/>
        <v>3.8</v>
      </c>
      <c r="NA62" s="43">
        <f t="shared" si="386"/>
        <v>-1</v>
      </c>
      <c r="NB62" s="30"/>
      <c r="NC62" s="47">
        <v>1</v>
      </c>
      <c r="ND62" s="48" t="s">
        <v>4</v>
      </c>
      <c r="NE62" s="49">
        <v>1</v>
      </c>
      <c r="NF62" s="5"/>
      <c r="NG62" s="42">
        <f t="shared" si="387"/>
        <v>0</v>
      </c>
      <c r="NH62" s="43">
        <f t="shared" si="388"/>
        <v>0</v>
      </c>
      <c r="NI62" s="30"/>
      <c r="NJ62" s="47">
        <v>0</v>
      </c>
      <c r="NK62" s="48" t="s">
        <v>4</v>
      </c>
      <c r="NL62" s="49">
        <v>0</v>
      </c>
      <c r="NM62" s="5"/>
      <c r="NN62" s="42">
        <f t="shared" si="389"/>
        <v>0</v>
      </c>
      <c r="NO62" s="43">
        <f t="shared" si="390"/>
        <v>0</v>
      </c>
      <c r="NP62" s="30"/>
      <c r="NQ62" s="47">
        <v>1</v>
      </c>
      <c r="NR62" s="48" t="s">
        <v>4</v>
      </c>
      <c r="NS62" s="49">
        <v>3</v>
      </c>
      <c r="NT62" s="5"/>
      <c r="NU62" s="42">
        <f t="shared" si="391"/>
        <v>3.8</v>
      </c>
      <c r="NV62" s="43">
        <f t="shared" si="392"/>
        <v>-2</v>
      </c>
      <c r="NW62" s="30"/>
      <c r="NX62" s="47">
        <v>0</v>
      </c>
      <c r="NY62" s="48" t="s">
        <v>4</v>
      </c>
      <c r="NZ62" s="49">
        <v>3</v>
      </c>
      <c r="OA62" s="5"/>
      <c r="OB62" s="42">
        <f t="shared" si="393"/>
        <v>3.8</v>
      </c>
      <c r="OC62" s="43">
        <f t="shared" si="394"/>
        <v>-3</v>
      </c>
      <c r="OD62" s="30"/>
      <c r="OE62" s="47">
        <v>3</v>
      </c>
      <c r="OF62" s="48" t="s">
        <v>4</v>
      </c>
      <c r="OG62" s="49">
        <v>4</v>
      </c>
      <c r="OH62" s="5"/>
      <c r="OI62" s="42">
        <f t="shared" si="395"/>
        <v>3.8</v>
      </c>
      <c r="OJ62" s="43">
        <f t="shared" si="396"/>
        <v>-1</v>
      </c>
      <c r="OK62" s="30"/>
      <c r="OL62" s="47">
        <v>0</v>
      </c>
      <c r="OM62" s="48" t="s">
        <v>4</v>
      </c>
      <c r="ON62" s="49">
        <v>4</v>
      </c>
      <c r="OO62" s="5"/>
      <c r="OP62" s="42">
        <f t="shared" si="397"/>
        <v>3.8</v>
      </c>
      <c r="OQ62" s="43">
        <f t="shared" si="398"/>
        <v>-4</v>
      </c>
      <c r="OR62" s="30"/>
      <c r="OS62" s="47">
        <v>1</v>
      </c>
      <c r="OT62" s="48" t="s">
        <v>4</v>
      </c>
      <c r="OU62" s="49">
        <v>4</v>
      </c>
      <c r="OV62" s="5"/>
      <c r="OW62" s="42">
        <f t="shared" si="399"/>
        <v>3.8</v>
      </c>
      <c r="OX62" s="43">
        <f t="shared" si="400"/>
        <v>-3</v>
      </c>
      <c r="OY62" s="30"/>
      <c r="OZ62" s="47">
        <v>0</v>
      </c>
      <c r="PA62" s="48" t="s">
        <v>4</v>
      </c>
      <c r="PB62" s="49">
        <v>4</v>
      </c>
      <c r="PC62" s="5"/>
      <c r="PD62" s="42">
        <f t="shared" si="401"/>
        <v>3.8</v>
      </c>
      <c r="PE62" s="43">
        <f t="shared" si="402"/>
        <v>-4</v>
      </c>
      <c r="PF62" s="30"/>
      <c r="PG62" s="47">
        <v>0</v>
      </c>
      <c r="PH62" s="48" t="s">
        <v>4</v>
      </c>
      <c r="PI62" s="49">
        <v>3</v>
      </c>
      <c r="PJ62" s="5"/>
      <c r="PK62" s="42">
        <f t="shared" si="403"/>
        <v>3.8</v>
      </c>
      <c r="PL62" s="43">
        <f t="shared" si="404"/>
        <v>-3</v>
      </c>
      <c r="PM62" s="30"/>
      <c r="PN62" s="47">
        <v>1</v>
      </c>
      <c r="PO62" s="48" t="s">
        <v>4</v>
      </c>
      <c r="PP62" s="49">
        <v>2</v>
      </c>
      <c r="PQ62" s="5"/>
      <c r="PR62" s="42">
        <f t="shared" si="405"/>
        <v>3.8</v>
      </c>
      <c r="PS62" s="43">
        <f t="shared" si="406"/>
        <v>-1</v>
      </c>
      <c r="PT62" s="30"/>
      <c r="PU62" s="47">
        <v>0</v>
      </c>
      <c r="PV62" s="48" t="s">
        <v>4</v>
      </c>
      <c r="PW62" s="49">
        <v>1</v>
      </c>
      <c r="PX62" s="5"/>
      <c r="PY62" s="42">
        <f t="shared" si="407"/>
        <v>3.8</v>
      </c>
      <c r="PZ62" s="43">
        <f t="shared" si="408"/>
        <v>-1</v>
      </c>
      <c r="QA62" s="30"/>
      <c r="QB62" s="47">
        <v>1</v>
      </c>
      <c r="QC62" s="48" t="s">
        <v>4</v>
      </c>
      <c r="QD62" s="49">
        <v>2</v>
      </c>
      <c r="QE62" s="5"/>
      <c r="QF62" s="42">
        <f t="shared" si="409"/>
        <v>3.8</v>
      </c>
      <c r="QG62" s="43">
        <f t="shared" si="410"/>
        <v>-1</v>
      </c>
      <c r="QH62" s="30"/>
      <c r="QI62" s="47">
        <v>0</v>
      </c>
      <c r="QJ62" s="48" t="s">
        <v>4</v>
      </c>
      <c r="QK62" s="49">
        <v>2</v>
      </c>
      <c r="QL62" s="5"/>
      <c r="QM62" s="42">
        <f t="shared" si="411"/>
        <v>5.6999999999999993</v>
      </c>
      <c r="QN62" s="43">
        <f t="shared" si="412"/>
        <v>-2</v>
      </c>
      <c r="QO62" s="30"/>
      <c r="QP62" s="47">
        <v>0</v>
      </c>
      <c r="QQ62" s="48" t="s">
        <v>4</v>
      </c>
      <c r="QR62" s="49">
        <v>3</v>
      </c>
      <c r="QS62" s="5"/>
      <c r="QT62" s="42">
        <f t="shared" si="413"/>
        <v>3.8</v>
      </c>
      <c r="QU62" s="43">
        <f t="shared" si="414"/>
        <v>-3</v>
      </c>
      <c r="QV62" s="30"/>
      <c r="QW62" s="47">
        <v>0</v>
      </c>
      <c r="QX62" s="48" t="s">
        <v>4</v>
      </c>
      <c r="QY62" s="49">
        <v>1</v>
      </c>
      <c r="QZ62" s="5"/>
      <c r="RA62" s="42">
        <f t="shared" si="415"/>
        <v>3.8</v>
      </c>
      <c r="RB62" s="43">
        <f t="shared" si="416"/>
        <v>-1</v>
      </c>
      <c r="RC62" s="30"/>
      <c r="RD62" s="47"/>
      <c r="RE62" s="48" t="s">
        <v>4</v>
      </c>
      <c r="RF62" s="49"/>
      <c r="RG62" s="5"/>
      <c r="RH62" s="42" t="str">
        <f t="shared" si="417"/>
        <v/>
      </c>
      <c r="RI62" s="43">
        <f t="shared" si="418"/>
        <v>0</v>
      </c>
      <c r="RJ62" s="30"/>
      <c r="RK62" s="47">
        <v>0</v>
      </c>
      <c r="RL62" s="48" t="s">
        <v>4</v>
      </c>
      <c r="RM62" s="49">
        <v>2</v>
      </c>
      <c r="RN62" s="5"/>
      <c r="RO62" s="42">
        <f t="shared" si="419"/>
        <v>5.6999999999999993</v>
      </c>
      <c r="RP62" s="43">
        <f t="shared" si="420"/>
        <v>-2</v>
      </c>
      <c r="RQ62" s="30"/>
      <c r="RR62" s="47">
        <v>0</v>
      </c>
      <c r="RS62" s="48" t="s">
        <v>4</v>
      </c>
      <c r="RT62" s="49">
        <v>3</v>
      </c>
      <c r="RU62" s="5"/>
      <c r="RV62" s="42">
        <f t="shared" si="421"/>
        <v>3.8</v>
      </c>
      <c r="RW62" s="43">
        <f t="shared" si="422"/>
        <v>-3</v>
      </c>
      <c r="RX62" s="30"/>
      <c r="RY62" s="47">
        <v>0</v>
      </c>
      <c r="RZ62" s="48" t="s">
        <v>4</v>
      </c>
      <c r="SA62" s="49">
        <v>3</v>
      </c>
      <c r="SB62" s="5"/>
      <c r="SC62" s="42">
        <f t="shared" si="423"/>
        <v>3.8</v>
      </c>
      <c r="SD62" s="43">
        <f t="shared" si="424"/>
        <v>-3</v>
      </c>
      <c r="SE62" s="30"/>
      <c r="SF62" s="47">
        <v>0</v>
      </c>
      <c r="SG62" s="48" t="s">
        <v>4</v>
      </c>
      <c r="SH62" s="49">
        <v>3</v>
      </c>
      <c r="SI62" s="5"/>
      <c r="SJ62" s="42">
        <f t="shared" si="425"/>
        <v>3.8</v>
      </c>
      <c r="SK62" s="43">
        <f t="shared" si="426"/>
        <v>-3</v>
      </c>
      <c r="SL62" s="30"/>
      <c r="SM62" s="47">
        <v>1</v>
      </c>
      <c r="SN62" s="48" t="s">
        <v>4</v>
      </c>
      <c r="SO62" s="49">
        <v>3</v>
      </c>
      <c r="SP62" s="5"/>
      <c r="SQ62" s="42">
        <f t="shared" si="427"/>
        <v>3.8</v>
      </c>
      <c r="SR62" s="43">
        <f t="shared" si="428"/>
        <v>-2</v>
      </c>
    </row>
    <row r="63" spans="1:512" customFormat="1" ht="16" customHeight="1" x14ac:dyDescent="0.15">
      <c r="A63" s="51">
        <v>46198</v>
      </c>
      <c r="B63" s="46">
        <v>0.91666666666666663</v>
      </c>
      <c r="C63" s="79" t="s">
        <v>42</v>
      </c>
      <c r="D63" s="51" t="s">
        <v>5</v>
      </c>
      <c r="E63" s="2">
        <v>2</v>
      </c>
      <c r="F63" s="50" t="s">
        <v>4</v>
      </c>
      <c r="G63" s="1">
        <v>1</v>
      </c>
      <c r="H63" s="16">
        <v>3.8</v>
      </c>
      <c r="I63" s="32">
        <f t="shared" si="0"/>
        <v>1</v>
      </c>
      <c r="J63" s="47">
        <v>1</v>
      </c>
      <c r="K63" s="48" t="s">
        <v>4</v>
      </c>
      <c r="L63" s="49">
        <v>2</v>
      </c>
      <c r="M63" s="5"/>
      <c r="N63" s="42">
        <f t="shared" si="1"/>
        <v>0</v>
      </c>
      <c r="O63" s="43">
        <f t="shared" si="2"/>
        <v>-1</v>
      </c>
      <c r="P63" s="43"/>
      <c r="Q63" s="47">
        <v>1</v>
      </c>
      <c r="R63" s="48" t="s">
        <v>4</v>
      </c>
      <c r="S63" s="49">
        <v>2</v>
      </c>
      <c r="T63" s="5"/>
      <c r="U63" s="42">
        <f t="shared" si="287"/>
        <v>0</v>
      </c>
      <c r="V63" s="43">
        <f t="shared" si="288"/>
        <v>-1</v>
      </c>
      <c r="W63" s="30"/>
      <c r="X63" s="47">
        <v>0</v>
      </c>
      <c r="Y63" s="48" t="s">
        <v>4</v>
      </c>
      <c r="Z63" s="49">
        <v>1</v>
      </c>
      <c r="AA63" s="5"/>
      <c r="AB63" s="42">
        <f t="shared" si="289"/>
        <v>0</v>
      </c>
      <c r="AC63" s="43">
        <f t="shared" si="290"/>
        <v>-1</v>
      </c>
      <c r="AD63" s="30"/>
      <c r="AE63" s="47">
        <v>2</v>
      </c>
      <c r="AF63" s="48" t="s">
        <v>4</v>
      </c>
      <c r="AG63" s="49">
        <v>4</v>
      </c>
      <c r="AH63" s="5"/>
      <c r="AI63" s="42">
        <f t="shared" si="291"/>
        <v>0</v>
      </c>
      <c r="AJ63" s="43">
        <f t="shared" si="292"/>
        <v>-2</v>
      </c>
      <c r="AK63" s="30"/>
      <c r="AL63" s="47">
        <v>1</v>
      </c>
      <c r="AM63" s="48" t="s">
        <v>4</v>
      </c>
      <c r="AN63" s="49">
        <v>2</v>
      </c>
      <c r="AO63" s="5"/>
      <c r="AP63" s="42">
        <f t="shared" si="293"/>
        <v>0</v>
      </c>
      <c r="AQ63" s="43">
        <f t="shared" si="294"/>
        <v>-1</v>
      </c>
      <c r="AR63" s="30"/>
      <c r="AS63" s="47">
        <v>0</v>
      </c>
      <c r="AT63" s="48" t="s">
        <v>4</v>
      </c>
      <c r="AU63" s="49">
        <v>1</v>
      </c>
      <c r="AV63" s="5"/>
      <c r="AW63" s="42">
        <f t="shared" si="295"/>
        <v>0</v>
      </c>
      <c r="AX63" s="43">
        <f t="shared" si="296"/>
        <v>-1</v>
      </c>
      <c r="AY63" s="30"/>
      <c r="AZ63" s="47">
        <v>1</v>
      </c>
      <c r="BA63" s="48" t="s">
        <v>4</v>
      </c>
      <c r="BB63" s="49">
        <v>3</v>
      </c>
      <c r="BC63" s="5"/>
      <c r="BD63" s="42">
        <f t="shared" si="297"/>
        <v>0</v>
      </c>
      <c r="BE63" s="43">
        <f t="shared" si="298"/>
        <v>-2</v>
      </c>
      <c r="BF63" s="30"/>
      <c r="BG63" s="47">
        <v>1</v>
      </c>
      <c r="BH63" s="48" t="s">
        <v>4</v>
      </c>
      <c r="BI63" s="49">
        <v>2</v>
      </c>
      <c r="BJ63" s="5"/>
      <c r="BK63" s="42">
        <f t="shared" si="299"/>
        <v>0</v>
      </c>
      <c r="BL63" s="43">
        <f t="shared" si="300"/>
        <v>-1</v>
      </c>
      <c r="BM63" s="30"/>
      <c r="BN63" s="47">
        <v>1</v>
      </c>
      <c r="BO63" s="48" t="s">
        <v>4</v>
      </c>
      <c r="BP63" s="49">
        <v>3</v>
      </c>
      <c r="BQ63" s="5"/>
      <c r="BR63" s="42">
        <f t="shared" si="301"/>
        <v>0</v>
      </c>
      <c r="BS63" s="43">
        <f t="shared" si="302"/>
        <v>-2</v>
      </c>
      <c r="BT63" s="30"/>
      <c r="BU63" s="47">
        <v>1</v>
      </c>
      <c r="BV63" s="48" t="s">
        <v>4</v>
      </c>
      <c r="BW63" s="49">
        <v>2</v>
      </c>
      <c r="BX63" s="5"/>
      <c r="BY63" s="42">
        <f t="shared" si="303"/>
        <v>0</v>
      </c>
      <c r="BZ63" s="43">
        <f t="shared" si="304"/>
        <v>-1</v>
      </c>
      <c r="CA63" s="30"/>
      <c r="CB63" s="47">
        <v>1</v>
      </c>
      <c r="CC63" s="48" t="s">
        <v>4</v>
      </c>
      <c r="CD63" s="49">
        <v>3</v>
      </c>
      <c r="CE63" s="5"/>
      <c r="CF63" s="42">
        <f t="shared" si="305"/>
        <v>0</v>
      </c>
      <c r="CG63" s="43">
        <f t="shared" si="306"/>
        <v>-2</v>
      </c>
      <c r="CH63" s="30"/>
      <c r="CI63" s="47">
        <v>1</v>
      </c>
      <c r="CJ63" s="48" t="s">
        <v>4</v>
      </c>
      <c r="CK63" s="49">
        <v>3</v>
      </c>
      <c r="CL63" s="5"/>
      <c r="CM63" s="42">
        <f t="shared" si="307"/>
        <v>0</v>
      </c>
      <c r="CN63" s="43">
        <f t="shared" si="308"/>
        <v>-2</v>
      </c>
      <c r="CO63" s="30"/>
      <c r="CP63" s="47">
        <v>1</v>
      </c>
      <c r="CQ63" s="48" t="s">
        <v>4</v>
      </c>
      <c r="CR63" s="49">
        <v>2</v>
      </c>
      <c r="CS63" s="5"/>
      <c r="CT63" s="42">
        <f t="shared" si="309"/>
        <v>0</v>
      </c>
      <c r="CU63" s="43">
        <f t="shared" si="310"/>
        <v>-1</v>
      </c>
      <c r="CV63" s="30"/>
      <c r="CW63" s="47">
        <v>0</v>
      </c>
      <c r="CX63" s="48" t="s">
        <v>4</v>
      </c>
      <c r="CY63" s="49">
        <v>1</v>
      </c>
      <c r="CZ63" s="5"/>
      <c r="DA63" s="42">
        <f t="shared" si="311"/>
        <v>0</v>
      </c>
      <c r="DB63" s="43">
        <f t="shared" si="312"/>
        <v>-1</v>
      </c>
      <c r="DC63" s="30"/>
      <c r="DD63" s="47">
        <v>1</v>
      </c>
      <c r="DE63" s="48" t="s">
        <v>4</v>
      </c>
      <c r="DF63" s="49">
        <v>2</v>
      </c>
      <c r="DG63" s="5"/>
      <c r="DH63" s="42">
        <f t="shared" si="313"/>
        <v>0</v>
      </c>
      <c r="DI63" s="43">
        <f t="shared" si="314"/>
        <v>-1</v>
      </c>
      <c r="DJ63" s="30"/>
      <c r="DK63" s="47">
        <v>1</v>
      </c>
      <c r="DL63" s="48" t="s">
        <v>4</v>
      </c>
      <c r="DM63" s="49">
        <v>1</v>
      </c>
      <c r="DN63" s="5"/>
      <c r="DO63" s="42">
        <f t="shared" si="315"/>
        <v>0</v>
      </c>
      <c r="DP63" s="43">
        <f t="shared" si="316"/>
        <v>0</v>
      </c>
      <c r="DQ63" s="30"/>
      <c r="DR63" s="47">
        <v>2</v>
      </c>
      <c r="DS63" s="48" t="s">
        <v>4</v>
      </c>
      <c r="DT63" s="49">
        <v>3</v>
      </c>
      <c r="DU63" s="5"/>
      <c r="DV63" s="42">
        <f t="shared" si="317"/>
        <v>0</v>
      </c>
      <c r="DW63" s="43">
        <f t="shared" si="318"/>
        <v>-1</v>
      </c>
      <c r="DX63" s="30"/>
      <c r="DY63" s="47">
        <v>0</v>
      </c>
      <c r="DZ63" s="48" t="s">
        <v>4</v>
      </c>
      <c r="EA63" s="49">
        <v>2</v>
      </c>
      <c r="EB63" s="5"/>
      <c r="EC63" s="42">
        <f t="shared" si="319"/>
        <v>0</v>
      </c>
      <c r="ED63" s="43">
        <f t="shared" si="320"/>
        <v>-2</v>
      </c>
      <c r="EE63" s="30"/>
      <c r="EF63" s="47">
        <v>1</v>
      </c>
      <c r="EG63" s="48" t="s">
        <v>4</v>
      </c>
      <c r="EH63" s="49">
        <v>1</v>
      </c>
      <c r="EI63" s="5"/>
      <c r="EJ63" s="42">
        <f t="shared" si="321"/>
        <v>0</v>
      </c>
      <c r="EK63" s="43">
        <f t="shared" si="322"/>
        <v>0</v>
      </c>
      <c r="EL63" s="30"/>
      <c r="EM63" s="47">
        <v>0</v>
      </c>
      <c r="EN63" s="48" t="s">
        <v>4</v>
      </c>
      <c r="EO63" s="49">
        <v>1</v>
      </c>
      <c r="EP63" s="5"/>
      <c r="EQ63" s="42">
        <f t="shared" si="323"/>
        <v>0</v>
      </c>
      <c r="ER63" s="43">
        <f t="shared" si="324"/>
        <v>-1</v>
      </c>
      <c r="ES63" s="30"/>
      <c r="ET63" s="47">
        <v>2</v>
      </c>
      <c r="EU63" s="48" t="s">
        <v>4</v>
      </c>
      <c r="EV63" s="49">
        <v>4</v>
      </c>
      <c r="EW63" s="5"/>
      <c r="EX63" s="42">
        <f t="shared" si="325"/>
        <v>0</v>
      </c>
      <c r="EY63" s="43">
        <f t="shared" si="326"/>
        <v>-2</v>
      </c>
      <c r="EZ63" s="30"/>
      <c r="FA63" s="47">
        <v>1</v>
      </c>
      <c r="FB63" s="48" t="s">
        <v>4</v>
      </c>
      <c r="FC63" s="49">
        <v>3</v>
      </c>
      <c r="FD63" s="5"/>
      <c r="FE63" s="42">
        <f t="shared" si="327"/>
        <v>0</v>
      </c>
      <c r="FF63" s="43">
        <f t="shared" si="328"/>
        <v>-2</v>
      </c>
      <c r="FG63" s="30"/>
      <c r="FH63" s="47">
        <v>0</v>
      </c>
      <c r="FI63" s="48" t="s">
        <v>4</v>
      </c>
      <c r="FJ63" s="49">
        <v>2</v>
      </c>
      <c r="FK63" s="5"/>
      <c r="FL63" s="42">
        <f t="shared" si="329"/>
        <v>0</v>
      </c>
      <c r="FM63" s="43">
        <f t="shared" si="330"/>
        <v>-2</v>
      </c>
      <c r="FN63" s="30"/>
      <c r="FO63" s="47">
        <v>0</v>
      </c>
      <c r="FP63" s="48" t="s">
        <v>4</v>
      </c>
      <c r="FQ63" s="49">
        <v>2</v>
      </c>
      <c r="FR63" s="5"/>
      <c r="FS63" s="42">
        <f t="shared" si="331"/>
        <v>0</v>
      </c>
      <c r="FT63" s="43">
        <f t="shared" si="332"/>
        <v>-2</v>
      </c>
      <c r="FU63" s="30"/>
      <c r="FV63" s="47">
        <v>0</v>
      </c>
      <c r="FW63" s="48" t="s">
        <v>4</v>
      </c>
      <c r="FX63" s="49">
        <v>3</v>
      </c>
      <c r="FY63" s="5"/>
      <c r="FZ63" s="42">
        <f t="shared" si="333"/>
        <v>0</v>
      </c>
      <c r="GA63" s="43">
        <f t="shared" si="334"/>
        <v>-3</v>
      </c>
      <c r="GB63" s="30"/>
      <c r="GC63" s="47">
        <v>1</v>
      </c>
      <c r="GD63" s="48" t="s">
        <v>4</v>
      </c>
      <c r="GE63" s="49">
        <v>2</v>
      </c>
      <c r="GF63" s="5"/>
      <c r="GG63" s="42">
        <f t="shared" si="335"/>
        <v>0</v>
      </c>
      <c r="GH63" s="43">
        <f t="shared" si="336"/>
        <v>-1</v>
      </c>
      <c r="GI63" s="30"/>
      <c r="GJ63" s="47">
        <v>0</v>
      </c>
      <c r="GK63" s="48" t="s">
        <v>4</v>
      </c>
      <c r="GL63" s="49">
        <v>2</v>
      </c>
      <c r="GM63" s="5"/>
      <c r="GN63" s="42">
        <f t="shared" si="337"/>
        <v>0</v>
      </c>
      <c r="GO63" s="43">
        <f t="shared" si="338"/>
        <v>-2</v>
      </c>
      <c r="GP63" s="30"/>
      <c r="GQ63" s="47">
        <v>1</v>
      </c>
      <c r="GR63" s="48" t="s">
        <v>4</v>
      </c>
      <c r="GS63" s="49">
        <v>2</v>
      </c>
      <c r="GT63" s="5"/>
      <c r="GU63" s="42">
        <f t="shared" si="339"/>
        <v>0</v>
      </c>
      <c r="GV63" s="43">
        <f t="shared" si="340"/>
        <v>-1</v>
      </c>
      <c r="GW63" s="30"/>
      <c r="GX63" s="47">
        <v>0</v>
      </c>
      <c r="GY63" s="48" t="s">
        <v>4</v>
      </c>
      <c r="GZ63" s="49">
        <v>1</v>
      </c>
      <c r="HA63" s="5"/>
      <c r="HB63" s="42">
        <f t="shared" si="341"/>
        <v>0</v>
      </c>
      <c r="HC63" s="43">
        <f t="shared" si="342"/>
        <v>-1</v>
      </c>
      <c r="HD63" s="30"/>
      <c r="HE63" s="47">
        <v>1</v>
      </c>
      <c r="HF63" s="48" t="s">
        <v>4</v>
      </c>
      <c r="HG63" s="49">
        <v>3</v>
      </c>
      <c r="HH63" s="5"/>
      <c r="HI63" s="42">
        <f t="shared" si="343"/>
        <v>0</v>
      </c>
      <c r="HJ63" s="43">
        <f t="shared" si="344"/>
        <v>-2</v>
      </c>
      <c r="HK63" s="30"/>
      <c r="HL63" s="47">
        <v>1</v>
      </c>
      <c r="HM63" s="48" t="s">
        <v>4</v>
      </c>
      <c r="HN63" s="49">
        <v>3</v>
      </c>
      <c r="HO63" s="5"/>
      <c r="HP63" s="42">
        <f t="shared" si="345"/>
        <v>0</v>
      </c>
      <c r="HQ63" s="43">
        <f t="shared" si="346"/>
        <v>-2</v>
      </c>
      <c r="HR63" s="30"/>
      <c r="HS63" s="47">
        <v>0</v>
      </c>
      <c r="HT63" s="48" t="s">
        <v>4</v>
      </c>
      <c r="HU63" s="49">
        <v>1</v>
      </c>
      <c r="HV63" s="5"/>
      <c r="HW63" s="42">
        <f t="shared" si="347"/>
        <v>0</v>
      </c>
      <c r="HX63" s="43">
        <f t="shared" si="348"/>
        <v>-1</v>
      </c>
      <c r="HY63" s="30"/>
      <c r="HZ63" s="47">
        <v>2</v>
      </c>
      <c r="IA63" s="48" t="s">
        <v>4</v>
      </c>
      <c r="IB63" s="49">
        <v>3</v>
      </c>
      <c r="IC63" s="5"/>
      <c r="ID63" s="42">
        <f t="shared" si="349"/>
        <v>0</v>
      </c>
      <c r="IE63" s="43">
        <f t="shared" si="350"/>
        <v>-1</v>
      </c>
      <c r="IF63" s="30"/>
      <c r="IG63" s="47">
        <v>3</v>
      </c>
      <c r="IH63" s="48" t="s">
        <v>4</v>
      </c>
      <c r="II63" s="49">
        <v>0</v>
      </c>
      <c r="IJ63" s="5"/>
      <c r="IK63" s="42">
        <f t="shared" si="351"/>
        <v>3.8</v>
      </c>
      <c r="IL63" s="43">
        <f t="shared" si="352"/>
        <v>3</v>
      </c>
      <c r="IM63" s="30"/>
      <c r="IN63" s="47">
        <v>0</v>
      </c>
      <c r="IO63" s="48" t="s">
        <v>4</v>
      </c>
      <c r="IP63" s="49">
        <v>0</v>
      </c>
      <c r="IQ63" s="5"/>
      <c r="IR63" s="42">
        <f t="shared" si="353"/>
        <v>0</v>
      </c>
      <c r="IS63" s="43">
        <f t="shared" si="354"/>
        <v>0</v>
      </c>
      <c r="IT63" s="30"/>
      <c r="IU63" s="47">
        <v>0</v>
      </c>
      <c r="IV63" s="48" t="s">
        <v>4</v>
      </c>
      <c r="IW63" s="49">
        <v>2</v>
      </c>
      <c r="IX63" s="5"/>
      <c r="IY63" s="42">
        <f t="shared" si="355"/>
        <v>0</v>
      </c>
      <c r="IZ63" s="43">
        <f t="shared" si="356"/>
        <v>-2</v>
      </c>
      <c r="JA63" s="30"/>
      <c r="JB63" s="47">
        <v>0</v>
      </c>
      <c r="JC63" s="48" t="s">
        <v>4</v>
      </c>
      <c r="JD63" s="49">
        <v>1</v>
      </c>
      <c r="JE63" s="5"/>
      <c r="JF63" s="42">
        <f t="shared" si="357"/>
        <v>0</v>
      </c>
      <c r="JG63" s="43">
        <f t="shared" si="358"/>
        <v>-1</v>
      </c>
      <c r="JH63" s="30"/>
      <c r="JI63" s="47">
        <v>1</v>
      </c>
      <c r="JJ63" s="48" t="s">
        <v>4</v>
      </c>
      <c r="JK63" s="49">
        <v>3</v>
      </c>
      <c r="JL63" s="5"/>
      <c r="JM63" s="42">
        <f t="shared" si="359"/>
        <v>0</v>
      </c>
      <c r="JN63" s="43">
        <f t="shared" si="360"/>
        <v>-2</v>
      </c>
      <c r="JO63" s="30"/>
      <c r="JP63" s="47">
        <v>2</v>
      </c>
      <c r="JQ63" s="48" t="s">
        <v>4</v>
      </c>
      <c r="JR63" s="49">
        <v>3</v>
      </c>
      <c r="JS63" s="5"/>
      <c r="JT63" s="42">
        <f t="shared" si="361"/>
        <v>0</v>
      </c>
      <c r="JU63" s="43">
        <f t="shared" si="362"/>
        <v>-1</v>
      </c>
      <c r="JV63" s="30"/>
      <c r="JW63" s="47">
        <v>0</v>
      </c>
      <c r="JX63" s="48" t="s">
        <v>4</v>
      </c>
      <c r="JY63" s="49">
        <v>2</v>
      </c>
      <c r="JZ63" s="5"/>
      <c r="KA63" s="42">
        <f t="shared" si="363"/>
        <v>0</v>
      </c>
      <c r="KB63" s="43">
        <f t="shared" si="364"/>
        <v>-2</v>
      </c>
      <c r="KC63" s="30"/>
      <c r="KD63" s="47">
        <v>0</v>
      </c>
      <c r="KE63" s="48" t="s">
        <v>4</v>
      </c>
      <c r="KF63" s="49">
        <v>4</v>
      </c>
      <c r="KG63" s="5"/>
      <c r="KH63" s="42">
        <f t="shared" si="365"/>
        <v>0</v>
      </c>
      <c r="KI63" s="43">
        <f t="shared" si="366"/>
        <v>-4</v>
      </c>
      <c r="KJ63" s="30"/>
      <c r="KK63" s="47">
        <v>0</v>
      </c>
      <c r="KL63" s="48" t="s">
        <v>4</v>
      </c>
      <c r="KM63" s="49">
        <v>1</v>
      </c>
      <c r="KN63" s="5"/>
      <c r="KO63" s="42">
        <f t="shared" si="367"/>
        <v>0</v>
      </c>
      <c r="KP63" s="43">
        <f t="shared" si="368"/>
        <v>-1</v>
      </c>
      <c r="KQ63" s="30"/>
      <c r="KR63" s="47">
        <v>0</v>
      </c>
      <c r="KS63" s="48" t="s">
        <v>4</v>
      </c>
      <c r="KT63" s="49">
        <v>1</v>
      </c>
      <c r="KU63" s="5"/>
      <c r="KV63" s="42">
        <f t="shared" si="369"/>
        <v>0</v>
      </c>
      <c r="KW63" s="43">
        <f t="shared" si="370"/>
        <v>-1</v>
      </c>
      <c r="KX63" s="30"/>
      <c r="KY63" s="47">
        <v>1</v>
      </c>
      <c r="KZ63" s="48" t="s">
        <v>4</v>
      </c>
      <c r="LA63" s="49">
        <v>2</v>
      </c>
      <c r="LB63" s="5"/>
      <c r="LC63" s="42">
        <f t="shared" si="371"/>
        <v>0</v>
      </c>
      <c r="LD63" s="43">
        <f t="shared" si="372"/>
        <v>-1</v>
      </c>
      <c r="LE63" s="30"/>
      <c r="LF63" s="47">
        <v>0</v>
      </c>
      <c r="LG63" s="48" t="s">
        <v>4</v>
      </c>
      <c r="LH63" s="49">
        <v>3</v>
      </c>
      <c r="LI63" s="5"/>
      <c r="LJ63" s="42">
        <f t="shared" si="373"/>
        <v>0</v>
      </c>
      <c r="LK63" s="43">
        <f t="shared" si="374"/>
        <v>-3</v>
      </c>
      <c r="LL63" s="30"/>
      <c r="LM63" s="47">
        <v>1</v>
      </c>
      <c r="LN63" s="48" t="s">
        <v>4</v>
      </c>
      <c r="LO63" s="49">
        <v>3</v>
      </c>
      <c r="LP63" s="5"/>
      <c r="LQ63" s="42">
        <f t="shared" si="375"/>
        <v>0</v>
      </c>
      <c r="LR63" s="43">
        <f t="shared" si="376"/>
        <v>-2</v>
      </c>
      <c r="LS63" s="30"/>
      <c r="LT63" s="47">
        <v>0</v>
      </c>
      <c r="LU63" s="48" t="s">
        <v>4</v>
      </c>
      <c r="LV63" s="49">
        <v>3</v>
      </c>
      <c r="LW63" s="5"/>
      <c r="LX63" s="42">
        <f t="shared" si="377"/>
        <v>0</v>
      </c>
      <c r="LY63" s="43">
        <f t="shared" si="378"/>
        <v>-3</v>
      </c>
      <c r="LZ63" s="30"/>
      <c r="MA63" s="47">
        <v>1</v>
      </c>
      <c r="MB63" s="48" t="s">
        <v>4</v>
      </c>
      <c r="MC63" s="49">
        <v>3</v>
      </c>
      <c r="MD63" s="5"/>
      <c r="ME63" s="42">
        <f t="shared" si="379"/>
        <v>0</v>
      </c>
      <c r="MF63" s="43">
        <f t="shared" si="380"/>
        <v>-2</v>
      </c>
      <c r="MG63" s="30"/>
      <c r="MH63" s="47">
        <v>0</v>
      </c>
      <c r="MI63" s="48" t="s">
        <v>4</v>
      </c>
      <c r="MJ63" s="49">
        <v>3</v>
      </c>
      <c r="MK63" s="5"/>
      <c r="ML63" s="42">
        <f t="shared" si="381"/>
        <v>0</v>
      </c>
      <c r="MM63" s="43">
        <f t="shared" si="382"/>
        <v>-3</v>
      </c>
      <c r="MN63" s="30"/>
      <c r="MO63" s="47">
        <v>1</v>
      </c>
      <c r="MP63" s="48" t="s">
        <v>4</v>
      </c>
      <c r="MQ63" s="49">
        <v>2</v>
      </c>
      <c r="MR63" s="5"/>
      <c r="MS63" s="42">
        <f t="shared" si="383"/>
        <v>0</v>
      </c>
      <c r="MT63" s="43">
        <f t="shared" si="384"/>
        <v>-1</v>
      </c>
      <c r="MU63" s="30"/>
      <c r="MV63" s="47">
        <v>0</v>
      </c>
      <c r="MW63" s="48" t="s">
        <v>4</v>
      </c>
      <c r="MX63" s="49">
        <v>2</v>
      </c>
      <c r="MY63" s="5"/>
      <c r="MZ63" s="42">
        <f t="shared" si="385"/>
        <v>0</v>
      </c>
      <c r="NA63" s="43">
        <f t="shared" si="386"/>
        <v>-2</v>
      </c>
      <c r="NB63" s="30"/>
      <c r="NC63" s="47">
        <v>1</v>
      </c>
      <c r="ND63" s="48" t="s">
        <v>4</v>
      </c>
      <c r="NE63" s="49">
        <v>2</v>
      </c>
      <c r="NF63" s="5"/>
      <c r="NG63" s="42">
        <f t="shared" si="387"/>
        <v>0</v>
      </c>
      <c r="NH63" s="43">
        <f t="shared" si="388"/>
        <v>-1</v>
      </c>
      <c r="NI63" s="30"/>
      <c r="NJ63" s="47">
        <v>1</v>
      </c>
      <c r="NK63" s="48" t="s">
        <v>4</v>
      </c>
      <c r="NL63" s="49">
        <v>3</v>
      </c>
      <c r="NM63" s="5"/>
      <c r="NN63" s="42">
        <f t="shared" si="389"/>
        <v>0</v>
      </c>
      <c r="NO63" s="43">
        <f t="shared" si="390"/>
        <v>-2</v>
      </c>
      <c r="NP63" s="30"/>
      <c r="NQ63" s="47">
        <v>0</v>
      </c>
      <c r="NR63" s="48" t="s">
        <v>4</v>
      </c>
      <c r="NS63" s="49">
        <v>4</v>
      </c>
      <c r="NT63" s="5"/>
      <c r="NU63" s="42">
        <f t="shared" si="391"/>
        <v>0</v>
      </c>
      <c r="NV63" s="43">
        <f t="shared" si="392"/>
        <v>-4</v>
      </c>
      <c r="NW63" s="30"/>
      <c r="NX63" s="47">
        <v>1</v>
      </c>
      <c r="NY63" s="48" t="s">
        <v>4</v>
      </c>
      <c r="NZ63" s="49">
        <v>2</v>
      </c>
      <c r="OA63" s="5"/>
      <c r="OB63" s="42">
        <f t="shared" si="393"/>
        <v>0</v>
      </c>
      <c r="OC63" s="43">
        <f t="shared" si="394"/>
        <v>-1</v>
      </c>
      <c r="OD63" s="30"/>
      <c r="OE63" s="47">
        <v>1</v>
      </c>
      <c r="OF63" s="48" t="s">
        <v>4</v>
      </c>
      <c r="OG63" s="49">
        <v>2</v>
      </c>
      <c r="OH63" s="5"/>
      <c r="OI63" s="42">
        <f t="shared" si="395"/>
        <v>0</v>
      </c>
      <c r="OJ63" s="43">
        <f t="shared" si="396"/>
        <v>-1</v>
      </c>
      <c r="OK63" s="30"/>
      <c r="OL63" s="47">
        <v>2</v>
      </c>
      <c r="OM63" s="48" t="s">
        <v>4</v>
      </c>
      <c r="ON63" s="49">
        <v>3</v>
      </c>
      <c r="OO63" s="5"/>
      <c r="OP63" s="42">
        <f t="shared" si="397"/>
        <v>0</v>
      </c>
      <c r="OQ63" s="43">
        <f t="shared" si="398"/>
        <v>-1</v>
      </c>
      <c r="OR63" s="30"/>
      <c r="OS63" s="47">
        <v>1</v>
      </c>
      <c r="OT63" s="48" t="s">
        <v>4</v>
      </c>
      <c r="OU63" s="49">
        <v>1</v>
      </c>
      <c r="OV63" s="5"/>
      <c r="OW63" s="42">
        <f t="shared" si="399"/>
        <v>0</v>
      </c>
      <c r="OX63" s="43">
        <f t="shared" si="400"/>
        <v>0</v>
      </c>
      <c r="OY63" s="30"/>
      <c r="OZ63" s="47">
        <v>1</v>
      </c>
      <c r="PA63" s="48" t="s">
        <v>4</v>
      </c>
      <c r="PB63" s="49">
        <v>2</v>
      </c>
      <c r="PC63" s="5"/>
      <c r="PD63" s="42">
        <f t="shared" si="401"/>
        <v>0</v>
      </c>
      <c r="PE63" s="43">
        <f t="shared" si="402"/>
        <v>-1</v>
      </c>
      <c r="PF63" s="30"/>
      <c r="PG63" s="47">
        <v>1</v>
      </c>
      <c r="PH63" s="48" t="s">
        <v>4</v>
      </c>
      <c r="PI63" s="49">
        <v>2</v>
      </c>
      <c r="PJ63" s="5"/>
      <c r="PK63" s="42">
        <f t="shared" si="403"/>
        <v>0</v>
      </c>
      <c r="PL63" s="43">
        <f t="shared" si="404"/>
        <v>-1</v>
      </c>
      <c r="PM63" s="30"/>
      <c r="PN63" s="47">
        <v>1</v>
      </c>
      <c r="PO63" s="48" t="s">
        <v>4</v>
      </c>
      <c r="PP63" s="49">
        <v>2</v>
      </c>
      <c r="PQ63" s="5"/>
      <c r="PR63" s="42">
        <f t="shared" si="405"/>
        <v>0</v>
      </c>
      <c r="PS63" s="43">
        <f t="shared" si="406"/>
        <v>-1</v>
      </c>
      <c r="PT63" s="30"/>
      <c r="PU63" s="47">
        <v>1</v>
      </c>
      <c r="PV63" s="48" t="s">
        <v>4</v>
      </c>
      <c r="PW63" s="49">
        <v>1</v>
      </c>
      <c r="PX63" s="5"/>
      <c r="PY63" s="42">
        <f t="shared" si="407"/>
        <v>0</v>
      </c>
      <c r="PZ63" s="43">
        <f t="shared" si="408"/>
        <v>0</v>
      </c>
      <c r="QA63" s="30"/>
      <c r="QB63" s="47">
        <v>1</v>
      </c>
      <c r="QC63" s="48" t="s">
        <v>4</v>
      </c>
      <c r="QD63" s="49">
        <v>3</v>
      </c>
      <c r="QE63" s="5"/>
      <c r="QF63" s="42">
        <f t="shared" si="409"/>
        <v>0</v>
      </c>
      <c r="QG63" s="43">
        <f t="shared" si="410"/>
        <v>-2</v>
      </c>
      <c r="QH63" s="30"/>
      <c r="QI63" s="47">
        <v>1</v>
      </c>
      <c r="QJ63" s="48" t="s">
        <v>4</v>
      </c>
      <c r="QK63" s="49">
        <v>2</v>
      </c>
      <c r="QL63" s="5"/>
      <c r="QM63" s="42">
        <f t="shared" si="411"/>
        <v>0</v>
      </c>
      <c r="QN63" s="43">
        <f t="shared" si="412"/>
        <v>-1</v>
      </c>
      <c r="QO63" s="30"/>
      <c r="QP63" s="47">
        <v>0</v>
      </c>
      <c r="QQ63" s="48" t="s">
        <v>4</v>
      </c>
      <c r="QR63" s="49">
        <v>2</v>
      </c>
      <c r="QS63" s="5"/>
      <c r="QT63" s="42">
        <f t="shared" si="413"/>
        <v>0</v>
      </c>
      <c r="QU63" s="43">
        <f t="shared" si="414"/>
        <v>-2</v>
      </c>
      <c r="QV63" s="30"/>
      <c r="QW63" s="47">
        <v>2</v>
      </c>
      <c r="QX63" s="48" t="s">
        <v>4</v>
      </c>
      <c r="QY63" s="49">
        <v>3</v>
      </c>
      <c r="QZ63" s="5"/>
      <c r="RA63" s="42">
        <f t="shared" si="415"/>
        <v>0</v>
      </c>
      <c r="RB63" s="43">
        <f t="shared" si="416"/>
        <v>-1</v>
      </c>
      <c r="RC63" s="30"/>
      <c r="RD63" s="47"/>
      <c r="RE63" s="48" t="s">
        <v>4</v>
      </c>
      <c r="RF63" s="49"/>
      <c r="RG63" s="5"/>
      <c r="RH63" s="42" t="str">
        <f t="shared" si="417"/>
        <v/>
      </c>
      <c r="RI63" s="43">
        <f t="shared" si="418"/>
        <v>0</v>
      </c>
      <c r="RJ63" s="30"/>
      <c r="RK63" s="47">
        <v>1</v>
      </c>
      <c r="RL63" s="48" t="s">
        <v>4</v>
      </c>
      <c r="RM63" s="49">
        <v>2</v>
      </c>
      <c r="RN63" s="5"/>
      <c r="RO63" s="42">
        <f t="shared" si="419"/>
        <v>0</v>
      </c>
      <c r="RP63" s="43">
        <f t="shared" si="420"/>
        <v>-1</v>
      </c>
      <c r="RQ63" s="30"/>
      <c r="RR63" s="47">
        <v>1</v>
      </c>
      <c r="RS63" s="48" t="s">
        <v>4</v>
      </c>
      <c r="RT63" s="49">
        <v>2</v>
      </c>
      <c r="RU63" s="5"/>
      <c r="RV63" s="42">
        <f t="shared" si="421"/>
        <v>0</v>
      </c>
      <c r="RW63" s="43">
        <f t="shared" si="422"/>
        <v>-1</v>
      </c>
      <c r="RX63" s="30"/>
      <c r="RY63" s="47">
        <v>1</v>
      </c>
      <c r="RZ63" s="48" t="s">
        <v>4</v>
      </c>
      <c r="SA63" s="49">
        <v>2</v>
      </c>
      <c r="SB63" s="5"/>
      <c r="SC63" s="42">
        <f t="shared" si="423"/>
        <v>0</v>
      </c>
      <c r="SD63" s="43">
        <f t="shared" si="424"/>
        <v>-1</v>
      </c>
      <c r="SE63" s="30"/>
      <c r="SF63" s="47">
        <v>1</v>
      </c>
      <c r="SG63" s="48" t="s">
        <v>4</v>
      </c>
      <c r="SH63" s="49">
        <v>2</v>
      </c>
      <c r="SI63" s="5"/>
      <c r="SJ63" s="42">
        <f t="shared" si="425"/>
        <v>0</v>
      </c>
      <c r="SK63" s="43">
        <f t="shared" si="426"/>
        <v>-1</v>
      </c>
      <c r="SL63" s="30"/>
      <c r="SM63" s="47">
        <v>1</v>
      </c>
      <c r="SN63" s="48" t="s">
        <v>4</v>
      </c>
      <c r="SO63" s="49">
        <v>2</v>
      </c>
      <c r="SP63" s="5"/>
      <c r="SQ63" s="42">
        <f t="shared" si="427"/>
        <v>0</v>
      </c>
      <c r="SR63" s="43">
        <f t="shared" si="428"/>
        <v>-1</v>
      </c>
    </row>
    <row r="64" spans="1:512" customFormat="1" ht="16" customHeight="1" x14ac:dyDescent="0.15">
      <c r="A64" s="51">
        <v>46199</v>
      </c>
      <c r="B64" s="46">
        <v>4.1666666666666664E-2</v>
      </c>
      <c r="C64" s="79" t="s">
        <v>40</v>
      </c>
      <c r="D64" s="79" t="s">
        <v>43</v>
      </c>
      <c r="E64" s="2">
        <v>1</v>
      </c>
      <c r="F64" s="50" t="s">
        <v>4</v>
      </c>
      <c r="G64" s="1">
        <v>1</v>
      </c>
      <c r="H64" s="16">
        <v>4</v>
      </c>
      <c r="I64" s="32">
        <f t="shared" si="0"/>
        <v>0</v>
      </c>
      <c r="J64" s="47">
        <v>1</v>
      </c>
      <c r="K64" s="48" t="s">
        <v>4</v>
      </c>
      <c r="L64" s="49">
        <v>2</v>
      </c>
      <c r="M64" s="5"/>
      <c r="N64" s="42">
        <f t="shared" si="1"/>
        <v>0</v>
      </c>
      <c r="O64" s="43">
        <f t="shared" si="2"/>
        <v>-1</v>
      </c>
      <c r="P64" s="43"/>
      <c r="Q64" s="47">
        <v>2</v>
      </c>
      <c r="R64" s="48" t="s">
        <v>4</v>
      </c>
      <c r="S64" s="49">
        <v>1</v>
      </c>
      <c r="T64" s="5"/>
      <c r="U64" s="42">
        <f t="shared" si="287"/>
        <v>0</v>
      </c>
      <c r="V64" s="43">
        <f t="shared" si="288"/>
        <v>1</v>
      </c>
      <c r="W64" s="30"/>
      <c r="X64" s="47">
        <v>3</v>
      </c>
      <c r="Y64" s="48" t="s">
        <v>4</v>
      </c>
      <c r="Z64" s="49">
        <v>2</v>
      </c>
      <c r="AA64" s="5"/>
      <c r="AB64" s="42">
        <f t="shared" si="289"/>
        <v>0</v>
      </c>
      <c r="AC64" s="43">
        <f t="shared" si="290"/>
        <v>1</v>
      </c>
      <c r="AD64" s="30"/>
      <c r="AE64" s="47">
        <v>0</v>
      </c>
      <c r="AF64" s="48" t="s">
        <v>4</v>
      </c>
      <c r="AG64" s="49">
        <v>1</v>
      </c>
      <c r="AH64" s="5"/>
      <c r="AI64" s="42">
        <f t="shared" si="291"/>
        <v>0</v>
      </c>
      <c r="AJ64" s="43">
        <f t="shared" si="292"/>
        <v>-1</v>
      </c>
      <c r="AK64" s="30"/>
      <c r="AL64" s="47">
        <v>1</v>
      </c>
      <c r="AM64" s="48" t="s">
        <v>4</v>
      </c>
      <c r="AN64" s="49">
        <v>1</v>
      </c>
      <c r="AO64" s="5"/>
      <c r="AP64" s="42">
        <f t="shared" si="293"/>
        <v>6</v>
      </c>
      <c r="AQ64" s="43">
        <f t="shared" si="294"/>
        <v>0</v>
      </c>
      <c r="AR64" s="30"/>
      <c r="AS64" s="47">
        <v>1</v>
      </c>
      <c r="AT64" s="48" t="s">
        <v>4</v>
      </c>
      <c r="AU64" s="49">
        <v>2</v>
      </c>
      <c r="AV64" s="5"/>
      <c r="AW64" s="42">
        <f t="shared" si="295"/>
        <v>0</v>
      </c>
      <c r="AX64" s="43">
        <f t="shared" si="296"/>
        <v>-1</v>
      </c>
      <c r="AY64" s="30"/>
      <c r="AZ64" s="47">
        <v>2</v>
      </c>
      <c r="BA64" s="48" t="s">
        <v>4</v>
      </c>
      <c r="BB64" s="49">
        <v>0</v>
      </c>
      <c r="BC64" s="5"/>
      <c r="BD64" s="42">
        <f t="shared" si="297"/>
        <v>0</v>
      </c>
      <c r="BE64" s="43">
        <f t="shared" si="298"/>
        <v>2</v>
      </c>
      <c r="BF64" s="30"/>
      <c r="BG64" s="47">
        <v>1</v>
      </c>
      <c r="BH64" s="48" t="s">
        <v>4</v>
      </c>
      <c r="BI64" s="49">
        <v>3</v>
      </c>
      <c r="BJ64" s="5"/>
      <c r="BK64" s="42">
        <f t="shared" si="299"/>
        <v>0</v>
      </c>
      <c r="BL64" s="43">
        <f t="shared" si="300"/>
        <v>-2</v>
      </c>
      <c r="BM64" s="30"/>
      <c r="BN64" s="47">
        <v>2</v>
      </c>
      <c r="BO64" s="48" t="s">
        <v>4</v>
      </c>
      <c r="BP64" s="49">
        <v>2</v>
      </c>
      <c r="BQ64" s="5"/>
      <c r="BR64" s="42">
        <f t="shared" si="301"/>
        <v>4</v>
      </c>
      <c r="BS64" s="43">
        <f t="shared" si="302"/>
        <v>0</v>
      </c>
      <c r="BT64" s="30"/>
      <c r="BU64" s="47">
        <v>2</v>
      </c>
      <c r="BV64" s="48" t="s">
        <v>4</v>
      </c>
      <c r="BW64" s="49">
        <v>1</v>
      </c>
      <c r="BX64" s="5"/>
      <c r="BY64" s="42">
        <f t="shared" si="303"/>
        <v>0</v>
      </c>
      <c r="BZ64" s="43">
        <f t="shared" si="304"/>
        <v>1</v>
      </c>
      <c r="CA64" s="30"/>
      <c r="CB64" s="47">
        <v>1</v>
      </c>
      <c r="CC64" s="48" t="s">
        <v>4</v>
      </c>
      <c r="CD64" s="49">
        <v>2</v>
      </c>
      <c r="CE64" s="5"/>
      <c r="CF64" s="42">
        <f t="shared" si="305"/>
        <v>0</v>
      </c>
      <c r="CG64" s="43">
        <f t="shared" si="306"/>
        <v>-1</v>
      </c>
      <c r="CH64" s="30"/>
      <c r="CI64" s="47">
        <v>1</v>
      </c>
      <c r="CJ64" s="48" t="s">
        <v>4</v>
      </c>
      <c r="CK64" s="49">
        <v>2</v>
      </c>
      <c r="CL64" s="5"/>
      <c r="CM64" s="42">
        <f t="shared" si="307"/>
        <v>0</v>
      </c>
      <c r="CN64" s="43">
        <f t="shared" si="308"/>
        <v>-1</v>
      </c>
      <c r="CO64" s="30"/>
      <c r="CP64" s="47">
        <v>2</v>
      </c>
      <c r="CQ64" s="48" t="s">
        <v>4</v>
      </c>
      <c r="CR64" s="49">
        <v>2</v>
      </c>
      <c r="CS64" s="5"/>
      <c r="CT64" s="42">
        <f t="shared" si="309"/>
        <v>4</v>
      </c>
      <c r="CU64" s="43">
        <f t="shared" si="310"/>
        <v>0</v>
      </c>
      <c r="CV64" s="30"/>
      <c r="CW64" s="47">
        <v>1</v>
      </c>
      <c r="CX64" s="48" t="s">
        <v>4</v>
      </c>
      <c r="CY64" s="49">
        <v>1</v>
      </c>
      <c r="CZ64" s="5"/>
      <c r="DA64" s="42">
        <f t="shared" si="311"/>
        <v>6</v>
      </c>
      <c r="DB64" s="43">
        <f t="shared" si="312"/>
        <v>0</v>
      </c>
      <c r="DC64" s="30"/>
      <c r="DD64" s="47">
        <v>0</v>
      </c>
      <c r="DE64" s="48" t="s">
        <v>4</v>
      </c>
      <c r="DF64" s="49">
        <v>1</v>
      </c>
      <c r="DG64" s="5"/>
      <c r="DH64" s="42">
        <f t="shared" si="313"/>
        <v>0</v>
      </c>
      <c r="DI64" s="43">
        <f t="shared" si="314"/>
        <v>-1</v>
      </c>
      <c r="DJ64" s="30"/>
      <c r="DK64" s="47">
        <v>1</v>
      </c>
      <c r="DL64" s="48" t="s">
        <v>4</v>
      </c>
      <c r="DM64" s="49">
        <v>1</v>
      </c>
      <c r="DN64" s="5"/>
      <c r="DO64" s="42">
        <f t="shared" si="315"/>
        <v>6</v>
      </c>
      <c r="DP64" s="43">
        <f t="shared" si="316"/>
        <v>0</v>
      </c>
      <c r="DQ64" s="30"/>
      <c r="DR64" s="47">
        <v>0</v>
      </c>
      <c r="DS64" s="48" t="s">
        <v>4</v>
      </c>
      <c r="DT64" s="49">
        <v>0</v>
      </c>
      <c r="DU64" s="5"/>
      <c r="DV64" s="42">
        <f t="shared" si="317"/>
        <v>4</v>
      </c>
      <c r="DW64" s="43">
        <f t="shared" si="318"/>
        <v>0</v>
      </c>
      <c r="DX64" s="30"/>
      <c r="DY64" s="47">
        <v>1</v>
      </c>
      <c r="DZ64" s="48" t="s">
        <v>4</v>
      </c>
      <c r="EA64" s="49">
        <v>1</v>
      </c>
      <c r="EB64" s="5"/>
      <c r="EC64" s="42">
        <f t="shared" si="319"/>
        <v>6</v>
      </c>
      <c r="ED64" s="43">
        <f t="shared" si="320"/>
        <v>0</v>
      </c>
      <c r="EE64" s="30"/>
      <c r="EF64" s="47">
        <v>1</v>
      </c>
      <c r="EG64" s="48" t="s">
        <v>4</v>
      </c>
      <c r="EH64" s="49">
        <v>1</v>
      </c>
      <c r="EI64" s="5"/>
      <c r="EJ64" s="42">
        <f t="shared" si="321"/>
        <v>6</v>
      </c>
      <c r="EK64" s="43">
        <f t="shared" si="322"/>
        <v>0</v>
      </c>
      <c r="EL64" s="30"/>
      <c r="EM64" s="47">
        <v>1</v>
      </c>
      <c r="EN64" s="48" t="s">
        <v>4</v>
      </c>
      <c r="EO64" s="49">
        <v>1</v>
      </c>
      <c r="EP64" s="5"/>
      <c r="EQ64" s="42">
        <f t="shared" si="323"/>
        <v>6</v>
      </c>
      <c r="ER64" s="43">
        <f t="shared" si="324"/>
        <v>0</v>
      </c>
      <c r="ES64" s="30"/>
      <c r="ET64" s="47">
        <v>1</v>
      </c>
      <c r="EU64" s="48" t="s">
        <v>4</v>
      </c>
      <c r="EV64" s="49">
        <v>2</v>
      </c>
      <c r="EW64" s="5"/>
      <c r="EX64" s="42">
        <f t="shared" si="325"/>
        <v>0</v>
      </c>
      <c r="EY64" s="43">
        <f t="shared" si="326"/>
        <v>-1</v>
      </c>
      <c r="EZ64" s="30"/>
      <c r="FA64" s="47">
        <v>3</v>
      </c>
      <c r="FB64" s="48" t="s">
        <v>4</v>
      </c>
      <c r="FC64" s="49">
        <v>3</v>
      </c>
      <c r="FD64" s="5"/>
      <c r="FE64" s="42">
        <f t="shared" si="327"/>
        <v>4</v>
      </c>
      <c r="FF64" s="43">
        <f t="shared" si="328"/>
        <v>0</v>
      </c>
      <c r="FG64" s="30"/>
      <c r="FH64" s="47">
        <v>1</v>
      </c>
      <c r="FI64" s="48" t="s">
        <v>4</v>
      </c>
      <c r="FJ64" s="49">
        <v>1</v>
      </c>
      <c r="FK64" s="5"/>
      <c r="FL64" s="42">
        <f t="shared" si="329"/>
        <v>6</v>
      </c>
      <c r="FM64" s="43">
        <f t="shared" si="330"/>
        <v>0</v>
      </c>
      <c r="FN64" s="30"/>
      <c r="FO64" s="47">
        <v>0</v>
      </c>
      <c r="FP64" s="48" t="s">
        <v>4</v>
      </c>
      <c r="FQ64" s="49">
        <v>1</v>
      </c>
      <c r="FR64" s="5"/>
      <c r="FS64" s="42">
        <f t="shared" si="331"/>
        <v>0</v>
      </c>
      <c r="FT64" s="43">
        <f t="shared" si="332"/>
        <v>-1</v>
      </c>
      <c r="FU64" s="30"/>
      <c r="FV64" s="47">
        <v>2</v>
      </c>
      <c r="FW64" s="48" t="s">
        <v>4</v>
      </c>
      <c r="FX64" s="49">
        <v>1</v>
      </c>
      <c r="FY64" s="5"/>
      <c r="FZ64" s="42">
        <f t="shared" si="333"/>
        <v>0</v>
      </c>
      <c r="GA64" s="43">
        <f t="shared" si="334"/>
        <v>1</v>
      </c>
      <c r="GB64" s="30"/>
      <c r="GC64" s="47">
        <v>1</v>
      </c>
      <c r="GD64" s="48" t="s">
        <v>4</v>
      </c>
      <c r="GE64" s="49">
        <v>1</v>
      </c>
      <c r="GF64" s="5"/>
      <c r="GG64" s="42">
        <f t="shared" si="335"/>
        <v>6</v>
      </c>
      <c r="GH64" s="43">
        <f t="shared" si="336"/>
        <v>0</v>
      </c>
      <c r="GI64" s="30"/>
      <c r="GJ64" s="47">
        <v>1</v>
      </c>
      <c r="GK64" s="48" t="s">
        <v>4</v>
      </c>
      <c r="GL64" s="49">
        <v>1</v>
      </c>
      <c r="GM64" s="5"/>
      <c r="GN64" s="42">
        <f t="shared" si="337"/>
        <v>6</v>
      </c>
      <c r="GO64" s="43">
        <f t="shared" si="338"/>
        <v>0</v>
      </c>
      <c r="GP64" s="30"/>
      <c r="GQ64" s="47">
        <v>1</v>
      </c>
      <c r="GR64" s="48" t="s">
        <v>4</v>
      </c>
      <c r="GS64" s="49">
        <v>1</v>
      </c>
      <c r="GT64" s="5"/>
      <c r="GU64" s="42">
        <f t="shared" si="339"/>
        <v>6</v>
      </c>
      <c r="GV64" s="43">
        <f t="shared" si="340"/>
        <v>0</v>
      </c>
      <c r="GW64" s="30"/>
      <c r="GX64" s="47">
        <v>2</v>
      </c>
      <c r="GY64" s="48" t="s">
        <v>4</v>
      </c>
      <c r="GZ64" s="49">
        <v>1</v>
      </c>
      <c r="HA64" s="5"/>
      <c r="HB64" s="42">
        <f t="shared" si="341"/>
        <v>0</v>
      </c>
      <c r="HC64" s="43">
        <f t="shared" si="342"/>
        <v>1</v>
      </c>
      <c r="HD64" s="30"/>
      <c r="HE64" s="47">
        <v>2</v>
      </c>
      <c r="HF64" s="48" t="s">
        <v>4</v>
      </c>
      <c r="HG64" s="49">
        <v>1</v>
      </c>
      <c r="HH64" s="5"/>
      <c r="HI64" s="42">
        <f t="shared" si="343"/>
        <v>0</v>
      </c>
      <c r="HJ64" s="43">
        <f t="shared" si="344"/>
        <v>1</v>
      </c>
      <c r="HK64" s="30"/>
      <c r="HL64" s="47">
        <v>2</v>
      </c>
      <c r="HM64" s="48" t="s">
        <v>4</v>
      </c>
      <c r="HN64" s="49">
        <v>0</v>
      </c>
      <c r="HO64" s="5"/>
      <c r="HP64" s="42">
        <f t="shared" si="345"/>
        <v>0</v>
      </c>
      <c r="HQ64" s="43">
        <f t="shared" si="346"/>
        <v>2</v>
      </c>
      <c r="HR64" s="30"/>
      <c r="HS64" s="47">
        <v>2</v>
      </c>
      <c r="HT64" s="48" t="s">
        <v>4</v>
      </c>
      <c r="HU64" s="49">
        <v>0</v>
      </c>
      <c r="HV64" s="5"/>
      <c r="HW64" s="42">
        <f t="shared" si="347"/>
        <v>0</v>
      </c>
      <c r="HX64" s="43">
        <f t="shared" si="348"/>
        <v>2</v>
      </c>
      <c r="HY64" s="30"/>
      <c r="HZ64" s="47">
        <v>1</v>
      </c>
      <c r="IA64" s="48" t="s">
        <v>4</v>
      </c>
      <c r="IB64" s="49">
        <v>2</v>
      </c>
      <c r="IC64" s="5"/>
      <c r="ID64" s="42">
        <f t="shared" si="349"/>
        <v>0</v>
      </c>
      <c r="IE64" s="43">
        <f t="shared" si="350"/>
        <v>-1</v>
      </c>
      <c r="IF64" s="30"/>
      <c r="IG64" s="47">
        <v>3</v>
      </c>
      <c r="IH64" s="48" t="s">
        <v>4</v>
      </c>
      <c r="II64" s="49">
        <v>2</v>
      </c>
      <c r="IJ64" s="5"/>
      <c r="IK64" s="42">
        <f t="shared" si="351"/>
        <v>0</v>
      </c>
      <c r="IL64" s="43">
        <f t="shared" si="352"/>
        <v>1</v>
      </c>
      <c r="IM64" s="30"/>
      <c r="IN64" s="47">
        <v>2</v>
      </c>
      <c r="IO64" s="48" t="s">
        <v>4</v>
      </c>
      <c r="IP64" s="49">
        <v>1</v>
      </c>
      <c r="IQ64" s="5"/>
      <c r="IR64" s="42">
        <f t="shared" si="353"/>
        <v>0</v>
      </c>
      <c r="IS64" s="43">
        <f t="shared" si="354"/>
        <v>1</v>
      </c>
      <c r="IT64" s="30"/>
      <c r="IU64" s="47">
        <v>2</v>
      </c>
      <c r="IV64" s="48" t="s">
        <v>4</v>
      </c>
      <c r="IW64" s="49">
        <v>0</v>
      </c>
      <c r="IX64" s="5"/>
      <c r="IY64" s="42">
        <f t="shared" si="355"/>
        <v>0</v>
      </c>
      <c r="IZ64" s="43">
        <f t="shared" si="356"/>
        <v>2</v>
      </c>
      <c r="JA64" s="30"/>
      <c r="JB64" s="47">
        <v>1</v>
      </c>
      <c r="JC64" s="48" t="s">
        <v>4</v>
      </c>
      <c r="JD64" s="49">
        <v>0</v>
      </c>
      <c r="JE64" s="5"/>
      <c r="JF64" s="42">
        <f t="shared" si="357"/>
        <v>0</v>
      </c>
      <c r="JG64" s="43">
        <f t="shared" si="358"/>
        <v>1</v>
      </c>
      <c r="JH64" s="30"/>
      <c r="JI64" s="47">
        <v>3</v>
      </c>
      <c r="JJ64" s="48" t="s">
        <v>4</v>
      </c>
      <c r="JK64" s="49">
        <v>2</v>
      </c>
      <c r="JL64" s="5"/>
      <c r="JM64" s="42">
        <f t="shared" si="359"/>
        <v>0</v>
      </c>
      <c r="JN64" s="43">
        <f t="shared" si="360"/>
        <v>1</v>
      </c>
      <c r="JO64" s="30"/>
      <c r="JP64" s="47">
        <v>1</v>
      </c>
      <c r="JQ64" s="48" t="s">
        <v>4</v>
      </c>
      <c r="JR64" s="49">
        <v>0</v>
      </c>
      <c r="JS64" s="5"/>
      <c r="JT64" s="42">
        <f t="shared" si="361"/>
        <v>0</v>
      </c>
      <c r="JU64" s="43">
        <f t="shared" si="362"/>
        <v>1</v>
      </c>
      <c r="JV64" s="30"/>
      <c r="JW64" s="47">
        <v>1</v>
      </c>
      <c r="JX64" s="48" t="s">
        <v>4</v>
      </c>
      <c r="JY64" s="49">
        <v>1</v>
      </c>
      <c r="JZ64" s="5"/>
      <c r="KA64" s="42">
        <f t="shared" si="363"/>
        <v>6</v>
      </c>
      <c r="KB64" s="43">
        <f t="shared" si="364"/>
        <v>0</v>
      </c>
      <c r="KC64" s="30"/>
      <c r="KD64" s="47">
        <v>1</v>
      </c>
      <c r="KE64" s="48" t="s">
        <v>4</v>
      </c>
      <c r="KF64" s="49">
        <v>2</v>
      </c>
      <c r="KG64" s="5"/>
      <c r="KH64" s="42">
        <f t="shared" si="365"/>
        <v>0</v>
      </c>
      <c r="KI64" s="43">
        <f t="shared" si="366"/>
        <v>-1</v>
      </c>
      <c r="KJ64" s="30"/>
      <c r="KK64" s="47">
        <v>0</v>
      </c>
      <c r="KL64" s="48" t="s">
        <v>4</v>
      </c>
      <c r="KM64" s="49">
        <v>0</v>
      </c>
      <c r="KN64" s="5"/>
      <c r="KO64" s="42">
        <f t="shared" si="367"/>
        <v>4</v>
      </c>
      <c r="KP64" s="43">
        <f t="shared" si="368"/>
        <v>0</v>
      </c>
      <c r="KQ64" s="30"/>
      <c r="KR64" s="47">
        <v>1</v>
      </c>
      <c r="KS64" s="48" t="s">
        <v>4</v>
      </c>
      <c r="KT64" s="49">
        <v>0</v>
      </c>
      <c r="KU64" s="5"/>
      <c r="KV64" s="42">
        <f t="shared" si="369"/>
        <v>0</v>
      </c>
      <c r="KW64" s="43">
        <f t="shared" si="370"/>
        <v>1</v>
      </c>
      <c r="KX64" s="30"/>
      <c r="KY64" s="47">
        <v>2</v>
      </c>
      <c r="KZ64" s="48" t="s">
        <v>4</v>
      </c>
      <c r="LA64" s="49">
        <v>1</v>
      </c>
      <c r="LB64" s="5"/>
      <c r="LC64" s="42">
        <f t="shared" si="371"/>
        <v>0</v>
      </c>
      <c r="LD64" s="43">
        <f t="shared" si="372"/>
        <v>1</v>
      </c>
      <c r="LE64" s="30"/>
      <c r="LF64" s="47">
        <v>2</v>
      </c>
      <c r="LG64" s="48" t="s">
        <v>4</v>
      </c>
      <c r="LH64" s="49">
        <v>1</v>
      </c>
      <c r="LI64" s="5"/>
      <c r="LJ64" s="42">
        <f t="shared" si="373"/>
        <v>0</v>
      </c>
      <c r="LK64" s="43">
        <f t="shared" si="374"/>
        <v>1</v>
      </c>
      <c r="LL64" s="30"/>
      <c r="LM64" s="47">
        <v>2</v>
      </c>
      <c r="LN64" s="48" t="s">
        <v>4</v>
      </c>
      <c r="LO64" s="49">
        <v>1</v>
      </c>
      <c r="LP64" s="5"/>
      <c r="LQ64" s="42">
        <f t="shared" si="375"/>
        <v>0</v>
      </c>
      <c r="LR64" s="43">
        <f t="shared" si="376"/>
        <v>1</v>
      </c>
      <c r="LS64" s="30"/>
      <c r="LT64" s="47">
        <v>1</v>
      </c>
      <c r="LU64" s="48" t="s">
        <v>4</v>
      </c>
      <c r="LV64" s="49">
        <v>1</v>
      </c>
      <c r="LW64" s="5"/>
      <c r="LX64" s="42">
        <f t="shared" si="377"/>
        <v>6</v>
      </c>
      <c r="LY64" s="43">
        <f t="shared" si="378"/>
        <v>0</v>
      </c>
      <c r="LZ64" s="30"/>
      <c r="MA64" s="47">
        <v>3</v>
      </c>
      <c r="MB64" s="48" t="s">
        <v>4</v>
      </c>
      <c r="MC64" s="49">
        <v>1</v>
      </c>
      <c r="MD64" s="5"/>
      <c r="ME64" s="42">
        <f t="shared" si="379"/>
        <v>0</v>
      </c>
      <c r="MF64" s="43">
        <f t="shared" si="380"/>
        <v>2</v>
      </c>
      <c r="MG64" s="30"/>
      <c r="MH64" s="47">
        <v>3</v>
      </c>
      <c r="MI64" s="48" t="s">
        <v>4</v>
      </c>
      <c r="MJ64" s="49">
        <v>1</v>
      </c>
      <c r="MK64" s="5"/>
      <c r="ML64" s="42">
        <f t="shared" si="381"/>
        <v>0</v>
      </c>
      <c r="MM64" s="43">
        <f t="shared" si="382"/>
        <v>2</v>
      </c>
      <c r="MN64" s="30"/>
      <c r="MO64" s="47">
        <v>2</v>
      </c>
      <c r="MP64" s="48" t="s">
        <v>4</v>
      </c>
      <c r="MQ64" s="49">
        <v>1</v>
      </c>
      <c r="MR64" s="5"/>
      <c r="MS64" s="42">
        <f t="shared" si="383"/>
        <v>0</v>
      </c>
      <c r="MT64" s="43">
        <f t="shared" si="384"/>
        <v>1</v>
      </c>
      <c r="MU64" s="30"/>
      <c r="MV64" s="47">
        <v>2</v>
      </c>
      <c r="MW64" s="48" t="s">
        <v>4</v>
      </c>
      <c r="MX64" s="49">
        <v>1</v>
      </c>
      <c r="MY64" s="5"/>
      <c r="MZ64" s="42">
        <f t="shared" si="385"/>
        <v>0</v>
      </c>
      <c r="NA64" s="43">
        <f t="shared" si="386"/>
        <v>1</v>
      </c>
      <c r="NB64" s="30"/>
      <c r="NC64" s="47">
        <v>1</v>
      </c>
      <c r="ND64" s="48" t="s">
        <v>4</v>
      </c>
      <c r="NE64" s="49">
        <v>0</v>
      </c>
      <c r="NF64" s="5"/>
      <c r="NG64" s="42">
        <f t="shared" si="387"/>
        <v>0</v>
      </c>
      <c r="NH64" s="43">
        <f t="shared" si="388"/>
        <v>1</v>
      </c>
      <c r="NI64" s="30"/>
      <c r="NJ64" s="47">
        <v>1</v>
      </c>
      <c r="NK64" s="48" t="s">
        <v>4</v>
      </c>
      <c r="NL64" s="49">
        <v>0</v>
      </c>
      <c r="NM64" s="5"/>
      <c r="NN64" s="42">
        <f t="shared" si="389"/>
        <v>0</v>
      </c>
      <c r="NO64" s="43">
        <f t="shared" si="390"/>
        <v>1</v>
      </c>
      <c r="NP64" s="30"/>
      <c r="NQ64" s="47">
        <v>1</v>
      </c>
      <c r="NR64" s="48" t="s">
        <v>4</v>
      </c>
      <c r="NS64" s="49">
        <v>3</v>
      </c>
      <c r="NT64" s="5"/>
      <c r="NU64" s="42">
        <f t="shared" si="391"/>
        <v>0</v>
      </c>
      <c r="NV64" s="43">
        <f t="shared" si="392"/>
        <v>-2</v>
      </c>
      <c r="NW64" s="30"/>
      <c r="NX64" s="47">
        <v>1</v>
      </c>
      <c r="NY64" s="48" t="s">
        <v>4</v>
      </c>
      <c r="NZ64" s="49">
        <v>1</v>
      </c>
      <c r="OA64" s="5"/>
      <c r="OB64" s="42">
        <f t="shared" si="393"/>
        <v>6</v>
      </c>
      <c r="OC64" s="43">
        <f t="shared" si="394"/>
        <v>0</v>
      </c>
      <c r="OD64" s="30"/>
      <c r="OE64" s="47">
        <v>2</v>
      </c>
      <c r="OF64" s="48" t="s">
        <v>4</v>
      </c>
      <c r="OG64" s="49">
        <v>2</v>
      </c>
      <c r="OH64" s="5"/>
      <c r="OI64" s="42">
        <f t="shared" si="395"/>
        <v>4</v>
      </c>
      <c r="OJ64" s="43">
        <f t="shared" si="396"/>
        <v>0</v>
      </c>
      <c r="OK64" s="30"/>
      <c r="OL64" s="47">
        <v>2</v>
      </c>
      <c r="OM64" s="48" t="s">
        <v>4</v>
      </c>
      <c r="ON64" s="49">
        <v>1</v>
      </c>
      <c r="OO64" s="5"/>
      <c r="OP64" s="42">
        <f t="shared" si="397"/>
        <v>0</v>
      </c>
      <c r="OQ64" s="43">
        <f t="shared" si="398"/>
        <v>1</v>
      </c>
      <c r="OR64" s="30"/>
      <c r="OS64" s="47">
        <v>1</v>
      </c>
      <c r="OT64" s="48" t="s">
        <v>4</v>
      </c>
      <c r="OU64" s="49">
        <v>3</v>
      </c>
      <c r="OV64" s="5"/>
      <c r="OW64" s="42">
        <f t="shared" si="399"/>
        <v>0</v>
      </c>
      <c r="OX64" s="43">
        <f t="shared" si="400"/>
        <v>-2</v>
      </c>
      <c r="OY64" s="30"/>
      <c r="OZ64" s="47">
        <v>2</v>
      </c>
      <c r="PA64" s="48" t="s">
        <v>4</v>
      </c>
      <c r="PB64" s="49">
        <v>1</v>
      </c>
      <c r="PC64" s="5"/>
      <c r="PD64" s="42">
        <f t="shared" si="401"/>
        <v>0</v>
      </c>
      <c r="PE64" s="43">
        <f t="shared" si="402"/>
        <v>1</v>
      </c>
      <c r="PF64" s="30"/>
      <c r="PG64" s="47">
        <v>1</v>
      </c>
      <c r="PH64" s="48" t="s">
        <v>4</v>
      </c>
      <c r="PI64" s="49">
        <v>1</v>
      </c>
      <c r="PJ64" s="5"/>
      <c r="PK64" s="42">
        <f t="shared" si="403"/>
        <v>6</v>
      </c>
      <c r="PL64" s="43">
        <f t="shared" si="404"/>
        <v>0</v>
      </c>
      <c r="PM64" s="30"/>
      <c r="PN64" s="47">
        <v>2</v>
      </c>
      <c r="PO64" s="48" t="s">
        <v>4</v>
      </c>
      <c r="PP64" s="49">
        <v>2</v>
      </c>
      <c r="PQ64" s="5"/>
      <c r="PR64" s="42">
        <f t="shared" si="405"/>
        <v>4</v>
      </c>
      <c r="PS64" s="43">
        <f t="shared" si="406"/>
        <v>0</v>
      </c>
      <c r="PT64" s="30"/>
      <c r="PU64" s="47">
        <v>2</v>
      </c>
      <c r="PV64" s="48" t="s">
        <v>4</v>
      </c>
      <c r="PW64" s="49">
        <v>1</v>
      </c>
      <c r="PX64" s="5"/>
      <c r="PY64" s="42">
        <f t="shared" si="407"/>
        <v>0</v>
      </c>
      <c r="PZ64" s="43">
        <f t="shared" si="408"/>
        <v>1</v>
      </c>
      <c r="QA64" s="30"/>
      <c r="QB64" s="47">
        <v>2</v>
      </c>
      <c r="QC64" s="48" t="s">
        <v>4</v>
      </c>
      <c r="QD64" s="49">
        <v>2</v>
      </c>
      <c r="QE64" s="5"/>
      <c r="QF64" s="42">
        <f t="shared" si="409"/>
        <v>4</v>
      </c>
      <c r="QG64" s="43">
        <f t="shared" si="410"/>
        <v>0</v>
      </c>
      <c r="QH64" s="30"/>
      <c r="QI64" s="47">
        <v>1</v>
      </c>
      <c r="QJ64" s="48" t="s">
        <v>4</v>
      </c>
      <c r="QK64" s="49">
        <v>0</v>
      </c>
      <c r="QL64" s="5"/>
      <c r="QM64" s="42">
        <f t="shared" si="411"/>
        <v>0</v>
      </c>
      <c r="QN64" s="43">
        <f t="shared" si="412"/>
        <v>1</v>
      </c>
      <c r="QO64" s="30"/>
      <c r="QP64" s="47">
        <v>1</v>
      </c>
      <c r="QQ64" s="48" t="s">
        <v>4</v>
      </c>
      <c r="QR64" s="49">
        <v>2</v>
      </c>
      <c r="QS64" s="5"/>
      <c r="QT64" s="42">
        <f t="shared" si="413"/>
        <v>0</v>
      </c>
      <c r="QU64" s="43">
        <f t="shared" si="414"/>
        <v>-1</v>
      </c>
      <c r="QV64" s="30"/>
      <c r="QW64" s="47">
        <v>1</v>
      </c>
      <c r="QX64" s="48" t="s">
        <v>4</v>
      </c>
      <c r="QY64" s="49">
        <v>2</v>
      </c>
      <c r="QZ64" s="5"/>
      <c r="RA64" s="42">
        <f t="shared" si="415"/>
        <v>0</v>
      </c>
      <c r="RB64" s="43">
        <f t="shared" si="416"/>
        <v>-1</v>
      </c>
      <c r="RC64" s="30"/>
      <c r="RD64" s="47"/>
      <c r="RE64" s="48" t="s">
        <v>4</v>
      </c>
      <c r="RF64" s="49"/>
      <c r="RG64" s="5"/>
      <c r="RH64" s="42" t="str">
        <f t="shared" si="417"/>
        <v/>
      </c>
      <c r="RI64" s="43">
        <f t="shared" si="418"/>
        <v>0</v>
      </c>
      <c r="RJ64" s="30"/>
      <c r="RK64" s="47">
        <v>1</v>
      </c>
      <c r="RL64" s="48" t="s">
        <v>4</v>
      </c>
      <c r="RM64" s="49">
        <v>1</v>
      </c>
      <c r="RN64" s="5"/>
      <c r="RO64" s="42">
        <f t="shared" si="419"/>
        <v>6</v>
      </c>
      <c r="RP64" s="43">
        <f t="shared" si="420"/>
        <v>0</v>
      </c>
      <c r="RQ64" s="30"/>
      <c r="RR64" s="47">
        <v>1</v>
      </c>
      <c r="RS64" s="48" t="s">
        <v>4</v>
      </c>
      <c r="RT64" s="49">
        <v>1</v>
      </c>
      <c r="RU64" s="5"/>
      <c r="RV64" s="42">
        <f t="shared" si="421"/>
        <v>6</v>
      </c>
      <c r="RW64" s="43">
        <f t="shared" si="422"/>
        <v>0</v>
      </c>
      <c r="RX64" s="30"/>
      <c r="RY64" s="47">
        <v>1</v>
      </c>
      <c r="RZ64" s="48" t="s">
        <v>4</v>
      </c>
      <c r="SA64" s="49">
        <v>1</v>
      </c>
      <c r="SB64" s="5"/>
      <c r="SC64" s="42">
        <f t="shared" si="423"/>
        <v>6</v>
      </c>
      <c r="SD64" s="43">
        <f t="shared" si="424"/>
        <v>0</v>
      </c>
      <c r="SE64" s="30"/>
      <c r="SF64" s="47">
        <v>1</v>
      </c>
      <c r="SG64" s="48" t="s">
        <v>4</v>
      </c>
      <c r="SH64" s="49">
        <v>1</v>
      </c>
      <c r="SI64" s="5"/>
      <c r="SJ64" s="42">
        <f t="shared" si="425"/>
        <v>6</v>
      </c>
      <c r="SK64" s="43">
        <f t="shared" si="426"/>
        <v>0</v>
      </c>
      <c r="SL64" s="30"/>
      <c r="SM64" s="47">
        <v>2</v>
      </c>
      <c r="SN64" s="48" t="s">
        <v>4</v>
      </c>
      <c r="SO64" s="49">
        <v>1</v>
      </c>
      <c r="SP64" s="5"/>
      <c r="SQ64" s="42">
        <f t="shared" si="427"/>
        <v>0</v>
      </c>
      <c r="SR64" s="43">
        <f t="shared" si="428"/>
        <v>1</v>
      </c>
    </row>
    <row r="65" spans="1:512" customFormat="1" ht="16" customHeight="1" x14ac:dyDescent="0.15">
      <c r="A65" s="34">
        <v>46199</v>
      </c>
      <c r="B65" s="35">
        <v>4.1666666666666664E-2</v>
      </c>
      <c r="C65" s="79" t="s">
        <v>44</v>
      </c>
      <c r="D65" s="79" t="s">
        <v>23</v>
      </c>
      <c r="E65" s="2">
        <v>1</v>
      </c>
      <c r="F65" s="50" t="s">
        <v>4</v>
      </c>
      <c r="G65" s="1">
        <v>3</v>
      </c>
      <c r="H65" s="16">
        <v>4</v>
      </c>
      <c r="I65" s="32">
        <f t="shared" si="0"/>
        <v>-2</v>
      </c>
      <c r="J65" s="47">
        <v>1</v>
      </c>
      <c r="K65" s="48" t="s">
        <v>4</v>
      </c>
      <c r="L65" s="49">
        <v>2</v>
      </c>
      <c r="M65" s="5"/>
      <c r="N65" s="42">
        <f t="shared" si="1"/>
        <v>4</v>
      </c>
      <c r="O65" s="43">
        <f t="shared" si="2"/>
        <v>-1</v>
      </c>
      <c r="P65" s="43">
        <f>IF($I65=0,IF(AND(#REF!&gt;#REF!,OR(AND(T65="",Q65&gt;S65),T65=1)),1,IF(AND(#REF!&lt;#REF!,OR(AND(T65="",Q65&lt;S65),T65=2)),1,0)),0)</f>
        <v>0</v>
      </c>
      <c r="Q65" s="47">
        <v>0</v>
      </c>
      <c r="R65" s="48" t="s">
        <v>4</v>
      </c>
      <c r="S65" s="49">
        <v>2</v>
      </c>
      <c r="T65" s="5"/>
      <c r="U65" s="42">
        <f t="shared" si="287"/>
        <v>4</v>
      </c>
      <c r="V65" s="43">
        <f t="shared" si="288"/>
        <v>-2</v>
      </c>
      <c r="W65" s="30"/>
      <c r="X65" s="47">
        <v>1</v>
      </c>
      <c r="Y65" s="48" t="s">
        <v>4</v>
      </c>
      <c r="Z65" s="49">
        <v>2</v>
      </c>
      <c r="AA65" s="5"/>
      <c r="AB65" s="42">
        <f t="shared" si="289"/>
        <v>4</v>
      </c>
      <c r="AC65" s="43">
        <f t="shared" si="290"/>
        <v>-1</v>
      </c>
      <c r="AD65" s="30"/>
      <c r="AE65" s="47">
        <v>1</v>
      </c>
      <c r="AF65" s="48" t="s">
        <v>4</v>
      </c>
      <c r="AG65" s="49">
        <v>3</v>
      </c>
      <c r="AH65" s="5"/>
      <c r="AI65" s="42">
        <f t="shared" si="291"/>
        <v>6</v>
      </c>
      <c r="AJ65" s="43">
        <f t="shared" si="292"/>
        <v>-2</v>
      </c>
      <c r="AK65" s="30"/>
      <c r="AL65" s="47">
        <v>0</v>
      </c>
      <c r="AM65" s="48" t="s">
        <v>4</v>
      </c>
      <c r="AN65" s="49">
        <v>2</v>
      </c>
      <c r="AO65" s="5"/>
      <c r="AP65" s="42">
        <f t="shared" si="293"/>
        <v>4</v>
      </c>
      <c r="AQ65" s="43">
        <f t="shared" si="294"/>
        <v>-2</v>
      </c>
      <c r="AR65" s="30"/>
      <c r="AS65" s="47">
        <v>0</v>
      </c>
      <c r="AT65" s="48" t="s">
        <v>4</v>
      </c>
      <c r="AU65" s="49">
        <v>2</v>
      </c>
      <c r="AV65" s="5"/>
      <c r="AW65" s="42">
        <f t="shared" si="295"/>
        <v>4</v>
      </c>
      <c r="AX65" s="43">
        <f t="shared" si="296"/>
        <v>-2</v>
      </c>
      <c r="AY65" s="30"/>
      <c r="AZ65" s="47">
        <v>1</v>
      </c>
      <c r="BA65" s="48" t="s">
        <v>4</v>
      </c>
      <c r="BB65" s="49">
        <v>3</v>
      </c>
      <c r="BC65" s="5"/>
      <c r="BD65" s="42">
        <f t="shared" si="297"/>
        <v>6</v>
      </c>
      <c r="BE65" s="43">
        <f t="shared" si="298"/>
        <v>-2</v>
      </c>
      <c r="BF65" s="30"/>
      <c r="BG65" s="47">
        <v>1</v>
      </c>
      <c r="BH65" s="48" t="s">
        <v>4</v>
      </c>
      <c r="BI65" s="49">
        <v>2</v>
      </c>
      <c r="BJ65" s="5"/>
      <c r="BK65" s="42">
        <f t="shared" si="299"/>
        <v>4</v>
      </c>
      <c r="BL65" s="43">
        <f t="shared" si="300"/>
        <v>-1</v>
      </c>
      <c r="BM65" s="30"/>
      <c r="BN65" s="47">
        <v>1</v>
      </c>
      <c r="BO65" s="48" t="s">
        <v>4</v>
      </c>
      <c r="BP65" s="49">
        <v>2</v>
      </c>
      <c r="BQ65" s="5"/>
      <c r="BR65" s="42">
        <f t="shared" si="301"/>
        <v>4</v>
      </c>
      <c r="BS65" s="43">
        <f t="shared" si="302"/>
        <v>-1</v>
      </c>
      <c r="BT65" s="30"/>
      <c r="BU65" s="47">
        <v>1</v>
      </c>
      <c r="BV65" s="48" t="s">
        <v>4</v>
      </c>
      <c r="BW65" s="49">
        <v>3</v>
      </c>
      <c r="BX65" s="5"/>
      <c r="BY65" s="42">
        <f t="shared" si="303"/>
        <v>6</v>
      </c>
      <c r="BZ65" s="43">
        <f t="shared" si="304"/>
        <v>-2</v>
      </c>
      <c r="CA65" s="30"/>
      <c r="CB65" s="47">
        <v>1</v>
      </c>
      <c r="CC65" s="48" t="s">
        <v>4</v>
      </c>
      <c r="CD65" s="49">
        <v>3</v>
      </c>
      <c r="CE65" s="5"/>
      <c r="CF65" s="42">
        <f t="shared" si="305"/>
        <v>6</v>
      </c>
      <c r="CG65" s="43">
        <f t="shared" si="306"/>
        <v>-2</v>
      </c>
      <c r="CH65" s="30"/>
      <c r="CI65" s="47">
        <v>0</v>
      </c>
      <c r="CJ65" s="48" t="s">
        <v>4</v>
      </c>
      <c r="CK65" s="49">
        <v>2</v>
      </c>
      <c r="CL65" s="5"/>
      <c r="CM65" s="42">
        <f t="shared" si="307"/>
        <v>4</v>
      </c>
      <c r="CN65" s="43">
        <f t="shared" si="308"/>
        <v>-2</v>
      </c>
      <c r="CO65" s="30"/>
      <c r="CP65" s="47">
        <v>0</v>
      </c>
      <c r="CQ65" s="48" t="s">
        <v>4</v>
      </c>
      <c r="CR65" s="49">
        <v>2</v>
      </c>
      <c r="CS65" s="5"/>
      <c r="CT65" s="42">
        <f t="shared" si="309"/>
        <v>4</v>
      </c>
      <c r="CU65" s="43">
        <f t="shared" si="310"/>
        <v>-2</v>
      </c>
      <c r="CV65" s="30"/>
      <c r="CW65" s="47">
        <v>1</v>
      </c>
      <c r="CX65" s="48" t="s">
        <v>4</v>
      </c>
      <c r="CY65" s="49">
        <v>2</v>
      </c>
      <c r="CZ65" s="5"/>
      <c r="DA65" s="42">
        <f t="shared" si="311"/>
        <v>4</v>
      </c>
      <c r="DB65" s="43">
        <f t="shared" si="312"/>
        <v>-1</v>
      </c>
      <c r="DC65" s="30"/>
      <c r="DD65" s="47">
        <v>0</v>
      </c>
      <c r="DE65" s="48" t="s">
        <v>4</v>
      </c>
      <c r="DF65" s="49">
        <v>2</v>
      </c>
      <c r="DG65" s="5"/>
      <c r="DH65" s="42">
        <f t="shared" si="313"/>
        <v>4</v>
      </c>
      <c r="DI65" s="43">
        <f t="shared" si="314"/>
        <v>-2</v>
      </c>
      <c r="DJ65" s="30"/>
      <c r="DK65" s="47">
        <v>0</v>
      </c>
      <c r="DL65" s="48" t="s">
        <v>4</v>
      </c>
      <c r="DM65" s="49">
        <v>3</v>
      </c>
      <c r="DN65" s="5"/>
      <c r="DO65" s="42">
        <f t="shared" si="315"/>
        <v>4</v>
      </c>
      <c r="DP65" s="43">
        <f t="shared" si="316"/>
        <v>-3</v>
      </c>
      <c r="DQ65" s="30"/>
      <c r="DR65" s="47">
        <v>0</v>
      </c>
      <c r="DS65" s="48" t="s">
        <v>4</v>
      </c>
      <c r="DT65" s="49">
        <v>2</v>
      </c>
      <c r="DU65" s="5"/>
      <c r="DV65" s="42">
        <f t="shared" si="317"/>
        <v>4</v>
      </c>
      <c r="DW65" s="43">
        <f t="shared" si="318"/>
        <v>-2</v>
      </c>
      <c r="DX65" s="30"/>
      <c r="DY65" s="47">
        <v>0</v>
      </c>
      <c r="DZ65" s="48" t="s">
        <v>4</v>
      </c>
      <c r="EA65" s="49">
        <v>5</v>
      </c>
      <c r="EB65" s="5"/>
      <c r="EC65" s="42">
        <f t="shared" si="319"/>
        <v>4</v>
      </c>
      <c r="ED65" s="43">
        <f t="shared" si="320"/>
        <v>-5</v>
      </c>
      <c r="EE65" s="30"/>
      <c r="EF65" s="47">
        <v>0</v>
      </c>
      <c r="EG65" s="48" t="s">
        <v>4</v>
      </c>
      <c r="EH65" s="49">
        <v>1</v>
      </c>
      <c r="EI65" s="5"/>
      <c r="EJ65" s="42">
        <f t="shared" si="321"/>
        <v>4</v>
      </c>
      <c r="EK65" s="43">
        <f t="shared" si="322"/>
        <v>-1</v>
      </c>
      <c r="EL65" s="30"/>
      <c r="EM65" s="47">
        <v>1</v>
      </c>
      <c r="EN65" s="48" t="s">
        <v>4</v>
      </c>
      <c r="EO65" s="49">
        <v>3</v>
      </c>
      <c r="EP65" s="5"/>
      <c r="EQ65" s="42">
        <f t="shared" si="323"/>
        <v>6</v>
      </c>
      <c r="ER65" s="43">
        <f t="shared" si="324"/>
        <v>-2</v>
      </c>
      <c r="ES65" s="30"/>
      <c r="ET65" s="47">
        <v>2</v>
      </c>
      <c r="EU65" s="48" t="s">
        <v>4</v>
      </c>
      <c r="EV65" s="49">
        <v>2</v>
      </c>
      <c r="EW65" s="5"/>
      <c r="EX65" s="42">
        <f t="shared" si="325"/>
        <v>0</v>
      </c>
      <c r="EY65" s="43">
        <f t="shared" si="326"/>
        <v>0</v>
      </c>
      <c r="EZ65" s="30"/>
      <c r="FA65" s="47">
        <v>0</v>
      </c>
      <c r="FB65" s="48" t="s">
        <v>4</v>
      </c>
      <c r="FC65" s="49">
        <v>2</v>
      </c>
      <c r="FD65" s="5"/>
      <c r="FE65" s="42">
        <f t="shared" si="327"/>
        <v>4</v>
      </c>
      <c r="FF65" s="43">
        <f t="shared" si="328"/>
        <v>-2</v>
      </c>
      <c r="FG65" s="30"/>
      <c r="FH65" s="47">
        <v>1</v>
      </c>
      <c r="FI65" s="48" t="s">
        <v>4</v>
      </c>
      <c r="FJ65" s="49">
        <v>3</v>
      </c>
      <c r="FK65" s="5"/>
      <c r="FL65" s="42">
        <f t="shared" si="329"/>
        <v>6</v>
      </c>
      <c r="FM65" s="43">
        <f t="shared" si="330"/>
        <v>-2</v>
      </c>
      <c r="FN65" s="30"/>
      <c r="FO65" s="47">
        <v>0</v>
      </c>
      <c r="FP65" s="48" t="s">
        <v>4</v>
      </c>
      <c r="FQ65" s="49">
        <v>2</v>
      </c>
      <c r="FR65" s="5"/>
      <c r="FS65" s="42">
        <f t="shared" si="331"/>
        <v>4</v>
      </c>
      <c r="FT65" s="43">
        <f t="shared" si="332"/>
        <v>-2</v>
      </c>
      <c r="FU65" s="30"/>
      <c r="FV65" s="47">
        <v>1</v>
      </c>
      <c r="FW65" s="48" t="s">
        <v>4</v>
      </c>
      <c r="FX65" s="49">
        <v>1</v>
      </c>
      <c r="FY65" s="5"/>
      <c r="FZ65" s="42">
        <f t="shared" si="333"/>
        <v>0</v>
      </c>
      <c r="GA65" s="43">
        <f t="shared" si="334"/>
        <v>0</v>
      </c>
      <c r="GB65" s="30"/>
      <c r="GC65" s="47">
        <v>0</v>
      </c>
      <c r="GD65" s="48" t="s">
        <v>4</v>
      </c>
      <c r="GE65" s="49">
        <v>2</v>
      </c>
      <c r="GF65" s="5"/>
      <c r="GG65" s="42">
        <f t="shared" si="335"/>
        <v>4</v>
      </c>
      <c r="GH65" s="43">
        <f t="shared" si="336"/>
        <v>-2</v>
      </c>
      <c r="GI65" s="30"/>
      <c r="GJ65" s="47">
        <v>0</v>
      </c>
      <c r="GK65" s="48" t="s">
        <v>4</v>
      </c>
      <c r="GL65" s="49">
        <v>2</v>
      </c>
      <c r="GM65" s="5"/>
      <c r="GN65" s="42">
        <f t="shared" si="337"/>
        <v>4</v>
      </c>
      <c r="GO65" s="43">
        <f t="shared" si="338"/>
        <v>-2</v>
      </c>
      <c r="GP65" s="30"/>
      <c r="GQ65" s="47">
        <v>0</v>
      </c>
      <c r="GR65" s="48" t="s">
        <v>4</v>
      </c>
      <c r="GS65" s="49">
        <v>3</v>
      </c>
      <c r="GT65" s="5"/>
      <c r="GU65" s="42">
        <f t="shared" si="339"/>
        <v>4</v>
      </c>
      <c r="GV65" s="43">
        <f t="shared" si="340"/>
        <v>-3</v>
      </c>
      <c r="GW65" s="30"/>
      <c r="GX65" s="47">
        <v>0</v>
      </c>
      <c r="GY65" s="48" t="s">
        <v>4</v>
      </c>
      <c r="GZ65" s="49">
        <v>3</v>
      </c>
      <c r="HA65" s="5"/>
      <c r="HB65" s="42">
        <f t="shared" si="341"/>
        <v>4</v>
      </c>
      <c r="HC65" s="43">
        <f t="shared" si="342"/>
        <v>-3</v>
      </c>
      <c r="HD65" s="30"/>
      <c r="HE65" s="47">
        <v>0</v>
      </c>
      <c r="HF65" s="48" t="s">
        <v>4</v>
      </c>
      <c r="HG65" s="49">
        <v>3</v>
      </c>
      <c r="HH65" s="5"/>
      <c r="HI65" s="42">
        <f t="shared" si="343"/>
        <v>4</v>
      </c>
      <c r="HJ65" s="43">
        <f t="shared" si="344"/>
        <v>-3</v>
      </c>
      <c r="HK65" s="30"/>
      <c r="HL65" s="47">
        <v>0</v>
      </c>
      <c r="HM65" s="48" t="s">
        <v>4</v>
      </c>
      <c r="HN65" s="49">
        <v>3</v>
      </c>
      <c r="HO65" s="5"/>
      <c r="HP65" s="42">
        <f t="shared" si="345"/>
        <v>4</v>
      </c>
      <c r="HQ65" s="43">
        <f t="shared" si="346"/>
        <v>-3</v>
      </c>
      <c r="HR65" s="30"/>
      <c r="HS65" s="47">
        <v>0</v>
      </c>
      <c r="HT65" s="48" t="s">
        <v>4</v>
      </c>
      <c r="HU65" s="49">
        <v>2</v>
      </c>
      <c r="HV65" s="5"/>
      <c r="HW65" s="42">
        <f t="shared" si="347"/>
        <v>4</v>
      </c>
      <c r="HX65" s="43">
        <f t="shared" si="348"/>
        <v>-2</v>
      </c>
      <c r="HY65" s="30"/>
      <c r="HZ65" s="47">
        <v>1</v>
      </c>
      <c r="IA65" s="48" t="s">
        <v>4</v>
      </c>
      <c r="IB65" s="49">
        <v>3</v>
      </c>
      <c r="IC65" s="5"/>
      <c r="ID65" s="42">
        <f t="shared" si="349"/>
        <v>6</v>
      </c>
      <c r="IE65" s="43">
        <f t="shared" si="350"/>
        <v>-2</v>
      </c>
      <c r="IF65" s="30"/>
      <c r="IG65" s="47">
        <v>2</v>
      </c>
      <c r="IH65" s="48" t="s">
        <v>4</v>
      </c>
      <c r="II65" s="49">
        <v>4</v>
      </c>
      <c r="IJ65" s="5"/>
      <c r="IK65" s="42">
        <f t="shared" si="351"/>
        <v>4</v>
      </c>
      <c r="IL65" s="43">
        <f t="shared" si="352"/>
        <v>-2</v>
      </c>
      <c r="IM65" s="30"/>
      <c r="IN65" s="47">
        <v>1</v>
      </c>
      <c r="IO65" s="48" t="s">
        <v>4</v>
      </c>
      <c r="IP65" s="49">
        <v>2</v>
      </c>
      <c r="IQ65" s="5"/>
      <c r="IR65" s="42">
        <f t="shared" si="353"/>
        <v>4</v>
      </c>
      <c r="IS65" s="43">
        <f t="shared" si="354"/>
        <v>-1</v>
      </c>
      <c r="IT65" s="30"/>
      <c r="IU65" s="47">
        <v>0</v>
      </c>
      <c r="IV65" s="48" t="s">
        <v>4</v>
      </c>
      <c r="IW65" s="49">
        <v>2</v>
      </c>
      <c r="IX65" s="5"/>
      <c r="IY65" s="42">
        <f t="shared" si="355"/>
        <v>4</v>
      </c>
      <c r="IZ65" s="43">
        <f t="shared" si="356"/>
        <v>-2</v>
      </c>
      <c r="JA65" s="30"/>
      <c r="JB65" s="47">
        <v>2</v>
      </c>
      <c r="JC65" s="48" t="s">
        <v>4</v>
      </c>
      <c r="JD65" s="49">
        <v>2</v>
      </c>
      <c r="JE65" s="5"/>
      <c r="JF65" s="42">
        <f t="shared" si="357"/>
        <v>0</v>
      </c>
      <c r="JG65" s="43">
        <f t="shared" si="358"/>
        <v>0</v>
      </c>
      <c r="JH65" s="30"/>
      <c r="JI65" s="47">
        <v>0</v>
      </c>
      <c r="JJ65" s="48" t="s">
        <v>4</v>
      </c>
      <c r="JK65" s="49">
        <v>4</v>
      </c>
      <c r="JL65" s="5"/>
      <c r="JM65" s="42">
        <f t="shared" si="359"/>
        <v>4</v>
      </c>
      <c r="JN65" s="43">
        <f t="shared" si="360"/>
        <v>-4</v>
      </c>
      <c r="JO65" s="30"/>
      <c r="JP65" s="47">
        <v>2</v>
      </c>
      <c r="JQ65" s="48" t="s">
        <v>4</v>
      </c>
      <c r="JR65" s="49">
        <v>2</v>
      </c>
      <c r="JS65" s="5"/>
      <c r="JT65" s="42">
        <f t="shared" si="361"/>
        <v>0</v>
      </c>
      <c r="JU65" s="43">
        <f t="shared" si="362"/>
        <v>0</v>
      </c>
      <c r="JV65" s="30"/>
      <c r="JW65" s="47">
        <v>1</v>
      </c>
      <c r="JX65" s="48" t="s">
        <v>4</v>
      </c>
      <c r="JY65" s="49">
        <v>1</v>
      </c>
      <c r="JZ65" s="5"/>
      <c r="KA65" s="42">
        <f t="shared" si="363"/>
        <v>0</v>
      </c>
      <c r="KB65" s="43">
        <f t="shared" si="364"/>
        <v>0</v>
      </c>
      <c r="KC65" s="30"/>
      <c r="KD65" s="47">
        <v>1</v>
      </c>
      <c r="KE65" s="48" t="s">
        <v>4</v>
      </c>
      <c r="KF65" s="49">
        <v>2</v>
      </c>
      <c r="KG65" s="5"/>
      <c r="KH65" s="42">
        <f t="shared" si="365"/>
        <v>4</v>
      </c>
      <c r="KI65" s="43">
        <f t="shared" si="366"/>
        <v>-1</v>
      </c>
      <c r="KJ65" s="30"/>
      <c r="KK65" s="47">
        <v>0</v>
      </c>
      <c r="KL65" s="48" t="s">
        <v>4</v>
      </c>
      <c r="KM65" s="49">
        <v>1</v>
      </c>
      <c r="KN65" s="5"/>
      <c r="KO65" s="42">
        <f t="shared" si="367"/>
        <v>4</v>
      </c>
      <c r="KP65" s="43">
        <f t="shared" si="368"/>
        <v>-1</v>
      </c>
      <c r="KQ65" s="30"/>
      <c r="KR65" s="47">
        <v>2</v>
      </c>
      <c r="KS65" s="48" t="s">
        <v>4</v>
      </c>
      <c r="KT65" s="49">
        <v>1</v>
      </c>
      <c r="KU65" s="5"/>
      <c r="KV65" s="42">
        <f t="shared" si="369"/>
        <v>0</v>
      </c>
      <c r="KW65" s="43">
        <f t="shared" si="370"/>
        <v>1</v>
      </c>
      <c r="KX65" s="30"/>
      <c r="KY65" s="47">
        <v>1</v>
      </c>
      <c r="KZ65" s="48" t="s">
        <v>4</v>
      </c>
      <c r="LA65" s="49">
        <v>2</v>
      </c>
      <c r="LB65" s="5"/>
      <c r="LC65" s="42">
        <f t="shared" si="371"/>
        <v>4</v>
      </c>
      <c r="LD65" s="43">
        <f t="shared" si="372"/>
        <v>-1</v>
      </c>
      <c r="LE65" s="30"/>
      <c r="LF65" s="47">
        <v>1</v>
      </c>
      <c r="LG65" s="48" t="s">
        <v>4</v>
      </c>
      <c r="LH65" s="49">
        <v>3</v>
      </c>
      <c r="LI65" s="5"/>
      <c r="LJ65" s="42">
        <f t="shared" si="373"/>
        <v>6</v>
      </c>
      <c r="LK65" s="43">
        <f t="shared" si="374"/>
        <v>-2</v>
      </c>
      <c r="LL65" s="30"/>
      <c r="LM65" s="47">
        <v>1</v>
      </c>
      <c r="LN65" s="48" t="s">
        <v>4</v>
      </c>
      <c r="LO65" s="49">
        <v>2</v>
      </c>
      <c r="LP65" s="5"/>
      <c r="LQ65" s="42">
        <f t="shared" si="375"/>
        <v>4</v>
      </c>
      <c r="LR65" s="43">
        <f t="shared" si="376"/>
        <v>-1</v>
      </c>
      <c r="LS65" s="30"/>
      <c r="LT65" s="47">
        <v>0</v>
      </c>
      <c r="LU65" s="48" t="s">
        <v>4</v>
      </c>
      <c r="LV65" s="49">
        <v>1</v>
      </c>
      <c r="LW65" s="5"/>
      <c r="LX65" s="42">
        <f t="shared" si="377"/>
        <v>4</v>
      </c>
      <c r="LY65" s="43">
        <f t="shared" si="378"/>
        <v>-1</v>
      </c>
      <c r="LZ65" s="30"/>
      <c r="MA65" s="47">
        <v>1</v>
      </c>
      <c r="MB65" s="48" t="s">
        <v>4</v>
      </c>
      <c r="MC65" s="49">
        <v>4</v>
      </c>
      <c r="MD65" s="5"/>
      <c r="ME65" s="42">
        <f t="shared" si="379"/>
        <v>4</v>
      </c>
      <c r="MF65" s="43">
        <f t="shared" si="380"/>
        <v>-3</v>
      </c>
      <c r="MG65" s="30"/>
      <c r="MH65" s="47">
        <v>1</v>
      </c>
      <c r="MI65" s="48" t="s">
        <v>4</v>
      </c>
      <c r="MJ65" s="49">
        <v>3</v>
      </c>
      <c r="MK65" s="5"/>
      <c r="ML65" s="42">
        <f t="shared" si="381"/>
        <v>6</v>
      </c>
      <c r="MM65" s="43">
        <f t="shared" si="382"/>
        <v>-2</v>
      </c>
      <c r="MN65" s="30"/>
      <c r="MO65" s="47">
        <v>1</v>
      </c>
      <c r="MP65" s="48" t="s">
        <v>4</v>
      </c>
      <c r="MQ65" s="49">
        <v>2</v>
      </c>
      <c r="MR65" s="5"/>
      <c r="MS65" s="42">
        <f t="shared" si="383"/>
        <v>4</v>
      </c>
      <c r="MT65" s="43">
        <f t="shared" si="384"/>
        <v>-1</v>
      </c>
      <c r="MU65" s="30"/>
      <c r="MV65" s="47">
        <v>1</v>
      </c>
      <c r="MW65" s="48" t="s">
        <v>4</v>
      </c>
      <c r="MX65" s="49">
        <v>2</v>
      </c>
      <c r="MY65" s="5"/>
      <c r="MZ65" s="42">
        <f t="shared" si="385"/>
        <v>4</v>
      </c>
      <c r="NA65" s="43">
        <f t="shared" si="386"/>
        <v>-1</v>
      </c>
      <c r="NB65" s="30"/>
      <c r="NC65" s="47">
        <v>2</v>
      </c>
      <c r="ND65" s="48" t="s">
        <v>4</v>
      </c>
      <c r="NE65" s="49">
        <v>0</v>
      </c>
      <c r="NF65" s="5"/>
      <c r="NG65" s="42">
        <f t="shared" si="387"/>
        <v>0</v>
      </c>
      <c r="NH65" s="43">
        <f t="shared" si="388"/>
        <v>2</v>
      </c>
      <c r="NI65" s="30"/>
      <c r="NJ65" s="47">
        <v>2</v>
      </c>
      <c r="NK65" s="48" t="s">
        <v>4</v>
      </c>
      <c r="NL65" s="49">
        <v>2</v>
      </c>
      <c r="NM65" s="5"/>
      <c r="NN65" s="42">
        <f t="shared" si="389"/>
        <v>0</v>
      </c>
      <c r="NO65" s="43">
        <f t="shared" si="390"/>
        <v>0</v>
      </c>
      <c r="NP65" s="30"/>
      <c r="NQ65" s="47">
        <v>0</v>
      </c>
      <c r="NR65" s="48" t="s">
        <v>4</v>
      </c>
      <c r="NS65" s="49">
        <v>2</v>
      </c>
      <c r="NT65" s="5"/>
      <c r="NU65" s="42">
        <f t="shared" si="391"/>
        <v>4</v>
      </c>
      <c r="NV65" s="43">
        <f t="shared" si="392"/>
        <v>-2</v>
      </c>
      <c r="NW65" s="30"/>
      <c r="NX65" s="47">
        <v>0</v>
      </c>
      <c r="NY65" s="48" t="s">
        <v>4</v>
      </c>
      <c r="NZ65" s="49">
        <v>2</v>
      </c>
      <c r="OA65" s="5"/>
      <c r="OB65" s="42">
        <f t="shared" si="393"/>
        <v>4</v>
      </c>
      <c r="OC65" s="43">
        <f t="shared" si="394"/>
        <v>-2</v>
      </c>
      <c r="OD65" s="30"/>
      <c r="OE65" s="47">
        <v>1</v>
      </c>
      <c r="OF65" s="48" t="s">
        <v>4</v>
      </c>
      <c r="OG65" s="49">
        <v>4</v>
      </c>
      <c r="OH65" s="5"/>
      <c r="OI65" s="42">
        <f t="shared" si="395"/>
        <v>4</v>
      </c>
      <c r="OJ65" s="43">
        <f t="shared" si="396"/>
        <v>-3</v>
      </c>
      <c r="OK65" s="30"/>
      <c r="OL65" s="47">
        <v>1</v>
      </c>
      <c r="OM65" s="48" t="s">
        <v>4</v>
      </c>
      <c r="ON65" s="49">
        <v>4</v>
      </c>
      <c r="OO65" s="5"/>
      <c r="OP65" s="42">
        <f t="shared" si="397"/>
        <v>4</v>
      </c>
      <c r="OQ65" s="43">
        <f t="shared" si="398"/>
        <v>-3</v>
      </c>
      <c r="OR65" s="30"/>
      <c r="OS65" s="47">
        <v>2</v>
      </c>
      <c r="OT65" s="48" t="s">
        <v>4</v>
      </c>
      <c r="OU65" s="49">
        <v>1</v>
      </c>
      <c r="OV65" s="5"/>
      <c r="OW65" s="42">
        <f t="shared" si="399"/>
        <v>0</v>
      </c>
      <c r="OX65" s="43">
        <f t="shared" si="400"/>
        <v>1</v>
      </c>
      <c r="OY65" s="30"/>
      <c r="OZ65" s="47">
        <v>1</v>
      </c>
      <c r="PA65" s="48" t="s">
        <v>4</v>
      </c>
      <c r="PB65" s="49">
        <v>2</v>
      </c>
      <c r="PC65" s="5"/>
      <c r="PD65" s="42">
        <f t="shared" si="401"/>
        <v>4</v>
      </c>
      <c r="PE65" s="43">
        <f t="shared" si="402"/>
        <v>-1</v>
      </c>
      <c r="PF65" s="30"/>
      <c r="PG65" s="47">
        <v>1</v>
      </c>
      <c r="PH65" s="48" t="s">
        <v>4</v>
      </c>
      <c r="PI65" s="49">
        <v>2</v>
      </c>
      <c r="PJ65" s="5"/>
      <c r="PK65" s="42">
        <f t="shared" si="403"/>
        <v>4</v>
      </c>
      <c r="PL65" s="43">
        <f t="shared" si="404"/>
        <v>-1</v>
      </c>
      <c r="PM65" s="30"/>
      <c r="PN65" s="47">
        <v>1</v>
      </c>
      <c r="PO65" s="48" t="s">
        <v>4</v>
      </c>
      <c r="PP65" s="49">
        <v>2</v>
      </c>
      <c r="PQ65" s="5"/>
      <c r="PR65" s="42">
        <f t="shared" si="405"/>
        <v>4</v>
      </c>
      <c r="PS65" s="43">
        <f t="shared" si="406"/>
        <v>-1</v>
      </c>
      <c r="PT65" s="30"/>
      <c r="PU65" s="47">
        <v>2</v>
      </c>
      <c r="PV65" s="48" t="s">
        <v>4</v>
      </c>
      <c r="PW65" s="49">
        <v>2</v>
      </c>
      <c r="PX65" s="5"/>
      <c r="PY65" s="42">
        <f t="shared" si="407"/>
        <v>0</v>
      </c>
      <c r="PZ65" s="43">
        <f t="shared" si="408"/>
        <v>0</v>
      </c>
      <c r="QA65" s="30"/>
      <c r="QB65" s="47">
        <v>1</v>
      </c>
      <c r="QC65" s="48" t="s">
        <v>4</v>
      </c>
      <c r="QD65" s="49">
        <v>3</v>
      </c>
      <c r="QE65" s="5"/>
      <c r="QF65" s="42">
        <f t="shared" si="409"/>
        <v>6</v>
      </c>
      <c r="QG65" s="43">
        <f t="shared" si="410"/>
        <v>-2</v>
      </c>
      <c r="QH65" s="30"/>
      <c r="QI65" s="47">
        <v>0</v>
      </c>
      <c r="QJ65" s="48" t="s">
        <v>4</v>
      </c>
      <c r="QK65" s="49">
        <v>2</v>
      </c>
      <c r="QL65" s="5"/>
      <c r="QM65" s="42">
        <f t="shared" si="411"/>
        <v>4</v>
      </c>
      <c r="QN65" s="43">
        <f t="shared" si="412"/>
        <v>-2</v>
      </c>
      <c r="QO65" s="30"/>
      <c r="QP65" s="47">
        <v>2</v>
      </c>
      <c r="QQ65" s="48" t="s">
        <v>4</v>
      </c>
      <c r="QR65" s="49">
        <v>0</v>
      </c>
      <c r="QS65" s="5"/>
      <c r="QT65" s="42">
        <f t="shared" si="413"/>
        <v>0</v>
      </c>
      <c r="QU65" s="43">
        <f t="shared" si="414"/>
        <v>2</v>
      </c>
      <c r="QV65" s="30"/>
      <c r="QW65" s="47">
        <v>2</v>
      </c>
      <c r="QX65" s="48" t="s">
        <v>4</v>
      </c>
      <c r="QY65" s="49">
        <v>2</v>
      </c>
      <c r="QZ65" s="5"/>
      <c r="RA65" s="42">
        <f t="shared" si="415"/>
        <v>0</v>
      </c>
      <c r="RB65" s="43">
        <f t="shared" si="416"/>
        <v>0</v>
      </c>
      <c r="RC65" s="30"/>
      <c r="RD65" s="47"/>
      <c r="RE65" s="48" t="s">
        <v>4</v>
      </c>
      <c r="RF65" s="49"/>
      <c r="RG65" s="5"/>
      <c r="RH65" s="42" t="str">
        <f t="shared" si="417"/>
        <v/>
      </c>
      <c r="RI65" s="43">
        <f t="shared" si="418"/>
        <v>0</v>
      </c>
      <c r="RJ65" s="30"/>
      <c r="RK65" s="47">
        <v>0</v>
      </c>
      <c r="RL65" s="48" t="s">
        <v>4</v>
      </c>
      <c r="RM65" s="49">
        <v>1</v>
      </c>
      <c r="RN65" s="5"/>
      <c r="RO65" s="42">
        <f t="shared" si="419"/>
        <v>4</v>
      </c>
      <c r="RP65" s="43">
        <f t="shared" si="420"/>
        <v>-1</v>
      </c>
      <c r="RQ65" s="30"/>
      <c r="RR65" s="47">
        <v>0</v>
      </c>
      <c r="RS65" s="48" t="s">
        <v>4</v>
      </c>
      <c r="RT65" s="49">
        <v>1</v>
      </c>
      <c r="RU65" s="5"/>
      <c r="RV65" s="42">
        <f t="shared" si="421"/>
        <v>4</v>
      </c>
      <c r="RW65" s="43">
        <f t="shared" si="422"/>
        <v>-1</v>
      </c>
      <c r="RX65" s="30"/>
      <c r="RY65" s="47">
        <v>0</v>
      </c>
      <c r="RZ65" s="48" t="s">
        <v>4</v>
      </c>
      <c r="SA65" s="49">
        <v>1</v>
      </c>
      <c r="SB65" s="5"/>
      <c r="SC65" s="42">
        <f t="shared" si="423"/>
        <v>4</v>
      </c>
      <c r="SD65" s="43">
        <f t="shared" si="424"/>
        <v>-1</v>
      </c>
      <c r="SE65" s="30"/>
      <c r="SF65" s="47">
        <v>0</v>
      </c>
      <c r="SG65" s="48" t="s">
        <v>4</v>
      </c>
      <c r="SH65" s="49">
        <v>1</v>
      </c>
      <c r="SI65" s="5"/>
      <c r="SJ65" s="42">
        <f t="shared" si="425"/>
        <v>4</v>
      </c>
      <c r="SK65" s="43">
        <f t="shared" si="426"/>
        <v>-1</v>
      </c>
      <c r="SL65" s="30"/>
      <c r="SM65" s="47">
        <v>1</v>
      </c>
      <c r="SN65" s="48" t="s">
        <v>4</v>
      </c>
      <c r="SO65" s="49">
        <v>2</v>
      </c>
      <c r="SP65" s="5"/>
      <c r="SQ65" s="42">
        <f t="shared" si="427"/>
        <v>4</v>
      </c>
      <c r="SR65" s="43">
        <f t="shared" si="428"/>
        <v>-1</v>
      </c>
    </row>
    <row r="66" spans="1:512" customFormat="1" ht="16" customHeight="1" x14ac:dyDescent="0.15">
      <c r="A66" s="51">
        <v>46199</v>
      </c>
      <c r="B66" s="46">
        <v>0.16666666666666666</v>
      </c>
      <c r="C66" s="79" t="s">
        <v>25</v>
      </c>
      <c r="D66" s="79" t="s">
        <v>32</v>
      </c>
      <c r="E66" s="2">
        <v>3</v>
      </c>
      <c r="F66" s="50" t="s">
        <v>4</v>
      </c>
      <c r="G66" s="1">
        <v>2</v>
      </c>
      <c r="H66" s="45">
        <v>0.2</v>
      </c>
      <c r="I66" s="32">
        <f t="shared" si="0"/>
        <v>1</v>
      </c>
      <c r="J66" s="47">
        <v>3</v>
      </c>
      <c r="K66" s="48" t="s">
        <v>4</v>
      </c>
      <c r="L66" s="49">
        <v>1</v>
      </c>
      <c r="M66" s="5"/>
      <c r="N66" s="42">
        <f t="shared" si="1"/>
        <v>0.2</v>
      </c>
      <c r="O66" s="43">
        <f t="shared" si="2"/>
        <v>2</v>
      </c>
      <c r="P66" s="43">
        <f>IF($I66=0,IF(AND(#REF!&gt;#REF!,OR(AND(T66="",Q66&gt;S66),T66=1)),1,IF(AND(#REF!&lt;#REF!,OR(AND(T66="",Q66&lt;S66),T66=2)),1,0)),0)</f>
        <v>0</v>
      </c>
      <c r="Q66" s="47">
        <v>10</v>
      </c>
      <c r="R66" s="48" t="s">
        <v>4</v>
      </c>
      <c r="S66" s="49">
        <v>0</v>
      </c>
      <c r="T66" s="5"/>
      <c r="U66" s="42">
        <f t="shared" si="287"/>
        <v>0.2</v>
      </c>
      <c r="V66" s="43">
        <f t="shared" si="288"/>
        <v>10</v>
      </c>
      <c r="W66" s="30"/>
      <c r="X66" s="47">
        <v>3</v>
      </c>
      <c r="Y66" s="48" t="s">
        <v>4</v>
      </c>
      <c r="Z66" s="49">
        <v>1</v>
      </c>
      <c r="AA66" s="5"/>
      <c r="AB66" s="42">
        <f t="shared" si="289"/>
        <v>0.2</v>
      </c>
      <c r="AC66" s="43">
        <f t="shared" si="290"/>
        <v>2</v>
      </c>
      <c r="AD66" s="30"/>
      <c r="AE66" s="47">
        <v>2</v>
      </c>
      <c r="AF66" s="48" t="s">
        <v>4</v>
      </c>
      <c r="AG66" s="49">
        <v>0</v>
      </c>
      <c r="AH66" s="5"/>
      <c r="AI66" s="42">
        <f t="shared" si="291"/>
        <v>0.2</v>
      </c>
      <c r="AJ66" s="43">
        <f t="shared" si="292"/>
        <v>2</v>
      </c>
      <c r="AK66" s="30"/>
      <c r="AL66" s="47">
        <v>1</v>
      </c>
      <c r="AM66" s="48" t="s">
        <v>4</v>
      </c>
      <c r="AN66" s="49">
        <v>1</v>
      </c>
      <c r="AO66" s="5"/>
      <c r="AP66" s="42">
        <f t="shared" si="293"/>
        <v>0</v>
      </c>
      <c r="AQ66" s="43">
        <f t="shared" si="294"/>
        <v>0</v>
      </c>
      <c r="AR66" s="30"/>
      <c r="AS66" s="47">
        <v>3</v>
      </c>
      <c r="AT66" s="48" t="s">
        <v>4</v>
      </c>
      <c r="AU66" s="49">
        <v>1</v>
      </c>
      <c r="AV66" s="5"/>
      <c r="AW66" s="42">
        <f t="shared" si="295"/>
        <v>0.2</v>
      </c>
      <c r="AX66" s="43">
        <f t="shared" si="296"/>
        <v>2</v>
      </c>
      <c r="AY66" s="30"/>
      <c r="AZ66" s="47">
        <v>4</v>
      </c>
      <c r="BA66" s="48" t="s">
        <v>4</v>
      </c>
      <c r="BB66" s="49">
        <v>0</v>
      </c>
      <c r="BC66" s="5"/>
      <c r="BD66" s="42">
        <f t="shared" si="297"/>
        <v>0.2</v>
      </c>
      <c r="BE66" s="43">
        <f t="shared" si="298"/>
        <v>4</v>
      </c>
      <c r="BF66" s="30"/>
      <c r="BG66" s="47">
        <v>2</v>
      </c>
      <c r="BH66" s="48" t="s">
        <v>4</v>
      </c>
      <c r="BI66" s="49">
        <v>1</v>
      </c>
      <c r="BJ66" s="5"/>
      <c r="BK66" s="42">
        <f t="shared" si="299"/>
        <v>0.2</v>
      </c>
      <c r="BL66" s="43">
        <f t="shared" si="300"/>
        <v>1</v>
      </c>
      <c r="BM66" s="30"/>
      <c r="BN66" s="47">
        <v>3</v>
      </c>
      <c r="BO66" s="48" t="s">
        <v>4</v>
      </c>
      <c r="BP66" s="49">
        <v>1</v>
      </c>
      <c r="BQ66" s="5"/>
      <c r="BR66" s="42">
        <f t="shared" si="301"/>
        <v>0.2</v>
      </c>
      <c r="BS66" s="43">
        <f t="shared" si="302"/>
        <v>2</v>
      </c>
      <c r="BT66" s="30"/>
      <c r="BU66" s="47">
        <v>1</v>
      </c>
      <c r="BV66" s="48" t="s">
        <v>4</v>
      </c>
      <c r="BW66" s="49">
        <v>1</v>
      </c>
      <c r="BX66" s="5"/>
      <c r="BY66" s="42">
        <f t="shared" si="303"/>
        <v>0</v>
      </c>
      <c r="BZ66" s="43">
        <f t="shared" si="304"/>
        <v>0</v>
      </c>
      <c r="CA66" s="30"/>
      <c r="CB66" s="47">
        <v>0</v>
      </c>
      <c r="CC66" s="48" t="s">
        <v>4</v>
      </c>
      <c r="CD66" s="49">
        <v>0</v>
      </c>
      <c r="CE66" s="5"/>
      <c r="CF66" s="42">
        <f t="shared" si="305"/>
        <v>0</v>
      </c>
      <c r="CG66" s="43">
        <f t="shared" si="306"/>
        <v>0</v>
      </c>
      <c r="CH66" s="30"/>
      <c r="CI66" s="47">
        <v>1</v>
      </c>
      <c r="CJ66" s="48" t="s">
        <v>4</v>
      </c>
      <c r="CK66" s="49">
        <v>1</v>
      </c>
      <c r="CL66" s="5"/>
      <c r="CM66" s="42">
        <f t="shared" si="307"/>
        <v>0</v>
      </c>
      <c r="CN66" s="43">
        <f t="shared" si="308"/>
        <v>0</v>
      </c>
      <c r="CO66" s="30"/>
      <c r="CP66" s="47">
        <v>1</v>
      </c>
      <c r="CQ66" s="48" t="s">
        <v>4</v>
      </c>
      <c r="CR66" s="49">
        <v>1</v>
      </c>
      <c r="CS66" s="5"/>
      <c r="CT66" s="42">
        <f t="shared" si="309"/>
        <v>0</v>
      </c>
      <c r="CU66" s="43">
        <f t="shared" si="310"/>
        <v>0</v>
      </c>
      <c r="CV66" s="30"/>
      <c r="CW66" s="47">
        <v>1</v>
      </c>
      <c r="CX66" s="48" t="s">
        <v>4</v>
      </c>
      <c r="CY66" s="49">
        <v>1</v>
      </c>
      <c r="CZ66" s="5"/>
      <c r="DA66" s="42">
        <f t="shared" si="311"/>
        <v>0</v>
      </c>
      <c r="DB66" s="43">
        <f t="shared" si="312"/>
        <v>0</v>
      </c>
      <c r="DC66" s="30"/>
      <c r="DD66" s="47">
        <v>1</v>
      </c>
      <c r="DE66" s="48" t="s">
        <v>4</v>
      </c>
      <c r="DF66" s="49">
        <v>1</v>
      </c>
      <c r="DG66" s="5"/>
      <c r="DH66" s="42">
        <f t="shared" si="313"/>
        <v>0</v>
      </c>
      <c r="DI66" s="43">
        <f t="shared" si="314"/>
        <v>0</v>
      </c>
      <c r="DJ66" s="30"/>
      <c r="DK66" s="47">
        <v>1</v>
      </c>
      <c r="DL66" s="48" t="s">
        <v>4</v>
      </c>
      <c r="DM66" s="49">
        <v>0</v>
      </c>
      <c r="DN66" s="5"/>
      <c r="DO66" s="42">
        <f t="shared" si="315"/>
        <v>0.2</v>
      </c>
      <c r="DP66" s="43">
        <f t="shared" si="316"/>
        <v>1</v>
      </c>
      <c r="DQ66" s="30"/>
      <c r="DR66" s="47">
        <v>2</v>
      </c>
      <c r="DS66" s="48" t="s">
        <v>4</v>
      </c>
      <c r="DT66" s="49">
        <v>0</v>
      </c>
      <c r="DU66" s="5"/>
      <c r="DV66" s="42">
        <f t="shared" si="317"/>
        <v>0.2</v>
      </c>
      <c r="DW66" s="43">
        <f t="shared" si="318"/>
        <v>2</v>
      </c>
      <c r="DX66" s="30"/>
      <c r="DY66" s="47">
        <v>1</v>
      </c>
      <c r="DZ66" s="48" t="s">
        <v>4</v>
      </c>
      <c r="EA66" s="49">
        <v>0</v>
      </c>
      <c r="EB66" s="5"/>
      <c r="EC66" s="42">
        <f t="shared" si="319"/>
        <v>0.2</v>
      </c>
      <c r="ED66" s="43">
        <f t="shared" si="320"/>
        <v>1</v>
      </c>
      <c r="EE66" s="30"/>
      <c r="EF66" s="47">
        <v>1</v>
      </c>
      <c r="EG66" s="48" t="s">
        <v>4</v>
      </c>
      <c r="EH66" s="49">
        <v>1</v>
      </c>
      <c r="EI66" s="5"/>
      <c r="EJ66" s="42">
        <f t="shared" si="321"/>
        <v>0</v>
      </c>
      <c r="EK66" s="43">
        <f t="shared" si="322"/>
        <v>0</v>
      </c>
      <c r="EL66" s="30"/>
      <c r="EM66" s="47">
        <v>3</v>
      </c>
      <c r="EN66" s="48" t="s">
        <v>4</v>
      </c>
      <c r="EO66" s="49">
        <v>1</v>
      </c>
      <c r="EP66" s="5"/>
      <c r="EQ66" s="42">
        <f t="shared" si="323"/>
        <v>0.2</v>
      </c>
      <c r="ER66" s="43">
        <f t="shared" si="324"/>
        <v>2</v>
      </c>
      <c r="ES66" s="30"/>
      <c r="ET66" s="47">
        <v>3</v>
      </c>
      <c r="EU66" s="48" t="s">
        <v>4</v>
      </c>
      <c r="EV66" s="49">
        <v>1</v>
      </c>
      <c r="EW66" s="5"/>
      <c r="EX66" s="42">
        <f t="shared" si="325"/>
        <v>0.2</v>
      </c>
      <c r="EY66" s="43">
        <f t="shared" si="326"/>
        <v>2</v>
      </c>
      <c r="EZ66" s="30"/>
      <c r="FA66" s="47">
        <v>1</v>
      </c>
      <c r="FB66" s="48" t="s">
        <v>4</v>
      </c>
      <c r="FC66" s="49">
        <v>2</v>
      </c>
      <c r="FD66" s="5"/>
      <c r="FE66" s="42">
        <f t="shared" si="327"/>
        <v>0</v>
      </c>
      <c r="FF66" s="43">
        <f t="shared" si="328"/>
        <v>-1</v>
      </c>
      <c r="FG66" s="30"/>
      <c r="FH66" s="47">
        <v>0</v>
      </c>
      <c r="FI66" s="48" t="s">
        <v>4</v>
      </c>
      <c r="FJ66" s="49">
        <v>2</v>
      </c>
      <c r="FK66" s="5"/>
      <c r="FL66" s="42">
        <f t="shared" si="329"/>
        <v>0</v>
      </c>
      <c r="FM66" s="43">
        <f t="shared" si="330"/>
        <v>-2</v>
      </c>
      <c r="FN66" s="30"/>
      <c r="FO66" s="47">
        <v>1</v>
      </c>
      <c r="FP66" s="48" t="s">
        <v>4</v>
      </c>
      <c r="FQ66" s="49">
        <v>1</v>
      </c>
      <c r="FR66" s="5"/>
      <c r="FS66" s="42">
        <f t="shared" si="331"/>
        <v>0</v>
      </c>
      <c r="FT66" s="43">
        <f t="shared" si="332"/>
        <v>0</v>
      </c>
      <c r="FU66" s="30"/>
      <c r="FV66" s="47">
        <v>2</v>
      </c>
      <c r="FW66" s="48" t="s">
        <v>4</v>
      </c>
      <c r="FX66" s="49">
        <v>2</v>
      </c>
      <c r="FY66" s="5"/>
      <c r="FZ66" s="42">
        <f t="shared" si="333"/>
        <v>0</v>
      </c>
      <c r="GA66" s="43">
        <f t="shared" si="334"/>
        <v>0</v>
      </c>
      <c r="GB66" s="30"/>
      <c r="GC66" s="47">
        <v>2</v>
      </c>
      <c r="GD66" s="48" t="s">
        <v>4</v>
      </c>
      <c r="GE66" s="49">
        <v>0</v>
      </c>
      <c r="GF66" s="5"/>
      <c r="GG66" s="42">
        <f t="shared" si="335"/>
        <v>0.2</v>
      </c>
      <c r="GH66" s="43">
        <f t="shared" si="336"/>
        <v>2</v>
      </c>
      <c r="GI66" s="30"/>
      <c r="GJ66" s="47">
        <v>1</v>
      </c>
      <c r="GK66" s="48" t="s">
        <v>4</v>
      </c>
      <c r="GL66" s="49">
        <v>2</v>
      </c>
      <c r="GM66" s="5"/>
      <c r="GN66" s="42">
        <f t="shared" si="337"/>
        <v>0</v>
      </c>
      <c r="GO66" s="43">
        <f t="shared" si="338"/>
        <v>-1</v>
      </c>
      <c r="GP66" s="30"/>
      <c r="GQ66" s="47">
        <v>1</v>
      </c>
      <c r="GR66" s="48" t="s">
        <v>4</v>
      </c>
      <c r="GS66" s="49">
        <v>1</v>
      </c>
      <c r="GT66" s="5"/>
      <c r="GU66" s="42">
        <f t="shared" si="339"/>
        <v>0</v>
      </c>
      <c r="GV66" s="43">
        <f t="shared" si="340"/>
        <v>0</v>
      </c>
      <c r="GW66" s="30"/>
      <c r="GX66" s="47">
        <v>1</v>
      </c>
      <c r="GY66" s="48" t="s">
        <v>4</v>
      </c>
      <c r="GZ66" s="49">
        <v>2</v>
      </c>
      <c r="HA66" s="5"/>
      <c r="HB66" s="42">
        <f t="shared" si="341"/>
        <v>0</v>
      </c>
      <c r="HC66" s="43">
        <f t="shared" si="342"/>
        <v>-1</v>
      </c>
      <c r="HD66" s="30"/>
      <c r="HE66" s="47">
        <v>1</v>
      </c>
      <c r="HF66" s="48" t="s">
        <v>4</v>
      </c>
      <c r="HG66" s="49">
        <v>2</v>
      </c>
      <c r="HH66" s="5"/>
      <c r="HI66" s="42">
        <f t="shared" si="343"/>
        <v>0</v>
      </c>
      <c r="HJ66" s="43">
        <f t="shared" si="344"/>
        <v>-1</v>
      </c>
      <c r="HK66" s="30"/>
      <c r="HL66" s="47">
        <v>0</v>
      </c>
      <c r="HM66" s="48" t="s">
        <v>4</v>
      </c>
      <c r="HN66" s="49">
        <v>0</v>
      </c>
      <c r="HO66" s="5"/>
      <c r="HP66" s="42">
        <f t="shared" si="345"/>
        <v>0</v>
      </c>
      <c r="HQ66" s="43">
        <f t="shared" si="346"/>
        <v>0</v>
      </c>
      <c r="HR66" s="30"/>
      <c r="HS66" s="47">
        <v>2</v>
      </c>
      <c r="HT66" s="48" t="s">
        <v>4</v>
      </c>
      <c r="HU66" s="49">
        <v>1</v>
      </c>
      <c r="HV66" s="5"/>
      <c r="HW66" s="42">
        <f t="shared" si="347"/>
        <v>0.2</v>
      </c>
      <c r="HX66" s="43">
        <f t="shared" si="348"/>
        <v>1</v>
      </c>
      <c r="HY66" s="30"/>
      <c r="HZ66" s="47">
        <v>2</v>
      </c>
      <c r="IA66" s="48" t="s">
        <v>4</v>
      </c>
      <c r="IB66" s="49">
        <v>1</v>
      </c>
      <c r="IC66" s="5"/>
      <c r="ID66" s="42">
        <f t="shared" si="349"/>
        <v>0.2</v>
      </c>
      <c r="IE66" s="43">
        <f t="shared" si="350"/>
        <v>1</v>
      </c>
      <c r="IF66" s="30"/>
      <c r="IG66" s="47">
        <v>3</v>
      </c>
      <c r="IH66" s="48" t="s">
        <v>4</v>
      </c>
      <c r="II66" s="49">
        <v>0</v>
      </c>
      <c r="IJ66" s="5"/>
      <c r="IK66" s="42">
        <f t="shared" si="351"/>
        <v>0.2</v>
      </c>
      <c r="IL66" s="43">
        <f t="shared" si="352"/>
        <v>3</v>
      </c>
      <c r="IM66" s="30"/>
      <c r="IN66" s="47">
        <v>3</v>
      </c>
      <c r="IO66" s="48" t="s">
        <v>4</v>
      </c>
      <c r="IP66" s="49">
        <v>0</v>
      </c>
      <c r="IQ66" s="5"/>
      <c r="IR66" s="42">
        <f t="shared" si="353"/>
        <v>0.2</v>
      </c>
      <c r="IS66" s="43">
        <f t="shared" si="354"/>
        <v>3</v>
      </c>
      <c r="IT66" s="30"/>
      <c r="IU66" s="47">
        <v>2</v>
      </c>
      <c r="IV66" s="48" t="s">
        <v>4</v>
      </c>
      <c r="IW66" s="49">
        <v>0</v>
      </c>
      <c r="IX66" s="5"/>
      <c r="IY66" s="42">
        <f t="shared" si="355"/>
        <v>0.2</v>
      </c>
      <c r="IZ66" s="43">
        <f t="shared" si="356"/>
        <v>2</v>
      </c>
      <c r="JA66" s="30"/>
      <c r="JB66" s="47">
        <v>1</v>
      </c>
      <c r="JC66" s="48" t="s">
        <v>4</v>
      </c>
      <c r="JD66" s="49">
        <v>0</v>
      </c>
      <c r="JE66" s="5"/>
      <c r="JF66" s="42">
        <f t="shared" si="357"/>
        <v>0.2</v>
      </c>
      <c r="JG66" s="43">
        <f t="shared" si="358"/>
        <v>1</v>
      </c>
      <c r="JH66" s="30"/>
      <c r="JI66" s="47">
        <v>3</v>
      </c>
      <c r="JJ66" s="48" t="s">
        <v>4</v>
      </c>
      <c r="JK66" s="49">
        <v>2</v>
      </c>
      <c r="JL66" s="5"/>
      <c r="JM66" s="42">
        <f t="shared" si="359"/>
        <v>0.30000000000000004</v>
      </c>
      <c r="JN66" s="43">
        <f t="shared" si="360"/>
        <v>1</v>
      </c>
      <c r="JO66" s="30"/>
      <c r="JP66" s="47">
        <v>3</v>
      </c>
      <c r="JQ66" s="48" t="s">
        <v>4</v>
      </c>
      <c r="JR66" s="49">
        <v>0</v>
      </c>
      <c r="JS66" s="5"/>
      <c r="JT66" s="42">
        <f t="shared" si="361"/>
        <v>0.2</v>
      </c>
      <c r="JU66" s="43">
        <f t="shared" si="362"/>
        <v>3</v>
      </c>
      <c r="JV66" s="30"/>
      <c r="JW66" s="47">
        <v>3</v>
      </c>
      <c r="JX66" s="48" t="s">
        <v>4</v>
      </c>
      <c r="JY66" s="49">
        <v>1</v>
      </c>
      <c r="JZ66" s="5"/>
      <c r="KA66" s="42">
        <f t="shared" si="363"/>
        <v>0.2</v>
      </c>
      <c r="KB66" s="43">
        <f t="shared" si="364"/>
        <v>2</v>
      </c>
      <c r="KC66" s="30"/>
      <c r="KD66" s="47">
        <v>0</v>
      </c>
      <c r="KE66" s="48" t="s">
        <v>4</v>
      </c>
      <c r="KF66" s="49">
        <v>1</v>
      </c>
      <c r="KG66" s="5"/>
      <c r="KH66" s="42">
        <f t="shared" si="365"/>
        <v>0</v>
      </c>
      <c r="KI66" s="43">
        <f t="shared" si="366"/>
        <v>-1</v>
      </c>
      <c r="KJ66" s="30"/>
      <c r="KK66" s="47">
        <v>1</v>
      </c>
      <c r="KL66" s="48" t="s">
        <v>4</v>
      </c>
      <c r="KM66" s="49">
        <v>0</v>
      </c>
      <c r="KN66" s="5"/>
      <c r="KO66" s="42">
        <f t="shared" si="367"/>
        <v>0.2</v>
      </c>
      <c r="KP66" s="43">
        <f t="shared" si="368"/>
        <v>1</v>
      </c>
      <c r="KQ66" s="30"/>
      <c r="KR66" s="47">
        <v>2</v>
      </c>
      <c r="KS66" s="48" t="s">
        <v>4</v>
      </c>
      <c r="KT66" s="49">
        <v>0</v>
      </c>
      <c r="KU66" s="5"/>
      <c r="KV66" s="42">
        <f t="shared" si="369"/>
        <v>0.2</v>
      </c>
      <c r="KW66" s="43">
        <f t="shared" si="370"/>
        <v>2</v>
      </c>
      <c r="KX66" s="30"/>
      <c r="KY66" s="47">
        <v>2</v>
      </c>
      <c r="KZ66" s="48" t="s">
        <v>4</v>
      </c>
      <c r="LA66" s="49">
        <v>1</v>
      </c>
      <c r="LB66" s="5"/>
      <c r="LC66" s="42">
        <f t="shared" si="371"/>
        <v>0.2</v>
      </c>
      <c r="LD66" s="43">
        <f t="shared" si="372"/>
        <v>1</v>
      </c>
      <c r="LE66" s="30"/>
      <c r="LF66" s="47">
        <v>3</v>
      </c>
      <c r="LG66" s="48" t="s">
        <v>4</v>
      </c>
      <c r="LH66" s="49">
        <v>2</v>
      </c>
      <c r="LI66" s="5"/>
      <c r="LJ66" s="42">
        <f t="shared" si="373"/>
        <v>0.30000000000000004</v>
      </c>
      <c r="LK66" s="43">
        <f t="shared" si="374"/>
        <v>1</v>
      </c>
      <c r="LL66" s="30"/>
      <c r="LM66" s="47">
        <v>2</v>
      </c>
      <c r="LN66" s="48" t="s">
        <v>4</v>
      </c>
      <c r="LO66" s="49">
        <v>1</v>
      </c>
      <c r="LP66" s="5"/>
      <c r="LQ66" s="42">
        <f t="shared" si="375"/>
        <v>0.2</v>
      </c>
      <c r="LR66" s="43">
        <f t="shared" si="376"/>
        <v>1</v>
      </c>
      <c r="LS66" s="30"/>
      <c r="LT66" s="47">
        <v>1</v>
      </c>
      <c r="LU66" s="48" t="s">
        <v>4</v>
      </c>
      <c r="LV66" s="49">
        <v>1</v>
      </c>
      <c r="LW66" s="5"/>
      <c r="LX66" s="42">
        <f t="shared" si="377"/>
        <v>0</v>
      </c>
      <c r="LY66" s="43">
        <f t="shared" si="378"/>
        <v>0</v>
      </c>
      <c r="LZ66" s="30"/>
      <c r="MA66" s="47">
        <v>1</v>
      </c>
      <c r="MB66" s="48" t="s">
        <v>4</v>
      </c>
      <c r="MC66" s="49">
        <v>2</v>
      </c>
      <c r="MD66" s="5"/>
      <c r="ME66" s="42">
        <f t="shared" si="379"/>
        <v>0</v>
      </c>
      <c r="MF66" s="43">
        <f t="shared" si="380"/>
        <v>-1</v>
      </c>
      <c r="MG66" s="30"/>
      <c r="MH66" s="47">
        <v>1</v>
      </c>
      <c r="MI66" s="48" t="s">
        <v>4</v>
      </c>
      <c r="MJ66" s="49">
        <v>1</v>
      </c>
      <c r="MK66" s="5"/>
      <c r="ML66" s="42">
        <f t="shared" si="381"/>
        <v>0</v>
      </c>
      <c r="MM66" s="43">
        <f t="shared" si="382"/>
        <v>0</v>
      </c>
      <c r="MN66" s="30"/>
      <c r="MO66" s="47">
        <v>1</v>
      </c>
      <c r="MP66" s="48" t="s">
        <v>4</v>
      </c>
      <c r="MQ66" s="49">
        <v>1</v>
      </c>
      <c r="MR66" s="5"/>
      <c r="MS66" s="42">
        <f t="shared" si="383"/>
        <v>0</v>
      </c>
      <c r="MT66" s="43">
        <f t="shared" si="384"/>
        <v>0</v>
      </c>
      <c r="MU66" s="30"/>
      <c r="MV66" s="47">
        <v>7</v>
      </c>
      <c r="MW66" s="48" t="s">
        <v>4</v>
      </c>
      <c r="MX66" s="49">
        <v>0</v>
      </c>
      <c r="MY66" s="5"/>
      <c r="MZ66" s="42">
        <f t="shared" si="385"/>
        <v>0.2</v>
      </c>
      <c r="NA66" s="43">
        <f t="shared" si="386"/>
        <v>7</v>
      </c>
      <c r="NB66" s="30"/>
      <c r="NC66" s="47">
        <v>2</v>
      </c>
      <c r="ND66" s="48" t="s">
        <v>4</v>
      </c>
      <c r="NE66" s="49">
        <v>0</v>
      </c>
      <c r="NF66" s="5"/>
      <c r="NG66" s="42">
        <f t="shared" si="387"/>
        <v>0.2</v>
      </c>
      <c r="NH66" s="43">
        <f t="shared" si="388"/>
        <v>2</v>
      </c>
      <c r="NI66" s="30"/>
      <c r="NJ66" s="47">
        <v>4</v>
      </c>
      <c r="NK66" s="48" t="s">
        <v>4</v>
      </c>
      <c r="NL66" s="49">
        <v>2</v>
      </c>
      <c r="NM66" s="5"/>
      <c r="NN66" s="42">
        <f t="shared" si="389"/>
        <v>0.2</v>
      </c>
      <c r="NO66" s="43">
        <f t="shared" si="390"/>
        <v>2</v>
      </c>
      <c r="NP66" s="30"/>
      <c r="NQ66" s="47">
        <v>1</v>
      </c>
      <c r="NR66" s="48" t="s">
        <v>4</v>
      </c>
      <c r="NS66" s="49">
        <v>2</v>
      </c>
      <c r="NT66" s="5"/>
      <c r="NU66" s="42">
        <f t="shared" si="391"/>
        <v>0</v>
      </c>
      <c r="NV66" s="43">
        <f t="shared" si="392"/>
        <v>-1</v>
      </c>
      <c r="NW66" s="30"/>
      <c r="NX66" s="47">
        <v>1</v>
      </c>
      <c r="NY66" s="48" t="s">
        <v>4</v>
      </c>
      <c r="NZ66" s="49">
        <v>2</v>
      </c>
      <c r="OA66" s="5"/>
      <c r="OB66" s="42">
        <f t="shared" si="393"/>
        <v>0</v>
      </c>
      <c r="OC66" s="43">
        <f t="shared" si="394"/>
        <v>-1</v>
      </c>
      <c r="OD66" s="30"/>
      <c r="OE66" s="47">
        <v>2</v>
      </c>
      <c r="OF66" s="48" t="s">
        <v>4</v>
      </c>
      <c r="OG66" s="49">
        <v>1</v>
      </c>
      <c r="OH66" s="5"/>
      <c r="OI66" s="42">
        <f t="shared" si="395"/>
        <v>0.2</v>
      </c>
      <c r="OJ66" s="43">
        <f t="shared" si="396"/>
        <v>1</v>
      </c>
      <c r="OK66" s="30"/>
      <c r="OL66" s="47">
        <v>1</v>
      </c>
      <c r="OM66" s="48" t="s">
        <v>4</v>
      </c>
      <c r="ON66" s="49">
        <v>3</v>
      </c>
      <c r="OO66" s="5"/>
      <c r="OP66" s="42">
        <f t="shared" si="397"/>
        <v>0</v>
      </c>
      <c r="OQ66" s="43">
        <f t="shared" si="398"/>
        <v>-2</v>
      </c>
      <c r="OR66" s="30"/>
      <c r="OS66" s="47">
        <v>1</v>
      </c>
      <c r="OT66" s="48" t="s">
        <v>4</v>
      </c>
      <c r="OU66" s="49">
        <v>0</v>
      </c>
      <c r="OV66" s="5"/>
      <c r="OW66" s="42">
        <f t="shared" si="399"/>
        <v>0.2</v>
      </c>
      <c r="OX66" s="43">
        <f t="shared" si="400"/>
        <v>1</v>
      </c>
      <c r="OY66" s="30"/>
      <c r="OZ66" s="47">
        <v>1</v>
      </c>
      <c r="PA66" s="48" t="s">
        <v>4</v>
      </c>
      <c r="PB66" s="49">
        <v>1</v>
      </c>
      <c r="PC66" s="5"/>
      <c r="PD66" s="42">
        <f t="shared" si="401"/>
        <v>0</v>
      </c>
      <c r="PE66" s="43">
        <f t="shared" si="402"/>
        <v>0</v>
      </c>
      <c r="PF66" s="30"/>
      <c r="PG66" s="47">
        <v>0</v>
      </c>
      <c r="PH66" s="48" t="s">
        <v>4</v>
      </c>
      <c r="PI66" s="49">
        <v>1</v>
      </c>
      <c r="PJ66" s="5"/>
      <c r="PK66" s="42">
        <f t="shared" si="403"/>
        <v>0</v>
      </c>
      <c r="PL66" s="43">
        <f t="shared" si="404"/>
        <v>-1</v>
      </c>
      <c r="PM66" s="30"/>
      <c r="PN66" s="47">
        <v>1</v>
      </c>
      <c r="PO66" s="48" t="s">
        <v>4</v>
      </c>
      <c r="PP66" s="49">
        <v>1</v>
      </c>
      <c r="PQ66" s="5"/>
      <c r="PR66" s="42">
        <f t="shared" si="405"/>
        <v>0</v>
      </c>
      <c r="PS66" s="43">
        <f t="shared" si="406"/>
        <v>0</v>
      </c>
      <c r="PT66" s="30"/>
      <c r="PU66" s="47">
        <v>2</v>
      </c>
      <c r="PV66" s="48" t="s">
        <v>4</v>
      </c>
      <c r="PW66" s="49">
        <v>2</v>
      </c>
      <c r="PX66" s="5"/>
      <c r="PY66" s="42">
        <f t="shared" si="407"/>
        <v>0</v>
      </c>
      <c r="PZ66" s="43">
        <f t="shared" si="408"/>
        <v>0</v>
      </c>
      <c r="QA66" s="30"/>
      <c r="QB66" s="47">
        <v>1</v>
      </c>
      <c r="QC66" s="48" t="s">
        <v>4</v>
      </c>
      <c r="QD66" s="49">
        <v>2</v>
      </c>
      <c r="QE66" s="5"/>
      <c r="QF66" s="42">
        <f t="shared" si="409"/>
        <v>0</v>
      </c>
      <c r="QG66" s="43">
        <f t="shared" si="410"/>
        <v>-1</v>
      </c>
      <c r="QH66" s="30"/>
      <c r="QI66" s="47">
        <v>3</v>
      </c>
      <c r="QJ66" s="48" t="s">
        <v>4</v>
      </c>
      <c r="QK66" s="49">
        <v>0</v>
      </c>
      <c r="QL66" s="5"/>
      <c r="QM66" s="42">
        <f t="shared" si="411"/>
        <v>0.2</v>
      </c>
      <c r="QN66" s="43">
        <f t="shared" si="412"/>
        <v>3</v>
      </c>
      <c r="QO66" s="30"/>
      <c r="QP66" s="47">
        <v>2</v>
      </c>
      <c r="QQ66" s="48" t="s">
        <v>4</v>
      </c>
      <c r="QR66" s="49">
        <v>1</v>
      </c>
      <c r="QS66" s="5"/>
      <c r="QT66" s="42">
        <f t="shared" si="413"/>
        <v>0.2</v>
      </c>
      <c r="QU66" s="43">
        <f t="shared" si="414"/>
        <v>1</v>
      </c>
      <c r="QV66" s="30"/>
      <c r="QW66" s="47">
        <v>1</v>
      </c>
      <c r="QX66" s="48" t="s">
        <v>4</v>
      </c>
      <c r="QY66" s="49">
        <v>2</v>
      </c>
      <c r="QZ66" s="5"/>
      <c r="RA66" s="42">
        <f t="shared" si="415"/>
        <v>0</v>
      </c>
      <c r="RB66" s="43">
        <f t="shared" si="416"/>
        <v>-1</v>
      </c>
      <c r="RC66" s="30"/>
      <c r="RD66" s="47"/>
      <c r="RE66" s="48" t="s">
        <v>4</v>
      </c>
      <c r="RF66" s="49"/>
      <c r="RG66" s="5"/>
      <c r="RH66" s="42" t="str">
        <f t="shared" si="417"/>
        <v/>
      </c>
      <c r="RI66" s="43">
        <f t="shared" si="418"/>
        <v>0</v>
      </c>
      <c r="RJ66" s="30"/>
      <c r="RK66" s="47">
        <v>1</v>
      </c>
      <c r="RL66" s="48" t="s">
        <v>4</v>
      </c>
      <c r="RM66" s="49">
        <v>1</v>
      </c>
      <c r="RN66" s="5"/>
      <c r="RO66" s="42">
        <f t="shared" si="419"/>
        <v>0</v>
      </c>
      <c r="RP66" s="43">
        <f t="shared" si="420"/>
        <v>0</v>
      </c>
      <c r="RQ66" s="30"/>
      <c r="RR66" s="47">
        <v>1</v>
      </c>
      <c r="RS66" s="48" t="s">
        <v>4</v>
      </c>
      <c r="RT66" s="49">
        <v>2</v>
      </c>
      <c r="RU66" s="5"/>
      <c r="RV66" s="42">
        <f t="shared" si="421"/>
        <v>0</v>
      </c>
      <c r="RW66" s="43">
        <f t="shared" si="422"/>
        <v>-1</v>
      </c>
      <c r="RX66" s="30"/>
      <c r="RY66" s="47">
        <v>1</v>
      </c>
      <c r="RZ66" s="48" t="s">
        <v>4</v>
      </c>
      <c r="SA66" s="49">
        <v>2</v>
      </c>
      <c r="SB66" s="5"/>
      <c r="SC66" s="42">
        <f t="shared" si="423"/>
        <v>0</v>
      </c>
      <c r="SD66" s="43">
        <f t="shared" si="424"/>
        <v>-1</v>
      </c>
      <c r="SE66" s="30"/>
      <c r="SF66" s="47">
        <v>2</v>
      </c>
      <c r="SG66" s="48" t="s">
        <v>4</v>
      </c>
      <c r="SH66" s="49">
        <v>1</v>
      </c>
      <c r="SI66" s="5"/>
      <c r="SJ66" s="42">
        <f t="shared" si="425"/>
        <v>0.2</v>
      </c>
      <c r="SK66" s="43">
        <f t="shared" si="426"/>
        <v>1</v>
      </c>
      <c r="SL66" s="30"/>
      <c r="SM66" s="47">
        <v>2</v>
      </c>
      <c r="SN66" s="48" t="s">
        <v>4</v>
      </c>
      <c r="SO66" s="49">
        <v>1</v>
      </c>
      <c r="SP66" s="5"/>
      <c r="SQ66" s="42">
        <f t="shared" si="427"/>
        <v>0.2</v>
      </c>
      <c r="SR66" s="43">
        <f t="shared" si="428"/>
        <v>1</v>
      </c>
    </row>
    <row r="67" spans="1:512" customFormat="1" ht="16" customHeight="1" x14ac:dyDescent="0.15">
      <c r="A67" s="51">
        <v>46199</v>
      </c>
      <c r="B67" s="46">
        <v>0.16666666666666666</v>
      </c>
      <c r="C67" s="82" t="s">
        <v>33</v>
      </c>
      <c r="D67" s="82" t="s">
        <v>38</v>
      </c>
      <c r="E67" s="2">
        <v>0</v>
      </c>
      <c r="F67" s="50" t="s">
        <v>4</v>
      </c>
      <c r="G67" s="1">
        <v>0</v>
      </c>
      <c r="H67" s="16">
        <v>4</v>
      </c>
      <c r="I67" s="32">
        <f t="shared" si="0"/>
        <v>0</v>
      </c>
      <c r="J67" s="47">
        <v>1</v>
      </c>
      <c r="K67" s="48" t="s">
        <v>4</v>
      </c>
      <c r="L67" s="49">
        <v>1</v>
      </c>
      <c r="M67" s="5"/>
      <c r="N67" s="42">
        <f t="shared" si="1"/>
        <v>4</v>
      </c>
      <c r="O67" s="43">
        <f t="shared" si="2"/>
        <v>0</v>
      </c>
      <c r="P67" s="43"/>
      <c r="Q67" s="47">
        <v>1</v>
      </c>
      <c r="R67" s="48" t="s">
        <v>4</v>
      </c>
      <c r="S67" s="49">
        <v>1</v>
      </c>
      <c r="T67" s="5"/>
      <c r="U67" s="42">
        <f t="shared" si="287"/>
        <v>4</v>
      </c>
      <c r="V67" s="43">
        <f t="shared" si="288"/>
        <v>0</v>
      </c>
      <c r="W67" s="30"/>
      <c r="X67" s="47">
        <v>0</v>
      </c>
      <c r="Y67" s="48" t="s">
        <v>4</v>
      </c>
      <c r="Z67" s="49">
        <v>0</v>
      </c>
      <c r="AA67" s="5"/>
      <c r="AB67" s="42">
        <f t="shared" si="289"/>
        <v>6</v>
      </c>
      <c r="AC67" s="43">
        <f t="shared" si="290"/>
        <v>0</v>
      </c>
      <c r="AD67" s="30"/>
      <c r="AE67" s="47">
        <v>1</v>
      </c>
      <c r="AF67" s="48" t="s">
        <v>4</v>
      </c>
      <c r="AG67" s="49">
        <v>2</v>
      </c>
      <c r="AH67" s="5"/>
      <c r="AI67" s="42">
        <f t="shared" si="291"/>
        <v>0</v>
      </c>
      <c r="AJ67" s="43">
        <f t="shared" si="292"/>
        <v>-1</v>
      </c>
      <c r="AK67" s="30"/>
      <c r="AL67" s="47">
        <v>2</v>
      </c>
      <c r="AM67" s="48" t="s">
        <v>4</v>
      </c>
      <c r="AN67" s="49">
        <v>1</v>
      </c>
      <c r="AO67" s="5"/>
      <c r="AP67" s="42">
        <f t="shared" si="293"/>
        <v>0</v>
      </c>
      <c r="AQ67" s="43">
        <f t="shared" si="294"/>
        <v>1</v>
      </c>
      <c r="AR67" s="30"/>
      <c r="AS67" s="47">
        <v>2</v>
      </c>
      <c r="AT67" s="48" t="s">
        <v>4</v>
      </c>
      <c r="AU67" s="49">
        <v>2</v>
      </c>
      <c r="AV67" s="5"/>
      <c r="AW67" s="42">
        <f t="shared" si="295"/>
        <v>4</v>
      </c>
      <c r="AX67" s="43">
        <f t="shared" si="296"/>
        <v>0</v>
      </c>
      <c r="AY67" s="30"/>
      <c r="AZ67" s="47">
        <v>2</v>
      </c>
      <c r="BA67" s="48" t="s">
        <v>4</v>
      </c>
      <c r="BB67" s="49">
        <v>1</v>
      </c>
      <c r="BC67" s="5"/>
      <c r="BD67" s="42">
        <f t="shared" si="297"/>
        <v>0</v>
      </c>
      <c r="BE67" s="43">
        <f t="shared" si="298"/>
        <v>1</v>
      </c>
      <c r="BF67" s="30"/>
      <c r="BG67" s="47">
        <v>0</v>
      </c>
      <c r="BH67" s="48" t="s">
        <v>4</v>
      </c>
      <c r="BI67" s="49">
        <v>1</v>
      </c>
      <c r="BJ67" s="5"/>
      <c r="BK67" s="42">
        <f t="shared" si="299"/>
        <v>0</v>
      </c>
      <c r="BL67" s="43">
        <f t="shared" si="300"/>
        <v>-1</v>
      </c>
      <c r="BM67" s="30"/>
      <c r="BN67" s="47">
        <v>1</v>
      </c>
      <c r="BO67" s="48" t="s">
        <v>4</v>
      </c>
      <c r="BP67" s="49">
        <v>1</v>
      </c>
      <c r="BQ67" s="5"/>
      <c r="BR67" s="42">
        <f t="shared" si="301"/>
        <v>4</v>
      </c>
      <c r="BS67" s="43">
        <f t="shared" si="302"/>
        <v>0</v>
      </c>
      <c r="BT67" s="30"/>
      <c r="BU67" s="47">
        <v>1</v>
      </c>
      <c r="BV67" s="48" t="s">
        <v>4</v>
      </c>
      <c r="BW67" s="49">
        <v>2</v>
      </c>
      <c r="BX67" s="5"/>
      <c r="BY67" s="42">
        <f t="shared" si="303"/>
        <v>0</v>
      </c>
      <c r="BZ67" s="43">
        <f t="shared" si="304"/>
        <v>-1</v>
      </c>
      <c r="CA67" s="30"/>
      <c r="CB67" s="47">
        <v>2</v>
      </c>
      <c r="CC67" s="48" t="s">
        <v>4</v>
      </c>
      <c r="CD67" s="49">
        <v>1</v>
      </c>
      <c r="CE67" s="5"/>
      <c r="CF67" s="42">
        <f t="shared" si="305"/>
        <v>0</v>
      </c>
      <c r="CG67" s="43">
        <f t="shared" si="306"/>
        <v>1</v>
      </c>
      <c r="CH67" s="30"/>
      <c r="CI67" s="47">
        <v>2</v>
      </c>
      <c r="CJ67" s="48" t="s">
        <v>4</v>
      </c>
      <c r="CK67" s="49">
        <v>1</v>
      </c>
      <c r="CL67" s="5"/>
      <c r="CM67" s="42">
        <f t="shared" si="307"/>
        <v>0</v>
      </c>
      <c r="CN67" s="43">
        <f t="shared" si="308"/>
        <v>1</v>
      </c>
      <c r="CO67" s="30"/>
      <c r="CP67" s="47">
        <v>1</v>
      </c>
      <c r="CQ67" s="48" t="s">
        <v>4</v>
      </c>
      <c r="CR67" s="49">
        <v>1</v>
      </c>
      <c r="CS67" s="5"/>
      <c r="CT67" s="42">
        <f t="shared" si="309"/>
        <v>4</v>
      </c>
      <c r="CU67" s="43">
        <f t="shared" si="310"/>
        <v>0</v>
      </c>
      <c r="CV67" s="30"/>
      <c r="CW67" s="47">
        <v>1</v>
      </c>
      <c r="CX67" s="48" t="s">
        <v>4</v>
      </c>
      <c r="CY67" s="49">
        <v>0</v>
      </c>
      <c r="CZ67" s="5"/>
      <c r="DA67" s="42">
        <f t="shared" si="311"/>
        <v>0</v>
      </c>
      <c r="DB67" s="43">
        <f t="shared" si="312"/>
        <v>1</v>
      </c>
      <c r="DC67" s="30"/>
      <c r="DD67" s="47">
        <v>0</v>
      </c>
      <c r="DE67" s="48" t="s">
        <v>4</v>
      </c>
      <c r="DF67" s="49">
        <v>0</v>
      </c>
      <c r="DG67" s="5"/>
      <c r="DH67" s="42">
        <f t="shared" si="313"/>
        <v>6</v>
      </c>
      <c r="DI67" s="43">
        <f t="shared" si="314"/>
        <v>0</v>
      </c>
      <c r="DJ67" s="30"/>
      <c r="DK67" s="47">
        <v>1</v>
      </c>
      <c r="DL67" s="48" t="s">
        <v>4</v>
      </c>
      <c r="DM67" s="49">
        <v>1</v>
      </c>
      <c r="DN67" s="5"/>
      <c r="DO67" s="42">
        <f t="shared" si="315"/>
        <v>4</v>
      </c>
      <c r="DP67" s="43">
        <f t="shared" si="316"/>
        <v>0</v>
      </c>
      <c r="DQ67" s="30"/>
      <c r="DR67" s="47">
        <v>2</v>
      </c>
      <c r="DS67" s="48" t="s">
        <v>4</v>
      </c>
      <c r="DT67" s="49">
        <v>0</v>
      </c>
      <c r="DU67" s="5"/>
      <c r="DV67" s="42">
        <f t="shared" si="317"/>
        <v>0</v>
      </c>
      <c r="DW67" s="43">
        <f t="shared" si="318"/>
        <v>2</v>
      </c>
      <c r="DX67" s="30"/>
      <c r="DY67" s="47">
        <v>1</v>
      </c>
      <c r="DZ67" s="48" t="s">
        <v>4</v>
      </c>
      <c r="EA67" s="49">
        <v>2</v>
      </c>
      <c r="EB67" s="5"/>
      <c r="EC67" s="42">
        <f t="shared" si="319"/>
        <v>0</v>
      </c>
      <c r="ED67" s="43">
        <f t="shared" si="320"/>
        <v>-1</v>
      </c>
      <c r="EE67" s="30"/>
      <c r="EF67" s="47">
        <v>1</v>
      </c>
      <c r="EG67" s="48" t="s">
        <v>4</v>
      </c>
      <c r="EH67" s="49">
        <v>0</v>
      </c>
      <c r="EI67" s="5"/>
      <c r="EJ67" s="42">
        <f t="shared" si="321"/>
        <v>0</v>
      </c>
      <c r="EK67" s="43">
        <f t="shared" si="322"/>
        <v>1</v>
      </c>
      <c r="EL67" s="30"/>
      <c r="EM67" s="47">
        <v>1</v>
      </c>
      <c r="EN67" s="48" t="s">
        <v>4</v>
      </c>
      <c r="EO67" s="49">
        <v>0</v>
      </c>
      <c r="EP67" s="5"/>
      <c r="EQ67" s="42">
        <f t="shared" si="323"/>
        <v>0</v>
      </c>
      <c r="ER67" s="43">
        <f t="shared" si="324"/>
        <v>1</v>
      </c>
      <c r="ES67" s="30"/>
      <c r="ET67" s="47">
        <v>2</v>
      </c>
      <c r="EU67" s="48" t="s">
        <v>4</v>
      </c>
      <c r="EV67" s="49">
        <v>0</v>
      </c>
      <c r="EW67" s="5"/>
      <c r="EX67" s="42">
        <f t="shared" si="325"/>
        <v>0</v>
      </c>
      <c r="EY67" s="43">
        <f t="shared" si="326"/>
        <v>2</v>
      </c>
      <c r="EZ67" s="30"/>
      <c r="FA67" s="47">
        <v>1</v>
      </c>
      <c r="FB67" s="48" t="s">
        <v>4</v>
      </c>
      <c r="FC67" s="49">
        <v>1</v>
      </c>
      <c r="FD67" s="5"/>
      <c r="FE67" s="42">
        <f t="shared" si="327"/>
        <v>4</v>
      </c>
      <c r="FF67" s="43">
        <f t="shared" si="328"/>
        <v>0</v>
      </c>
      <c r="FG67" s="30"/>
      <c r="FH67" s="47">
        <v>0</v>
      </c>
      <c r="FI67" s="48" t="s">
        <v>4</v>
      </c>
      <c r="FJ67" s="49">
        <v>0</v>
      </c>
      <c r="FK67" s="5"/>
      <c r="FL67" s="42">
        <f t="shared" si="329"/>
        <v>6</v>
      </c>
      <c r="FM67" s="43">
        <f t="shared" si="330"/>
        <v>0</v>
      </c>
      <c r="FN67" s="30"/>
      <c r="FO67" s="47">
        <v>0</v>
      </c>
      <c r="FP67" s="48" t="s">
        <v>4</v>
      </c>
      <c r="FQ67" s="49">
        <v>2</v>
      </c>
      <c r="FR67" s="5"/>
      <c r="FS67" s="42">
        <f t="shared" si="331"/>
        <v>0</v>
      </c>
      <c r="FT67" s="43">
        <f t="shared" si="332"/>
        <v>-2</v>
      </c>
      <c r="FU67" s="30"/>
      <c r="FV67" s="47">
        <v>0</v>
      </c>
      <c r="FW67" s="48" t="s">
        <v>4</v>
      </c>
      <c r="FX67" s="49">
        <v>1</v>
      </c>
      <c r="FY67" s="5"/>
      <c r="FZ67" s="42">
        <f t="shared" si="333"/>
        <v>0</v>
      </c>
      <c r="GA67" s="43">
        <f t="shared" si="334"/>
        <v>-1</v>
      </c>
      <c r="GB67" s="30"/>
      <c r="GC67" s="47">
        <v>1</v>
      </c>
      <c r="GD67" s="48" t="s">
        <v>4</v>
      </c>
      <c r="GE67" s="49">
        <v>2</v>
      </c>
      <c r="GF67" s="5"/>
      <c r="GG67" s="42">
        <f t="shared" si="335"/>
        <v>0</v>
      </c>
      <c r="GH67" s="43">
        <f t="shared" si="336"/>
        <v>-1</v>
      </c>
      <c r="GI67" s="30"/>
      <c r="GJ67" s="47">
        <v>2</v>
      </c>
      <c r="GK67" s="48" t="s">
        <v>4</v>
      </c>
      <c r="GL67" s="49">
        <v>1</v>
      </c>
      <c r="GM67" s="5"/>
      <c r="GN67" s="42">
        <f t="shared" si="337"/>
        <v>0</v>
      </c>
      <c r="GO67" s="43">
        <f t="shared" si="338"/>
        <v>1</v>
      </c>
      <c r="GP67" s="30"/>
      <c r="GQ67" s="47">
        <v>1</v>
      </c>
      <c r="GR67" s="48" t="s">
        <v>4</v>
      </c>
      <c r="GS67" s="49">
        <v>2</v>
      </c>
      <c r="GT67" s="5"/>
      <c r="GU67" s="42">
        <f t="shared" si="339"/>
        <v>0</v>
      </c>
      <c r="GV67" s="43">
        <f t="shared" si="340"/>
        <v>-1</v>
      </c>
      <c r="GW67" s="30"/>
      <c r="GX67" s="47">
        <v>1</v>
      </c>
      <c r="GY67" s="48" t="s">
        <v>4</v>
      </c>
      <c r="GZ67" s="49">
        <v>1</v>
      </c>
      <c r="HA67" s="5"/>
      <c r="HB67" s="42">
        <f t="shared" si="341"/>
        <v>4</v>
      </c>
      <c r="HC67" s="43">
        <f t="shared" si="342"/>
        <v>0</v>
      </c>
      <c r="HD67" s="30"/>
      <c r="HE67" s="47">
        <v>0</v>
      </c>
      <c r="HF67" s="48" t="s">
        <v>4</v>
      </c>
      <c r="HG67" s="49">
        <v>2</v>
      </c>
      <c r="HH67" s="5"/>
      <c r="HI67" s="42">
        <f t="shared" si="343"/>
        <v>0</v>
      </c>
      <c r="HJ67" s="43">
        <f t="shared" si="344"/>
        <v>-2</v>
      </c>
      <c r="HK67" s="30"/>
      <c r="HL67" s="47">
        <v>1</v>
      </c>
      <c r="HM67" s="48" t="s">
        <v>4</v>
      </c>
      <c r="HN67" s="49">
        <v>1</v>
      </c>
      <c r="HO67" s="5"/>
      <c r="HP67" s="42">
        <f t="shared" si="345"/>
        <v>4</v>
      </c>
      <c r="HQ67" s="43">
        <f t="shared" si="346"/>
        <v>0</v>
      </c>
      <c r="HR67" s="30"/>
      <c r="HS67" s="47">
        <v>0</v>
      </c>
      <c r="HT67" s="48" t="s">
        <v>4</v>
      </c>
      <c r="HU67" s="49">
        <v>1</v>
      </c>
      <c r="HV67" s="5"/>
      <c r="HW67" s="42">
        <f t="shared" si="347"/>
        <v>0</v>
      </c>
      <c r="HX67" s="43">
        <f t="shared" si="348"/>
        <v>-1</v>
      </c>
      <c r="HY67" s="30"/>
      <c r="HZ67" s="47">
        <v>2</v>
      </c>
      <c r="IA67" s="48" t="s">
        <v>4</v>
      </c>
      <c r="IB67" s="49">
        <v>1</v>
      </c>
      <c r="IC67" s="5"/>
      <c r="ID67" s="42">
        <f t="shared" si="349"/>
        <v>0</v>
      </c>
      <c r="IE67" s="43">
        <f t="shared" si="350"/>
        <v>1</v>
      </c>
      <c r="IF67" s="30"/>
      <c r="IG67" s="47">
        <v>4</v>
      </c>
      <c r="IH67" s="48" t="s">
        <v>4</v>
      </c>
      <c r="II67" s="49">
        <v>2</v>
      </c>
      <c r="IJ67" s="5"/>
      <c r="IK67" s="42">
        <f t="shared" si="351"/>
        <v>0</v>
      </c>
      <c r="IL67" s="43">
        <f t="shared" si="352"/>
        <v>2</v>
      </c>
      <c r="IM67" s="30"/>
      <c r="IN67" s="47">
        <v>1</v>
      </c>
      <c r="IO67" s="48" t="s">
        <v>4</v>
      </c>
      <c r="IP67" s="49">
        <v>2</v>
      </c>
      <c r="IQ67" s="5"/>
      <c r="IR67" s="42">
        <f t="shared" si="353"/>
        <v>0</v>
      </c>
      <c r="IS67" s="43">
        <f t="shared" si="354"/>
        <v>-1</v>
      </c>
      <c r="IT67" s="30"/>
      <c r="IU67" s="47">
        <v>0</v>
      </c>
      <c r="IV67" s="48" t="s">
        <v>4</v>
      </c>
      <c r="IW67" s="49">
        <v>2</v>
      </c>
      <c r="IX67" s="5"/>
      <c r="IY67" s="42">
        <f t="shared" si="355"/>
        <v>0</v>
      </c>
      <c r="IZ67" s="43">
        <f t="shared" si="356"/>
        <v>-2</v>
      </c>
      <c r="JA67" s="30"/>
      <c r="JB67" s="47">
        <v>1</v>
      </c>
      <c r="JC67" s="48" t="s">
        <v>4</v>
      </c>
      <c r="JD67" s="49">
        <v>2</v>
      </c>
      <c r="JE67" s="5"/>
      <c r="JF67" s="42">
        <f t="shared" si="357"/>
        <v>0</v>
      </c>
      <c r="JG67" s="43">
        <f t="shared" si="358"/>
        <v>-1</v>
      </c>
      <c r="JH67" s="30"/>
      <c r="JI67" s="47">
        <v>2</v>
      </c>
      <c r="JJ67" s="48" t="s">
        <v>4</v>
      </c>
      <c r="JK67" s="49">
        <v>2</v>
      </c>
      <c r="JL67" s="5"/>
      <c r="JM67" s="42">
        <f t="shared" si="359"/>
        <v>4</v>
      </c>
      <c r="JN67" s="43">
        <f t="shared" si="360"/>
        <v>0</v>
      </c>
      <c r="JO67" s="30"/>
      <c r="JP67" s="47">
        <v>1</v>
      </c>
      <c r="JQ67" s="48" t="s">
        <v>4</v>
      </c>
      <c r="JR67" s="49">
        <v>0</v>
      </c>
      <c r="JS67" s="5"/>
      <c r="JT67" s="42">
        <f t="shared" si="361"/>
        <v>0</v>
      </c>
      <c r="JU67" s="43">
        <f t="shared" si="362"/>
        <v>1</v>
      </c>
      <c r="JV67" s="30"/>
      <c r="JW67" s="47">
        <v>3</v>
      </c>
      <c r="JX67" s="48" t="s">
        <v>4</v>
      </c>
      <c r="JY67" s="49">
        <v>2</v>
      </c>
      <c r="JZ67" s="5"/>
      <c r="KA67" s="42">
        <f t="shared" si="363"/>
        <v>0</v>
      </c>
      <c r="KB67" s="43">
        <f t="shared" si="364"/>
        <v>1</v>
      </c>
      <c r="KC67" s="30"/>
      <c r="KD67" s="47">
        <v>2</v>
      </c>
      <c r="KE67" s="48" t="s">
        <v>4</v>
      </c>
      <c r="KF67" s="49">
        <v>1</v>
      </c>
      <c r="KG67" s="5"/>
      <c r="KH67" s="42">
        <f t="shared" si="365"/>
        <v>0</v>
      </c>
      <c r="KI67" s="43">
        <f t="shared" si="366"/>
        <v>1</v>
      </c>
      <c r="KJ67" s="30"/>
      <c r="KK67" s="47">
        <v>0</v>
      </c>
      <c r="KL67" s="48" t="s">
        <v>4</v>
      </c>
      <c r="KM67" s="49">
        <v>1</v>
      </c>
      <c r="KN67" s="5"/>
      <c r="KO67" s="42">
        <f t="shared" si="367"/>
        <v>0</v>
      </c>
      <c r="KP67" s="43">
        <f t="shared" si="368"/>
        <v>-1</v>
      </c>
      <c r="KQ67" s="30"/>
      <c r="KR67" s="47">
        <v>1</v>
      </c>
      <c r="KS67" s="48" t="s">
        <v>4</v>
      </c>
      <c r="KT67" s="49">
        <v>0</v>
      </c>
      <c r="KU67" s="5"/>
      <c r="KV67" s="42">
        <f t="shared" si="369"/>
        <v>0</v>
      </c>
      <c r="KW67" s="43">
        <f t="shared" si="370"/>
        <v>1</v>
      </c>
      <c r="KX67" s="30"/>
      <c r="KY67" s="47">
        <v>1</v>
      </c>
      <c r="KZ67" s="48" t="s">
        <v>4</v>
      </c>
      <c r="LA67" s="49">
        <v>2</v>
      </c>
      <c r="LB67" s="5"/>
      <c r="LC67" s="42">
        <f t="shared" si="371"/>
        <v>0</v>
      </c>
      <c r="LD67" s="43">
        <f t="shared" si="372"/>
        <v>-1</v>
      </c>
      <c r="LE67" s="30"/>
      <c r="LF67" s="47">
        <v>1</v>
      </c>
      <c r="LG67" s="48" t="s">
        <v>4</v>
      </c>
      <c r="LH67" s="49">
        <v>0</v>
      </c>
      <c r="LI67" s="5"/>
      <c r="LJ67" s="42">
        <f t="shared" si="373"/>
        <v>0</v>
      </c>
      <c r="LK67" s="43">
        <f t="shared" si="374"/>
        <v>1</v>
      </c>
      <c r="LL67" s="30"/>
      <c r="LM67" s="47">
        <v>2</v>
      </c>
      <c r="LN67" s="48" t="s">
        <v>4</v>
      </c>
      <c r="LO67" s="49">
        <v>2</v>
      </c>
      <c r="LP67" s="5"/>
      <c r="LQ67" s="42">
        <f t="shared" si="375"/>
        <v>4</v>
      </c>
      <c r="LR67" s="43">
        <f t="shared" si="376"/>
        <v>0</v>
      </c>
      <c r="LS67" s="30"/>
      <c r="LT67" s="47">
        <v>0</v>
      </c>
      <c r="LU67" s="48" t="s">
        <v>4</v>
      </c>
      <c r="LV67" s="49">
        <v>0</v>
      </c>
      <c r="LW67" s="5"/>
      <c r="LX67" s="42">
        <f t="shared" si="377"/>
        <v>6</v>
      </c>
      <c r="LY67" s="43">
        <f t="shared" si="378"/>
        <v>0</v>
      </c>
      <c r="LZ67" s="30"/>
      <c r="MA67" s="47">
        <v>0</v>
      </c>
      <c r="MB67" s="48" t="s">
        <v>4</v>
      </c>
      <c r="MC67" s="49">
        <v>3</v>
      </c>
      <c r="MD67" s="5"/>
      <c r="ME67" s="42">
        <f t="shared" si="379"/>
        <v>0</v>
      </c>
      <c r="MF67" s="43">
        <f t="shared" si="380"/>
        <v>-3</v>
      </c>
      <c r="MG67" s="30"/>
      <c r="MH67" s="47">
        <v>0</v>
      </c>
      <c r="MI67" s="48" t="s">
        <v>4</v>
      </c>
      <c r="MJ67" s="49">
        <v>3</v>
      </c>
      <c r="MK67" s="5"/>
      <c r="ML67" s="42">
        <f t="shared" si="381"/>
        <v>0</v>
      </c>
      <c r="MM67" s="43">
        <f t="shared" si="382"/>
        <v>-3</v>
      </c>
      <c r="MN67" s="30"/>
      <c r="MO67" s="47">
        <v>0</v>
      </c>
      <c r="MP67" s="48" t="s">
        <v>4</v>
      </c>
      <c r="MQ67" s="49">
        <v>2</v>
      </c>
      <c r="MR67" s="5"/>
      <c r="MS67" s="42">
        <f t="shared" si="383"/>
        <v>0</v>
      </c>
      <c r="MT67" s="43">
        <f t="shared" si="384"/>
        <v>-2</v>
      </c>
      <c r="MU67" s="30"/>
      <c r="MV67" s="47">
        <v>2</v>
      </c>
      <c r="MW67" s="48" t="s">
        <v>4</v>
      </c>
      <c r="MX67" s="49">
        <v>0</v>
      </c>
      <c r="MY67" s="5"/>
      <c r="MZ67" s="42">
        <f t="shared" si="385"/>
        <v>0</v>
      </c>
      <c r="NA67" s="43">
        <f t="shared" si="386"/>
        <v>2</v>
      </c>
      <c r="NB67" s="30"/>
      <c r="NC67" s="47">
        <v>1</v>
      </c>
      <c r="ND67" s="48" t="s">
        <v>4</v>
      </c>
      <c r="NE67" s="49">
        <v>1</v>
      </c>
      <c r="NF67" s="5"/>
      <c r="NG67" s="42">
        <f t="shared" si="387"/>
        <v>4</v>
      </c>
      <c r="NH67" s="43">
        <f t="shared" si="388"/>
        <v>0</v>
      </c>
      <c r="NI67" s="30"/>
      <c r="NJ67" s="47">
        <v>2</v>
      </c>
      <c r="NK67" s="48" t="s">
        <v>4</v>
      </c>
      <c r="NL67" s="49">
        <v>1</v>
      </c>
      <c r="NM67" s="5"/>
      <c r="NN67" s="42">
        <f t="shared" si="389"/>
        <v>0</v>
      </c>
      <c r="NO67" s="43">
        <f t="shared" si="390"/>
        <v>1</v>
      </c>
      <c r="NP67" s="30"/>
      <c r="NQ67" s="47">
        <v>0</v>
      </c>
      <c r="NR67" s="48" t="s">
        <v>4</v>
      </c>
      <c r="NS67" s="49">
        <v>2</v>
      </c>
      <c r="NT67" s="5"/>
      <c r="NU67" s="42">
        <f t="shared" si="391"/>
        <v>0</v>
      </c>
      <c r="NV67" s="43">
        <f t="shared" si="392"/>
        <v>-2</v>
      </c>
      <c r="NW67" s="30"/>
      <c r="NX67" s="47">
        <v>2</v>
      </c>
      <c r="NY67" s="48" t="s">
        <v>4</v>
      </c>
      <c r="NZ67" s="49">
        <v>2</v>
      </c>
      <c r="OA67" s="5"/>
      <c r="OB67" s="42">
        <f t="shared" si="393"/>
        <v>4</v>
      </c>
      <c r="OC67" s="43">
        <f t="shared" si="394"/>
        <v>0</v>
      </c>
      <c r="OD67" s="30"/>
      <c r="OE67" s="47">
        <v>1</v>
      </c>
      <c r="OF67" s="48" t="s">
        <v>4</v>
      </c>
      <c r="OG67" s="49">
        <v>2</v>
      </c>
      <c r="OH67" s="5"/>
      <c r="OI67" s="42">
        <f t="shared" si="395"/>
        <v>0</v>
      </c>
      <c r="OJ67" s="43">
        <f t="shared" si="396"/>
        <v>-1</v>
      </c>
      <c r="OK67" s="30"/>
      <c r="OL67" s="47">
        <v>1</v>
      </c>
      <c r="OM67" s="48" t="s">
        <v>4</v>
      </c>
      <c r="ON67" s="49">
        <v>1</v>
      </c>
      <c r="OO67" s="5"/>
      <c r="OP67" s="42">
        <f t="shared" si="397"/>
        <v>4</v>
      </c>
      <c r="OQ67" s="43">
        <f t="shared" si="398"/>
        <v>0</v>
      </c>
      <c r="OR67" s="30"/>
      <c r="OS67" s="47">
        <v>1</v>
      </c>
      <c r="OT67" s="48" t="s">
        <v>4</v>
      </c>
      <c r="OU67" s="49">
        <v>1</v>
      </c>
      <c r="OV67" s="5"/>
      <c r="OW67" s="42">
        <f t="shared" si="399"/>
        <v>4</v>
      </c>
      <c r="OX67" s="43">
        <f t="shared" si="400"/>
        <v>0</v>
      </c>
      <c r="OY67" s="30"/>
      <c r="OZ67" s="47">
        <v>2</v>
      </c>
      <c r="PA67" s="48" t="s">
        <v>4</v>
      </c>
      <c r="PB67" s="49">
        <v>1</v>
      </c>
      <c r="PC67" s="5"/>
      <c r="PD67" s="42">
        <f t="shared" si="401"/>
        <v>0</v>
      </c>
      <c r="PE67" s="43">
        <f t="shared" si="402"/>
        <v>1</v>
      </c>
      <c r="PF67" s="30"/>
      <c r="PG67" s="47">
        <v>2</v>
      </c>
      <c r="PH67" s="48" t="s">
        <v>4</v>
      </c>
      <c r="PI67" s="49">
        <v>1</v>
      </c>
      <c r="PJ67" s="5"/>
      <c r="PK67" s="42">
        <f t="shared" si="403"/>
        <v>0</v>
      </c>
      <c r="PL67" s="43">
        <f t="shared" si="404"/>
        <v>1</v>
      </c>
      <c r="PM67" s="30"/>
      <c r="PN67" s="47">
        <v>1</v>
      </c>
      <c r="PO67" s="48" t="s">
        <v>4</v>
      </c>
      <c r="PP67" s="49">
        <v>1</v>
      </c>
      <c r="PQ67" s="5"/>
      <c r="PR67" s="42">
        <f t="shared" si="405"/>
        <v>4</v>
      </c>
      <c r="PS67" s="43">
        <f t="shared" si="406"/>
        <v>0</v>
      </c>
      <c r="PT67" s="30"/>
      <c r="PU67" s="47">
        <v>3</v>
      </c>
      <c r="PV67" s="48" t="s">
        <v>4</v>
      </c>
      <c r="PW67" s="49">
        <v>1</v>
      </c>
      <c r="PX67" s="5"/>
      <c r="PY67" s="42">
        <f t="shared" si="407"/>
        <v>0</v>
      </c>
      <c r="PZ67" s="43">
        <f t="shared" si="408"/>
        <v>2</v>
      </c>
      <c r="QA67" s="30"/>
      <c r="QB67" s="47">
        <v>2</v>
      </c>
      <c r="QC67" s="48" t="s">
        <v>4</v>
      </c>
      <c r="QD67" s="49">
        <v>2</v>
      </c>
      <c r="QE67" s="5"/>
      <c r="QF67" s="42">
        <f t="shared" si="409"/>
        <v>4</v>
      </c>
      <c r="QG67" s="43">
        <f t="shared" si="410"/>
        <v>0</v>
      </c>
      <c r="QH67" s="30"/>
      <c r="QI67" s="47">
        <v>1</v>
      </c>
      <c r="QJ67" s="48" t="s">
        <v>4</v>
      </c>
      <c r="QK67" s="49">
        <v>0</v>
      </c>
      <c r="QL67" s="5"/>
      <c r="QM67" s="42">
        <f t="shared" si="411"/>
        <v>0</v>
      </c>
      <c r="QN67" s="43">
        <f t="shared" si="412"/>
        <v>1</v>
      </c>
      <c r="QO67" s="30"/>
      <c r="QP67" s="47">
        <v>1</v>
      </c>
      <c r="QQ67" s="48" t="s">
        <v>4</v>
      </c>
      <c r="QR67" s="49">
        <v>1</v>
      </c>
      <c r="QS67" s="5"/>
      <c r="QT67" s="42">
        <f t="shared" si="413"/>
        <v>4</v>
      </c>
      <c r="QU67" s="43">
        <f t="shared" si="414"/>
        <v>0</v>
      </c>
      <c r="QV67" s="30"/>
      <c r="QW67" s="47">
        <v>1</v>
      </c>
      <c r="QX67" s="48" t="s">
        <v>4</v>
      </c>
      <c r="QY67" s="49">
        <v>3</v>
      </c>
      <c r="QZ67" s="5"/>
      <c r="RA67" s="42">
        <f t="shared" si="415"/>
        <v>0</v>
      </c>
      <c r="RB67" s="43">
        <f t="shared" si="416"/>
        <v>-2</v>
      </c>
      <c r="RC67" s="30"/>
      <c r="RD67" s="47"/>
      <c r="RE67" s="48" t="s">
        <v>4</v>
      </c>
      <c r="RF67" s="49"/>
      <c r="RG67" s="5"/>
      <c r="RH67" s="42" t="str">
        <f t="shared" si="417"/>
        <v/>
      </c>
      <c r="RI67" s="43">
        <f t="shared" si="418"/>
        <v>0</v>
      </c>
      <c r="RJ67" s="30"/>
      <c r="RK67" s="47">
        <v>0</v>
      </c>
      <c r="RL67" s="48" t="s">
        <v>4</v>
      </c>
      <c r="RM67" s="49">
        <v>0</v>
      </c>
      <c r="RN67" s="5"/>
      <c r="RO67" s="42">
        <f t="shared" si="419"/>
        <v>6</v>
      </c>
      <c r="RP67" s="43">
        <f t="shared" si="420"/>
        <v>0</v>
      </c>
      <c r="RQ67" s="30"/>
      <c r="RR67" s="47">
        <v>1</v>
      </c>
      <c r="RS67" s="48" t="s">
        <v>4</v>
      </c>
      <c r="RT67" s="49">
        <v>1</v>
      </c>
      <c r="RU67" s="5"/>
      <c r="RV67" s="42">
        <f t="shared" si="421"/>
        <v>4</v>
      </c>
      <c r="RW67" s="43">
        <f t="shared" si="422"/>
        <v>0</v>
      </c>
      <c r="RX67" s="30"/>
      <c r="RY67" s="47">
        <v>1</v>
      </c>
      <c r="RZ67" s="48" t="s">
        <v>4</v>
      </c>
      <c r="SA67" s="49">
        <v>1</v>
      </c>
      <c r="SB67" s="5"/>
      <c r="SC67" s="42">
        <f t="shared" si="423"/>
        <v>4</v>
      </c>
      <c r="SD67" s="43">
        <f t="shared" si="424"/>
        <v>0</v>
      </c>
      <c r="SE67" s="30"/>
      <c r="SF67" s="47">
        <v>1</v>
      </c>
      <c r="SG67" s="48" t="s">
        <v>4</v>
      </c>
      <c r="SH67" s="49">
        <v>1</v>
      </c>
      <c r="SI67" s="5"/>
      <c r="SJ67" s="42">
        <f t="shared" si="425"/>
        <v>4</v>
      </c>
      <c r="SK67" s="43">
        <f t="shared" si="426"/>
        <v>0</v>
      </c>
      <c r="SL67" s="30"/>
      <c r="SM67" s="47">
        <v>2</v>
      </c>
      <c r="SN67" s="48" t="s">
        <v>4</v>
      </c>
      <c r="SO67" s="49">
        <v>1</v>
      </c>
      <c r="SP67" s="5"/>
      <c r="SQ67" s="42">
        <f t="shared" si="427"/>
        <v>0</v>
      </c>
      <c r="SR67" s="43">
        <f t="shared" si="428"/>
        <v>1</v>
      </c>
    </row>
    <row r="68" spans="1:512" customFormat="1" ht="16" customHeight="1" x14ac:dyDescent="0.15">
      <c r="A68" s="51">
        <v>46199</v>
      </c>
      <c r="B68" s="35">
        <v>0.875</v>
      </c>
      <c r="C68" s="82" t="s">
        <v>53</v>
      </c>
      <c r="D68" s="82" t="s">
        <v>10</v>
      </c>
      <c r="E68" s="2">
        <v>1</v>
      </c>
      <c r="F68" s="50" t="s">
        <v>4</v>
      </c>
      <c r="G68" s="1">
        <v>4</v>
      </c>
      <c r="H68" s="16">
        <v>4</v>
      </c>
      <c r="I68" s="32">
        <f t="shared" si="0"/>
        <v>-3</v>
      </c>
      <c r="J68" s="47">
        <v>1</v>
      </c>
      <c r="K68" s="48" t="s">
        <v>4</v>
      </c>
      <c r="L68" s="49">
        <v>2</v>
      </c>
      <c r="M68" s="5"/>
      <c r="N68" s="42">
        <f t="shared" si="1"/>
        <v>4</v>
      </c>
      <c r="O68" s="43">
        <f t="shared" si="2"/>
        <v>-1</v>
      </c>
      <c r="P68" s="43"/>
      <c r="Q68" s="47">
        <v>1</v>
      </c>
      <c r="R68" s="48" t="s">
        <v>4</v>
      </c>
      <c r="S68" s="49">
        <v>3</v>
      </c>
      <c r="T68" s="5"/>
      <c r="U68" s="42">
        <f t="shared" si="287"/>
        <v>4</v>
      </c>
      <c r="V68" s="43">
        <f t="shared" si="288"/>
        <v>-2</v>
      </c>
      <c r="W68" s="30"/>
      <c r="X68" s="47">
        <v>1</v>
      </c>
      <c r="Y68" s="48" t="s">
        <v>4</v>
      </c>
      <c r="Z68" s="49">
        <v>2</v>
      </c>
      <c r="AA68" s="5"/>
      <c r="AB68" s="42">
        <f t="shared" si="289"/>
        <v>4</v>
      </c>
      <c r="AC68" s="43">
        <f t="shared" si="290"/>
        <v>-1</v>
      </c>
      <c r="AD68" s="30"/>
      <c r="AE68" s="47">
        <v>2</v>
      </c>
      <c r="AF68" s="48" t="s">
        <v>4</v>
      </c>
      <c r="AG68" s="49">
        <v>1</v>
      </c>
      <c r="AH68" s="5"/>
      <c r="AI68" s="42">
        <f t="shared" si="291"/>
        <v>0</v>
      </c>
      <c r="AJ68" s="43">
        <f t="shared" si="292"/>
        <v>1</v>
      </c>
      <c r="AK68" s="30"/>
      <c r="AL68" s="47">
        <v>1</v>
      </c>
      <c r="AM68" s="48" t="s">
        <v>4</v>
      </c>
      <c r="AN68" s="49">
        <v>2</v>
      </c>
      <c r="AO68" s="5"/>
      <c r="AP68" s="42">
        <f t="shared" si="293"/>
        <v>4</v>
      </c>
      <c r="AQ68" s="43">
        <f t="shared" si="294"/>
        <v>-1</v>
      </c>
      <c r="AR68" s="30"/>
      <c r="AS68" s="47">
        <v>3</v>
      </c>
      <c r="AT68" s="48" t="s">
        <v>4</v>
      </c>
      <c r="AU68" s="49">
        <v>4</v>
      </c>
      <c r="AV68" s="5"/>
      <c r="AW68" s="42">
        <f t="shared" si="295"/>
        <v>4</v>
      </c>
      <c r="AX68" s="43">
        <f t="shared" si="296"/>
        <v>-1</v>
      </c>
      <c r="AY68" s="30"/>
      <c r="AZ68" s="47">
        <v>2</v>
      </c>
      <c r="BA68" s="48" t="s">
        <v>4</v>
      </c>
      <c r="BB68" s="49">
        <v>2</v>
      </c>
      <c r="BC68" s="5"/>
      <c r="BD68" s="42">
        <f t="shared" si="297"/>
        <v>0</v>
      </c>
      <c r="BE68" s="43">
        <f t="shared" si="298"/>
        <v>0</v>
      </c>
      <c r="BF68" s="30"/>
      <c r="BG68" s="47">
        <v>2</v>
      </c>
      <c r="BH68" s="48" t="s">
        <v>4</v>
      </c>
      <c r="BI68" s="49">
        <v>4</v>
      </c>
      <c r="BJ68" s="5"/>
      <c r="BK68" s="42">
        <f t="shared" si="299"/>
        <v>4</v>
      </c>
      <c r="BL68" s="43">
        <f t="shared" si="300"/>
        <v>-2</v>
      </c>
      <c r="BM68" s="30"/>
      <c r="BN68" s="47">
        <v>2</v>
      </c>
      <c r="BO68" s="48" t="s">
        <v>4</v>
      </c>
      <c r="BP68" s="49">
        <v>2</v>
      </c>
      <c r="BQ68" s="5"/>
      <c r="BR68" s="42">
        <f t="shared" si="301"/>
        <v>0</v>
      </c>
      <c r="BS68" s="43">
        <f t="shared" si="302"/>
        <v>0</v>
      </c>
      <c r="BT68" s="30"/>
      <c r="BU68" s="47">
        <v>1</v>
      </c>
      <c r="BV68" s="48" t="s">
        <v>4</v>
      </c>
      <c r="BW68" s="49">
        <v>2</v>
      </c>
      <c r="BX68" s="5"/>
      <c r="BY68" s="42">
        <f t="shared" si="303"/>
        <v>4</v>
      </c>
      <c r="BZ68" s="43">
        <f t="shared" si="304"/>
        <v>-1</v>
      </c>
      <c r="CA68" s="30"/>
      <c r="CB68" s="47">
        <v>2</v>
      </c>
      <c r="CC68" s="48" t="s">
        <v>4</v>
      </c>
      <c r="CD68" s="49">
        <v>3</v>
      </c>
      <c r="CE68" s="5"/>
      <c r="CF68" s="42">
        <f t="shared" si="305"/>
        <v>4</v>
      </c>
      <c r="CG68" s="43">
        <f t="shared" si="306"/>
        <v>-1</v>
      </c>
      <c r="CH68" s="30"/>
      <c r="CI68" s="47">
        <v>1</v>
      </c>
      <c r="CJ68" s="48" t="s">
        <v>4</v>
      </c>
      <c r="CK68" s="49">
        <v>2</v>
      </c>
      <c r="CL68" s="5"/>
      <c r="CM68" s="42">
        <f t="shared" si="307"/>
        <v>4</v>
      </c>
      <c r="CN68" s="43">
        <f t="shared" si="308"/>
        <v>-1</v>
      </c>
      <c r="CO68" s="30"/>
      <c r="CP68" s="47">
        <v>1</v>
      </c>
      <c r="CQ68" s="48" t="s">
        <v>4</v>
      </c>
      <c r="CR68" s="49">
        <v>3</v>
      </c>
      <c r="CS68" s="5"/>
      <c r="CT68" s="42">
        <f t="shared" si="309"/>
        <v>4</v>
      </c>
      <c r="CU68" s="43">
        <f t="shared" si="310"/>
        <v>-2</v>
      </c>
      <c r="CV68" s="30"/>
      <c r="CW68" s="47">
        <v>0</v>
      </c>
      <c r="CX68" s="48" t="s">
        <v>4</v>
      </c>
      <c r="CY68" s="49">
        <v>2</v>
      </c>
      <c r="CZ68" s="5"/>
      <c r="DA68" s="42">
        <f t="shared" si="311"/>
        <v>4</v>
      </c>
      <c r="DB68" s="43">
        <f t="shared" si="312"/>
        <v>-2</v>
      </c>
      <c r="DC68" s="30"/>
      <c r="DD68" s="47">
        <v>0</v>
      </c>
      <c r="DE68" s="48" t="s">
        <v>4</v>
      </c>
      <c r="DF68" s="49">
        <v>2</v>
      </c>
      <c r="DG68" s="5"/>
      <c r="DH68" s="42">
        <f t="shared" si="313"/>
        <v>4</v>
      </c>
      <c r="DI68" s="43">
        <f t="shared" si="314"/>
        <v>-2</v>
      </c>
      <c r="DJ68" s="30"/>
      <c r="DK68" s="47">
        <v>1</v>
      </c>
      <c r="DL68" s="48" t="s">
        <v>4</v>
      </c>
      <c r="DM68" s="49">
        <v>1</v>
      </c>
      <c r="DN68" s="5"/>
      <c r="DO68" s="42">
        <f t="shared" si="315"/>
        <v>0</v>
      </c>
      <c r="DP68" s="43">
        <f t="shared" si="316"/>
        <v>0</v>
      </c>
      <c r="DQ68" s="30"/>
      <c r="DR68" s="47">
        <v>2</v>
      </c>
      <c r="DS68" s="48" t="s">
        <v>4</v>
      </c>
      <c r="DT68" s="49">
        <v>2</v>
      </c>
      <c r="DU68" s="5"/>
      <c r="DV68" s="42">
        <f t="shared" si="317"/>
        <v>0</v>
      </c>
      <c r="DW68" s="43">
        <f t="shared" si="318"/>
        <v>0</v>
      </c>
      <c r="DX68" s="30"/>
      <c r="DY68" s="47">
        <v>3</v>
      </c>
      <c r="DZ68" s="48" t="s">
        <v>4</v>
      </c>
      <c r="EA68" s="49">
        <v>2</v>
      </c>
      <c r="EB68" s="5"/>
      <c r="EC68" s="42">
        <f t="shared" si="319"/>
        <v>0</v>
      </c>
      <c r="ED68" s="43">
        <f t="shared" si="320"/>
        <v>1</v>
      </c>
      <c r="EE68" s="30"/>
      <c r="EF68" s="47">
        <v>1</v>
      </c>
      <c r="EG68" s="48" t="s">
        <v>4</v>
      </c>
      <c r="EH68" s="49">
        <v>2</v>
      </c>
      <c r="EI68" s="5"/>
      <c r="EJ68" s="42">
        <f t="shared" si="321"/>
        <v>4</v>
      </c>
      <c r="EK68" s="43">
        <f t="shared" si="322"/>
        <v>-1</v>
      </c>
      <c r="EL68" s="30"/>
      <c r="EM68" s="47">
        <v>2</v>
      </c>
      <c r="EN68" s="48" t="s">
        <v>4</v>
      </c>
      <c r="EO68" s="49">
        <v>3</v>
      </c>
      <c r="EP68" s="5"/>
      <c r="EQ68" s="42">
        <f t="shared" si="323"/>
        <v>4</v>
      </c>
      <c r="ER68" s="43">
        <f t="shared" si="324"/>
        <v>-1</v>
      </c>
      <c r="ES68" s="30"/>
      <c r="ET68" s="47">
        <v>1</v>
      </c>
      <c r="EU68" s="48" t="s">
        <v>4</v>
      </c>
      <c r="EV68" s="49">
        <v>4</v>
      </c>
      <c r="EW68" s="5"/>
      <c r="EX68" s="42">
        <f t="shared" si="325"/>
        <v>6</v>
      </c>
      <c r="EY68" s="43">
        <f t="shared" si="326"/>
        <v>-3</v>
      </c>
      <c r="EZ68" s="30"/>
      <c r="FA68" s="47">
        <v>0</v>
      </c>
      <c r="FB68" s="48" t="s">
        <v>4</v>
      </c>
      <c r="FC68" s="49">
        <v>2</v>
      </c>
      <c r="FD68" s="5"/>
      <c r="FE68" s="42">
        <f t="shared" si="327"/>
        <v>4</v>
      </c>
      <c r="FF68" s="43">
        <f t="shared" si="328"/>
        <v>-2</v>
      </c>
      <c r="FG68" s="30"/>
      <c r="FH68" s="47">
        <v>1</v>
      </c>
      <c r="FI68" s="48" t="s">
        <v>4</v>
      </c>
      <c r="FJ68" s="49">
        <v>1</v>
      </c>
      <c r="FK68" s="5"/>
      <c r="FL68" s="42">
        <f t="shared" si="329"/>
        <v>0</v>
      </c>
      <c r="FM68" s="43">
        <f t="shared" si="330"/>
        <v>0</v>
      </c>
      <c r="FN68" s="30"/>
      <c r="FO68" s="47">
        <v>1</v>
      </c>
      <c r="FP68" s="48" t="s">
        <v>4</v>
      </c>
      <c r="FQ68" s="49">
        <v>3</v>
      </c>
      <c r="FR68" s="5"/>
      <c r="FS68" s="42">
        <f t="shared" si="331"/>
        <v>4</v>
      </c>
      <c r="FT68" s="43">
        <f t="shared" si="332"/>
        <v>-2</v>
      </c>
      <c r="FU68" s="30"/>
      <c r="FV68" s="47">
        <v>1</v>
      </c>
      <c r="FW68" s="48" t="s">
        <v>4</v>
      </c>
      <c r="FX68" s="49">
        <v>3</v>
      </c>
      <c r="FY68" s="5"/>
      <c r="FZ68" s="42">
        <f t="shared" si="333"/>
        <v>4</v>
      </c>
      <c r="GA68" s="43">
        <f t="shared" si="334"/>
        <v>-2</v>
      </c>
      <c r="GB68" s="30"/>
      <c r="GC68" s="47">
        <v>2</v>
      </c>
      <c r="GD68" s="48" t="s">
        <v>4</v>
      </c>
      <c r="GE68" s="49">
        <v>1</v>
      </c>
      <c r="GF68" s="5"/>
      <c r="GG68" s="42">
        <f t="shared" si="335"/>
        <v>0</v>
      </c>
      <c r="GH68" s="43">
        <f t="shared" si="336"/>
        <v>1</v>
      </c>
      <c r="GI68" s="30"/>
      <c r="GJ68" s="47">
        <v>1</v>
      </c>
      <c r="GK68" s="48" t="s">
        <v>4</v>
      </c>
      <c r="GL68" s="49">
        <v>2</v>
      </c>
      <c r="GM68" s="5"/>
      <c r="GN68" s="42">
        <f t="shared" si="337"/>
        <v>4</v>
      </c>
      <c r="GO68" s="43">
        <f t="shared" si="338"/>
        <v>-1</v>
      </c>
      <c r="GP68" s="30"/>
      <c r="GQ68" s="47">
        <v>1</v>
      </c>
      <c r="GR68" s="48" t="s">
        <v>4</v>
      </c>
      <c r="GS68" s="49">
        <v>2</v>
      </c>
      <c r="GT68" s="5"/>
      <c r="GU68" s="42">
        <f t="shared" si="339"/>
        <v>4</v>
      </c>
      <c r="GV68" s="43">
        <f t="shared" si="340"/>
        <v>-1</v>
      </c>
      <c r="GW68" s="30"/>
      <c r="GX68" s="47">
        <v>1</v>
      </c>
      <c r="GY68" s="48" t="s">
        <v>4</v>
      </c>
      <c r="GZ68" s="49">
        <v>3</v>
      </c>
      <c r="HA68" s="5"/>
      <c r="HB68" s="42">
        <f t="shared" si="341"/>
        <v>4</v>
      </c>
      <c r="HC68" s="43">
        <f t="shared" si="342"/>
        <v>-2</v>
      </c>
      <c r="HD68" s="30"/>
      <c r="HE68" s="47">
        <v>1</v>
      </c>
      <c r="HF68" s="48" t="s">
        <v>4</v>
      </c>
      <c r="HG68" s="49">
        <v>3</v>
      </c>
      <c r="HH68" s="5"/>
      <c r="HI68" s="42">
        <f t="shared" si="343"/>
        <v>4</v>
      </c>
      <c r="HJ68" s="43">
        <f t="shared" si="344"/>
        <v>-2</v>
      </c>
      <c r="HK68" s="30"/>
      <c r="HL68" s="47">
        <v>1</v>
      </c>
      <c r="HM68" s="48" t="s">
        <v>4</v>
      </c>
      <c r="HN68" s="49">
        <v>3</v>
      </c>
      <c r="HO68" s="5"/>
      <c r="HP68" s="42">
        <f t="shared" si="345"/>
        <v>4</v>
      </c>
      <c r="HQ68" s="43">
        <f t="shared" si="346"/>
        <v>-2</v>
      </c>
      <c r="HR68" s="30"/>
      <c r="HS68" s="47">
        <v>0</v>
      </c>
      <c r="HT68" s="48" t="s">
        <v>4</v>
      </c>
      <c r="HU68" s="49">
        <v>2</v>
      </c>
      <c r="HV68" s="5"/>
      <c r="HW68" s="42">
        <f t="shared" si="347"/>
        <v>4</v>
      </c>
      <c r="HX68" s="43">
        <f t="shared" si="348"/>
        <v>-2</v>
      </c>
      <c r="HY68" s="30"/>
      <c r="HZ68" s="47">
        <v>2</v>
      </c>
      <c r="IA68" s="48" t="s">
        <v>4</v>
      </c>
      <c r="IB68" s="49">
        <v>3</v>
      </c>
      <c r="IC68" s="5"/>
      <c r="ID68" s="42">
        <f t="shared" si="349"/>
        <v>4</v>
      </c>
      <c r="IE68" s="43">
        <f t="shared" si="350"/>
        <v>-1</v>
      </c>
      <c r="IF68" s="30"/>
      <c r="IG68" s="47">
        <v>2</v>
      </c>
      <c r="IH68" s="48" t="s">
        <v>4</v>
      </c>
      <c r="II68" s="49">
        <v>0</v>
      </c>
      <c r="IJ68" s="5"/>
      <c r="IK68" s="42">
        <f t="shared" si="351"/>
        <v>0</v>
      </c>
      <c r="IL68" s="43">
        <f t="shared" si="352"/>
        <v>2</v>
      </c>
      <c r="IM68" s="30"/>
      <c r="IN68" s="47">
        <v>1</v>
      </c>
      <c r="IO68" s="48" t="s">
        <v>4</v>
      </c>
      <c r="IP68" s="49">
        <v>3</v>
      </c>
      <c r="IQ68" s="5"/>
      <c r="IR68" s="42">
        <f t="shared" si="353"/>
        <v>4</v>
      </c>
      <c r="IS68" s="43">
        <f t="shared" si="354"/>
        <v>-2</v>
      </c>
      <c r="IT68" s="30"/>
      <c r="IU68" s="47">
        <v>0</v>
      </c>
      <c r="IV68" s="48" t="s">
        <v>4</v>
      </c>
      <c r="IW68" s="49">
        <v>2</v>
      </c>
      <c r="IX68" s="5"/>
      <c r="IY68" s="42">
        <f t="shared" si="355"/>
        <v>4</v>
      </c>
      <c r="IZ68" s="43">
        <f t="shared" si="356"/>
        <v>-2</v>
      </c>
      <c r="JA68" s="30"/>
      <c r="JB68" s="47">
        <v>1</v>
      </c>
      <c r="JC68" s="48" t="s">
        <v>4</v>
      </c>
      <c r="JD68" s="49">
        <v>2</v>
      </c>
      <c r="JE68" s="5"/>
      <c r="JF68" s="42">
        <f t="shared" si="357"/>
        <v>4</v>
      </c>
      <c r="JG68" s="43">
        <f t="shared" si="358"/>
        <v>-1</v>
      </c>
      <c r="JH68" s="30"/>
      <c r="JI68" s="47">
        <v>3</v>
      </c>
      <c r="JJ68" s="48" t="s">
        <v>4</v>
      </c>
      <c r="JK68" s="49">
        <v>1</v>
      </c>
      <c r="JL68" s="5"/>
      <c r="JM68" s="42">
        <f t="shared" si="359"/>
        <v>0</v>
      </c>
      <c r="JN68" s="43">
        <f t="shared" si="360"/>
        <v>2</v>
      </c>
      <c r="JO68" s="30"/>
      <c r="JP68" s="47">
        <v>1</v>
      </c>
      <c r="JQ68" s="48" t="s">
        <v>4</v>
      </c>
      <c r="JR68" s="49">
        <v>1</v>
      </c>
      <c r="JS68" s="5"/>
      <c r="JT68" s="42">
        <f t="shared" si="361"/>
        <v>0</v>
      </c>
      <c r="JU68" s="43">
        <f t="shared" si="362"/>
        <v>0</v>
      </c>
      <c r="JV68" s="30"/>
      <c r="JW68" s="47">
        <v>2</v>
      </c>
      <c r="JX68" s="48" t="s">
        <v>4</v>
      </c>
      <c r="JY68" s="49">
        <v>3</v>
      </c>
      <c r="JZ68" s="5"/>
      <c r="KA68" s="42">
        <f t="shared" si="363"/>
        <v>4</v>
      </c>
      <c r="KB68" s="43">
        <f t="shared" si="364"/>
        <v>-1</v>
      </c>
      <c r="KC68" s="30"/>
      <c r="KD68" s="47">
        <v>1</v>
      </c>
      <c r="KE68" s="48" t="s">
        <v>4</v>
      </c>
      <c r="KF68" s="49">
        <v>3</v>
      </c>
      <c r="KG68" s="5"/>
      <c r="KH68" s="42">
        <f t="shared" si="365"/>
        <v>4</v>
      </c>
      <c r="KI68" s="43">
        <f t="shared" si="366"/>
        <v>-2</v>
      </c>
      <c r="KJ68" s="30"/>
      <c r="KK68" s="47">
        <v>0</v>
      </c>
      <c r="KL68" s="48" t="s">
        <v>4</v>
      </c>
      <c r="KM68" s="49">
        <v>2</v>
      </c>
      <c r="KN68" s="5"/>
      <c r="KO68" s="42">
        <f t="shared" si="367"/>
        <v>4</v>
      </c>
      <c r="KP68" s="43">
        <f t="shared" si="368"/>
        <v>-2</v>
      </c>
      <c r="KQ68" s="30"/>
      <c r="KR68" s="47">
        <v>2</v>
      </c>
      <c r="KS68" s="48" t="s">
        <v>4</v>
      </c>
      <c r="KT68" s="49">
        <v>2</v>
      </c>
      <c r="KU68" s="5"/>
      <c r="KV68" s="42">
        <f t="shared" si="369"/>
        <v>0</v>
      </c>
      <c r="KW68" s="43">
        <f t="shared" si="370"/>
        <v>0</v>
      </c>
      <c r="KX68" s="30"/>
      <c r="KY68" s="47">
        <v>1</v>
      </c>
      <c r="KZ68" s="48" t="s">
        <v>4</v>
      </c>
      <c r="LA68" s="49">
        <v>2</v>
      </c>
      <c r="LB68" s="5"/>
      <c r="LC68" s="42">
        <f t="shared" si="371"/>
        <v>4</v>
      </c>
      <c r="LD68" s="43">
        <f t="shared" si="372"/>
        <v>-1</v>
      </c>
      <c r="LE68" s="30"/>
      <c r="LF68" s="47">
        <v>2</v>
      </c>
      <c r="LG68" s="48" t="s">
        <v>4</v>
      </c>
      <c r="LH68" s="49">
        <v>4</v>
      </c>
      <c r="LI68" s="5"/>
      <c r="LJ68" s="42">
        <f t="shared" si="373"/>
        <v>4</v>
      </c>
      <c r="LK68" s="43">
        <f t="shared" si="374"/>
        <v>-2</v>
      </c>
      <c r="LL68" s="30"/>
      <c r="LM68" s="47">
        <v>1</v>
      </c>
      <c r="LN68" s="48" t="s">
        <v>4</v>
      </c>
      <c r="LO68" s="49">
        <v>2</v>
      </c>
      <c r="LP68" s="5"/>
      <c r="LQ68" s="42">
        <f t="shared" si="375"/>
        <v>4</v>
      </c>
      <c r="LR68" s="43">
        <f t="shared" si="376"/>
        <v>-1</v>
      </c>
      <c r="LS68" s="30"/>
      <c r="LT68" s="47">
        <v>1</v>
      </c>
      <c r="LU68" s="48" t="s">
        <v>4</v>
      </c>
      <c r="LV68" s="49">
        <v>1</v>
      </c>
      <c r="LW68" s="5"/>
      <c r="LX68" s="42">
        <f t="shared" si="377"/>
        <v>0</v>
      </c>
      <c r="LY68" s="43">
        <f t="shared" si="378"/>
        <v>0</v>
      </c>
      <c r="LZ68" s="30"/>
      <c r="MA68" s="47">
        <v>0</v>
      </c>
      <c r="MB68" s="48" t="s">
        <v>4</v>
      </c>
      <c r="MC68" s="49">
        <v>3</v>
      </c>
      <c r="MD68" s="5"/>
      <c r="ME68" s="42">
        <f t="shared" si="379"/>
        <v>4</v>
      </c>
      <c r="MF68" s="43">
        <f t="shared" si="380"/>
        <v>-3</v>
      </c>
      <c r="MG68" s="30"/>
      <c r="MH68" s="47">
        <v>1</v>
      </c>
      <c r="MI68" s="48" t="s">
        <v>4</v>
      </c>
      <c r="MJ68" s="49">
        <v>3</v>
      </c>
      <c r="MK68" s="5"/>
      <c r="ML68" s="42">
        <f t="shared" si="381"/>
        <v>4</v>
      </c>
      <c r="MM68" s="43">
        <f t="shared" si="382"/>
        <v>-2</v>
      </c>
      <c r="MN68" s="30"/>
      <c r="MO68" s="47">
        <v>1</v>
      </c>
      <c r="MP68" s="48" t="s">
        <v>4</v>
      </c>
      <c r="MQ68" s="49">
        <v>2</v>
      </c>
      <c r="MR68" s="5"/>
      <c r="MS68" s="42">
        <f t="shared" si="383"/>
        <v>4</v>
      </c>
      <c r="MT68" s="43">
        <f t="shared" si="384"/>
        <v>-1</v>
      </c>
      <c r="MU68" s="30"/>
      <c r="MV68" s="47">
        <v>1</v>
      </c>
      <c r="MW68" s="48" t="s">
        <v>4</v>
      </c>
      <c r="MX68" s="49">
        <v>3</v>
      </c>
      <c r="MY68" s="5"/>
      <c r="MZ68" s="42">
        <f t="shared" si="385"/>
        <v>4</v>
      </c>
      <c r="NA68" s="43">
        <f t="shared" si="386"/>
        <v>-2</v>
      </c>
      <c r="NB68" s="30"/>
      <c r="NC68" s="47">
        <v>1</v>
      </c>
      <c r="ND68" s="48" t="s">
        <v>4</v>
      </c>
      <c r="NE68" s="49">
        <v>3</v>
      </c>
      <c r="NF68" s="5"/>
      <c r="NG68" s="42">
        <f t="shared" si="387"/>
        <v>4</v>
      </c>
      <c r="NH68" s="43">
        <f t="shared" si="388"/>
        <v>-2</v>
      </c>
      <c r="NI68" s="30"/>
      <c r="NJ68" s="47">
        <v>2</v>
      </c>
      <c r="NK68" s="48" t="s">
        <v>4</v>
      </c>
      <c r="NL68" s="49">
        <v>0</v>
      </c>
      <c r="NM68" s="5"/>
      <c r="NN68" s="42">
        <f t="shared" si="389"/>
        <v>0</v>
      </c>
      <c r="NO68" s="43">
        <f t="shared" si="390"/>
        <v>2</v>
      </c>
      <c r="NP68" s="30"/>
      <c r="NQ68" s="47">
        <v>2</v>
      </c>
      <c r="NR68" s="48" t="s">
        <v>4</v>
      </c>
      <c r="NS68" s="49">
        <v>2</v>
      </c>
      <c r="NT68" s="5"/>
      <c r="NU68" s="42">
        <f t="shared" si="391"/>
        <v>0</v>
      </c>
      <c r="NV68" s="43">
        <f t="shared" si="392"/>
        <v>0</v>
      </c>
      <c r="NW68" s="30"/>
      <c r="NX68" s="47">
        <v>1</v>
      </c>
      <c r="NY68" s="48" t="s">
        <v>4</v>
      </c>
      <c r="NZ68" s="49">
        <v>2</v>
      </c>
      <c r="OA68" s="5"/>
      <c r="OB68" s="42">
        <f t="shared" si="393"/>
        <v>4</v>
      </c>
      <c r="OC68" s="43">
        <f t="shared" si="394"/>
        <v>-1</v>
      </c>
      <c r="OD68" s="30"/>
      <c r="OE68" s="47">
        <v>1</v>
      </c>
      <c r="OF68" s="48" t="s">
        <v>4</v>
      </c>
      <c r="OG68" s="49">
        <v>3</v>
      </c>
      <c r="OH68" s="5"/>
      <c r="OI68" s="42">
        <f t="shared" si="395"/>
        <v>4</v>
      </c>
      <c r="OJ68" s="43">
        <f t="shared" si="396"/>
        <v>-2</v>
      </c>
      <c r="OK68" s="30"/>
      <c r="OL68" s="47">
        <v>1</v>
      </c>
      <c r="OM68" s="48" t="s">
        <v>4</v>
      </c>
      <c r="ON68" s="49">
        <v>2</v>
      </c>
      <c r="OO68" s="5"/>
      <c r="OP68" s="42">
        <f t="shared" si="397"/>
        <v>4</v>
      </c>
      <c r="OQ68" s="43">
        <f t="shared" si="398"/>
        <v>-1</v>
      </c>
      <c r="OR68" s="30"/>
      <c r="OS68" s="47">
        <v>1</v>
      </c>
      <c r="OT68" s="48" t="s">
        <v>4</v>
      </c>
      <c r="OU68" s="49">
        <v>3</v>
      </c>
      <c r="OV68" s="5"/>
      <c r="OW68" s="42">
        <f t="shared" si="399"/>
        <v>4</v>
      </c>
      <c r="OX68" s="43">
        <f t="shared" si="400"/>
        <v>-2</v>
      </c>
      <c r="OY68" s="30"/>
      <c r="OZ68" s="47">
        <v>1</v>
      </c>
      <c r="PA68" s="48" t="s">
        <v>4</v>
      </c>
      <c r="PB68" s="49">
        <v>2</v>
      </c>
      <c r="PC68" s="5"/>
      <c r="PD68" s="42">
        <f t="shared" si="401"/>
        <v>4</v>
      </c>
      <c r="PE68" s="43">
        <f t="shared" si="402"/>
        <v>-1</v>
      </c>
      <c r="PF68" s="30"/>
      <c r="PG68" s="47">
        <v>0</v>
      </c>
      <c r="PH68" s="48" t="s">
        <v>4</v>
      </c>
      <c r="PI68" s="49">
        <v>1</v>
      </c>
      <c r="PJ68" s="5"/>
      <c r="PK68" s="42">
        <f t="shared" si="403"/>
        <v>4</v>
      </c>
      <c r="PL68" s="43">
        <f t="shared" si="404"/>
        <v>-1</v>
      </c>
      <c r="PM68" s="30"/>
      <c r="PN68" s="47">
        <v>0</v>
      </c>
      <c r="PO68" s="48" t="s">
        <v>4</v>
      </c>
      <c r="PP68" s="49">
        <v>2</v>
      </c>
      <c r="PQ68" s="5"/>
      <c r="PR68" s="42">
        <f t="shared" si="405"/>
        <v>4</v>
      </c>
      <c r="PS68" s="43">
        <f t="shared" si="406"/>
        <v>-2</v>
      </c>
      <c r="PT68" s="30"/>
      <c r="PU68" s="47">
        <v>1</v>
      </c>
      <c r="PV68" s="48" t="s">
        <v>4</v>
      </c>
      <c r="PW68" s="49">
        <v>2</v>
      </c>
      <c r="PX68" s="5"/>
      <c r="PY68" s="42">
        <f t="shared" si="407"/>
        <v>4</v>
      </c>
      <c r="PZ68" s="43">
        <f t="shared" si="408"/>
        <v>-1</v>
      </c>
      <c r="QA68" s="30"/>
      <c r="QB68" s="47">
        <v>1</v>
      </c>
      <c r="QC68" s="48" t="s">
        <v>4</v>
      </c>
      <c r="QD68" s="49">
        <v>3</v>
      </c>
      <c r="QE68" s="5"/>
      <c r="QF68" s="42">
        <f t="shared" si="409"/>
        <v>4</v>
      </c>
      <c r="QG68" s="43">
        <f t="shared" si="410"/>
        <v>-2</v>
      </c>
      <c r="QH68" s="30"/>
      <c r="QI68" s="47">
        <v>3</v>
      </c>
      <c r="QJ68" s="48" t="s">
        <v>4</v>
      </c>
      <c r="QK68" s="49">
        <v>4</v>
      </c>
      <c r="QL68" s="5"/>
      <c r="QM68" s="42">
        <f t="shared" si="411"/>
        <v>4</v>
      </c>
      <c r="QN68" s="43">
        <f t="shared" si="412"/>
        <v>-1</v>
      </c>
      <c r="QO68" s="30"/>
      <c r="QP68" s="47">
        <v>1</v>
      </c>
      <c r="QQ68" s="48" t="s">
        <v>4</v>
      </c>
      <c r="QR68" s="49">
        <v>4</v>
      </c>
      <c r="QS68" s="5"/>
      <c r="QT68" s="42">
        <f t="shared" si="413"/>
        <v>6</v>
      </c>
      <c r="QU68" s="43">
        <f t="shared" si="414"/>
        <v>-3</v>
      </c>
      <c r="QV68" s="30"/>
      <c r="QW68" s="47">
        <v>1</v>
      </c>
      <c r="QX68" s="48" t="s">
        <v>4</v>
      </c>
      <c r="QY68" s="49">
        <v>1</v>
      </c>
      <c r="QZ68" s="5"/>
      <c r="RA68" s="42">
        <f t="shared" si="415"/>
        <v>0</v>
      </c>
      <c r="RB68" s="43">
        <f t="shared" si="416"/>
        <v>0</v>
      </c>
      <c r="RC68" s="30"/>
      <c r="RD68" s="47"/>
      <c r="RE68" s="48" t="s">
        <v>4</v>
      </c>
      <c r="RF68" s="49"/>
      <c r="RG68" s="5"/>
      <c r="RH68" s="42" t="str">
        <f t="shared" si="417"/>
        <v/>
      </c>
      <c r="RI68" s="43">
        <f t="shared" si="418"/>
        <v>0</v>
      </c>
      <c r="RJ68" s="30"/>
      <c r="RK68" s="47">
        <v>1</v>
      </c>
      <c r="RL68" s="48" t="s">
        <v>4</v>
      </c>
      <c r="RM68" s="49">
        <v>2</v>
      </c>
      <c r="RN68" s="5"/>
      <c r="RO68" s="42">
        <f t="shared" si="419"/>
        <v>4</v>
      </c>
      <c r="RP68" s="43">
        <f t="shared" si="420"/>
        <v>-1</v>
      </c>
      <c r="RQ68" s="30"/>
      <c r="RR68" s="47">
        <v>0</v>
      </c>
      <c r="RS68" s="48" t="s">
        <v>4</v>
      </c>
      <c r="RT68" s="49">
        <v>2</v>
      </c>
      <c r="RU68" s="5"/>
      <c r="RV68" s="42">
        <f t="shared" si="421"/>
        <v>4</v>
      </c>
      <c r="RW68" s="43">
        <f t="shared" si="422"/>
        <v>-2</v>
      </c>
      <c r="RX68" s="30"/>
      <c r="RY68" s="47">
        <v>0</v>
      </c>
      <c r="RZ68" s="48" t="s">
        <v>4</v>
      </c>
      <c r="SA68" s="49">
        <v>2</v>
      </c>
      <c r="SB68" s="5"/>
      <c r="SC68" s="42">
        <f t="shared" si="423"/>
        <v>4</v>
      </c>
      <c r="SD68" s="43">
        <f t="shared" si="424"/>
        <v>-2</v>
      </c>
      <c r="SE68" s="30"/>
      <c r="SF68" s="47">
        <v>0</v>
      </c>
      <c r="SG68" s="48" t="s">
        <v>4</v>
      </c>
      <c r="SH68" s="49">
        <v>2</v>
      </c>
      <c r="SI68" s="5"/>
      <c r="SJ68" s="42">
        <f t="shared" si="425"/>
        <v>4</v>
      </c>
      <c r="SK68" s="43">
        <f t="shared" si="426"/>
        <v>-2</v>
      </c>
      <c r="SL68" s="30"/>
      <c r="SM68" s="47">
        <v>1</v>
      </c>
      <c r="SN68" s="48" t="s">
        <v>4</v>
      </c>
      <c r="SO68" s="49">
        <v>2</v>
      </c>
      <c r="SP68" s="5"/>
      <c r="SQ68" s="42">
        <f t="shared" si="427"/>
        <v>4</v>
      </c>
      <c r="SR68" s="43">
        <f t="shared" si="428"/>
        <v>-1</v>
      </c>
    </row>
    <row r="69" spans="1:512" customFormat="1" ht="16" customHeight="1" x14ac:dyDescent="0.15">
      <c r="A69" s="51">
        <v>46199</v>
      </c>
      <c r="B69" s="46">
        <v>0.875</v>
      </c>
      <c r="C69" s="82" t="s">
        <v>51</v>
      </c>
      <c r="D69" s="82" t="s">
        <v>52</v>
      </c>
      <c r="E69" s="2">
        <v>5</v>
      </c>
      <c r="F69" s="50" t="s">
        <v>4</v>
      </c>
      <c r="G69" s="1">
        <v>0</v>
      </c>
      <c r="H69" s="16">
        <v>4</v>
      </c>
      <c r="I69" s="32">
        <f t="shared" si="0"/>
        <v>5</v>
      </c>
      <c r="J69" s="47">
        <v>2</v>
      </c>
      <c r="K69" s="48" t="s">
        <v>4</v>
      </c>
      <c r="L69" s="49">
        <v>0</v>
      </c>
      <c r="M69" s="5"/>
      <c r="N69" s="42">
        <f t="shared" si="1"/>
        <v>4</v>
      </c>
      <c r="O69" s="43">
        <f t="shared" si="2"/>
        <v>2</v>
      </c>
      <c r="P69" s="43">
        <f>IF($I69=0,IF(AND(#REF!&gt;#REF!,OR(AND(T69="",Q69&gt;S69),T69=1)),1,IF(AND(#REF!&lt;#REF!,OR(AND(T69="",Q69&lt;S69),T69=2)),1,0)),0)</f>
        <v>0</v>
      </c>
      <c r="Q69" s="47">
        <v>2</v>
      </c>
      <c r="R69" s="48" t="s">
        <v>4</v>
      </c>
      <c r="S69" s="49">
        <v>1</v>
      </c>
      <c r="T69" s="5"/>
      <c r="U69" s="42">
        <f t="shared" si="287"/>
        <v>4</v>
      </c>
      <c r="V69" s="43">
        <f t="shared" si="288"/>
        <v>1</v>
      </c>
      <c r="W69" s="30"/>
      <c r="X69" s="47">
        <v>3</v>
      </c>
      <c r="Y69" s="48" t="s">
        <v>4</v>
      </c>
      <c r="Z69" s="49">
        <v>2</v>
      </c>
      <c r="AA69" s="5"/>
      <c r="AB69" s="42">
        <f t="shared" si="289"/>
        <v>4</v>
      </c>
      <c r="AC69" s="43">
        <f t="shared" si="290"/>
        <v>1</v>
      </c>
      <c r="AD69" s="30"/>
      <c r="AE69" s="47">
        <v>2</v>
      </c>
      <c r="AF69" s="48" t="s">
        <v>4</v>
      </c>
      <c r="AG69" s="49">
        <v>0</v>
      </c>
      <c r="AH69" s="5"/>
      <c r="AI69" s="42">
        <f t="shared" si="291"/>
        <v>4</v>
      </c>
      <c r="AJ69" s="43">
        <f t="shared" si="292"/>
        <v>2</v>
      </c>
      <c r="AK69" s="30"/>
      <c r="AL69" s="47">
        <v>2</v>
      </c>
      <c r="AM69" s="48" t="s">
        <v>4</v>
      </c>
      <c r="AN69" s="49">
        <v>0</v>
      </c>
      <c r="AO69" s="5"/>
      <c r="AP69" s="42">
        <f t="shared" si="293"/>
        <v>4</v>
      </c>
      <c r="AQ69" s="43">
        <f t="shared" si="294"/>
        <v>2</v>
      </c>
      <c r="AR69" s="30"/>
      <c r="AS69" s="47">
        <v>2</v>
      </c>
      <c r="AT69" s="48" t="s">
        <v>4</v>
      </c>
      <c r="AU69" s="49">
        <v>1</v>
      </c>
      <c r="AV69" s="5"/>
      <c r="AW69" s="42">
        <f t="shared" si="295"/>
        <v>4</v>
      </c>
      <c r="AX69" s="43">
        <f t="shared" si="296"/>
        <v>1</v>
      </c>
      <c r="AY69" s="30"/>
      <c r="AZ69" s="47">
        <v>2</v>
      </c>
      <c r="BA69" s="48" t="s">
        <v>4</v>
      </c>
      <c r="BB69" s="49">
        <v>1</v>
      </c>
      <c r="BC69" s="5"/>
      <c r="BD69" s="42">
        <f t="shared" si="297"/>
        <v>4</v>
      </c>
      <c r="BE69" s="43">
        <f t="shared" si="298"/>
        <v>1</v>
      </c>
      <c r="BF69" s="30"/>
      <c r="BG69" s="47">
        <v>2</v>
      </c>
      <c r="BH69" s="48" t="s">
        <v>4</v>
      </c>
      <c r="BI69" s="49">
        <v>1</v>
      </c>
      <c r="BJ69" s="5"/>
      <c r="BK69" s="42">
        <f t="shared" si="299"/>
        <v>4</v>
      </c>
      <c r="BL69" s="43">
        <f t="shared" si="300"/>
        <v>1</v>
      </c>
      <c r="BM69" s="30"/>
      <c r="BN69" s="47">
        <v>2</v>
      </c>
      <c r="BO69" s="48" t="s">
        <v>4</v>
      </c>
      <c r="BP69" s="49">
        <v>1</v>
      </c>
      <c r="BQ69" s="5"/>
      <c r="BR69" s="42">
        <f t="shared" si="301"/>
        <v>4</v>
      </c>
      <c r="BS69" s="43">
        <f t="shared" si="302"/>
        <v>1</v>
      </c>
      <c r="BT69" s="30"/>
      <c r="BU69" s="47">
        <v>1</v>
      </c>
      <c r="BV69" s="48" t="s">
        <v>4</v>
      </c>
      <c r="BW69" s="49">
        <v>0</v>
      </c>
      <c r="BX69" s="5"/>
      <c r="BY69" s="42">
        <f t="shared" si="303"/>
        <v>4</v>
      </c>
      <c r="BZ69" s="43">
        <f t="shared" si="304"/>
        <v>1</v>
      </c>
      <c r="CA69" s="30"/>
      <c r="CB69" s="47">
        <v>2</v>
      </c>
      <c r="CC69" s="48" t="s">
        <v>4</v>
      </c>
      <c r="CD69" s="49">
        <v>2</v>
      </c>
      <c r="CE69" s="5"/>
      <c r="CF69" s="42">
        <f t="shared" si="305"/>
        <v>0</v>
      </c>
      <c r="CG69" s="43">
        <f t="shared" si="306"/>
        <v>0</v>
      </c>
      <c r="CH69" s="30"/>
      <c r="CI69" s="47">
        <v>2</v>
      </c>
      <c r="CJ69" s="48" t="s">
        <v>4</v>
      </c>
      <c r="CK69" s="49">
        <v>0</v>
      </c>
      <c r="CL69" s="5"/>
      <c r="CM69" s="42">
        <f t="shared" si="307"/>
        <v>4</v>
      </c>
      <c r="CN69" s="43">
        <f t="shared" si="308"/>
        <v>2</v>
      </c>
      <c r="CO69" s="30"/>
      <c r="CP69" s="47">
        <v>2</v>
      </c>
      <c r="CQ69" s="48" t="s">
        <v>4</v>
      </c>
      <c r="CR69" s="49">
        <v>0</v>
      </c>
      <c r="CS69" s="5"/>
      <c r="CT69" s="42">
        <f t="shared" si="309"/>
        <v>4</v>
      </c>
      <c r="CU69" s="43">
        <f t="shared" si="310"/>
        <v>2</v>
      </c>
      <c r="CV69" s="30"/>
      <c r="CW69" s="47">
        <v>1</v>
      </c>
      <c r="CX69" s="48" t="s">
        <v>4</v>
      </c>
      <c r="CY69" s="49">
        <v>0</v>
      </c>
      <c r="CZ69" s="5"/>
      <c r="DA69" s="42">
        <f t="shared" si="311"/>
        <v>4</v>
      </c>
      <c r="DB69" s="43">
        <f t="shared" si="312"/>
        <v>1</v>
      </c>
      <c r="DC69" s="30"/>
      <c r="DD69" s="47">
        <v>3</v>
      </c>
      <c r="DE69" s="48" t="s">
        <v>4</v>
      </c>
      <c r="DF69" s="49">
        <v>0</v>
      </c>
      <c r="DG69" s="5"/>
      <c r="DH69" s="42">
        <f t="shared" si="313"/>
        <v>4</v>
      </c>
      <c r="DI69" s="43">
        <f t="shared" si="314"/>
        <v>3</v>
      </c>
      <c r="DJ69" s="30"/>
      <c r="DK69" s="47">
        <v>1</v>
      </c>
      <c r="DL69" s="48" t="s">
        <v>4</v>
      </c>
      <c r="DM69" s="49">
        <v>1</v>
      </c>
      <c r="DN69" s="5"/>
      <c r="DO69" s="42">
        <f t="shared" si="315"/>
        <v>0</v>
      </c>
      <c r="DP69" s="43">
        <f t="shared" si="316"/>
        <v>0</v>
      </c>
      <c r="DQ69" s="30"/>
      <c r="DR69" s="47">
        <v>3</v>
      </c>
      <c r="DS69" s="48" t="s">
        <v>4</v>
      </c>
      <c r="DT69" s="49">
        <v>0</v>
      </c>
      <c r="DU69" s="5"/>
      <c r="DV69" s="42">
        <f t="shared" si="317"/>
        <v>4</v>
      </c>
      <c r="DW69" s="43">
        <f t="shared" si="318"/>
        <v>3</v>
      </c>
      <c r="DX69" s="30"/>
      <c r="DY69" s="47">
        <v>2</v>
      </c>
      <c r="DZ69" s="48" t="s">
        <v>4</v>
      </c>
      <c r="EA69" s="49">
        <v>0</v>
      </c>
      <c r="EB69" s="5"/>
      <c r="EC69" s="42">
        <f t="shared" si="319"/>
        <v>4</v>
      </c>
      <c r="ED69" s="43">
        <f t="shared" si="320"/>
        <v>2</v>
      </c>
      <c r="EE69" s="30"/>
      <c r="EF69" s="47">
        <v>2</v>
      </c>
      <c r="EG69" s="48" t="s">
        <v>4</v>
      </c>
      <c r="EH69" s="49">
        <v>0</v>
      </c>
      <c r="EI69" s="5"/>
      <c r="EJ69" s="42">
        <f t="shared" si="321"/>
        <v>4</v>
      </c>
      <c r="EK69" s="43">
        <f t="shared" si="322"/>
        <v>2</v>
      </c>
      <c r="EL69" s="30"/>
      <c r="EM69" s="47">
        <v>2</v>
      </c>
      <c r="EN69" s="48" t="s">
        <v>4</v>
      </c>
      <c r="EO69" s="49">
        <v>0</v>
      </c>
      <c r="EP69" s="5"/>
      <c r="EQ69" s="42">
        <f t="shared" si="323"/>
        <v>4</v>
      </c>
      <c r="ER69" s="43">
        <f t="shared" si="324"/>
        <v>2</v>
      </c>
      <c r="ES69" s="30"/>
      <c r="ET69" s="47">
        <v>3</v>
      </c>
      <c r="EU69" s="48" t="s">
        <v>4</v>
      </c>
      <c r="EV69" s="49">
        <v>1</v>
      </c>
      <c r="EW69" s="5"/>
      <c r="EX69" s="42">
        <f t="shared" si="325"/>
        <v>4</v>
      </c>
      <c r="EY69" s="43">
        <f t="shared" si="326"/>
        <v>2</v>
      </c>
      <c r="EZ69" s="30"/>
      <c r="FA69" s="47">
        <v>2</v>
      </c>
      <c r="FB69" s="48" t="s">
        <v>4</v>
      </c>
      <c r="FC69" s="49">
        <v>0</v>
      </c>
      <c r="FD69" s="5"/>
      <c r="FE69" s="42">
        <f t="shared" si="327"/>
        <v>4</v>
      </c>
      <c r="FF69" s="43">
        <f t="shared" si="328"/>
        <v>2</v>
      </c>
      <c r="FG69" s="30"/>
      <c r="FH69" s="47">
        <v>2</v>
      </c>
      <c r="FI69" s="48" t="s">
        <v>4</v>
      </c>
      <c r="FJ69" s="49">
        <v>1</v>
      </c>
      <c r="FK69" s="5"/>
      <c r="FL69" s="42">
        <f t="shared" si="329"/>
        <v>4</v>
      </c>
      <c r="FM69" s="43">
        <f t="shared" si="330"/>
        <v>1</v>
      </c>
      <c r="FN69" s="30"/>
      <c r="FO69" s="47">
        <v>1</v>
      </c>
      <c r="FP69" s="48" t="s">
        <v>4</v>
      </c>
      <c r="FQ69" s="49">
        <v>1</v>
      </c>
      <c r="FR69" s="5"/>
      <c r="FS69" s="42">
        <f t="shared" si="331"/>
        <v>0</v>
      </c>
      <c r="FT69" s="43">
        <f t="shared" si="332"/>
        <v>0</v>
      </c>
      <c r="FU69" s="30"/>
      <c r="FV69" s="47">
        <v>2</v>
      </c>
      <c r="FW69" s="48" t="s">
        <v>4</v>
      </c>
      <c r="FX69" s="49">
        <v>0</v>
      </c>
      <c r="FY69" s="5"/>
      <c r="FZ69" s="42">
        <f t="shared" si="333"/>
        <v>4</v>
      </c>
      <c r="GA69" s="43">
        <f t="shared" si="334"/>
        <v>2</v>
      </c>
      <c r="GB69" s="30"/>
      <c r="GC69" s="47">
        <v>2</v>
      </c>
      <c r="GD69" s="48" t="s">
        <v>4</v>
      </c>
      <c r="GE69" s="49">
        <v>0</v>
      </c>
      <c r="GF69" s="5"/>
      <c r="GG69" s="42">
        <f t="shared" si="335"/>
        <v>4</v>
      </c>
      <c r="GH69" s="43">
        <f t="shared" si="336"/>
        <v>2</v>
      </c>
      <c r="GI69" s="30"/>
      <c r="GJ69" s="47">
        <v>2</v>
      </c>
      <c r="GK69" s="48" t="s">
        <v>4</v>
      </c>
      <c r="GL69" s="49">
        <v>0</v>
      </c>
      <c r="GM69" s="5"/>
      <c r="GN69" s="42">
        <f t="shared" si="337"/>
        <v>4</v>
      </c>
      <c r="GO69" s="43">
        <f t="shared" si="338"/>
        <v>2</v>
      </c>
      <c r="GP69" s="30"/>
      <c r="GQ69" s="47">
        <v>2</v>
      </c>
      <c r="GR69" s="48" t="s">
        <v>4</v>
      </c>
      <c r="GS69" s="49">
        <v>1</v>
      </c>
      <c r="GT69" s="5"/>
      <c r="GU69" s="42">
        <f t="shared" si="339"/>
        <v>4</v>
      </c>
      <c r="GV69" s="43">
        <f t="shared" si="340"/>
        <v>1</v>
      </c>
      <c r="GW69" s="30"/>
      <c r="GX69" s="47">
        <v>2</v>
      </c>
      <c r="GY69" s="48" t="s">
        <v>4</v>
      </c>
      <c r="GZ69" s="49">
        <v>0</v>
      </c>
      <c r="HA69" s="5"/>
      <c r="HB69" s="42">
        <f t="shared" si="341"/>
        <v>4</v>
      </c>
      <c r="HC69" s="43">
        <f t="shared" si="342"/>
        <v>2</v>
      </c>
      <c r="HD69" s="30"/>
      <c r="HE69" s="47">
        <v>3</v>
      </c>
      <c r="HF69" s="48" t="s">
        <v>4</v>
      </c>
      <c r="HG69" s="49">
        <v>1</v>
      </c>
      <c r="HH69" s="5"/>
      <c r="HI69" s="42">
        <f t="shared" si="343"/>
        <v>4</v>
      </c>
      <c r="HJ69" s="43">
        <f t="shared" si="344"/>
        <v>2</v>
      </c>
      <c r="HK69" s="30"/>
      <c r="HL69" s="47">
        <v>1</v>
      </c>
      <c r="HM69" s="48" t="s">
        <v>4</v>
      </c>
      <c r="HN69" s="49">
        <v>0</v>
      </c>
      <c r="HO69" s="5"/>
      <c r="HP69" s="42">
        <f t="shared" si="345"/>
        <v>4</v>
      </c>
      <c r="HQ69" s="43">
        <f t="shared" si="346"/>
        <v>1</v>
      </c>
      <c r="HR69" s="30"/>
      <c r="HS69" s="47">
        <v>1</v>
      </c>
      <c r="HT69" s="48" t="s">
        <v>4</v>
      </c>
      <c r="HU69" s="49">
        <v>0</v>
      </c>
      <c r="HV69" s="5"/>
      <c r="HW69" s="42">
        <f t="shared" si="347"/>
        <v>4</v>
      </c>
      <c r="HX69" s="43">
        <f t="shared" si="348"/>
        <v>1</v>
      </c>
      <c r="HY69" s="30"/>
      <c r="HZ69" s="47">
        <v>2</v>
      </c>
      <c r="IA69" s="48" t="s">
        <v>4</v>
      </c>
      <c r="IB69" s="49">
        <v>0</v>
      </c>
      <c r="IC69" s="5"/>
      <c r="ID69" s="42">
        <f t="shared" si="349"/>
        <v>4</v>
      </c>
      <c r="IE69" s="43">
        <f t="shared" si="350"/>
        <v>2</v>
      </c>
      <c r="IF69" s="30"/>
      <c r="IG69" s="47">
        <v>0</v>
      </c>
      <c r="IH69" s="48" t="s">
        <v>4</v>
      </c>
      <c r="II69" s="49">
        <v>4</v>
      </c>
      <c r="IJ69" s="5"/>
      <c r="IK69" s="42">
        <f t="shared" si="351"/>
        <v>0</v>
      </c>
      <c r="IL69" s="43">
        <f t="shared" si="352"/>
        <v>-4</v>
      </c>
      <c r="IM69" s="30"/>
      <c r="IN69" s="47">
        <v>2</v>
      </c>
      <c r="IO69" s="48" t="s">
        <v>4</v>
      </c>
      <c r="IP69" s="49">
        <v>0</v>
      </c>
      <c r="IQ69" s="5"/>
      <c r="IR69" s="42">
        <f t="shared" si="353"/>
        <v>4</v>
      </c>
      <c r="IS69" s="43">
        <f t="shared" si="354"/>
        <v>2</v>
      </c>
      <c r="IT69" s="30"/>
      <c r="IU69" s="47">
        <v>2</v>
      </c>
      <c r="IV69" s="48" t="s">
        <v>4</v>
      </c>
      <c r="IW69" s="49">
        <v>0</v>
      </c>
      <c r="IX69" s="5"/>
      <c r="IY69" s="42">
        <f t="shared" si="355"/>
        <v>4</v>
      </c>
      <c r="IZ69" s="43">
        <f t="shared" si="356"/>
        <v>2</v>
      </c>
      <c r="JA69" s="30"/>
      <c r="JB69" s="47">
        <v>2</v>
      </c>
      <c r="JC69" s="48" t="s">
        <v>4</v>
      </c>
      <c r="JD69" s="49">
        <v>1</v>
      </c>
      <c r="JE69" s="5"/>
      <c r="JF69" s="42">
        <f t="shared" si="357"/>
        <v>4</v>
      </c>
      <c r="JG69" s="43">
        <f t="shared" si="358"/>
        <v>1</v>
      </c>
      <c r="JH69" s="30"/>
      <c r="JI69" s="47">
        <v>2</v>
      </c>
      <c r="JJ69" s="48" t="s">
        <v>4</v>
      </c>
      <c r="JK69" s="49">
        <v>0</v>
      </c>
      <c r="JL69" s="5"/>
      <c r="JM69" s="42">
        <f t="shared" si="359"/>
        <v>4</v>
      </c>
      <c r="JN69" s="43">
        <f t="shared" si="360"/>
        <v>2</v>
      </c>
      <c r="JO69" s="30"/>
      <c r="JP69" s="47">
        <v>3</v>
      </c>
      <c r="JQ69" s="48" t="s">
        <v>4</v>
      </c>
      <c r="JR69" s="49">
        <v>0</v>
      </c>
      <c r="JS69" s="5"/>
      <c r="JT69" s="42">
        <f t="shared" si="361"/>
        <v>4</v>
      </c>
      <c r="JU69" s="43">
        <f t="shared" si="362"/>
        <v>3</v>
      </c>
      <c r="JV69" s="30"/>
      <c r="JW69" s="47">
        <v>1</v>
      </c>
      <c r="JX69" s="48" t="s">
        <v>4</v>
      </c>
      <c r="JY69" s="49">
        <v>1</v>
      </c>
      <c r="JZ69" s="5"/>
      <c r="KA69" s="42">
        <f t="shared" si="363"/>
        <v>0</v>
      </c>
      <c r="KB69" s="43">
        <f t="shared" si="364"/>
        <v>0</v>
      </c>
      <c r="KC69" s="30"/>
      <c r="KD69" s="47">
        <v>2</v>
      </c>
      <c r="KE69" s="48" t="s">
        <v>4</v>
      </c>
      <c r="KF69" s="49">
        <v>1</v>
      </c>
      <c r="KG69" s="5"/>
      <c r="KH69" s="42">
        <f t="shared" si="365"/>
        <v>4</v>
      </c>
      <c r="KI69" s="43">
        <f t="shared" si="366"/>
        <v>1</v>
      </c>
      <c r="KJ69" s="30"/>
      <c r="KK69" s="47">
        <v>1</v>
      </c>
      <c r="KL69" s="48" t="s">
        <v>4</v>
      </c>
      <c r="KM69" s="49">
        <v>0</v>
      </c>
      <c r="KN69" s="5"/>
      <c r="KO69" s="42">
        <f t="shared" si="367"/>
        <v>4</v>
      </c>
      <c r="KP69" s="43">
        <f t="shared" si="368"/>
        <v>1</v>
      </c>
      <c r="KQ69" s="30"/>
      <c r="KR69" s="47">
        <v>1</v>
      </c>
      <c r="KS69" s="48" t="s">
        <v>4</v>
      </c>
      <c r="KT69" s="49">
        <v>0</v>
      </c>
      <c r="KU69" s="5"/>
      <c r="KV69" s="42">
        <f t="shared" si="369"/>
        <v>4</v>
      </c>
      <c r="KW69" s="43">
        <f t="shared" si="370"/>
        <v>1</v>
      </c>
      <c r="KX69" s="30"/>
      <c r="KY69" s="47">
        <v>2</v>
      </c>
      <c r="KZ69" s="48" t="s">
        <v>4</v>
      </c>
      <c r="LA69" s="49">
        <v>1</v>
      </c>
      <c r="LB69" s="5"/>
      <c r="LC69" s="42">
        <f t="shared" si="371"/>
        <v>4</v>
      </c>
      <c r="LD69" s="43">
        <f t="shared" si="372"/>
        <v>1</v>
      </c>
      <c r="LE69" s="30"/>
      <c r="LF69" s="47">
        <v>3</v>
      </c>
      <c r="LG69" s="48" t="s">
        <v>4</v>
      </c>
      <c r="LH69" s="49">
        <v>1</v>
      </c>
      <c r="LI69" s="5"/>
      <c r="LJ69" s="42">
        <f t="shared" si="373"/>
        <v>4</v>
      </c>
      <c r="LK69" s="43">
        <f t="shared" si="374"/>
        <v>2</v>
      </c>
      <c r="LL69" s="30"/>
      <c r="LM69" s="47">
        <v>0</v>
      </c>
      <c r="LN69" s="48" t="s">
        <v>4</v>
      </c>
      <c r="LO69" s="49">
        <v>1</v>
      </c>
      <c r="LP69" s="5"/>
      <c r="LQ69" s="42">
        <f t="shared" si="375"/>
        <v>0</v>
      </c>
      <c r="LR69" s="43">
        <f t="shared" si="376"/>
        <v>-1</v>
      </c>
      <c r="LS69" s="30"/>
      <c r="LT69" s="47">
        <v>2</v>
      </c>
      <c r="LU69" s="48" t="s">
        <v>4</v>
      </c>
      <c r="LV69" s="49">
        <v>0</v>
      </c>
      <c r="LW69" s="5"/>
      <c r="LX69" s="42">
        <f t="shared" si="377"/>
        <v>4</v>
      </c>
      <c r="LY69" s="43">
        <f t="shared" si="378"/>
        <v>2</v>
      </c>
      <c r="LZ69" s="30"/>
      <c r="MA69" s="47">
        <v>2</v>
      </c>
      <c r="MB69" s="48" t="s">
        <v>4</v>
      </c>
      <c r="MC69" s="49">
        <v>0</v>
      </c>
      <c r="MD69" s="5"/>
      <c r="ME69" s="42">
        <f t="shared" si="379"/>
        <v>4</v>
      </c>
      <c r="MF69" s="43">
        <f t="shared" si="380"/>
        <v>2</v>
      </c>
      <c r="MG69" s="30"/>
      <c r="MH69" s="47">
        <v>2</v>
      </c>
      <c r="MI69" s="48" t="s">
        <v>4</v>
      </c>
      <c r="MJ69" s="49">
        <v>0</v>
      </c>
      <c r="MK69" s="5"/>
      <c r="ML69" s="42">
        <f t="shared" si="381"/>
        <v>4</v>
      </c>
      <c r="MM69" s="43">
        <f t="shared" si="382"/>
        <v>2</v>
      </c>
      <c r="MN69" s="30"/>
      <c r="MO69" s="47">
        <v>1</v>
      </c>
      <c r="MP69" s="48" t="s">
        <v>4</v>
      </c>
      <c r="MQ69" s="49">
        <v>1</v>
      </c>
      <c r="MR69" s="5"/>
      <c r="MS69" s="42">
        <f t="shared" si="383"/>
        <v>0</v>
      </c>
      <c r="MT69" s="43">
        <f t="shared" si="384"/>
        <v>0</v>
      </c>
      <c r="MU69" s="30"/>
      <c r="MV69" s="47">
        <v>1</v>
      </c>
      <c r="MW69" s="48" t="s">
        <v>4</v>
      </c>
      <c r="MX69" s="49">
        <v>0</v>
      </c>
      <c r="MY69" s="5"/>
      <c r="MZ69" s="42">
        <f t="shared" si="385"/>
        <v>4</v>
      </c>
      <c r="NA69" s="43">
        <f t="shared" si="386"/>
        <v>1</v>
      </c>
      <c r="NB69" s="30"/>
      <c r="NC69" s="47">
        <v>1</v>
      </c>
      <c r="ND69" s="48" t="s">
        <v>4</v>
      </c>
      <c r="NE69" s="49">
        <v>2</v>
      </c>
      <c r="NF69" s="5"/>
      <c r="NG69" s="42">
        <f t="shared" si="387"/>
        <v>0</v>
      </c>
      <c r="NH69" s="43">
        <f t="shared" si="388"/>
        <v>-1</v>
      </c>
      <c r="NI69" s="30"/>
      <c r="NJ69" s="47">
        <v>3</v>
      </c>
      <c r="NK69" s="48" t="s">
        <v>4</v>
      </c>
      <c r="NL69" s="49">
        <v>1</v>
      </c>
      <c r="NM69" s="5"/>
      <c r="NN69" s="42">
        <f t="shared" si="389"/>
        <v>4</v>
      </c>
      <c r="NO69" s="43">
        <f t="shared" si="390"/>
        <v>2</v>
      </c>
      <c r="NP69" s="30"/>
      <c r="NQ69" s="47">
        <v>0</v>
      </c>
      <c r="NR69" s="48" t="s">
        <v>4</v>
      </c>
      <c r="NS69" s="49">
        <v>1</v>
      </c>
      <c r="NT69" s="5"/>
      <c r="NU69" s="42">
        <f t="shared" si="391"/>
        <v>0</v>
      </c>
      <c r="NV69" s="43">
        <f t="shared" si="392"/>
        <v>-1</v>
      </c>
      <c r="NW69" s="30"/>
      <c r="NX69" s="47">
        <v>2</v>
      </c>
      <c r="NY69" s="48" t="s">
        <v>4</v>
      </c>
      <c r="NZ69" s="49">
        <v>1</v>
      </c>
      <c r="OA69" s="5"/>
      <c r="OB69" s="42">
        <f t="shared" si="393"/>
        <v>4</v>
      </c>
      <c r="OC69" s="43">
        <f t="shared" si="394"/>
        <v>1</v>
      </c>
      <c r="OD69" s="30"/>
      <c r="OE69" s="47">
        <v>2</v>
      </c>
      <c r="OF69" s="48" t="s">
        <v>4</v>
      </c>
      <c r="OG69" s="49">
        <v>2</v>
      </c>
      <c r="OH69" s="5"/>
      <c r="OI69" s="42">
        <f t="shared" si="395"/>
        <v>0</v>
      </c>
      <c r="OJ69" s="43">
        <f t="shared" si="396"/>
        <v>0</v>
      </c>
      <c r="OK69" s="30"/>
      <c r="OL69" s="47">
        <v>2</v>
      </c>
      <c r="OM69" s="48" t="s">
        <v>4</v>
      </c>
      <c r="ON69" s="49">
        <v>1</v>
      </c>
      <c r="OO69" s="5"/>
      <c r="OP69" s="42">
        <f t="shared" si="397"/>
        <v>4</v>
      </c>
      <c r="OQ69" s="43">
        <f t="shared" si="398"/>
        <v>1</v>
      </c>
      <c r="OR69" s="30"/>
      <c r="OS69" s="47">
        <v>0</v>
      </c>
      <c r="OT69" s="48" t="s">
        <v>4</v>
      </c>
      <c r="OU69" s="49">
        <v>1</v>
      </c>
      <c r="OV69" s="5"/>
      <c r="OW69" s="42">
        <f t="shared" si="399"/>
        <v>0</v>
      </c>
      <c r="OX69" s="43">
        <f t="shared" si="400"/>
        <v>-1</v>
      </c>
      <c r="OY69" s="30"/>
      <c r="OZ69" s="47">
        <v>2</v>
      </c>
      <c r="PA69" s="48" t="s">
        <v>4</v>
      </c>
      <c r="PB69" s="49">
        <v>0</v>
      </c>
      <c r="PC69" s="5"/>
      <c r="PD69" s="42">
        <f t="shared" si="401"/>
        <v>4</v>
      </c>
      <c r="PE69" s="43">
        <f t="shared" si="402"/>
        <v>2</v>
      </c>
      <c r="PF69" s="30"/>
      <c r="PG69" s="47">
        <v>1</v>
      </c>
      <c r="PH69" s="48" t="s">
        <v>4</v>
      </c>
      <c r="PI69" s="49">
        <v>0</v>
      </c>
      <c r="PJ69" s="5"/>
      <c r="PK69" s="42">
        <f t="shared" si="403"/>
        <v>4</v>
      </c>
      <c r="PL69" s="43">
        <f t="shared" si="404"/>
        <v>1</v>
      </c>
      <c r="PM69" s="30"/>
      <c r="PN69" s="47">
        <v>2</v>
      </c>
      <c r="PO69" s="48" t="s">
        <v>4</v>
      </c>
      <c r="PP69" s="49">
        <v>0</v>
      </c>
      <c r="PQ69" s="5"/>
      <c r="PR69" s="42">
        <f t="shared" si="405"/>
        <v>4</v>
      </c>
      <c r="PS69" s="43">
        <f t="shared" si="406"/>
        <v>2</v>
      </c>
      <c r="PT69" s="30"/>
      <c r="PU69" s="47">
        <v>3</v>
      </c>
      <c r="PV69" s="48" t="s">
        <v>4</v>
      </c>
      <c r="PW69" s="49">
        <v>1</v>
      </c>
      <c r="PX69" s="5"/>
      <c r="PY69" s="42">
        <f t="shared" si="407"/>
        <v>4</v>
      </c>
      <c r="PZ69" s="43">
        <f t="shared" si="408"/>
        <v>2</v>
      </c>
      <c r="QA69" s="30"/>
      <c r="QB69" s="47">
        <v>3</v>
      </c>
      <c r="QC69" s="48" t="s">
        <v>4</v>
      </c>
      <c r="QD69" s="49">
        <v>1</v>
      </c>
      <c r="QE69" s="5"/>
      <c r="QF69" s="42">
        <f t="shared" si="409"/>
        <v>4</v>
      </c>
      <c r="QG69" s="43">
        <f t="shared" si="410"/>
        <v>2</v>
      </c>
      <c r="QH69" s="30"/>
      <c r="QI69" s="47">
        <v>2</v>
      </c>
      <c r="QJ69" s="48" t="s">
        <v>4</v>
      </c>
      <c r="QK69" s="49">
        <v>1</v>
      </c>
      <c r="QL69" s="5"/>
      <c r="QM69" s="42">
        <f t="shared" si="411"/>
        <v>4</v>
      </c>
      <c r="QN69" s="43">
        <f t="shared" si="412"/>
        <v>1</v>
      </c>
      <c r="QO69" s="30"/>
      <c r="QP69" s="47">
        <v>2</v>
      </c>
      <c r="QQ69" s="48" t="s">
        <v>4</v>
      </c>
      <c r="QR69" s="49">
        <v>0</v>
      </c>
      <c r="QS69" s="5"/>
      <c r="QT69" s="42">
        <f t="shared" si="413"/>
        <v>4</v>
      </c>
      <c r="QU69" s="43">
        <f t="shared" si="414"/>
        <v>2</v>
      </c>
      <c r="QV69" s="30"/>
      <c r="QW69" s="47">
        <v>0</v>
      </c>
      <c r="QX69" s="48" t="s">
        <v>4</v>
      </c>
      <c r="QY69" s="49">
        <v>1</v>
      </c>
      <c r="QZ69" s="5"/>
      <c r="RA69" s="42">
        <f t="shared" si="415"/>
        <v>0</v>
      </c>
      <c r="RB69" s="43">
        <f t="shared" si="416"/>
        <v>-1</v>
      </c>
      <c r="RC69" s="30"/>
      <c r="RD69" s="47"/>
      <c r="RE69" s="48" t="s">
        <v>4</v>
      </c>
      <c r="RF69" s="49"/>
      <c r="RG69" s="5"/>
      <c r="RH69" s="42" t="str">
        <f t="shared" si="417"/>
        <v/>
      </c>
      <c r="RI69" s="43">
        <f t="shared" si="418"/>
        <v>0</v>
      </c>
      <c r="RJ69" s="30"/>
      <c r="RK69" s="47">
        <v>1</v>
      </c>
      <c r="RL69" s="48" t="s">
        <v>4</v>
      </c>
      <c r="RM69" s="49">
        <v>0</v>
      </c>
      <c r="RN69" s="5"/>
      <c r="RO69" s="42">
        <f t="shared" si="419"/>
        <v>4</v>
      </c>
      <c r="RP69" s="43">
        <f t="shared" si="420"/>
        <v>1</v>
      </c>
      <c r="RQ69" s="30"/>
      <c r="RR69" s="47">
        <v>1</v>
      </c>
      <c r="RS69" s="48" t="s">
        <v>4</v>
      </c>
      <c r="RT69" s="49">
        <v>0</v>
      </c>
      <c r="RU69" s="5"/>
      <c r="RV69" s="42">
        <f t="shared" si="421"/>
        <v>4</v>
      </c>
      <c r="RW69" s="43">
        <f t="shared" si="422"/>
        <v>1</v>
      </c>
      <c r="RX69" s="30"/>
      <c r="RY69" s="47">
        <v>1</v>
      </c>
      <c r="RZ69" s="48" t="s">
        <v>4</v>
      </c>
      <c r="SA69" s="49">
        <v>0</v>
      </c>
      <c r="SB69" s="5"/>
      <c r="SC69" s="42">
        <f t="shared" si="423"/>
        <v>4</v>
      </c>
      <c r="SD69" s="43">
        <f t="shared" si="424"/>
        <v>1</v>
      </c>
      <c r="SE69" s="30"/>
      <c r="SF69" s="47">
        <v>1</v>
      </c>
      <c r="SG69" s="48" t="s">
        <v>4</v>
      </c>
      <c r="SH69" s="49">
        <v>0</v>
      </c>
      <c r="SI69" s="5"/>
      <c r="SJ69" s="42">
        <f t="shared" si="425"/>
        <v>4</v>
      </c>
      <c r="SK69" s="43">
        <f t="shared" si="426"/>
        <v>1</v>
      </c>
      <c r="SL69" s="30"/>
      <c r="SM69" s="47">
        <v>1</v>
      </c>
      <c r="SN69" s="48" t="s">
        <v>4</v>
      </c>
      <c r="SO69" s="49">
        <v>1</v>
      </c>
      <c r="SP69" s="5"/>
      <c r="SQ69" s="42">
        <f t="shared" si="427"/>
        <v>0</v>
      </c>
      <c r="SR69" s="43">
        <f t="shared" si="428"/>
        <v>0</v>
      </c>
    </row>
    <row r="70" spans="1:512" customFormat="1" ht="16" customHeight="1" x14ac:dyDescent="0.15">
      <c r="A70" s="51">
        <v>46200</v>
      </c>
      <c r="B70" s="46">
        <v>8.3333333333333329E-2</v>
      </c>
      <c r="C70" s="82" t="s">
        <v>45</v>
      </c>
      <c r="D70" s="82" t="s">
        <v>47</v>
      </c>
      <c r="E70" s="2">
        <v>0</v>
      </c>
      <c r="F70" s="50" t="s">
        <v>4</v>
      </c>
      <c r="G70" s="1">
        <v>0</v>
      </c>
      <c r="H70" s="16">
        <v>4.2</v>
      </c>
      <c r="I70" s="32">
        <f t="shared" si="0"/>
        <v>0</v>
      </c>
      <c r="J70" s="47">
        <v>0</v>
      </c>
      <c r="K70" s="48" t="s">
        <v>4</v>
      </c>
      <c r="L70" s="49">
        <v>2</v>
      </c>
      <c r="M70" s="5"/>
      <c r="N70" s="42">
        <f t="shared" si="1"/>
        <v>0</v>
      </c>
      <c r="O70" s="43">
        <f t="shared" si="2"/>
        <v>-2</v>
      </c>
      <c r="P70" s="54"/>
      <c r="Q70" s="47">
        <v>1</v>
      </c>
      <c r="R70" s="48" t="s">
        <v>4</v>
      </c>
      <c r="S70" s="49">
        <v>2</v>
      </c>
      <c r="T70" s="5"/>
      <c r="U70" s="42">
        <f t="shared" si="287"/>
        <v>0</v>
      </c>
      <c r="V70" s="43">
        <f t="shared" si="288"/>
        <v>-1</v>
      </c>
      <c r="X70" s="47">
        <v>1</v>
      </c>
      <c r="Y70" s="48" t="s">
        <v>4</v>
      </c>
      <c r="Z70" s="49">
        <v>1</v>
      </c>
      <c r="AA70" s="5"/>
      <c r="AB70" s="42">
        <f t="shared" si="289"/>
        <v>4.2</v>
      </c>
      <c r="AC70" s="43">
        <f t="shared" si="290"/>
        <v>0</v>
      </c>
      <c r="AE70" s="47">
        <v>0</v>
      </c>
      <c r="AF70" s="48" t="s">
        <v>4</v>
      </c>
      <c r="AG70" s="49">
        <v>1</v>
      </c>
      <c r="AH70" s="5"/>
      <c r="AI70" s="42">
        <f t="shared" si="291"/>
        <v>0</v>
      </c>
      <c r="AJ70" s="43">
        <f t="shared" si="292"/>
        <v>-1</v>
      </c>
      <c r="AL70" s="47">
        <v>1</v>
      </c>
      <c r="AM70" s="48" t="s">
        <v>4</v>
      </c>
      <c r="AN70" s="49">
        <v>1</v>
      </c>
      <c r="AO70" s="5"/>
      <c r="AP70" s="42">
        <f t="shared" si="293"/>
        <v>4.2</v>
      </c>
      <c r="AQ70" s="43">
        <f t="shared" si="294"/>
        <v>0</v>
      </c>
      <c r="AS70" s="47">
        <v>0</v>
      </c>
      <c r="AT70" s="48" t="s">
        <v>4</v>
      </c>
      <c r="AU70" s="49">
        <v>1</v>
      </c>
      <c r="AV70" s="5"/>
      <c r="AW70" s="42">
        <f t="shared" si="295"/>
        <v>0</v>
      </c>
      <c r="AX70" s="43">
        <f t="shared" si="296"/>
        <v>-1</v>
      </c>
      <c r="AZ70" s="47">
        <v>0</v>
      </c>
      <c r="BA70" s="48" t="s">
        <v>4</v>
      </c>
      <c r="BB70" s="49">
        <v>2</v>
      </c>
      <c r="BC70" s="5"/>
      <c r="BD70" s="42">
        <f t="shared" si="297"/>
        <v>0</v>
      </c>
      <c r="BE70" s="43">
        <f t="shared" si="298"/>
        <v>-2</v>
      </c>
      <c r="BG70" s="47">
        <v>0</v>
      </c>
      <c r="BH70" s="48" t="s">
        <v>4</v>
      </c>
      <c r="BI70" s="49">
        <v>1</v>
      </c>
      <c r="BJ70" s="5"/>
      <c r="BK70" s="42">
        <f t="shared" si="299"/>
        <v>0</v>
      </c>
      <c r="BL70" s="43">
        <f t="shared" si="300"/>
        <v>-1</v>
      </c>
      <c r="BN70" s="47">
        <v>0</v>
      </c>
      <c r="BO70" s="48" t="s">
        <v>4</v>
      </c>
      <c r="BP70" s="49">
        <v>2</v>
      </c>
      <c r="BQ70" s="5"/>
      <c r="BR70" s="42">
        <f t="shared" si="301"/>
        <v>0</v>
      </c>
      <c r="BS70" s="43">
        <f t="shared" si="302"/>
        <v>-2</v>
      </c>
      <c r="BU70" s="47">
        <v>1</v>
      </c>
      <c r="BV70" s="48" t="s">
        <v>4</v>
      </c>
      <c r="BW70" s="49">
        <v>0</v>
      </c>
      <c r="BX70" s="5"/>
      <c r="BY70" s="42">
        <f t="shared" si="303"/>
        <v>0</v>
      </c>
      <c r="BZ70" s="43">
        <f t="shared" si="304"/>
        <v>1</v>
      </c>
      <c r="CB70" s="47">
        <v>1</v>
      </c>
      <c r="CC70" s="48" t="s">
        <v>4</v>
      </c>
      <c r="CD70" s="49">
        <v>1</v>
      </c>
      <c r="CE70" s="5"/>
      <c r="CF70" s="42">
        <f t="shared" si="305"/>
        <v>4.2</v>
      </c>
      <c r="CG70" s="43">
        <f t="shared" si="306"/>
        <v>0</v>
      </c>
      <c r="CI70" s="47">
        <v>2</v>
      </c>
      <c r="CJ70" s="48" t="s">
        <v>4</v>
      </c>
      <c r="CK70" s="49">
        <v>3</v>
      </c>
      <c r="CL70" s="5"/>
      <c r="CM70" s="42">
        <f t="shared" si="307"/>
        <v>0</v>
      </c>
      <c r="CN70" s="43">
        <f t="shared" si="308"/>
        <v>-1</v>
      </c>
      <c r="CP70" s="47">
        <v>0</v>
      </c>
      <c r="CQ70" s="48" t="s">
        <v>4</v>
      </c>
      <c r="CR70" s="49">
        <v>0</v>
      </c>
      <c r="CS70" s="5"/>
      <c r="CT70" s="42">
        <f t="shared" si="309"/>
        <v>6.3000000000000007</v>
      </c>
      <c r="CU70" s="43">
        <f t="shared" si="310"/>
        <v>0</v>
      </c>
      <c r="CW70" s="47">
        <v>0</v>
      </c>
      <c r="CX70" s="48" t="s">
        <v>4</v>
      </c>
      <c r="CY70" s="49">
        <v>1</v>
      </c>
      <c r="CZ70" s="5"/>
      <c r="DA70" s="42">
        <f t="shared" si="311"/>
        <v>0</v>
      </c>
      <c r="DB70" s="43">
        <f t="shared" si="312"/>
        <v>-1</v>
      </c>
      <c r="DD70" s="47">
        <v>2</v>
      </c>
      <c r="DE70" s="48" t="s">
        <v>4</v>
      </c>
      <c r="DF70" s="49">
        <v>2</v>
      </c>
      <c r="DG70" s="5"/>
      <c r="DH70" s="42">
        <f t="shared" si="313"/>
        <v>4.2</v>
      </c>
      <c r="DI70" s="43">
        <f t="shared" si="314"/>
        <v>0</v>
      </c>
      <c r="DK70" s="47">
        <v>0</v>
      </c>
      <c r="DL70" s="48" t="s">
        <v>4</v>
      </c>
      <c r="DM70" s="49">
        <v>0</v>
      </c>
      <c r="DN70" s="5"/>
      <c r="DO70" s="42">
        <f t="shared" si="315"/>
        <v>6.3000000000000007</v>
      </c>
      <c r="DP70" s="43">
        <f t="shared" si="316"/>
        <v>0</v>
      </c>
      <c r="DR70" s="47">
        <v>2</v>
      </c>
      <c r="DS70" s="48" t="s">
        <v>4</v>
      </c>
      <c r="DT70" s="49">
        <v>0</v>
      </c>
      <c r="DU70" s="5"/>
      <c r="DV70" s="42">
        <f t="shared" si="317"/>
        <v>0</v>
      </c>
      <c r="DW70" s="43">
        <f t="shared" si="318"/>
        <v>2</v>
      </c>
      <c r="DY70" s="47">
        <v>2</v>
      </c>
      <c r="DZ70" s="48" t="s">
        <v>4</v>
      </c>
      <c r="EA70" s="49">
        <v>1</v>
      </c>
      <c r="EB70" s="5"/>
      <c r="EC70" s="42">
        <f t="shared" si="319"/>
        <v>0</v>
      </c>
      <c r="ED70" s="43">
        <f t="shared" si="320"/>
        <v>1</v>
      </c>
      <c r="EF70" s="47">
        <v>2</v>
      </c>
      <c r="EG70" s="48" t="s">
        <v>4</v>
      </c>
      <c r="EH70" s="49">
        <v>0</v>
      </c>
      <c r="EI70" s="5"/>
      <c r="EJ70" s="42">
        <f t="shared" si="321"/>
        <v>0</v>
      </c>
      <c r="EK70" s="43">
        <f t="shared" si="322"/>
        <v>2</v>
      </c>
      <c r="EM70" s="47">
        <v>1</v>
      </c>
      <c r="EN70" s="48" t="s">
        <v>4</v>
      </c>
      <c r="EO70" s="49">
        <v>3</v>
      </c>
      <c r="EP70" s="5"/>
      <c r="EQ70" s="42">
        <f t="shared" si="323"/>
        <v>0</v>
      </c>
      <c r="ER70" s="43">
        <f t="shared" si="324"/>
        <v>-2</v>
      </c>
      <c r="ET70" s="47">
        <v>1</v>
      </c>
      <c r="EU70" s="48" t="s">
        <v>4</v>
      </c>
      <c r="EV70" s="49">
        <v>1</v>
      </c>
      <c r="EW70" s="5"/>
      <c r="EX70" s="42">
        <f t="shared" si="325"/>
        <v>4.2</v>
      </c>
      <c r="EY70" s="43">
        <f t="shared" si="326"/>
        <v>0</v>
      </c>
      <c r="FA70" s="47">
        <v>1</v>
      </c>
      <c r="FB70" s="48" t="s">
        <v>4</v>
      </c>
      <c r="FC70" s="49">
        <v>1</v>
      </c>
      <c r="FD70" s="5"/>
      <c r="FE70" s="42">
        <f t="shared" si="327"/>
        <v>4.2</v>
      </c>
      <c r="FF70" s="43">
        <f t="shared" si="328"/>
        <v>0</v>
      </c>
      <c r="FH70" s="47">
        <v>0</v>
      </c>
      <c r="FI70" s="48" t="s">
        <v>4</v>
      </c>
      <c r="FJ70" s="49">
        <v>0</v>
      </c>
      <c r="FK70" s="5"/>
      <c r="FL70" s="42">
        <f t="shared" si="329"/>
        <v>6.3000000000000007</v>
      </c>
      <c r="FM70" s="43">
        <f t="shared" si="330"/>
        <v>0</v>
      </c>
      <c r="FO70" s="47">
        <v>0</v>
      </c>
      <c r="FP70" s="48" t="s">
        <v>4</v>
      </c>
      <c r="FQ70" s="49">
        <v>1</v>
      </c>
      <c r="FR70" s="5"/>
      <c r="FS70" s="42">
        <f t="shared" si="331"/>
        <v>0</v>
      </c>
      <c r="FT70" s="43">
        <f t="shared" si="332"/>
        <v>-1</v>
      </c>
      <c r="FV70" s="47">
        <v>0</v>
      </c>
      <c r="FW70" s="48" t="s">
        <v>4</v>
      </c>
      <c r="FX70" s="49">
        <v>2</v>
      </c>
      <c r="FY70" s="5"/>
      <c r="FZ70" s="42">
        <f t="shared" si="333"/>
        <v>0</v>
      </c>
      <c r="GA70" s="43">
        <f t="shared" si="334"/>
        <v>-2</v>
      </c>
      <c r="GC70" s="47">
        <v>2</v>
      </c>
      <c r="GD70" s="48" t="s">
        <v>4</v>
      </c>
      <c r="GE70" s="49">
        <v>0</v>
      </c>
      <c r="GF70" s="5"/>
      <c r="GG70" s="42">
        <f t="shared" si="335"/>
        <v>0</v>
      </c>
      <c r="GH70" s="43">
        <f t="shared" si="336"/>
        <v>2</v>
      </c>
      <c r="GJ70" s="47">
        <v>1</v>
      </c>
      <c r="GK70" s="48" t="s">
        <v>4</v>
      </c>
      <c r="GL70" s="49">
        <v>1</v>
      </c>
      <c r="GM70" s="5"/>
      <c r="GN70" s="42">
        <f t="shared" si="337"/>
        <v>4.2</v>
      </c>
      <c r="GO70" s="43">
        <f t="shared" si="338"/>
        <v>0</v>
      </c>
      <c r="GQ70" s="47">
        <v>1</v>
      </c>
      <c r="GR70" s="48" t="s">
        <v>4</v>
      </c>
      <c r="GS70" s="49">
        <v>2</v>
      </c>
      <c r="GT70" s="5"/>
      <c r="GU70" s="42">
        <f t="shared" si="339"/>
        <v>0</v>
      </c>
      <c r="GV70" s="43">
        <f t="shared" si="340"/>
        <v>-1</v>
      </c>
      <c r="GX70" s="47">
        <v>1</v>
      </c>
      <c r="GY70" s="48" t="s">
        <v>4</v>
      </c>
      <c r="GZ70" s="49">
        <v>1</v>
      </c>
      <c r="HA70" s="5"/>
      <c r="HB70" s="42">
        <f t="shared" si="341"/>
        <v>4.2</v>
      </c>
      <c r="HC70" s="43">
        <f t="shared" si="342"/>
        <v>0</v>
      </c>
      <c r="HE70" s="47">
        <v>2</v>
      </c>
      <c r="HF70" s="48" t="s">
        <v>4</v>
      </c>
      <c r="HG70" s="49">
        <v>1</v>
      </c>
      <c r="HH70" s="5"/>
      <c r="HI70" s="42">
        <f t="shared" si="343"/>
        <v>0</v>
      </c>
      <c r="HJ70" s="43">
        <f t="shared" si="344"/>
        <v>1</v>
      </c>
      <c r="HL70" s="47">
        <v>1</v>
      </c>
      <c r="HM70" s="48" t="s">
        <v>4</v>
      </c>
      <c r="HN70" s="49">
        <v>0</v>
      </c>
      <c r="HO70" s="5"/>
      <c r="HP70" s="42">
        <f t="shared" si="345"/>
        <v>0</v>
      </c>
      <c r="HQ70" s="43">
        <f t="shared" si="346"/>
        <v>1</v>
      </c>
      <c r="HS70" s="47">
        <v>1</v>
      </c>
      <c r="HT70" s="48" t="s">
        <v>4</v>
      </c>
      <c r="HU70" s="49">
        <v>0</v>
      </c>
      <c r="HV70" s="5"/>
      <c r="HW70" s="42">
        <f t="shared" si="347"/>
        <v>0</v>
      </c>
      <c r="HX70" s="43">
        <f t="shared" si="348"/>
        <v>1</v>
      </c>
      <c r="HZ70" s="47">
        <v>0</v>
      </c>
      <c r="IA70" s="48" t="s">
        <v>4</v>
      </c>
      <c r="IB70" s="49">
        <v>0</v>
      </c>
      <c r="IC70" s="5"/>
      <c r="ID70" s="42">
        <f t="shared" si="349"/>
        <v>6.3000000000000007</v>
      </c>
      <c r="IE70" s="43">
        <f t="shared" si="350"/>
        <v>0</v>
      </c>
      <c r="IG70" s="47">
        <v>2</v>
      </c>
      <c r="IH70" s="48" t="s">
        <v>4</v>
      </c>
      <c r="II70" s="49">
        <v>0</v>
      </c>
      <c r="IJ70" s="5"/>
      <c r="IK70" s="42">
        <f t="shared" si="351"/>
        <v>0</v>
      </c>
      <c r="IL70" s="43">
        <f t="shared" si="352"/>
        <v>2</v>
      </c>
      <c r="IN70" s="47">
        <v>1</v>
      </c>
      <c r="IO70" s="48" t="s">
        <v>4</v>
      </c>
      <c r="IP70" s="49">
        <v>2</v>
      </c>
      <c r="IQ70" s="5"/>
      <c r="IR70" s="42">
        <f t="shared" si="353"/>
        <v>0</v>
      </c>
      <c r="IS70" s="43">
        <f t="shared" si="354"/>
        <v>-1</v>
      </c>
      <c r="IU70" s="47">
        <v>0</v>
      </c>
      <c r="IV70" s="48" t="s">
        <v>4</v>
      </c>
      <c r="IW70" s="49">
        <v>2</v>
      </c>
      <c r="IX70" s="5"/>
      <c r="IY70" s="42">
        <f t="shared" si="355"/>
        <v>0</v>
      </c>
      <c r="IZ70" s="43">
        <f t="shared" si="356"/>
        <v>-2</v>
      </c>
      <c r="JB70" s="47">
        <v>1</v>
      </c>
      <c r="JC70" s="48" t="s">
        <v>4</v>
      </c>
      <c r="JD70" s="49">
        <v>1</v>
      </c>
      <c r="JE70" s="5"/>
      <c r="JF70" s="42">
        <f t="shared" si="357"/>
        <v>4.2</v>
      </c>
      <c r="JG70" s="43">
        <f t="shared" si="358"/>
        <v>0</v>
      </c>
      <c r="JI70" s="47">
        <v>1</v>
      </c>
      <c r="JJ70" s="48" t="s">
        <v>4</v>
      </c>
      <c r="JK70" s="49">
        <v>0</v>
      </c>
      <c r="JL70" s="5"/>
      <c r="JM70" s="42">
        <f t="shared" si="359"/>
        <v>0</v>
      </c>
      <c r="JN70" s="43">
        <f t="shared" si="360"/>
        <v>1</v>
      </c>
      <c r="JP70" s="47">
        <v>2</v>
      </c>
      <c r="JQ70" s="48" t="s">
        <v>4</v>
      </c>
      <c r="JR70" s="49">
        <v>1</v>
      </c>
      <c r="JS70" s="5"/>
      <c r="JT70" s="42">
        <f t="shared" si="361"/>
        <v>0</v>
      </c>
      <c r="JU70" s="43">
        <f t="shared" si="362"/>
        <v>1</v>
      </c>
      <c r="JW70" s="47">
        <v>1</v>
      </c>
      <c r="JX70" s="48" t="s">
        <v>4</v>
      </c>
      <c r="JY70" s="49">
        <v>3</v>
      </c>
      <c r="JZ70" s="5"/>
      <c r="KA70" s="42">
        <f t="shared" si="363"/>
        <v>0</v>
      </c>
      <c r="KB70" s="43">
        <f t="shared" si="364"/>
        <v>-2</v>
      </c>
      <c r="KD70" s="47">
        <v>1</v>
      </c>
      <c r="KE70" s="48" t="s">
        <v>4</v>
      </c>
      <c r="KF70" s="49">
        <v>1</v>
      </c>
      <c r="KG70" s="5"/>
      <c r="KH70" s="42">
        <f t="shared" si="365"/>
        <v>4.2</v>
      </c>
      <c r="KI70" s="43">
        <f t="shared" si="366"/>
        <v>0</v>
      </c>
      <c r="KK70" s="47">
        <v>0</v>
      </c>
      <c r="KL70" s="48" t="s">
        <v>4</v>
      </c>
      <c r="KM70" s="49">
        <v>1</v>
      </c>
      <c r="KN70" s="5"/>
      <c r="KO70" s="42">
        <f t="shared" si="367"/>
        <v>0</v>
      </c>
      <c r="KP70" s="43">
        <f t="shared" si="368"/>
        <v>-1</v>
      </c>
      <c r="KR70" s="47">
        <v>0</v>
      </c>
      <c r="KS70" s="48" t="s">
        <v>4</v>
      </c>
      <c r="KT70" s="49">
        <v>1</v>
      </c>
      <c r="KU70" s="5"/>
      <c r="KV70" s="42">
        <f t="shared" si="369"/>
        <v>0</v>
      </c>
      <c r="KW70" s="43">
        <f t="shared" si="370"/>
        <v>-1</v>
      </c>
      <c r="KY70" s="47">
        <v>1</v>
      </c>
      <c r="KZ70" s="48" t="s">
        <v>4</v>
      </c>
      <c r="LA70" s="49">
        <v>2</v>
      </c>
      <c r="LB70" s="5"/>
      <c r="LC70" s="42">
        <f t="shared" si="371"/>
        <v>0</v>
      </c>
      <c r="LD70" s="43">
        <f t="shared" si="372"/>
        <v>-1</v>
      </c>
      <c r="LF70" s="47">
        <v>1</v>
      </c>
      <c r="LG70" s="48" t="s">
        <v>4</v>
      </c>
      <c r="LH70" s="49">
        <v>2</v>
      </c>
      <c r="LI70" s="5"/>
      <c r="LJ70" s="42">
        <f t="shared" si="373"/>
        <v>0</v>
      </c>
      <c r="LK70" s="43">
        <f t="shared" si="374"/>
        <v>-1</v>
      </c>
      <c r="LM70" s="47">
        <v>1</v>
      </c>
      <c r="LN70" s="48" t="s">
        <v>4</v>
      </c>
      <c r="LO70" s="49">
        <v>1</v>
      </c>
      <c r="LP70" s="5"/>
      <c r="LQ70" s="42">
        <f t="shared" si="375"/>
        <v>4.2</v>
      </c>
      <c r="LR70" s="43">
        <f t="shared" si="376"/>
        <v>0</v>
      </c>
      <c r="LT70" s="47">
        <v>1</v>
      </c>
      <c r="LU70" s="48" t="s">
        <v>4</v>
      </c>
      <c r="LV70" s="49">
        <v>1</v>
      </c>
      <c r="LW70" s="5"/>
      <c r="LX70" s="42">
        <f t="shared" si="377"/>
        <v>4.2</v>
      </c>
      <c r="LY70" s="43">
        <f t="shared" si="378"/>
        <v>0</v>
      </c>
      <c r="MA70" s="47">
        <v>0</v>
      </c>
      <c r="MB70" s="48" t="s">
        <v>4</v>
      </c>
      <c r="MC70" s="49">
        <v>4</v>
      </c>
      <c r="MD70" s="5"/>
      <c r="ME70" s="42">
        <f t="shared" si="379"/>
        <v>0</v>
      </c>
      <c r="MF70" s="43">
        <f t="shared" si="380"/>
        <v>-4</v>
      </c>
      <c r="MH70" s="47">
        <v>0</v>
      </c>
      <c r="MI70" s="48" t="s">
        <v>4</v>
      </c>
      <c r="MJ70" s="49">
        <v>1</v>
      </c>
      <c r="MK70" s="5"/>
      <c r="ML70" s="42">
        <f t="shared" si="381"/>
        <v>0</v>
      </c>
      <c r="MM70" s="43">
        <f t="shared" si="382"/>
        <v>-1</v>
      </c>
      <c r="MO70" s="47">
        <v>0</v>
      </c>
      <c r="MP70" s="48" t="s">
        <v>4</v>
      </c>
      <c r="MQ70" s="49">
        <v>0</v>
      </c>
      <c r="MR70" s="5"/>
      <c r="MS70" s="42">
        <f t="shared" si="383"/>
        <v>6.3000000000000007</v>
      </c>
      <c r="MT70" s="43">
        <f t="shared" si="384"/>
        <v>0</v>
      </c>
      <c r="MV70" s="47">
        <v>2</v>
      </c>
      <c r="MW70" s="48" t="s">
        <v>4</v>
      </c>
      <c r="MX70" s="49">
        <v>0</v>
      </c>
      <c r="MY70" s="5"/>
      <c r="MZ70" s="42">
        <f t="shared" si="385"/>
        <v>0</v>
      </c>
      <c r="NA70" s="43">
        <f t="shared" si="386"/>
        <v>2</v>
      </c>
      <c r="NC70" s="47">
        <v>1</v>
      </c>
      <c r="ND70" s="48" t="s">
        <v>4</v>
      </c>
      <c r="NE70" s="49">
        <v>1</v>
      </c>
      <c r="NF70" s="5"/>
      <c r="NG70" s="42">
        <f t="shared" si="387"/>
        <v>4.2</v>
      </c>
      <c r="NH70" s="43">
        <f t="shared" si="388"/>
        <v>0</v>
      </c>
      <c r="NJ70" s="47">
        <v>3</v>
      </c>
      <c r="NK70" s="48" t="s">
        <v>4</v>
      </c>
      <c r="NL70" s="49">
        <v>1</v>
      </c>
      <c r="NM70" s="5"/>
      <c r="NN70" s="42">
        <f t="shared" si="389"/>
        <v>0</v>
      </c>
      <c r="NO70" s="43">
        <f t="shared" si="390"/>
        <v>2</v>
      </c>
      <c r="NQ70" s="47">
        <v>2</v>
      </c>
      <c r="NR70" s="48" t="s">
        <v>4</v>
      </c>
      <c r="NS70" s="49">
        <v>1</v>
      </c>
      <c r="NT70" s="5"/>
      <c r="NU70" s="42">
        <f t="shared" si="391"/>
        <v>0</v>
      </c>
      <c r="NV70" s="43">
        <f t="shared" si="392"/>
        <v>1</v>
      </c>
      <c r="NX70" s="47">
        <v>0</v>
      </c>
      <c r="NY70" s="48" t="s">
        <v>4</v>
      </c>
      <c r="NZ70" s="49">
        <v>2</v>
      </c>
      <c r="OA70" s="5"/>
      <c r="OB70" s="42">
        <f t="shared" si="393"/>
        <v>0</v>
      </c>
      <c r="OC70" s="43">
        <f t="shared" si="394"/>
        <v>-2</v>
      </c>
      <c r="OE70" s="47">
        <v>1</v>
      </c>
      <c r="OF70" s="48" t="s">
        <v>4</v>
      </c>
      <c r="OG70" s="49">
        <v>3</v>
      </c>
      <c r="OH70" s="5"/>
      <c r="OI70" s="42">
        <f t="shared" si="395"/>
        <v>0</v>
      </c>
      <c r="OJ70" s="43">
        <f t="shared" si="396"/>
        <v>-2</v>
      </c>
      <c r="OL70" s="47">
        <v>1</v>
      </c>
      <c r="OM70" s="48" t="s">
        <v>4</v>
      </c>
      <c r="ON70" s="49">
        <v>2</v>
      </c>
      <c r="OO70" s="5"/>
      <c r="OP70" s="42">
        <f t="shared" si="397"/>
        <v>0</v>
      </c>
      <c r="OQ70" s="43">
        <f t="shared" si="398"/>
        <v>-1</v>
      </c>
      <c r="OS70" s="47">
        <v>0</v>
      </c>
      <c r="OT70" s="48" t="s">
        <v>4</v>
      </c>
      <c r="OU70" s="49">
        <v>1</v>
      </c>
      <c r="OV70" s="5"/>
      <c r="OW70" s="42">
        <f t="shared" si="399"/>
        <v>0</v>
      </c>
      <c r="OX70" s="43">
        <f t="shared" si="400"/>
        <v>-1</v>
      </c>
      <c r="OZ70" s="47">
        <v>0</v>
      </c>
      <c r="PA70" s="48" t="s">
        <v>4</v>
      </c>
      <c r="PB70" s="49">
        <v>0</v>
      </c>
      <c r="PC70" s="5"/>
      <c r="PD70" s="42">
        <f t="shared" si="401"/>
        <v>6.3000000000000007</v>
      </c>
      <c r="PE70" s="43">
        <f t="shared" si="402"/>
        <v>0</v>
      </c>
      <c r="PG70" s="47">
        <v>0</v>
      </c>
      <c r="PH70" s="48" t="s">
        <v>4</v>
      </c>
      <c r="PI70" s="49">
        <v>2</v>
      </c>
      <c r="PJ70" s="5"/>
      <c r="PK70" s="42">
        <f t="shared" si="403"/>
        <v>0</v>
      </c>
      <c r="PL70" s="43">
        <f t="shared" si="404"/>
        <v>-2</v>
      </c>
      <c r="PN70" s="47">
        <v>2</v>
      </c>
      <c r="PO70" s="48" t="s">
        <v>4</v>
      </c>
      <c r="PP70" s="49">
        <v>2</v>
      </c>
      <c r="PQ70" s="5"/>
      <c r="PR70" s="42">
        <f t="shared" si="405"/>
        <v>4.2</v>
      </c>
      <c r="PS70" s="43">
        <f t="shared" si="406"/>
        <v>0</v>
      </c>
      <c r="PU70" s="47">
        <v>1</v>
      </c>
      <c r="PV70" s="48" t="s">
        <v>4</v>
      </c>
      <c r="PW70" s="49">
        <v>3</v>
      </c>
      <c r="PX70" s="5"/>
      <c r="PY70" s="42">
        <f t="shared" si="407"/>
        <v>0</v>
      </c>
      <c r="PZ70" s="43">
        <f t="shared" si="408"/>
        <v>-2</v>
      </c>
      <c r="QB70" s="47">
        <v>1</v>
      </c>
      <c r="QC70" s="48" t="s">
        <v>4</v>
      </c>
      <c r="QD70" s="49">
        <v>2</v>
      </c>
      <c r="QE70" s="5"/>
      <c r="QF70" s="42">
        <f t="shared" si="409"/>
        <v>0</v>
      </c>
      <c r="QG70" s="43">
        <f t="shared" si="410"/>
        <v>-1</v>
      </c>
      <c r="QI70" s="47">
        <v>0</v>
      </c>
      <c r="QJ70" s="48" t="s">
        <v>4</v>
      </c>
      <c r="QK70" s="49">
        <v>0</v>
      </c>
      <c r="QL70" s="5"/>
      <c r="QM70" s="42">
        <f t="shared" si="411"/>
        <v>6.3000000000000007</v>
      </c>
      <c r="QN70" s="43">
        <f t="shared" si="412"/>
        <v>0</v>
      </c>
      <c r="QP70" s="47">
        <v>0</v>
      </c>
      <c r="QQ70" s="48" t="s">
        <v>4</v>
      </c>
      <c r="QR70" s="49">
        <v>4</v>
      </c>
      <c r="QS70" s="5"/>
      <c r="QT70" s="42">
        <f t="shared" si="413"/>
        <v>0</v>
      </c>
      <c r="QU70" s="43">
        <f t="shared" si="414"/>
        <v>-4</v>
      </c>
      <c r="QW70" s="47">
        <v>0</v>
      </c>
      <c r="QX70" s="48" t="s">
        <v>4</v>
      </c>
      <c r="QY70" s="49">
        <v>1</v>
      </c>
      <c r="QZ70" s="5"/>
      <c r="RA70" s="42">
        <f t="shared" si="415"/>
        <v>0</v>
      </c>
      <c r="RB70" s="43">
        <f t="shared" si="416"/>
        <v>-1</v>
      </c>
      <c r="RD70" s="47"/>
      <c r="RE70" s="48" t="s">
        <v>4</v>
      </c>
      <c r="RF70" s="49"/>
      <c r="RG70" s="5"/>
      <c r="RH70" s="42" t="str">
        <f t="shared" si="417"/>
        <v/>
      </c>
      <c r="RI70" s="43">
        <f t="shared" si="418"/>
        <v>0</v>
      </c>
      <c r="RK70" s="47">
        <v>1</v>
      </c>
      <c r="RL70" s="48" t="s">
        <v>4</v>
      </c>
      <c r="RM70" s="49">
        <v>2</v>
      </c>
      <c r="RN70" s="5"/>
      <c r="RO70" s="42">
        <f t="shared" si="419"/>
        <v>0</v>
      </c>
      <c r="RP70" s="43">
        <f t="shared" si="420"/>
        <v>-1</v>
      </c>
      <c r="RR70" s="47">
        <v>0</v>
      </c>
      <c r="RS70" s="48" t="s">
        <v>4</v>
      </c>
      <c r="RT70" s="49">
        <v>1</v>
      </c>
      <c r="RU70" s="5"/>
      <c r="RV70" s="42">
        <f t="shared" si="421"/>
        <v>0</v>
      </c>
      <c r="RW70" s="43">
        <f t="shared" si="422"/>
        <v>-1</v>
      </c>
      <c r="RY70" s="47">
        <v>0</v>
      </c>
      <c r="RZ70" s="48" t="s">
        <v>4</v>
      </c>
      <c r="SA70" s="49">
        <v>1</v>
      </c>
      <c r="SB70" s="5"/>
      <c r="SC70" s="42">
        <f t="shared" si="423"/>
        <v>0</v>
      </c>
      <c r="SD70" s="43">
        <f t="shared" si="424"/>
        <v>-1</v>
      </c>
      <c r="SF70" s="47">
        <v>0</v>
      </c>
      <c r="SG70" s="48" t="s">
        <v>4</v>
      </c>
      <c r="SH70" s="49">
        <v>1</v>
      </c>
      <c r="SI70" s="5"/>
      <c r="SJ70" s="42">
        <f t="shared" si="425"/>
        <v>0</v>
      </c>
      <c r="SK70" s="43">
        <f t="shared" si="426"/>
        <v>-1</v>
      </c>
      <c r="SM70" s="47">
        <v>1</v>
      </c>
      <c r="SN70" s="48" t="s">
        <v>4</v>
      </c>
      <c r="SO70" s="49">
        <v>1</v>
      </c>
      <c r="SP70" s="5"/>
      <c r="SQ70" s="42">
        <f t="shared" si="427"/>
        <v>4.2</v>
      </c>
      <c r="SR70" s="43">
        <f t="shared" si="428"/>
        <v>0</v>
      </c>
    </row>
    <row r="71" spans="1:512" customFormat="1" ht="16" customHeight="1" x14ac:dyDescent="0.15">
      <c r="A71" s="51">
        <v>46200</v>
      </c>
      <c r="B71" s="35">
        <v>8.3333333333333329E-2</v>
      </c>
      <c r="C71" s="83" t="s">
        <v>48</v>
      </c>
      <c r="D71" s="83" t="s">
        <v>3</v>
      </c>
      <c r="E71" s="2">
        <v>0</v>
      </c>
      <c r="F71" s="50" t="s">
        <v>4</v>
      </c>
      <c r="G71" s="1">
        <v>1</v>
      </c>
      <c r="H71" s="16">
        <v>4.2</v>
      </c>
      <c r="I71" s="32">
        <f t="shared" ref="I71:I120" si="429">E71-G71</f>
        <v>-1</v>
      </c>
      <c r="J71" s="47">
        <v>0</v>
      </c>
      <c r="K71" s="48" t="s">
        <v>4</v>
      </c>
      <c r="L71" s="49">
        <v>3</v>
      </c>
      <c r="M71" s="5"/>
      <c r="N71" s="42">
        <f t="shared" ref="N71:N123" si="430">IF(OR($G71="",L71=""),"",IF(AND($E71=J71,$G71=L71),$H71*1.5,IF(AND($I71&gt;0,O71&gt;0),$H71,IF(AND($I71&lt;0,O71&lt;0),$H71,IF(AND($I71=0,O71=0),$H71,0)))))</f>
        <v>4.2</v>
      </c>
      <c r="O71" s="43">
        <f t="shared" ref="O71:O123" si="431">J71-L71</f>
        <v>-3</v>
      </c>
      <c r="P71" s="54"/>
      <c r="Q71" s="47">
        <v>1</v>
      </c>
      <c r="R71" s="48" t="s">
        <v>4</v>
      </c>
      <c r="S71" s="49">
        <v>3</v>
      </c>
      <c r="T71" s="5"/>
      <c r="U71" s="42">
        <f t="shared" si="287"/>
        <v>4.2</v>
      </c>
      <c r="V71" s="43">
        <f t="shared" si="288"/>
        <v>-2</v>
      </c>
      <c r="X71" s="47">
        <v>0</v>
      </c>
      <c r="Y71" s="48" t="s">
        <v>4</v>
      </c>
      <c r="Z71" s="49">
        <v>2</v>
      </c>
      <c r="AA71" s="5"/>
      <c r="AB71" s="42">
        <f t="shared" si="289"/>
        <v>4.2</v>
      </c>
      <c r="AC71" s="43">
        <f t="shared" si="290"/>
        <v>-2</v>
      </c>
      <c r="AE71" s="47">
        <v>2</v>
      </c>
      <c r="AF71" s="48" t="s">
        <v>4</v>
      </c>
      <c r="AG71" s="49">
        <v>4</v>
      </c>
      <c r="AH71" s="5"/>
      <c r="AI71" s="42">
        <f t="shared" si="291"/>
        <v>4.2</v>
      </c>
      <c r="AJ71" s="43">
        <f t="shared" si="292"/>
        <v>-2</v>
      </c>
      <c r="AL71" s="47">
        <v>1</v>
      </c>
      <c r="AM71" s="48" t="s">
        <v>4</v>
      </c>
      <c r="AN71" s="49">
        <v>2</v>
      </c>
      <c r="AO71" s="5"/>
      <c r="AP71" s="42">
        <f t="shared" si="293"/>
        <v>4.2</v>
      </c>
      <c r="AQ71" s="43">
        <f t="shared" si="294"/>
        <v>-1</v>
      </c>
      <c r="AS71" s="47">
        <v>2</v>
      </c>
      <c r="AT71" s="48" t="s">
        <v>4</v>
      </c>
      <c r="AU71" s="49">
        <v>3</v>
      </c>
      <c r="AV71" s="5"/>
      <c r="AW71" s="42">
        <f t="shared" si="295"/>
        <v>4.2</v>
      </c>
      <c r="AX71" s="43">
        <f t="shared" si="296"/>
        <v>-1</v>
      </c>
      <c r="AZ71" s="47">
        <v>1</v>
      </c>
      <c r="BA71" s="48" t="s">
        <v>4</v>
      </c>
      <c r="BB71" s="49">
        <v>4</v>
      </c>
      <c r="BC71" s="5"/>
      <c r="BD71" s="42">
        <f t="shared" si="297"/>
        <v>4.2</v>
      </c>
      <c r="BE71" s="43">
        <f t="shared" si="298"/>
        <v>-3</v>
      </c>
      <c r="BG71" s="47">
        <v>1</v>
      </c>
      <c r="BH71" s="48" t="s">
        <v>4</v>
      </c>
      <c r="BI71" s="49">
        <v>3</v>
      </c>
      <c r="BJ71" s="5"/>
      <c r="BK71" s="42">
        <f t="shared" si="299"/>
        <v>4.2</v>
      </c>
      <c r="BL71" s="43">
        <f t="shared" si="300"/>
        <v>-2</v>
      </c>
      <c r="BN71" s="47">
        <v>1</v>
      </c>
      <c r="BO71" s="48" t="s">
        <v>4</v>
      </c>
      <c r="BP71" s="49">
        <v>2</v>
      </c>
      <c r="BQ71" s="5"/>
      <c r="BR71" s="42">
        <f t="shared" si="301"/>
        <v>4.2</v>
      </c>
      <c r="BS71" s="43">
        <f t="shared" si="302"/>
        <v>-1</v>
      </c>
      <c r="BU71" s="47">
        <v>2</v>
      </c>
      <c r="BV71" s="48" t="s">
        <v>4</v>
      </c>
      <c r="BW71" s="49">
        <v>4</v>
      </c>
      <c r="BX71" s="5"/>
      <c r="BY71" s="42">
        <f t="shared" si="303"/>
        <v>4.2</v>
      </c>
      <c r="BZ71" s="43">
        <f t="shared" si="304"/>
        <v>-2</v>
      </c>
      <c r="CB71" s="47">
        <v>1</v>
      </c>
      <c r="CC71" s="48" t="s">
        <v>4</v>
      </c>
      <c r="CD71" s="49">
        <v>2</v>
      </c>
      <c r="CE71" s="5"/>
      <c r="CF71" s="42">
        <f t="shared" si="305"/>
        <v>4.2</v>
      </c>
      <c r="CG71" s="43">
        <f t="shared" si="306"/>
        <v>-1</v>
      </c>
      <c r="CI71" s="47">
        <v>1</v>
      </c>
      <c r="CJ71" s="48" t="s">
        <v>4</v>
      </c>
      <c r="CK71" s="49">
        <v>3</v>
      </c>
      <c r="CL71" s="5"/>
      <c r="CM71" s="42">
        <f t="shared" si="307"/>
        <v>4.2</v>
      </c>
      <c r="CN71" s="43">
        <f t="shared" si="308"/>
        <v>-2</v>
      </c>
      <c r="CP71" s="47">
        <v>0</v>
      </c>
      <c r="CQ71" s="48" t="s">
        <v>4</v>
      </c>
      <c r="CR71" s="49">
        <v>1</v>
      </c>
      <c r="CS71" s="5"/>
      <c r="CT71" s="42">
        <f t="shared" si="309"/>
        <v>6.3000000000000007</v>
      </c>
      <c r="CU71" s="43">
        <f t="shared" si="310"/>
        <v>-1</v>
      </c>
      <c r="CW71" s="47">
        <v>1</v>
      </c>
      <c r="CX71" s="48" t="s">
        <v>4</v>
      </c>
      <c r="CY71" s="49">
        <v>2</v>
      </c>
      <c r="CZ71" s="5"/>
      <c r="DA71" s="42">
        <f t="shared" si="311"/>
        <v>4.2</v>
      </c>
      <c r="DB71" s="43">
        <f t="shared" si="312"/>
        <v>-1</v>
      </c>
      <c r="DD71" s="47">
        <v>1</v>
      </c>
      <c r="DE71" s="48" t="s">
        <v>4</v>
      </c>
      <c r="DF71" s="49">
        <v>2</v>
      </c>
      <c r="DG71" s="5"/>
      <c r="DH71" s="42">
        <f t="shared" si="313"/>
        <v>4.2</v>
      </c>
      <c r="DI71" s="43">
        <f t="shared" si="314"/>
        <v>-1</v>
      </c>
      <c r="DK71" s="47">
        <v>1</v>
      </c>
      <c r="DL71" s="48" t="s">
        <v>4</v>
      </c>
      <c r="DM71" s="49">
        <v>1</v>
      </c>
      <c r="DN71" s="5"/>
      <c r="DO71" s="42">
        <f t="shared" si="315"/>
        <v>0</v>
      </c>
      <c r="DP71" s="43">
        <f t="shared" si="316"/>
        <v>0</v>
      </c>
      <c r="DR71" s="47">
        <v>0</v>
      </c>
      <c r="DS71" s="48" t="s">
        <v>4</v>
      </c>
      <c r="DT71" s="49">
        <v>2</v>
      </c>
      <c r="DU71" s="5"/>
      <c r="DV71" s="42">
        <f t="shared" si="317"/>
        <v>4.2</v>
      </c>
      <c r="DW71" s="43">
        <f t="shared" si="318"/>
        <v>-2</v>
      </c>
      <c r="DY71" s="47">
        <v>1</v>
      </c>
      <c r="DZ71" s="48" t="s">
        <v>4</v>
      </c>
      <c r="EA71" s="49">
        <v>3</v>
      </c>
      <c r="EB71" s="5"/>
      <c r="EC71" s="42">
        <f t="shared" si="319"/>
        <v>4.2</v>
      </c>
      <c r="ED71" s="43">
        <f t="shared" si="320"/>
        <v>-2</v>
      </c>
      <c r="EF71" s="47">
        <v>0</v>
      </c>
      <c r="EG71" s="48" t="s">
        <v>4</v>
      </c>
      <c r="EH71" s="49">
        <v>2</v>
      </c>
      <c r="EI71" s="5"/>
      <c r="EJ71" s="42">
        <f t="shared" si="321"/>
        <v>4.2</v>
      </c>
      <c r="EK71" s="43">
        <f t="shared" si="322"/>
        <v>-2</v>
      </c>
      <c r="EM71" s="47">
        <v>0</v>
      </c>
      <c r="EN71" s="48" t="s">
        <v>4</v>
      </c>
      <c r="EO71" s="49">
        <v>2</v>
      </c>
      <c r="EP71" s="5"/>
      <c r="EQ71" s="42">
        <f t="shared" si="323"/>
        <v>4.2</v>
      </c>
      <c r="ER71" s="43">
        <f t="shared" si="324"/>
        <v>-2</v>
      </c>
      <c r="ET71" s="47">
        <v>2</v>
      </c>
      <c r="EU71" s="48" t="s">
        <v>4</v>
      </c>
      <c r="EV71" s="49">
        <v>4</v>
      </c>
      <c r="EW71" s="5"/>
      <c r="EX71" s="42">
        <f t="shared" si="325"/>
        <v>4.2</v>
      </c>
      <c r="EY71" s="43">
        <f t="shared" si="326"/>
        <v>-2</v>
      </c>
      <c r="FA71" s="47">
        <v>1</v>
      </c>
      <c r="FB71" s="48" t="s">
        <v>4</v>
      </c>
      <c r="FC71" s="49">
        <v>2</v>
      </c>
      <c r="FD71" s="5"/>
      <c r="FE71" s="42">
        <f t="shared" si="327"/>
        <v>4.2</v>
      </c>
      <c r="FF71" s="43">
        <f t="shared" si="328"/>
        <v>-1</v>
      </c>
      <c r="FH71" s="47">
        <v>1</v>
      </c>
      <c r="FI71" s="48" t="s">
        <v>4</v>
      </c>
      <c r="FJ71" s="49">
        <v>1</v>
      </c>
      <c r="FK71" s="5"/>
      <c r="FL71" s="42">
        <f t="shared" si="329"/>
        <v>0</v>
      </c>
      <c r="FM71" s="43">
        <f t="shared" si="330"/>
        <v>0</v>
      </c>
      <c r="FO71" s="47">
        <v>0</v>
      </c>
      <c r="FP71" s="48" t="s">
        <v>4</v>
      </c>
      <c r="FQ71" s="49">
        <v>2</v>
      </c>
      <c r="FR71" s="5"/>
      <c r="FS71" s="42">
        <f t="shared" si="331"/>
        <v>4.2</v>
      </c>
      <c r="FT71" s="43">
        <f t="shared" si="332"/>
        <v>-2</v>
      </c>
      <c r="FV71" s="47">
        <v>0</v>
      </c>
      <c r="FW71" s="48" t="s">
        <v>4</v>
      </c>
      <c r="FX71" s="49">
        <v>2</v>
      </c>
      <c r="FY71" s="5"/>
      <c r="FZ71" s="42">
        <f t="shared" si="333"/>
        <v>4.2</v>
      </c>
      <c r="GA71" s="43">
        <f t="shared" si="334"/>
        <v>-2</v>
      </c>
      <c r="GC71" s="47">
        <v>1</v>
      </c>
      <c r="GD71" s="48" t="s">
        <v>4</v>
      </c>
      <c r="GE71" s="49">
        <v>1</v>
      </c>
      <c r="GF71" s="5"/>
      <c r="GG71" s="42">
        <f t="shared" si="335"/>
        <v>0</v>
      </c>
      <c r="GH71" s="43">
        <f t="shared" si="336"/>
        <v>0</v>
      </c>
      <c r="GJ71" s="47">
        <v>1</v>
      </c>
      <c r="GK71" s="48" t="s">
        <v>4</v>
      </c>
      <c r="GL71" s="49">
        <v>2</v>
      </c>
      <c r="GM71" s="5"/>
      <c r="GN71" s="42">
        <f t="shared" si="337"/>
        <v>4.2</v>
      </c>
      <c r="GO71" s="43">
        <f t="shared" si="338"/>
        <v>-1</v>
      </c>
      <c r="GQ71" s="47">
        <v>1</v>
      </c>
      <c r="GR71" s="48" t="s">
        <v>4</v>
      </c>
      <c r="GS71" s="49">
        <v>1</v>
      </c>
      <c r="GT71" s="5"/>
      <c r="GU71" s="42">
        <f t="shared" si="339"/>
        <v>0</v>
      </c>
      <c r="GV71" s="43">
        <f t="shared" si="340"/>
        <v>0</v>
      </c>
      <c r="GX71" s="47">
        <v>1</v>
      </c>
      <c r="GY71" s="48" t="s">
        <v>4</v>
      </c>
      <c r="GZ71" s="49">
        <v>3</v>
      </c>
      <c r="HA71" s="5"/>
      <c r="HB71" s="42">
        <f t="shared" si="341"/>
        <v>4.2</v>
      </c>
      <c r="HC71" s="43">
        <f t="shared" si="342"/>
        <v>-2</v>
      </c>
      <c r="HE71" s="47">
        <v>1</v>
      </c>
      <c r="HF71" s="48" t="s">
        <v>4</v>
      </c>
      <c r="HG71" s="49">
        <v>3</v>
      </c>
      <c r="HH71" s="5"/>
      <c r="HI71" s="42">
        <f t="shared" si="343"/>
        <v>4.2</v>
      </c>
      <c r="HJ71" s="43">
        <f t="shared" si="344"/>
        <v>-2</v>
      </c>
      <c r="HL71" s="47">
        <v>0</v>
      </c>
      <c r="HM71" s="48" t="s">
        <v>4</v>
      </c>
      <c r="HN71" s="49">
        <v>3</v>
      </c>
      <c r="HO71" s="5"/>
      <c r="HP71" s="42">
        <f t="shared" si="345"/>
        <v>4.2</v>
      </c>
      <c r="HQ71" s="43">
        <f t="shared" si="346"/>
        <v>-3</v>
      </c>
      <c r="HS71" s="47">
        <v>1</v>
      </c>
      <c r="HT71" s="48" t="s">
        <v>4</v>
      </c>
      <c r="HU71" s="49">
        <v>3</v>
      </c>
      <c r="HV71" s="5"/>
      <c r="HW71" s="42">
        <f t="shared" si="347"/>
        <v>4.2</v>
      </c>
      <c r="HX71" s="43">
        <f t="shared" si="348"/>
        <v>-2</v>
      </c>
      <c r="HZ71" s="47">
        <v>1</v>
      </c>
      <c r="IA71" s="48" t="s">
        <v>4</v>
      </c>
      <c r="IB71" s="49">
        <v>3</v>
      </c>
      <c r="IC71" s="5"/>
      <c r="ID71" s="42">
        <f t="shared" si="349"/>
        <v>4.2</v>
      </c>
      <c r="IE71" s="43">
        <f t="shared" si="350"/>
        <v>-2</v>
      </c>
      <c r="IG71" s="47">
        <v>2</v>
      </c>
      <c r="IH71" s="48" t="s">
        <v>4</v>
      </c>
      <c r="II71" s="49">
        <v>0</v>
      </c>
      <c r="IJ71" s="5"/>
      <c r="IK71" s="42">
        <f t="shared" si="351"/>
        <v>0</v>
      </c>
      <c r="IL71" s="43">
        <f t="shared" si="352"/>
        <v>2</v>
      </c>
      <c r="IN71" s="47">
        <v>1</v>
      </c>
      <c r="IO71" s="48" t="s">
        <v>4</v>
      </c>
      <c r="IP71" s="49">
        <v>3</v>
      </c>
      <c r="IQ71" s="5"/>
      <c r="IR71" s="42">
        <f t="shared" si="353"/>
        <v>4.2</v>
      </c>
      <c r="IS71" s="43">
        <f t="shared" si="354"/>
        <v>-2</v>
      </c>
      <c r="IU71" s="47">
        <v>0</v>
      </c>
      <c r="IV71" s="48" t="s">
        <v>4</v>
      </c>
      <c r="IW71" s="49">
        <v>2</v>
      </c>
      <c r="IX71" s="5"/>
      <c r="IY71" s="42">
        <f t="shared" si="355"/>
        <v>4.2</v>
      </c>
      <c r="IZ71" s="43">
        <f t="shared" si="356"/>
        <v>-2</v>
      </c>
      <c r="JB71" s="47">
        <v>1</v>
      </c>
      <c r="JC71" s="48" t="s">
        <v>4</v>
      </c>
      <c r="JD71" s="49">
        <v>2</v>
      </c>
      <c r="JE71" s="5"/>
      <c r="JF71" s="42">
        <f t="shared" si="357"/>
        <v>4.2</v>
      </c>
      <c r="JG71" s="43">
        <f t="shared" si="358"/>
        <v>-1</v>
      </c>
      <c r="JI71" s="47">
        <v>1</v>
      </c>
      <c r="JJ71" s="48" t="s">
        <v>4</v>
      </c>
      <c r="JK71" s="49">
        <v>3</v>
      </c>
      <c r="JL71" s="5"/>
      <c r="JM71" s="42">
        <f t="shared" si="359"/>
        <v>4.2</v>
      </c>
      <c r="JN71" s="43">
        <f t="shared" si="360"/>
        <v>-2</v>
      </c>
      <c r="JP71" s="47">
        <v>0</v>
      </c>
      <c r="JQ71" s="48" t="s">
        <v>4</v>
      </c>
      <c r="JR71" s="49">
        <v>2</v>
      </c>
      <c r="JS71" s="5"/>
      <c r="JT71" s="42">
        <f t="shared" si="361"/>
        <v>4.2</v>
      </c>
      <c r="JU71" s="43">
        <f t="shared" si="362"/>
        <v>-2</v>
      </c>
      <c r="JW71" s="47">
        <v>1</v>
      </c>
      <c r="JX71" s="48" t="s">
        <v>4</v>
      </c>
      <c r="JY71" s="49">
        <v>4</v>
      </c>
      <c r="JZ71" s="5"/>
      <c r="KA71" s="42">
        <f t="shared" si="363"/>
        <v>4.2</v>
      </c>
      <c r="KB71" s="43">
        <f t="shared" si="364"/>
        <v>-3</v>
      </c>
      <c r="KD71" s="47">
        <v>1</v>
      </c>
      <c r="KE71" s="48" t="s">
        <v>4</v>
      </c>
      <c r="KF71" s="49">
        <v>3</v>
      </c>
      <c r="KG71" s="5"/>
      <c r="KH71" s="42">
        <f t="shared" si="365"/>
        <v>4.2</v>
      </c>
      <c r="KI71" s="43">
        <f t="shared" si="366"/>
        <v>-2</v>
      </c>
      <c r="KK71" s="47">
        <v>0</v>
      </c>
      <c r="KL71" s="48" t="s">
        <v>4</v>
      </c>
      <c r="KM71" s="49">
        <v>2</v>
      </c>
      <c r="KN71" s="5"/>
      <c r="KO71" s="42">
        <f t="shared" si="367"/>
        <v>4.2</v>
      </c>
      <c r="KP71" s="43">
        <f t="shared" si="368"/>
        <v>-2</v>
      </c>
      <c r="KR71" s="47">
        <v>0</v>
      </c>
      <c r="KS71" s="48" t="s">
        <v>4</v>
      </c>
      <c r="KT71" s="49">
        <v>1</v>
      </c>
      <c r="KU71" s="5"/>
      <c r="KV71" s="42">
        <f t="shared" si="369"/>
        <v>6.3000000000000007</v>
      </c>
      <c r="KW71" s="43">
        <f t="shared" si="370"/>
        <v>-1</v>
      </c>
      <c r="KY71" s="47">
        <v>1</v>
      </c>
      <c r="KZ71" s="48" t="s">
        <v>4</v>
      </c>
      <c r="LA71" s="49">
        <v>2</v>
      </c>
      <c r="LB71" s="5"/>
      <c r="LC71" s="42">
        <f t="shared" si="371"/>
        <v>4.2</v>
      </c>
      <c r="LD71" s="43">
        <f t="shared" si="372"/>
        <v>-1</v>
      </c>
      <c r="LF71" s="47">
        <v>1</v>
      </c>
      <c r="LG71" s="48" t="s">
        <v>4</v>
      </c>
      <c r="LH71" s="49">
        <v>2</v>
      </c>
      <c r="LI71" s="5"/>
      <c r="LJ71" s="42">
        <f t="shared" si="373"/>
        <v>4.2</v>
      </c>
      <c r="LK71" s="43">
        <f t="shared" si="374"/>
        <v>-1</v>
      </c>
      <c r="LM71" s="47">
        <v>2</v>
      </c>
      <c r="LN71" s="48" t="s">
        <v>4</v>
      </c>
      <c r="LO71" s="49">
        <v>4</v>
      </c>
      <c r="LP71" s="5"/>
      <c r="LQ71" s="42">
        <f t="shared" si="375"/>
        <v>4.2</v>
      </c>
      <c r="LR71" s="43">
        <f t="shared" si="376"/>
        <v>-2</v>
      </c>
      <c r="LT71" s="47">
        <v>1</v>
      </c>
      <c r="LU71" s="48" t="s">
        <v>4</v>
      </c>
      <c r="LV71" s="49">
        <v>2</v>
      </c>
      <c r="LW71" s="5"/>
      <c r="LX71" s="42">
        <f t="shared" si="377"/>
        <v>4.2</v>
      </c>
      <c r="LY71" s="43">
        <f t="shared" si="378"/>
        <v>-1</v>
      </c>
      <c r="MA71" s="47">
        <v>1</v>
      </c>
      <c r="MB71" s="48" t="s">
        <v>4</v>
      </c>
      <c r="MC71" s="49">
        <v>3</v>
      </c>
      <c r="MD71" s="5"/>
      <c r="ME71" s="42">
        <f t="shared" si="379"/>
        <v>4.2</v>
      </c>
      <c r="MF71" s="43">
        <f t="shared" si="380"/>
        <v>-2</v>
      </c>
      <c r="MH71" s="47">
        <v>1</v>
      </c>
      <c r="MI71" s="48" t="s">
        <v>4</v>
      </c>
      <c r="MJ71" s="49">
        <v>3</v>
      </c>
      <c r="MK71" s="5"/>
      <c r="ML71" s="42">
        <f t="shared" si="381"/>
        <v>4.2</v>
      </c>
      <c r="MM71" s="43">
        <f t="shared" si="382"/>
        <v>-2</v>
      </c>
      <c r="MO71" s="47">
        <v>0</v>
      </c>
      <c r="MP71" s="48" t="s">
        <v>4</v>
      </c>
      <c r="MQ71" s="49">
        <v>2</v>
      </c>
      <c r="MR71" s="5"/>
      <c r="MS71" s="42">
        <f t="shared" si="383"/>
        <v>4.2</v>
      </c>
      <c r="MT71" s="43">
        <f t="shared" si="384"/>
        <v>-2</v>
      </c>
      <c r="MV71" s="47">
        <v>1</v>
      </c>
      <c r="MW71" s="48" t="s">
        <v>4</v>
      </c>
      <c r="MX71" s="49">
        <v>2</v>
      </c>
      <c r="MY71" s="5"/>
      <c r="MZ71" s="42">
        <f t="shared" si="385"/>
        <v>4.2</v>
      </c>
      <c r="NA71" s="43">
        <f t="shared" si="386"/>
        <v>-1</v>
      </c>
      <c r="NC71" s="47">
        <v>0</v>
      </c>
      <c r="ND71" s="48" t="s">
        <v>4</v>
      </c>
      <c r="NE71" s="49">
        <v>4</v>
      </c>
      <c r="NF71" s="5"/>
      <c r="NG71" s="42">
        <f t="shared" si="387"/>
        <v>4.2</v>
      </c>
      <c r="NH71" s="43">
        <f t="shared" si="388"/>
        <v>-4</v>
      </c>
      <c r="NJ71" s="47">
        <v>2</v>
      </c>
      <c r="NK71" s="48" t="s">
        <v>4</v>
      </c>
      <c r="NL71" s="49">
        <v>1</v>
      </c>
      <c r="NM71" s="5"/>
      <c r="NN71" s="42">
        <f t="shared" si="389"/>
        <v>0</v>
      </c>
      <c r="NO71" s="43">
        <f t="shared" si="390"/>
        <v>1</v>
      </c>
      <c r="NQ71" s="47">
        <v>1</v>
      </c>
      <c r="NR71" s="48" t="s">
        <v>4</v>
      </c>
      <c r="NS71" s="49">
        <v>3</v>
      </c>
      <c r="NT71" s="5"/>
      <c r="NU71" s="42">
        <f t="shared" si="391"/>
        <v>4.2</v>
      </c>
      <c r="NV71" s="43">
        <f t="shared" si="392"/>
        <v>-2</v>
      </c>
      <c r="NX71" s="47">
        <v>0</v>
      </c>
      <c r="NY71" s="48" t="s">
        <v>4</v>
      </c>
      <c r="NZ71" s="49">
        <v>3</v>
      </c>
      <c r="OA71" s="5"/>
      <c r="OB71" s="42">
        <f t="shared" si="393"/>
        <v>4.2</v>
      </c>
      <c r="OC71" s="43">
        <f t="shared" si="394"/>
        <v>-3</v>
      </c>
      <c r="OE71" s="47">
        <v>1</v>
      </c>
      <c r="OF71" s="48" t="s">
        <v>4</v>
      </c>
      <c r="OG71" s="49">
        <v>3</v>
      </c>
      <c r="OH71" s="5"/>
      <c r="OI71" s="42">
        <f t="shared" si="395"/>
        <v>4.2</v>
      </c>
      <c r="OJ71" s="43">
        <f t="shared" si="396"/>
        <v>-2</v>
      </c>
      <c r="OL71" s="47">
        <v>0</v>
      </c>
      <c r="OM71" s="48" t="s">
        <v>4</v>
      </c>
      <c r="ON71" s="49">
        <v>3</v>
      </c>
      <c r="OO71" s="5"/>
      <c r="OP71" s="42">
        <f t="shared" si="397"/>
        <v>4.2</v>
      </c>
      <c r="OQ71" s="43">
        <f t="shared" si="398"/>
        <v>-3</v>
      </c>
      <c r="OS71" s="47">
        <v>1</v>
      </c>
      <c r="OT71" s="48" t="s">
        <v>4</v>
      </c>
      <c r="OU71" s="49">
        <v>1</v>
      </c>
      <c r="OV71" s="5"/>
      <c r="OW71" s="42">
        <f t="shared" si="399"/>
        <v>0</v>
      </c>
      <c r="OX71" s="43">
        <f t="shared" si="400"/>
        <v>0</v>
      </c>
      <c r="OZ71" s="47">
        <v>2</v>
      </c>
      <c r="PA71" s="48" t="s">
        <v>4</v>
      </c>
      <c r="PB71" s="49">
        <v>3</v>
      </c>
      <c r="PC71" s="5"/>
      <c r="PD71" s="42">
        <f t="shared" si="401"/>
        <v>4.2</v>
      </c>
      <c r="PE71" s="43">
        <f t="shared" si="402"/>
        <v>-1</v>
      </c>
      <c r="PG71" s="47">
        <v>1</v>
      </c>
      <c r="PH71" s="48" t="s">
        <v>4</v>
      </c>
      <c r="PI71" s="49">
        <v>3</v>
      </c>
      <c r="PJ71" s="5"/>
      <c r="PK71" s="42">
        <f t="shared" si="403"/>
        <v>4.2</v>
      </c>
      <c r="PL71" s="43">
        <f t="shared" si="404"/>
        <v>-2</v>
      </c>
      <c r="PN71" s="47">
        <v>1</v>
      </c>
      <c r="PO71" s="48" t="s">
        <v>4</v>
      </c>
      <c r="PP71" s="49">
        <v>2</v>
      </c>
      <c r="PQ71" s="5"/>
      <c r="PR71" s="42">
        <f t="shared" si="405"/>
        <v>4.2</v>
      </c>
      <c r="PS71" s="43">
        <f t="shared" si="406"/>
        <v>-1</v>
      </c>
      <c r="PU71" s="47">
        <v>2</v>
      </c>
      <c r="PV71" s="48" t="s">
        <v>4</v>
      </c>
      <c r="PW71" s="49">
        <v>2</v>
      </c>
      <c r="PX71" s="5"/>
      <c r="PY71" s="42">
        <f t="shared" si="407"/>
        <v>0</v>
      </c>
      <c r="PZ71" s="43">
        <f t="shared" si="408"/>
        <v>0</v>
      </c>
      <c r="QB71" s="47">
        <v>2</v>
      </c>
      <c r="QC71" s="48" t="s">
        <v>4</v>
      </c>
      <c r="QD71" s="49">
        <v>3</v>
      </c>
      <c r="QE71" s="5"/>
      <c r="QF71" s="42">
        <f t="shared" si="409"/>
        <v>4.2</v>
      </c>
      <c r="QG71" s="43">
        <f t="shared" si="410"/>
        <v>-1</v>
      </c>
      <c r="QI71" s="47">
        <v>1</v>
      </c>
      <c r="QJ71" s="48" t="s">
        <v>4</v>
      </c>
      <c r="QK71" s="49">
        <v>3</v>
      </c>
      <c r="QL71" s="5"/>
      <c r="QM71" s="42">
        <f t="shared" si="411"/>
        <v>4.2</v>
      </c>
      <c r="QN71" s="43">
        <f t="shared" si="412"/>
        <v>-2</v>
      </c>
      <c r="QP71" s="47">
        <v>2</v>
      </c>
      <c r="QQ71" s="48" t="s">
        <v>4</v>
      </c>
      <c r="QR71" s="49">
        <v>3</v>
      </c>
      <c r="QS71" s="5"/>
      <c r="QT71" s="42">
        <f t="shared" si="413"/>
        <v>4.2</v>
      </c>
      <c r="QU71" s="43">
        <f t="shared" si="414"/>
        <v>-1</v>
      </c>
      <c r="QW71" s="47">
        <v>2</v>
      </c>
      <c r="QX71" s="48" t="s">
        <v>4</v>
      </c>
      <c r="QY71" s="49">
        <v>2</v>
      </c>
      <c r="QZ71" s="5"/>
      <c r="RA71" s="42">
        <f t="shared" si="415"/>
        <v>0</v>
      </c>
      <c r="RB71" s="43">
        <f t="shared" si="416"/>
        <v>0</v>
      </c>
      <c r="RD71" s="47"/>
      <c r="RE71" s="48" t="s">
        <v>4</v>
      </c>
      <c r="RF71" s="49"/>
      <c r="RG71" s="5"/>
      <c r="RH71" s="42" t="str">
        <f t="shared" si="417"/>
        <v/>
      </c>
      <c r="RI71" s="43">
        <f t="shared" si="418"/>
        <v>0</v>
      </c>
      <c r="RK71" s="47">
        <v>0</v>
      </c>
      <c r="RL71" s="48" t="s">
        <v>4</v>
      </c>
      <c r="RM71" s="49">
        <v>2</v>
      </c>
      <c r="RN71" s="5"/>
      <c r="RO71" s="42">
        <f t="shared" si="419"/>
        <v>4.2</v>
      </c>
      <c r="RP71" s="43">
        <f t="shared" si="420"/>
        <v>-2</v>
      </c>
      <c r="RR71" s="47">
        <v>0</v>
      </c>
      <c r="RS71" s="48" t="s">
        <v>4</v>
      </c>
      <c r="RT71" s="49">
        <v>3</v>
      </c>
      <c r="RU71" s="5"/>
      <c r="RV71" s="42">
        <f t="shared" si="421"/>
        <v>4.2</v>
      </c>
      <c r="RW71" s="43">
        <f t="shared" si="422"/>
        <v>-3</v>
      </c>
      <c r="RY71" s="47">
        <v>3</v>
      </c>
      <c r="RZ71" s="48" t="s">
        <v>4</v>
      </c>
      <c r="SA71" s="49">
        <v>0</v>
      </c>
      <c r="SB71" s="5"/>
      <c r="SC71" s="42">
        <f t="shared" si="423"/>
        <v>0</v>
      </c>
      <c r="SD71" s="43">
        <f t="shared" si="424"/>
        <v>3</v>
      </c>
      <c r="SF71" s="47">
        <v>0</v>
      </c>
      <c r="SG71" s="48" t="s">
        <v>4</v>
      </c>
      <c r="SH71" s="49">
        <v>3</v>
      </c>
      <c r="SI71" s="5"/>
      <c r="SJ71" s="42">
        <f t="shared" si="425"/>
        <v>4.2</v>
      </c>
      <c r="SK71" s="43">
        <f t="shared" si="426"/>
        <v>-3</v>
      </c>
      <c r="SM71" s="47">
        <v>1</v>
      </c>
      <c r="SN71" s="48" t="s">
        <v>4</v>
      </c>
      <c r="SO71" s="49">
        <v>2</v>
      </c>
      <c r="SP71" s="5"/>
      <c r="SQ71" s="42">
        <f t="shared" si="427"/>
        <v>4.2</v>
      </c>
      <c r="SR71" s="43">
        <f t="shared" si="428"/>
        <v>-1</v>
      </c>
    </row>
    <row r="72" spans="1:512" customFormat="1" ht="16" customHeight="1" x14ac:dyDescent="0.15">
      <c r="A72" s="51">
        <v>46200</v>
      </c>
      <c r="B72" s="46">
        <v>0.20833333333333334</v>
      </c>
      <c r="C72" s="83" t="s">
        <v>46</v>
      </c>
      <c r="D72" s="83" t="s">
        <v>49</v>
      </c>
      <c r="E72" s="2">
        <v>1</v>
      </c>
      <c r="F72" s="50" t="s">
        <v>4</v>
      </c>
      <c r="G72" s="1">
        <v>1</v>
      </c>
      <c r="H72" s="16">
        <v>4.2</v>
      </c>
      <c r="I72" s="32">
        <f t="shared" si="429"/>
        <v>0</v>
      </c>
      <c r="J72" s="47">
        <v>1</v>
      </c>
      <c r="K72" s="48" t="s">
        <v>4</v>
      </c>
      <c r="L72" s="49">
        <v>0</v>
      </c>
      <c r="M72" s="5"/>
      <c r="N72" s="42">
        <f t="shared" si="430"/>
        <v>0</v>
      </c>
      <c r="O72" s="43">
        <f t="shared" si="431"/>
        <v>1</v>
      </c>
      <c r="P72" s="54"/>
      <c r="Q72" s="47">
        <v>3</v>
      </c>
      <c r="R72" s="48" t="s">
        <v>4</v>
      </c>
      <c r="S72" s="49">
        <v>2</v>
      </c>
      <c r="T72" s="5"/>
      <c r="U72" s="42">
        <f t="shared" si="287"/>
        <v>0</v>
      </c>
      <c r="V72" s="43">
        <f t="shared" si="288"/>
        <v>1</v>
      </c>
      <c r="X72" s="47">
        <v>2</v>
      </c>
      <c r="Y72" s="48" t="s">
        <v>4</v>
      </c>
      <c r="Z72" s="49">
        <v>2</v>
      </c>
      <c r="AA72" s="5"/>
      <c r="AB72" s="42">
        <f t="shared" si="289"/>
        <v>4.2</v>
      </c>
      <c r="AC72" s="43">
        <f t="shared" si="290"/>
        <v>0</v>
      </c>
      <c r="AE72" s="47">
        <v>0</v>
      </c>
      <c r="AF72" s="48" t="s">
        <v>4</v>
      </c>
      <c r="AG72" s="49">
        <v>2</v>
      </c>
      <c r="AH72" s="5"/>
      <c r="AI72" s="42">
        <f t="shared" si="291"/>
        <v>0</v>
      </c>
      <c r="AJ72" s="43">
        <f t="shared" si="292"/>
        <v>-2</v>
      </c>
      <c r="AL72" s="47">
        <v>2</v>
      </c>
      <c r="AM72" s="48" t="s">
        <v>4</v>
      </c>
      <c r="AN72" s="49">
        <v>1</v>
      </c>
      <c r="AO72" s="5"/>
      <c r="AP72" s="42">
        <f t="shared" si="293"/>
        <v>0</v>
      </c>
      <c r="AQ72" s="43">
        <f t="shared" si="294"/>
        <v>1</v>
      </c>
      <c r="AS72" s="47">
        <v>2</v>
      </c>
      <c r="AT72" s="48" t="s">
        <v>4</v>
      </c>
      <c r="AU72" s="49">
        <v>0</v>
      </c>
      <c r="AV72" s="5"/>
      <c r="AW72" s="42">
        <f t="shared" si="295"/>
        <v>0</v>
      </c>
      <c r="AX72" s="43">
        <f t="shared" si="296"/>
        <v>2</v>
      </c>
      <c r="AZ72" s="47">
        <v>2</v>
      </c>
      <c r="BA72" s="48" t="s">
        <v>4</v>
      </c>
      <c r="BB72" s="49">
        <v>1</v>
      </c>
      <c r="BC72" s="5"/>
      <c r="BD72" s="42">
        <f t="shared" si="297"/>
        <v>0</v>
      </c>
      <c r="BE72" s="43">
        <f t="shared" si="298"/>
        <v>1</v>
      </c>
      <c r="BG72" s="47">
        <v>1</v>
      </c>
      <c r="BH72" s="48" t="s">
        <v>4</v>
      </c>
      <c r="BI72" s="49">
        <v>1</v>
      </c>
      <c r="BJ72" s="5"/>
      <c r="BK72" s="42">
        <f t="shared" si="299"/>
        <v>6.3000000000000007</v>
      </c>
      <c r="BL72" s="43">
        <f t="shared" si="300"/>
        <v>0</v>
      </c>
      <c r="BN72" s="47">
        <v>3</v>
      </c>
      <c r="BO72" s="48" t="s">
        <v>4</v>
      </c>
      <c r="BP72" s="49">
        <v>0</v>
      </c>
      <c r="BQ72" s="5"/>
      <c r="BR72" s="42">
        <f t="shared" si="301"/>
        <v>0</v>
      </c>
      <c r="BS72" s="43">
        <f t="shared" si="302"/>
        <v>3</v>
      </c>
      <c r="BU72" s="47">
        <v>1</v>
      </c>
      <c r="BV72" s="48" t="s">
        <v>4</v>
      </c>
      <c r="BW72" s="49">
        <v>1</v>
      </c>
      <c r="BX72" s="5"/>
      <c r="BY72" s="42">
        <f t="shared" si="303"/>
        <v>6.3000000000000007</v>
      </c>
      <c r="BZ72" s="43">
        <f t="shared" si="304"/>
        <v>0</v>
      </c>
      <c r="CB72" s="47">
        <v>2</v>
      </c>
      <c r="CC72" s="48" t="s">
        <v>4</v>
      </c>
      <c r="CD72" s="49">
        <v>1</v>
      </c>
      <c r="CE72" s="5"/>
      <c r="CF72" s="42">
        <f t="shared" si="305"/>
        <v>0</v>
      </c>
      <c r="CG72" s="43">
        <f t="shared" si="306"/>
        <v>1</v>
      </c>
      <c r="CI72" s="47">
        <v>1</v>
      </c>
      <c r="CJ72" s="48" t="s">
        <v>4</v>
      </c>
      <c r="CK72" s="49">
        <v>1</v>
      </c>
      <c r="CL72" s="5"/>
      <c r="CM72" s="42">
        <f t="shared" si="307"/>
        <v>6.3000000000000007</v>
      </c>
      <c r="CN72" s="43">
        <f t="shared" si="308"/>
        <v>0</v>
      </c>
      <c r="CP72" s="47">
        <v>1</v>
      </c>
      <c r="CQ72" s="48" t="s">
        <v>4</v>
      </c>
      <c r="CR72" s="49">
        <v>0</v>
      </c>
      <c r="CS72" s="5"/>
      <c r="CT72" s="42">
        <f t="shared" si="309"/>
        <v>0</v>
      </c>
      <c r="CU72" s="43">
        <f t="shared" si="310"/>
        <v>1</v>
      </c>
      <c r="CW72" s="47">
        <v>1</v>
      </c>
      <c r="CX72" s="48" t="s">
        <v>4</v>
      </c>
      <c r="CY72" s="49">
        <v>0</v>
      </c>
      <c r="CZ72" s="5"/>
      <c r="DA72" s="42">
        <f t="shared" si="311"/>
        <v>0</v>
      </c>
      <c r="DB72" s="43">
        <f t="shared" si="312"/>
        <v>1</v>
      </c>
      <c r="DD72" s="47">
        <v>1</v>
      </c>
      <c r="DE72" s="48" t="s">
        <v>4</v>
      </c>
      <c r="DF72" s="49">
        <v>1</v>
      </c>
      <c r="DG72" s="5"/>
      <c r="DH72" s="42">
        <f t="shared" si="313"/>
        <v>6.3000000000000007</v>
      </c>
      <c r="DI72" s="43">
        <f t="shared" si="314"/>
        <v>0</v>
      </c>
      <c r="DK72" s="47">
        <v>2</v>
      </c>
      <c r="DL72" s="48" t="s">
        <v>4</v>
      </c>
      <c r="DM72" s="49">
        <v>0</v>
      </c>
      <c r="DN72" s="5"/>
      <c r="DO72" s="42">
        <f t="shared" si="315"/>
        <v>0</v>
      </c>
      <c r="DP72" s="43">
        <f t="shared" si="316"/>
        <v>2</v>
      </c>
      <c r="DR72" s="47">
        <v>2</v>
      </c>
      <c r="DS72" s="48" t="s">
        <v>4</v>
      </c>
      <c r="DT72" s="49">
        <v>0</v>
      </c>
      <c r="DU72" s="5"/>
      <c r="DV72" s="42">
        <f t="shared" si="317"/>
        <v>0</v>
      </c>
      <c r="DW72" s="43">
        <f t="shared" si="318"/>
        <v>2</v>
      </c>
      <c r="DY72" s="47">
        <v>2</v>
      </c>
      <c r="DZ72" s="48" t="s">
        <v>4</v>
      </c>
      <c r="EA72" s="49">
        <v>0</v>
      </c>
      <c r="EB72" s="5"/>
      <c r="EC72" s="42">
        <f t="shared" si="319"/>
        <v>0</v>
      </c>
      <c r="ED72" s="43">
        <f t="shared" si="320"/>
        <v>2</v>
      </c>
      <c r="EF72" s="47">
        <v>0</v>
      </c>
      <c r="EG72" s="48" t="s">
        <v>4</v>
      </c>
      <c r="EH72" s="49">
        <v>1</v>
      </c>
      <c r="EI72" s="5"/>
      <c r="EJ72" s="42">
        <f t="shared" si="321"/>
        <v>0</v>
      </c>
      <c r="EK72" s="43">
        <f t="shared" si="322"/>
        <v>-1</v>
      </c>
      <c r="EM72" s="47">
        <v>2</v>
      </c>
      <c r="EN72" s="48" t="s">
        <v>4</v>
      </c>
      <c r="EO72" s="49">
        <v>1</v>
      </c>
      <c r="EP72" s="5"/>
      <c r="EQ72" s="42">
        <f t="shared" si="323"/>
        <v>0</v>
      </c>
      <c r="ER72" s="43">
        <f t="shared" si="324"/>
        <v>1</v>
      </c>
      <c r="ET72" s="47">
        <v>2</v>
      </c>
      <c r="EU72" s="48" t="s">
        <v>4</v>
      </c>
      <c r="EV72" s="49">
        <v>2</v>
      </c>
      <c r="EW72" s="5"/>
      <c r="EX72" s="42">
        <f t="shared" si="325"/>
        <v>4.2</v>
      </c>
      <c r="EY72" s="43">
        <f t="shared" si="326"/>
        <v>0</v>
      </c>
      <c r="FA72" s="47">
        <v>1</v>
      </c>
      <c r="FB72" s="48" t="s">
        <v>4</v>
      </c>
      <c r="FC72" s="49">
        <v>1</v>
      </c>
      <c r="FD72" s="5"/>
      <c r="FE72" s="42">
        <f t="shared" si="327"/>
        <v>6.3000000000000007</v>
      </c>
      <c r="FF72" s="43">
        <f t="shared" si="328"/>
        <v>0</v>
      </c>
      <c r="FH72" s="47">
        <v>2</v>
      </c>
      <c r="FI72" s="48" t="s">
        <v>4</v>
      </c>
      <c r="FJ72" s="49">
        <v>1</v>
      </c>
      <c r="FK72" s="5"/>
      <c r="FL72" s="42">
        <f t="shared" si="329"/>
        <v>0</v>
      </c>
      <c r="FM72" s="43">
        <f t="shared" si="330"/>
        <v>1</v>
      </c>
      <c r="FO72" s="47">
        <v>1</v>
      </c>
      <c r="FP72" s="48" t="s">
        <v>4</v>
      </c>
      <c r="FQ72" s="49">
        <v>0</v>
      </c>
      <c r="FR72" s="5"/>
      <c r="FS72" s="42">
        <f t="shared" si="331"/>
        <v>0</v>
      </c>
      <c r="FT72" s="43">
        <f t="shared" si="332"/>
        <v>1</v>
      </c>
      <c r="FV72" s="47">
        <v>2</v>
      </c>
      <c r="FW72" s="48" t="s">
        <v>4</v>
      </c>
      <c r="FX72" s="49">
        <v>0</v>
      </c>
      <c r="FY72" s="5"/>
      <c r="FZ72" s="42">
        <f t="shared" si="333"/>
        <v>0</v>
      </c>
      <c r="GA72" s="43">
        <f t="shared" si="334"/>
        <v>2</v>
      </c>
      <c r="GC72" s="47">
        <v>3</v>
      </c>
      <c r="GD72" s="48" t="s">
        <v>4</v>
      </c>
      <c r="GE72" s="49">
        <v>1</v>
      </c>
      <c r="GF72" s="5"/>
      <c r="GG72" s="42">
        <f t="shared" si="335"/>
        <v>0</v>
      </c>
      <c r="GH72" s="43">
        <f t="shared" si="336"/>
        <v>2</v>
      </c>
      <c r="GJ72" s="47">
        <v>1</v>
      </c>
      <c r="GK72" s="48" t="s">
        <v>4</v>
      </c>
      <c r="GL72" s="49">
        <v>1</v>
      </c>
      <c r="GM72" s="5"/>
      <c r="GN72" s="42">
        <f t="shared" si="337"/>
        <v>6.3000000000000007</v>
      </c>
      <c r="GO72" s="43">
        <f t="shared" si="338"/>
        <v>0</v>
      </c>
      <c r="GQ72" s="47">
        <v>1</v>
      </c>
      <c r="GR72" s="48" t="s">
        <v>4</v>
      </c>
      <c r="GS72" s="49">
        <v>1</v>
      </c>
      <c r="GT72" s="5"/>
      <c r="GU72" s="42">
        <f t="shared" si="339"/>
        <v>6.3000000000000007</v>
      </c>
      <c r="GV72" s="43">
        <f t="shared" si="340"/>
        <v>0</v>
      </c>
      <c r="GX72" s="47">
        <v>2</v>
      </c>
      <c r="GY72" s="48" t="s">
        <v>4</v>
      </c>
      <c r="GZ72" s="49">
        <v>0</v>
      </c>
      <c r="HA72" s="5"/>
      <c r="HB72" s="42">
        <f t="shared" si="341"/>
        <v>0</v>
      </c>
      <c r="HC72" s="43">
        <f t="shared" si="342"/>
        <v>2</v>
      </c>
      <c r="HE72" s="47">
        <v>2</v>
      </c>
      <c r="HF72" s="48" t="s">
        <v>4</v>
      </c>
      <c r="HG72" s="49">
        <v>1</v>
      </c>
      <c r="HH72" s="5"/>
      <c r="HI72" s="42">
        <f t="shared" si="343"/>
        <v>0</v>
      </c>
      <c r="HJ72" s="43">
        <f t="shared" si="344"/>
        <v>1</v>
      </c>
      <c r="HL72" s="47">
        <v>2</v>
      </c>
      <c r="HM72" s="48" t="s">
        <v>4</v>
      </c>
      <c r="HN72" s="49">
        <v>0</v>
      </c>
      <c r="HO72" s="5"/>
      <c r="HP72" s="42">
        <f t="shared" si="345"/>
        <v>0</v>
      </c>
      <c r="HQ72" s="43">
        <f t="shared" si="346"/>
        <v>2</v>
      </c>
      <c r="HS72" s="47">
        <v>1</v>
      </c>
      <c r="HT72" s="48" t="s">
        <v>4</v>
      </c>
      <c r="HU72" s="49">
        <v>0</v>
      </c>
      <c r="HV72" s="5"/>
      <c r="HW72" s="42">
        <f t="shared" si="347"/>
        <v>0</v>
      </c>
      <c r="HX72" s="43">
        <f t="shared" si="348"/>
        <v>1</v>
      </c>
      <c r="HZ72" s="47">
        <v>2</v>
      </c>
      <c r="IA72" s="48" t="s">
        <v>4</v>
      </c>
      <c r="IB72" s="49">
        <v>0</v>
      </c>
      <c r="IC72" s="5"/>
      <c r="ID72" s="42">
        <f t="shared" si="349"/>
        <v>0</v>
      </c>
      <c r="IE72" s="43">
        <f t="shared" si="350"/>
        <v>2</v>
      </c>
      <c r="IG72" s="47">
        <v>3</v>
      </c>
      <c r="IH72" s="48" t="s">
        <v>4</v>
      </c>
      <c r="II72" s="49">
        <v>2</v>
      </c>
      <c r="IJ72" s="5"/>
      <c r="IK72" s="42">
        <f t="shared" si="351"/>
        <v>0</v>
      </c>
      <c r="IL72" s="43">
        <f t="shared" si="352"/>
        <v>1</v>
      </c>
      <c r="IN72" s="47">
        <v>1</v>
      </c>
      <c r="IO72" s="48" t="s">
        <v>4</v>
      </c>
      <c r="IP72" s="49">
        <v>1</v>
      </c>
      <c r="IQ72" s="5"/>
      <c r="IR72" s="42">
        <f t="shared" si="353"/>
        <v>6.3000000000000007</v>
      </c>
      <c r="IS72" s="43">
        <f t="shared" si="354"/>
        <v>0</v>
      </c>
      <c r="IU72" s="47">
        <v>2</v>
      </c>
      <c r="IV72" s="48" t="s">
        <v>4</v>
      </c>
      <c r="IW72" s="49">
        <v>0</v>
      </c>
      <c r="IX72" s="5"/>
      <c r="IY72" s="42">
        <f t="shared" si="355"/>
        <v>0</v>
      </c>
      <c r="IZ72" s="43">
        <f t="shared" si="356"/>
        <v>2</v>
      </c>
      <c r="JB72" s="47">
        <v>1</v>
      </c>
      <c r="JC72" s="48" t="s">
        <v>4</v>
      </c>
      <c r="JD72" s="49">
        <v>0</v>
      </c>
      <c r="JE72" s="5"/>
      <c r="JF72" s="42">
        <f t="shared" si="357"/>
        <v>0</v>
      </c>
      <c r="JG72" s="43">
        <f t="shared" si="358"/>
        <v>1</v>
      </c>
      <c r="JI72" s="47">
        <v>1</v>
      </c>
      <c r="JJ72" s="48" t="s">
        <v>4</v>
      </c>
      <c r="JK72" s="49">
        <v>1</v>
      </c>
      <c r="JL72" s="5"/>
      <c r="JM72" s="42">
        <f t="shared" si="359"/>
        <v>6.3000000000000007</v>
      </c>
      <c r="JN72" s="43">
        <f t="shared" si="360"/>
        <v>0</v>
      </c>
      <c r="JP72" s="47">
        <v>3</v>
      </c>
      <c r="JQ72" s="48" t="s">
        <v>4</v>
      </c>
      <c r="JR72" s="49">
        <v>1</v>
      </c>
      <c r="JS72" s="5"/>
      <c r="JT72" s="42">
        <f t="shared" si="361"/>
        <v>0</v>
      </c>
      <c r="JU72" s="43">
        <f t="shared" si="362"/>
        <v>2</v>
      </c>
      <c r="JW72" s="47">
        <v>1</v>
      </c>
      <c r="JX72" s="48" t="s">
        <v>4</v>
      </c>
      <c r="JY72" s="49">
        <v>1</v>
      </c>
      <c r="JZ72" s="5"/>
      <c r="KA72" s="42">
        <f t="shared" si="363"/>
        <v>6.3000000000000007</v>
      </c>
      <c r="KB72" s="43">
        <f t="shared" si="364"/>
        <v>0</v>
      </c>
      <c r="KD72" s="47">
        <v>2</v>
      </c>
      <c r="KE72" s="48" t="s">
        <v>4</v>
      </c>
      <c r="KF72" s="49">
        <v>0</v>
      </c>
      <c r="KG72" s="5"/>
      <c r="KH72" s="42">
        <f t="shared" si="365"/>
        <v>0</v>
      </c>
      <c r="KI72" s="43">
        <f t="shared" si="366"/>
        <v>2</v>
      </c>
      <c r="KK72" s="47">
        <v>1</v>
      </c>
      <c r="KL72" s="48" t="s">
        <v>4</v>
      </c>
      <c r="KM72" s="49">
        <v>0</v>
      </c>
      <c r="KN72" s="5"/>
      <c r="KO72" s="42">
        <f t="shared" si="367"/>
        <v>0</v>
      </c>
      <c r="KP72" s="43">
        <f t="shared" si="368"/>
        <v>1</v>
      </c>
      <c r="KR72" s="47">
        <v>0</v>
      </c>
      <c r="KS72" s="48" t="s">
        <v>4</v>
      </c>
      <c r="KT72" s="49">
        <v>0</v>
      </c>
      <c r="KU72" s="5"/>
      <c r="KV72" s="42">
        <f t="shared" si="369"/>
        <v>4.2</v>
      </c>
      <c r="KW72" s="43">
        <f t="shared" si="370"/>
        <v>0</v>
      </c>
      <c r="KY72" s="47">
        <v>2</v>
      </c>
      <c r="KZ72" s="48" t="s">
        <v>4</v>
      </c>
      <c r="LA72" s="49">
        <v>1</v>
      </c>
      <c r="LB72" s="5"/>
      <c r="LC72" s="42">
        <f t="shared" si="371"/>
        <v>0</v>
      </c>
      <c r="LD72" s="43">
        <f t="shared" si="372"/>
        <v>1</v>
      </c>
      <c r="LF72" s="47">
        <v>1</v>
      </c>
      <c r="LG72" s="48" t="s">
        <v>4</v>
      </c>
      <c r="LH72" s="49">
        <v>2</v>
      </c>
      <c r="LI72" s="5"/>
      <c r="LJ72" s="42">
        <f t="shared" si="373"/>
        <v>0</v>
      </c>
      <c r="LK72" s="43">
        <f t="shared" si="374"/>
        <v>-1</v>
      </c>
      <c r="LM72" s="47">
        <v>2</v>
      </c>
      <c r="LN72" s="48" t="s">
        <v>4</v>
      </c>
      <c r="LO72" s="49">
        <v>1</v>
      </c>
      <c r="LP72" s="5"/>
      <c r="LQ72" s="42">
        <f t="shared" si="375"/>
        <v>0</v>
      </c>
      <c r="LR72" s="43">
        <f t="shared" si="376"/>
        <v>1</v>
      </c>
      <c r="LT72" s="47">
        <v>0</v>
      </c>
      <c r="LU72" s="48" t="s">
        <v>4</v>
      </c>
      <c r="LV72" s="49">
        <v>0</v>
      </c>
      <c r="LW72" s="5"/>
      <c r="LX72" s="42">
        <f t="shared" si="377"/>
        <v>4.2</v>
      </c>
      <c r="LY72" s="43">
        <f t="shared" si="378"/>
        <v>0</v>
      </c>
      <c r="MA72" s="47">
        <v>0</v>
      </c>
      <c r="MB72" s="48" t="s">
        <v>4</v>
      </c>
      <c r="MC72" s="49">
        <v>0</v>
      </c>
      <c r="MD72" s="5"/>
      <c r="ME72" s="42">
        <f t="shared" si="379"/>
        <v>4.2</v>
      </c>
      <c r="MF72" s="43">
        <f t="shared" si="380"/>
        <v>0</v>
      </c>
      <c r="MH72" s="47">
        <v>2</v>
      </c>
      <c r="MI72" s="48" t="s">
        <v>4</v>
      </c>
      <c r="MJ72" s="49">
        <v>1</v>
      </c>
      <c r="MK72" s="5"/>
      <c r="ML72" s="42">
        <f t="shared" si="381"/>
        <v>0</v>
      </c>
      <c r="MM72" s="43">
        <f t="shared" si="382"/>
        <v>1</v>
      </c>
      <c r="MO72" s="47">
        <v>0</v>
      </c>
      <c r="MP72" s="48" t="s">
        <v>4</v>
      </c>
      <c r="MQ72" s="49">
        <v>1</v>
      </c>
      <c r="MR72" s="5"/>
      <c r="MS72" s="42">
        <f t="shared" si="383"/>
        <v>0</v>
      </c>
      <c r="MT72" s="43">
        <f t="shared" si="384"/>
        <v>-1</v>
      </c>
      <c r="MV72" s="47">
        <v>3</v>
      </c>
      <c r="MW72" s="48" t="s">
        <v>4</v>
      </c>
      <c r="MX72" s="49">
        <v>0</v>
      </c>
      <c r="MY72" s="5"/>
      <c r="MZ72" s="42">
        <f t="shared" si="385"/>
        <v>0</v>
      </c>
      <c r="NA72" s="43">
        <f t="shared" si="386"/>
        <v>3</v>
      </c>
      <c r="NC72" s="47">
        <v>2</v>
      </c>
      <c r="ND72" s="48" t="s">
        <v>4</v>
      </c>
      <c r="NE72" s="49">
        <v>2</v>
      </c>
      <c r="NF72" s="5"/>
      <c r="NG72" s="42">
        <f t="shared" si="387"/>
        <v>4.2</v>
      </c>
      <c r="NH72" s="43">
        <f t="shared" si="388"/>
        <v>0</v>
      </c>
      <c r="NJ72" s="47">
        <v>1</v>
      </c>
      <c r="NK72" s="48" t="s">
        <v>4</v>
      </c>
      <c r="NL72" s="49">
        <v>2</v>
      </c>
      <c r="NM72" s="5"/>
      <c r="NN72" s="42">
        <f t="shared" si="389"/>
        <v>0</v>
      </c>
      <c r="NO72" s="43">
        <f t="shared" si="390"/>
        <v>-1</v>
      </c>
      <c r="NQ72" s="47">
        <v>2</v>
      </c>
      <c r="NR72" s="48" t="s">
        <v>4</v>
      </c>
      <c r="NS72" s="49">
        <v>1</v>
      </c>
      <c r="NT72" s="5"/>
      <c r="NU72" s="42">
        <f t="shared" si="391"/>
        <v>0</v>
      </c>
      <c r="NV72" s="43">
        <f t="shared" si="392"/>
        <v>1</v>
      </c>
      <c r="NX72" s="47">
        <v>2</v>
      </c>
      <c r="NY72" s="48" t="s">
        <v>4</v>
      </c>
      <c r="NZ72" s="49">
        <v>2</v>
      </c>
      <c r="OA72" s="5"/>
      <c r="OB72" s="42">
        <f t="shared" si="393"/>
        <v>4.2</v>
      </c>
      <c r="OC72" s="43">
        <f t="shared" si="394"/>
        <v>0</v>
      </c>
      <c r="OE72" s="47">
        <v>1</v>
      </c>
      <c r="OF72" s="48" t="s">
        <v>4</v>
      </c>
      <c r="OG72" s="49">
        <v>3</v>
      </c>
      <c r="OH72" s="5"/>
      <c r="OI72" s="42">
        <f t="shared" si="395"/>
        <v>0</v>
      </c>
      <c r="OJ72" s="43">
        <f t="shared" si="396"/>
        <v>-2</v>
      </c>
      <c r="OL72" s="47">
        <v>2</v>
      </c>
      <c r="OM72" s="48" t="s">
        <v>4</v>
      </c>
      <c r="ON72" s="49">
        <v>0</v>
      </c>
      <c r="OO72" s="5"/>
      <c r="OP72" s="42">
        <f t="shared" si="397"/>
        <v>0</v>
      </c>
      <c r="OQ72" s="43">
        <f t="shared" si="398"/>
        <v>2</v>
      </c>
      <c r="OS72" s="47">
        <v>0</v>
      </c>
      <c r="OT72" s="48" t="s">
        <v>4</v>
      </c>
      <c r="OU72" s="49">
        <v>1</v>
      </c>
      <c r="OV72" s="5"/>
      <c r="OW72" s="42">
        <f t="shared" si="399"/>
        <v>0</v>
      </c>
      <c r="OX72" s="43">
        <f t="shared" si="400"/>
        <v>-1</v>
      </c>
      <c r="OZ72" s="47">
        <v>3</v>
      </c>
      <c r="PA72" s="48" t="s">
        <v>4</v>
      </c>
      <c r="PB72" s="49">
        <v>1</v>
      </c>
      <c r="PC72" s="5"/>
      <c r="PD72" s="42">
        <f t="shared" si="401"/>
        <v>0</v>
      </c>
      <c r="PE72" s="43">
        <f t="shared" si="402"/>
        <v>2</v>
      </c>
      <c r="PG72" s="47">
        <v>2</v>
      </c>
      <c r="PH72" s="48" t="s">
        <v>4</v>
      </c>
      <c r="PI72" s="49">
        <v>0</v>
      </c>
      <c r="PJ72" s="5"/>
      <c r="PK72" s="42">
        <f t="shared" si="403"/>
        <v>0</v>
      </c>
      <c r="PL72" s="43">
        <f t="shared" si="404"/>
        <v>2</v>
      </c>
      <c r="PN72" s="47">
        <v>1</v>
      </c>
      <c r="PO72" s="48" t="s">
        <v>4</v>
      </c>
      <c r="PP72" s="49">
        <v>1</v>
      </c>
      <c r="PQ72" s="5"/>
      <c r="PR72" s="42">
        <f t="shared" si="405"/>
        <v>6.3000000000000007</v>
      </c>
      <c r="PS72" s="43">
        <f t="shared" si="406"/>
        <v>0</v>
      </c>
      <c r="PU72" s="47">
        <v>2</v>
      </c>
      <c r="PV72" s="48" t="s">
        <v>4</v>
      </c>
      <c r="PW72" s="49">
        <v>1</v>
      </c>
      <c r="PX72" s="5"/>
      <c r="PY72" s="42">
        <f t="shared" si="407"/>
        <v>0</v>
      </c>
      <c r="PZ72" s="43">
        <f t="shared" si="408"/>
        <v>1</v>
      </c>
      <c r="QB72" s="47">
        <v>2</v>
      </c>
      <c r="QC72" s="48" t="s">
        <v>4</v>
      </c>
      <c r="QD72" s="49">
        <v>0</v>
      </c>
      <c r="QE72" s="5"/>
      <c r="QF72" s="42">
        <f t="shared" si="409"/>
        <v>0</v>
      </c>
      <c r="QG72" s="43">
        <f t="shared" si="410"/>
        <v>2</v>
      </c>
      <c r="QI72" s="47">
        <v>1</v>
      </c>
      <c r="QJ72" s="48" t="s">
        <v>4</v>
      </c>
      <c r="QK72" s="49">
        <v>0</v>
      </c>
      <c r="QL72" s="5"/>
      <c r="QM72" s="42">
        <f t="shared" si="411"/>
        <v>0</v>
      </c>
      <c r="QN72" s="43">
        <f t="shared" si="412"/>
        <v>1</v>
      </c>
      <c r="QP72" s="47">
        <v>2</v>
      </c>
      <c r="QQ72" s="48" t="s">
        <v>4</v>
      </c>
      <c r="QR72" s="49">
        <v>0</v>
      </c>
      <c r="QS72" s="5"/>
      <c r="QT72" s="42">
        <f t="shared" si="413"/>
        <v>0</v>
      </c>
      <c r="QU72" s="43">
        <f t="shared" si="414"/>
        <v>2</v>
      </c>
      <c r="QW72" s="47">
        <v>2</v>
      </c>
      <c r="QX72" s="48" t="s">
        <v>4</v>
      </c>
      <c r="QY72" s="49">
        <v>3</v>
      </c>
      <c r="QZ72" s="5"/>
      <c r="RA72" s="42">
        <f t="shared" si="415"/>
        <v>0</v>
      </c>
      <c r="RB72" s="43">
        <f t="shared" si="416"/>
        <v>-1</v>
      </c>
      <c r="RD72" s="47"/>
      <c r="RE72" s="48" t="s">
        <v>4</v>
      </c>
      <c r="RF72" s="49"/>
      <c r="RG72" s="5"/>
      <c r="RH72" s="42" t="str">
        <f t="shared" si="417"/>
        <v/>
      </c>
      <c r="RI72" s="43">
        <f t="shared" si="418"/>
        <v>0</v>
      </c>
      <c r="RK72" s="47">
        <v>1</v>
      </c>
      <c r="RL72" s="48" t="s">
        <v>4</v>
      </c>
      <c r="RM72" s="49">
        <v>1</v>
      </c>
      <c r="RN72" s="5"/>
      <c r="RO72" s="42">
        <f t="shared" si="419"/>
        <v>6.3000000000000007</v>
      </c>
      <c r="RP72" s="43">
        <f t="shared" si="420"/>
        <v>0</v>
      </c>
      <c r="RR72" s="47">
        <v>1</v>
      </c>
      <c r="RS72" s="48" t="s">
        <v>4</v>
      </c>
      <c r="RT72" s="49">
        <v>1</v>
      </c>
      <c r="RU72" s="5"/>
      <c r="RV72" s="42">
        <f t="shared" si="421"/>
        <v>6.3000000000000007</v>
      </c>
      <c r="RW72" s="43">
        <f t="shared" si="422"/>
        <v>0</v>
      </c>
      <c r="RY72" s="47">
        <v>1</v>
      </c>
      <c r="RZ72" s="48" t="s">
        <v>4</v>
      </c>
      <c r="SA72" s="49">
        <v>1</v>
      </c>
      <c r="SB72" s="5"/>
      <c r="SC72" s="42">
        <f t="shared" si="423"/>
        <v>6.3000000000000007</v>
      </c>
      <c r="SD72" s="43">
        <f t="shared" si="424"/>
        <v>0</v>
      </c>
      <c r="SF72" s="47">
        <v>2</v>
      </c>
      <c r="SG72" s="48" t="s">
        <v>4</v>
      </c>
      <c r="SH72" s="49">
        <v>2</v>
      </c>
      <c r="SI72" s="5"/>
      <c r="SJ72" s="42">
        <f t="shared" si="425"/>
        <v>4.2</v>
      </c>
      <c r="SK72" s="43">
        <f t="shared" si="426"/>
        <v>0</v>
      </c>
      <c r="SM72" s="47">
        <v>1</v>
      </c>
      <c r="SN72" s="48" t="s">
        <v>4</v>
      </c>
      <c r="SO72" s="49">
        <v>1</v>
      </c>
      <c r="SP72" s="5"/>
      <c r="SQ72" s="42">
        <f t="shared" si="427"/>
        <v>6.3000000000000007</v>
      </c>
      <c r="SR72" s="43">
        <f t="shared" si="428"/>
        <v>0</v>
      </c>
    </row>
    <row r="73" spans="1:512" ht="16" customHeight="1" x14ac:dyDescent="0.15">
      <c r="A73" s="51">
        <v>46200</v>
      </c>
      <c r="B73" s="46">
        <v>0.20833333333333334</v>
      </c>
      <c r="C73" s="82" t="s">
        <v>50</v>
      </c>
      <c r="D73" s="82" t="s">
        <v>11</v>
      </c>
      <c r="E73" s="2">
        <v>1</v>
      </c>
      <c r="F73" s="50" t="s">
        <v>4</v>
      </c>
      <c r="G73" s="1">
        <v>5</v>
      </c>
      <c r="H73" s="16">
        <v>4.2</v>
      </c>
      <c r="I73" s="32">
        <f t="shared" si="429"/>
        <v>-4</v>
      </c>
      <c r="J73" s="47">
        <v>1</v>
      </c>
      <c r="K73" s="48" t="s">
        <v>4</v>
      </c>
      <c r="L73" s="49">
        <v>1</v>
      </c>
      <c r="N73" s="42">
        <f t="shared" si="430"/>
        <v>0</v>
      </c>
      <c r="O73" s="43">
        <f t="shared" si="431"/>
        <v>0</v>
      </c>
      <c r="Q73" s="47">
        <v>1</v>
      </c>
      <c r="R73" s="48" t="s">
        <v>4</v>
      </c>
      <c r="S73" s="49">
        <v>2</v>
      </c>
      <c r="U73" s="42">
        <f t="shared" si="287"/>
        <v>4.2</v>
      </c>
      <c r="V73" s="43">
        <f t="shared" si="288"/>
        <v>-1</v>
      </c>
      <c r="W73" s="5"/>
      <c r="X73" s="47">
        <v>0</v>
      </c>
      <c r="Y73" s="48" t="s">
        <v>4</v>
      </c>
      <c r="Z73" s="49">
        <v>1</v>
      </c>
      <c r="AB73" s="42">
        <f t="shared" si="289"/>
        <v>4.2</v>
      </c>
      <c r="AC73" s="43">
        <f t="shared" si="290"/>
        <v>-1</v>
      </c>
      <c r="AD73" s="5"/>
      <c r="AE73" s="47">
        <v>2</v>
      </c>
      <c r="AF73" s="48" t="s">
        <v>4</v>
      </c>
      <c r="AG73" s="49">
        <v>2</v>
      </c>
      <c r="AI73" s="42">
        <f t="shared" si="291"/>
        <v>0</v>
      </c>
      <c r="AJ73" s="43">
        <f t="shared" si="292"/>
        <v>0</v>
      </c>
      <c r="AL73" s="47">
        <v>0</v>
      </c>
      <c r="AM73" s="48" t="s">
        <v>4</v>
      </c>
      <c r="AN73" s="49">
        <v>2</v>
      </c>
      <c r="AP73" s="42">
        <f t="shared" si="293"/>
        <v>4.2</v>
      </c>
      <c r="AQ73" s="43">
        <f t="shared" si="294"/>
        <v>-2</v>
      </c>
      <c r="AS73" s="47">
        <v>0</v>
      </c>
      <c r="AT73" s="48" t="s">
        <v>4</v>
      </c>
      <c r="AU73" s="49">
        <v>1</v>
      </c>
      <c r="AW73" s="42">
        <f t="shared" si="295"/>
        <v>4.2</v>
      </c>
      <c r="AX73" s="43">
        <f t="shared" si="296"/>
        <v>-1</v>
      </c>
      <c r="AZ73" s="47">
        <v>1</v>
      </c>
      <c r="BA73" s="48" t="s">
        <v>4</v>
      </c>
      <c r="BB73" s="49">
        <v>1</v>
      </c>
      <c r="BD73" s="42">
        <f t="shared" si="297"/>
        <v>0</v>
      </c>
      <c r="BE73" s="43">
        <f t="shared" si="298"/>
        <v>0</v>
      </c>
      <c r="BF73" s="5"/>
      <c r="BG73" s="47">
        <v>2</v>
      </c>
      <c r="BH73" s="48" t="s">
        <v>4</v>
      </c>
      <c r="BI73" s="49">
        <v>1</v>
      </c>
      <c r="BK73" s="42">
        <f t="shared" si="299"/>
        <v>0</v>
      </c>
      <c r="BL73" s="43">
        <f t="shared" si="300"/>
        <v>1</v>
      </c>
      <c r="BN73" s="47">
        <v>1</v>
      </c>
      <c r="BO73" s="48" t="s">
        <v>4</v>
      </c>
      <c r="BP73" s="49">
        <v>3</v>
      </c>
      <c r="BR73" s="42">
        <f t="shared" si="301"/>
        <v>4.2</v>
      </c>
      <c r="BS73" s="43">
        <f t="shared" si="302"/>
        <v>-2</v>
      </c>
      <c r="BU73" s="47">
        <v>1</v>
      </c>
      <c r="BV73" s="48" t="s">
        <v>4</v>
      </c>
      <c r="BW73" s="49">
        <v>2</v>
      </c>
      <c r="BY73" s="42">
        <f t="shared" si="303"/>
        <v>4.2</v>
      </c>
      <c r="BZ73" s="43">
        <f t="shared" si="304"/>
        <v>-1</v>
      </c>
      <c r="CB73" s="47">
        <v>1</v>
      </c>
      <c r="CC73" s="48" t="s">
        <v>4</v>
      </c>
      <c r="CD73" s="49">
        <v>3</v>
      </c>
      <c r="CF73" s="42">
        <f t="shared" si="305"/>
        <v>4.2</v>
      </c>
      <c r="CG73" s="43">
        <f t="shared" si="306"/>
        <v>-2</v>
      </c>
      <c r="CH73" s="5"/>
      <c r="CI73" s="47">
        <v>0</v>
      </c>
      <c r="CJ73" s="48" t="s">
        <v>4</v>
      </c>
      <c r="CK73" s="49">
        <v>3</v>
      </c>
      <c r="CM73" s="42">
        <f t="shared" si="307"/>
        <v>4.2</v>
      </c>
      <c r="CN73" s="43">
        <f t="shared" si="308"/>
        <v>-3</v>
      </c>
      <c r="CP73" s="47">
        <v>1</v>
      </c>
      <c r="CQ73" s="48" t="s">
        <v>4</v>
      </c>
      <c r="CR73" s="49">
        <v>4</v>
      </c>
      <c r="CT73" s="42">
        <f t="shared" si="309"/>
        <v>4.2</v>
      </c>
      <c r="CU73" s="43">
        <f t="shared" si="310"/>
        <v>-3</v>
      </c>
      <c r="CW73" s="47">
        <v>0</v>
      </c>
      <c r="CX73" s="48" t="s">
        <v>4</v>
      </c>
      <c r="CY73" s="49">
        <v>2</v>
      </c>
      <c r="DA73" s="42">
        <f t="shared" si="311"/>
        <v>4.2</v>
      </c>
      <c r="DB73" s="43">
        <f t="shared" si="312"/>
        <v>-2</v>
      </c>
      <c r="DD73" s="47">
        <v>0</v>
      </c>
      <c r="DE73" s="48" t="s">
        <v>4</v>
      </c>
      <c r="DF73" s="49">
        <v>2</v>
      </c>
      <c r="DH73" s="42">
        <f t="shared" si="313"/>
        <v>4.2</v>
      </c>
      <c r="DI73" s="43">
        <f t="shared" si="314"/>
        <v>-2</v>
      </c>
      <c r="DJ73" s="5"/>
      <c r="DK73" s="47">
        <v>0</v>
      </c>
      <c r="DL73" s="48" t="s">
        <v>4</v>
      </c>
      <c r="DM73" s="49">
        <v>2</v>
      </c>
      <c r="DO73" s="42">
        <f t="shared" si="315"/>
        <v>4.2</v>
      </c>
      <c r="DP73" s="43">
        <f t="shared" si="316"/>
        <v>-2</v>
      </c>
      <c r="DR73" s="47">
        <v>0</v>
      </c>
      <c r="DS73" s="48" t="s">
        <v>4</v>
      </c>
      <c r="DT73" s="49">
        <v>3</v>
      </c>
      <c r="DV73" s="42">
        <f t="shared" si="317"/>
        <v>4.2</v>
      </c>
      <c r="DW73" s="43">
        <f t="shared" si="318"/>
        <v>-3</v>
      </c>
      <c r="DY73" s="47">
        <v>0</v>
      </c>
      <c r="DZ73" s="48" t="s">
        <v>4</v>
      </c>
      <c r="EA73" s="49">
        <v>2</v>
      </c>
      <c r="EC73" s="42">
        <f t="shared" si="319"/>
        <v>4.2</v>
      </c>
      <c r="ED73" s="43">
        <f t="shared" si="320"/>
        <v>-2</v>
      </c>
      <c r="EF73" s="47">
        <v>0</v>
      </c>
      <c r="EG73" s="48" t="s">
        <v>4</v>
      </c>
      <c r="EH73" s="49">
        <v>1</v>
      </c>
      <c r="EJ73" s="42">
        <f t="shared" si="321"/>
        <v>4.2</v>
      </c>
      <c r="EK73" s="43">
        <f t="shared" si="322"/>
        <v>-1</v>
      </c>
      <c r="EL73" s="5"/>
      <c r="EM73" s="47">
        <v>0</v>
      </c>
      <c r="EN73" s="48" t="s">
        <v>4</v>
      </c>
      <c r="EO73" s="49">
        <v>4</v>
      </c>
      <c r="EQ73" s="42">
        <f t="shared" si="323"/>
        <v>4.2</v>
      </c>
      <c r="ER73" s="43">
        <f t="shared" si="324"/>
        <v>-4</v>
      </c>
      <c r="ET73" s="47">
        <v>1</v>
      </c>
      <c r="EU73" s="48" t="s">
        <v>4</v>
      </c>
      <c r="EV73" s="49">
        <v>3</v>
      </c>
      <c r="EX73" s="42">
        <f t="shared" si="325"/>
        <v>4.2</v>
      </c>
      <c r="EY73" s="43">
        <f t="shared" si="326"/>
        <v>-2</v>
      </c>
      <c r="FA73" s="47">
        <v>0</v>
      </c>
      <c r="FB73" s="48" t="s">
        <v>4</v>
      </c>
      <c r="FC73" s="49">
        <v>3</v>
      </c>
      <c r="FE73" s="42">
        <f t="shared" si="327"/>
        <v>4.2</v>
      </c>
      <c r="FF73" s="43">
        <f t="shared" si="328"/>
        <v>-3</v>
      </c>
      <c r="FH73" s="47">
        <v>1</v>
      </c>
      <c r="FI73" s="48" t="s">
        <v>4</v>
      </c>
      <c r="FJ73" s="49">
        <v>1</v>
      </c>
      <c r="FL73" s="42">
        <f t="shared" si="329"/>
        <v>0</v>
      </c>
      <c r="FM73" s="43">
        <f t="shared" si="330"/>
        <v>0</v>
      </c>
      <c r="FN73" s="5"/>
      <c r="FO73" s="47">
        <v>0</v>
      </c>
      <c r="FP73" s="48" t="s">
        <v>4</v>
      </c>
      <c r="FQ73" s="49">
        <v>2</v>
      </c>
      <c r="FS73" s="42">
        <f t="shared" si="331"/>
        <v>4.2</v>
      </c>
      <c r="FT73" s="43">
        <f t="shared" si="332"/>
        <v>-2</v>
      </c>
      <c r="FV73" s="47">
        <v>0</v>
      </c>
      <c r="FW73" s="48" t="s">
        <v>4</v>
      </c>
      <c r="FX73" s="49">
        <v>1</v>
      </c>
      <c r="FZ73" s="42">
        <f t="shared" si="333"/>
        <v>4.2</v>
      </c>
      <c r="GA73" s="43">
        <f t="shared" si="334"/>
        <v>-1</v>
      </c>
      <c r="GC73" s="47">
        <v>0</v>
      </c>
      <c r="GD73" s="48" t="s">
        <v>4</v>
      </c>
      <c r="GE73" s="49">
        <v>3</v>
      </c>
      <c r="GG73" s="42">
        <f t="shared" si="335"/>
        <v>4.2</v>
      </c>
      <c r="GH73" s="43">
        <f t="shared" si="336"/>
        <v>-3</v>
      </c>
      <c r="GJ73" s="47">
        <v>0</v>
      </c>
      <c r="GK73" s="48" t="s">
        <v>4</v>
      </c>
      <c r="GL73" s="49">
        <v>2</v>
      </c>
      <c r="GN73" s="42">
        <f t="shared" si="337"/>
        <v>4.2</v>
      </c>
      <c r="GO73" s="43">
        <f t="shared" si="338"/>
        <v>-2</v>
      </c>
      <c r="GP73" s="5"/>
      <c r="GQ73" s="47">
        <v>0</v>
      </c>
      <c r="GR73" s="48" t="s">
        <v>4</v>
      </c>
      <c r="GS73" s="49">
        <v>4</v>
      </c>
      <c r="GU73" s="42">
        <f t="shared" si="339"/>
        <v>4.2</v>
      </c>
      <c r="GV73" s="43">
        <f t="shared" si="340"/>
        <v>-4</v>
      </c>
      <c r="GX73" s="47">
        <v>0</v>
      </c>
      <c r="GY73" s="48" t="s">
        <v>4</v>
      </c>
      <c r="GZ73" s="49">
        <v>1</v>
      </c>
      <c r="HB73" s="42">
        <f t="shared" si="341"/>
        <v>4.2</v>
      </c>
      <c r="HC73" s="43">
        <f t="shared" si="342"/>
        <v>-1</v>
      </c>
      <c r="HE73" s="47">
        <v>0</v>
      </c>
      <c r="HF73" s="48" t="s">
        <v>4</v>
      </c>
      <c r="HG73" s="49">
        <v>2</v>
      </c>
      <c r="HI73" s="42">
        <f t="shared" si="343"/>
        <v>4.2</v>
      </c>
      <c r="HJ73" s="43">
        <f t="shared" si="344"/>
        <v>-2</v>
      </c>
      <c r="HL73" s="47">
        <v>0</v>
      </c>
      <c r="HM73" s="48" t="s">
        <v>4</v>
      </c>
      <c r="HN73" s="49">
        <v>1</v>
      </c>
      <c r="HP73" s="42">
        <f t="shared" si="345"/>
        <v>4.2</v>
      </c>
      <c r="HQ73" s="43">
        <f t="shared" si="346"/>
        <v>-1</v>
      </c>
      <c r="HR73" s="5"/>
      <c r="HS73" s="47">
        <v>0</v>
      </c>
      <c r="HT73" s="48" t="s">
        <v>4</v>
      </c>
      <c r="HU73" s="49">
        <v>2</v>
      </c>
      <c r="HW73" s="42">
        <f t="shared" si="347"/>
        <v>4.2</v>
      </c>
      <c r="HX73" s="43">
        <f t="shared" si="348"/>
        <v>-2</v>
      </c>
      <c r="HZ73" s="47">
        <v>1</v>
      </c>
      <c r="IA73" s="48" t="s">
        <v>4</v>
      </c>
      <c r="IB73" s="49">
        <v>3</v>
      </c>
      <c r="ID73" s="42">
        <f t="shared" si="349"/>
        <v>4.2</v>
      </c>
      <c r="IE73" s="43">
        <f t="shared" si="350"/>
        <v>-2</v>
      </c>
      <c r="IG73" s="47">
        <v>2</v>
      </c>
      <c r="IH73" s="48" t="s">
        <v>4</v>
      </c>
      <c r="II73" s="49">
        <v>1</v>
      </c>
      <c r="IK73" s="42">
        <f t="shared" si="351"/>
        <v>0</v>
      </c>
      <c r="IL73" s="43">
        <f t="shared" si="352"/>
        <v>1</v>
      </c>
      <c r="IN73" s="47">
        <v>0</v>
      </c>
      <c r="IO73" s="48" t="s">
        <v>4</v>
      </c>
      <c r="IP73" s="49">
        <v>2</v>
      </c>
      <c r="IR73" s="42">
        <f t="shared" si="353"/>
        <v>4.2</v>
      </c>
      <c r="IS73" s="43">
        <f t="shared" si="354"/>
        <v>-2</v>
      </c>
      <c r="IT73" s="5"/>
      <c r="IU73" s="47">
        <v>0</v>
      </c>
      <c r="IV73" s="48" t="s">
        <v>4</v>
      </c>
      <c r="IW73" s="49">
        <v>2</v>
      </c>
      <c r="IY73" s="42">
        <f t="shared" si="355"/>
        <v>4.2</v>
      </c>
      <c r="IZ73" s="43">
        <f t="shared" si="356"/>
        <v>-2</v>
      </c>
      <c r="JB73" s="47">
        <v>3</v>
      </c>
      <c r="JC73" s="48" t="s">
        <v>4</v>
      </c>
      <c r="JD73" s="49">
        <v>2</v>
      </c>
      <c r="JF73" s="42">
        <f t="shared" si="357"/>
        <v>0</v>
      </c>
      <c r="JG73" s="43">
        <f t="shared" si="358"/>
        <v>1</v>
      </c>
      <c r="JI73" s="47">
        <v>0</v>
      </c>
      <c r="JJ73" s="48" t="s">
        <v>4</v>
      </c>
      <c r="JK73" s="49">
        <v>4</v>
      </c>
      <c r="JM73" s="42">
        <f t="shared" si="359"/>
        <v>4.2</v>
      </c>
      <c r="JN73" s="43">
        <f t="shared" si="360"/>
        <v>-4</v>
      </c>
      <c r="JP73" s="47">
        <v>0</v>
      </c>
      <c r="JQ73" s="48" t="s">
        <v>4</v>
      </c>
      <c r="JR73" s="49">
        <v>4</v>
      </c>
      <c r="JT73" s="42">
        <f t="shared" si="361"/>
        <v>4.2</v>
      </c>
      <c r="JU73" s="43">
        <f t="shared" si="362"/>
        <v>-4</v>
      </c>
      <c r="JV73" s="5"/>
      <c r="JW73" s="47">
        <v>2</v>
      </c>
      <c r="JX73" s="48" t="s">
        <v>4</v>
      </c>
      <c r="JY73" s="49">
        <v>2</v>
      </c>
      <c r="KA73" s="42">
        <f t="shared" si="363"/>
        <v>0</v>
      </c>
      <c r="KB73" s="43">
        <f t="shared" si="364"/>
        <v>0</v>
      </c>
      <c r="KD73" s="47">
        <v>2</v>
      </c>
      <c r="KE73" s="48" t="s">
        <v>4</v>
      </c>
      <c r="KF73" s="49">
        <v>4</v>
      </c>
      <c r="KH73" s="42">
        <f t="shared" si="365"/>
        <v>4.2</v>
      </c>
      <c r="KI73" s="43">
        <f t="shared" si="366"/>
        <v>-2</v>
      </c>
      <c r="KK73" s="47">
        <v>1</v>
      </c>
      <c r="KL73" s="48" t="s">
        <v>4</v>
      </c>
      <c r="KM73" s="49">
        <v>0</v>
      </c>
      <c r="KO73" s="42">
        <f t="shared" si="367"/>
        <v>0</v>
      </c>
      <c r="KP73" s="43">
        <f t="shared" si="368"/>
        <v>1</v>
      </c>
      <c r="KR73" s="47">
        <v>0</v>
      </c>
      <c r="KS73" s="48" t="s">
        <v>4</v>
      </c>
      <c r="KT73" s="49">
        <v>2</v>
      </c>
      <c r="KV73" s="42">
        <f t="shared" si="369"/>
        <v>4.2</v>
      </c>
      <c r="KW73" s="43">
        <f t="shared" si="370"/>
        <v>-2</v>
      </c>
      <c r="KY73" s="47">
        <v>1</v>
      </c>
      <c r="KZ73" s="48" t="s">
        <v>4</v>
      </c>
      <c r="LA73" s="49">
        <v>2</v>
      </c>
      <c r="LC73" s="42">
        <f t="shared" si="371"/>
        <v>4.2</v>
      </c>
      <c r="LD73" s="43">
        <f t="shared" si="372"/>
        <v>-1</v>
      </c>
      <c r="LF73" s="47">
        <v>0</v>
      </c>
      <c r="LG73" s="48" t="s">
        <v>4</v>
      </c>
      <c r="LH73" s="49">
        <v>3</v>
      </c>
      <c r="LJ73" s="42">
        <f t="shared" si="373"/>
        <v>4.2</v>
      </c>
      <c r="LK73" s="43">
        <f t="shared" si="374"/>
        <v>-3</v>
      </c>
      <c r="LM73" s="47">
        <v>1</v>
      </c>
      <c r="LN73" s="48" t="s">
        <v>4</v>
      </c>
      <c r="LO73" s="49">
        <v>3</v>
      </c>
      <c r="LQ73" s="42">
        <f t="shared" si="375"/>
        <v>4.2</v>
      </c>
      <c r="LR73" s="43">
        <f t="shared" si="376"/>
        <v>-2</v>
      </c>
      <c r="LT73" s="47">
        <v>0</v>
      </c>
      <c r="LU73" s="48" t="s">
        <v>4</v>
      </c>
      <c r="LV73" s="49">
        <v>2</v>
      </c>
      <c r="LX73" s="42">
        <f t="shared" si="377"/>
        <v>4.2</v>
      </c>
      <c r="LY73" s="43">
        <f t="shared" si="378"/>
        <v>-2</v>
      </c>
      <c r="MA73" s="47">
        <v>0</v>
      </c>
      <c r="MB73" s="48" t="s">
        <v>4</v>
      </c>
      <c r="MC73" s="49">
        <v>3</v>
      </c>
      <c r="ME73" s="42">
        <f t="shared" si="379"/>
        <v>4.2</v>
      </c>
      <c r="MF73" s="43">
        <f t="shared" si="380"/>
        <v>-3</v>
      </c>
      <c r="MH73" s="47">
        <v>0</v>
      </c>
      <c r="MI73" s="48" t="s">
        <v>4</v>
      </c>
      <c r="MJ73" s="49">
        <v>2</v>
      </c>
      <c r="ML73" s="42">
        <f t="shared" si="381"/>
        <v>4.2</v>
      </c>
      <c r="MM73" s="43">
        <f t="shared" si="382"/>
        <v>-2</v>
      </c>
      <c r="MO73" s="47">
        <v>0</v>
      </c>
      <c r="MP73" s="48" t="s">
        <v>4</v>
      </c>
      <c r="MQ73" s="49">
        <v>3</v>
      </c>
      <c r="MS73" s="42">
        <f t="shared" si="383"/>
        <v>4.2</v>
      </c>
      <c r="MT73" s="43">
        <f t="shared" si="384"/>
        <v>-3</v>
      </c>
      <c r="MV73" s="47">
        <v>0</v>
      </c>
      <c r="MW73" s="48" t="s">
        <v>4</v>
      </c>
      <c r="MX73" s="49">
        <v>2</v>
      </c>
      <c r="MZ73" s="42">
        <f t="shared" si="385"/>
        <v>4.2</v>
      </c>
      <c r="NA73" s="43">
        <f t="shared" si="386"/>
        <v>-2</v>
      </c>
      <c r="NC73" s="47">
        <v>1</v>
      </c>
      <c r="ND73" s="48" t="s">
        <v>4</v>
      </c>
      <c r="NE73" s="49">
        <v>2</v>
      </c>
      <c r="NG73" s="42">
        <f t="shared" si="387"/>
        <v>4.2</v>
      </c>
      <c r="NH73" s="43">
        <f t="shared" si="388"/>
        <v>-1</v>
      </c>
      <c r="NJ73" s="47">
        <v>1</v>
      </c>
      <c r="NK73" s="48" t="s">
        <v>4</v>
      </c>
      <c r="NL73" s="49">
        <v>1</v>
      </c>
      <c r="NN73" s="42">
        <f t="shared" si="389"/>
        <v>0</v>
      </c>
      <c r="NO73" s="43">
        <f t="shared" si="390"/>
        <v>0</v>
      </c>
      <c r="NQ73" s="47">
        <v>0</v>
      </c>
      <c r="NR73" s="48" t="s">
        <v>4</v>
      </c>
      <c r="NS73" s="49">
        <v>2</v>
      </c>
      <c r="NU73" s="42">
        <f t="shared" si="391"/>
        <v>4.2</v>
      </c>
      <c r="NV73" s="43">
        <f t="shared" si="392"/>
        <v>-2</v>
      </c>
      <c r="NX73" s="47">
        <v>1</v>
      </c>
      <c r="NY73" s="48" t="s">
        <v>4</v>
      </c>
      <c r="NZ73" s="49">
        <v>2</v>
      </c>
      <c r="OB73" s="42">
        <f t="shared" si="393"/>
        <v>4.2</v>
      </c>
      <c r="OC73" s="43">
        <f t="shared" si="394"/>
        <v>-1</v>
      </c>
      <c r="OE73" s="47">
        <v>1</v>
      </c>
      <c r="OF73" s="48" t="s">
        <v>4</v>
      </c>
      <c r="OG73" s="49">
        <v>2</v>
      </c>
      <c r="OI73" s="42">
        <f t="shared" si="395"/>
        <v>4.2</v>
      </c>
      <c r="OJ73" s="43">
        <f t="shared" si="396"/>
        <v>-1</v>
      </c>
      <c r="OL73" s="47">
        <v>1</v>
      </c>
      <c r="OM73" s="48" t="s">
        <v>4</v>
      </c>
      <c r="ON73" s="49">
        <v>3</v>
      </c>
      <c r="OP73" s="42">
        <f t="shared" si="397"/>
        <v>4.2</v>
      </c>
      <c r="OQ73" s="43">
        <f t="shared" si="398"/>
        <v>-2</v>
      </c>
      <c r="OS73" s="47">
        <v>1</v>
      </c>
      <c r="OT73" s="48" t="s">
        <v>4</v>
      </c>
      <c r="OU73" s="49">
        <v>1</v>
      </c>
      <c r="OW73" s="42">
        <f t="shared" si="399"/>
        <v>0</v>
      </c>
      <c r="OX73" s="43">
        <f t="shared" si="400"/>
        <v>0</v>
      </c>
      <c r="OZ73" s="47">
        <v>1</v>
      </c>
      <c r="PA73" s="48" t="s">
        <v>4</v>
      </c>
      <c r="PB73" s="49">
        <v>4</v>
      </c>
      <c r="PD73" s="42">
        <f t="shared" si="401"/>
        <v>4.2</v>
      </c>
      <c r="PE73" s="43">
        <f t="shared" si="402"/>
        <v>-3</v>
      </c>
      <c r="PG73" s="47">
        <v>1</v>
      </c>
      <c r="PH73" s="48" t="s">
        <v>4</v>
      </c>
      <c r="PI73" s="49">
        <v>3</v>
      </c>
      <c r="PK73" s="42">
        <f t="shared" si="403"/>
        <v>4.2</v>
      </c>
      <c r="PL73" s="43">
        <f t="shared" si="404"/>
        <v>-2</v>
      </c>
      <c r="PN73" s="47">
        <v>1</v>
      </c>
      <c r="PO73" s="48" t="s">
        <v>4</v>
      </c>
      <c r="PP73" s="49">
        <v>2</v>
      </c>
      <c r="PR73" s="42">
        <f t="shared" si="405"/>
        <v>4.2</v>
      </c>
      <c r="PS73" s="43">
        <f t="shared" si="406"/>
        <v>-1</v>
      </c>
      <c r="PU73" s="47">
        <v>0</v>
      </c>
      <c r="PV73" s="48" t="s">
        <v>4</v>
      </c>
      <c r="PW73" s="49">
        <v>2</v>
      </c>
      <c r="PY73" s="42">
        <f t="shared" si="407"/>
        <v>4.2</v>
      </c>
      <c r="PZ73" s="43">
        <f t="shared" si="408"/>
        <v>-2</v>
      </c>
      <c r="QB73" s="47">
        <v>1</v>
      </c>
      <c r="QC73" s="48" t="s">
        <v>4</v>
      </c>
      <c r="QD73" s="49">
        <v>3</v>
      </c>
      <c r="QF73" s="42">
        <f t="shared" si="409"/>
        <v>4.2</v>
      </c>
      <c r="QG73" s="43">
        <f t="shared" si="410"/>
        <v>-2</v>
      </c>
      <c r="QI73" s="47">
        <v>0</v>
      </c>
      <c r="QJ73" s="48" t="s">
        <v>4</v>
      </c>
      <c r="QK73" s="49">
        <v>2</v>
      </c>
      <c r="QM73" s="42">
        <f t="shared" si="411"/>
        <v>4.2</v>
      </c>
      <c r="QN73" s="43">
        <f t="shared" si="412"/>
        <v>-2</v>
      </c>
      <c r="QP73" s="47">
        <v>2</v>
      </c>
      <c r="QQ73" s="48" t="s">
        <v>4</v>
      </c>
      <c r="QR73" s="49">
        <v>0</v>
      </c>
      <c r="QT73" s="42">
        <f t="shared" si="413"/>
        <v>0</v>
      </c>
      <c r="QU73" s="43">
        <f t="shared" si="414"/>
        <v>2</v>
      </c>
      <c r="QW73" s="47">
        <v>0</v>
      </c>
      <c r="QX73" s="48" t="s">
        <v>4</v>
      </c>
      <c r="QY73" s="49">
        <v>2</v>
      </c>
      <c r="RA73" s="42">
        <f t="shared" si="415"/>
        <v>4.2</v>
      </c>
      <c r="RB73" s="43">
        <f t="shared" si="416"/>
        <v>-2</v>
      </c>
      <c r="RD73" s="47"/>
      <c r="RE73" s="48" t="s">
        <v>4</v>
      </c>
      <c r="RF73" s="49"/>
      <c r="RH73" s="42" t="str">
        <f t="shared" si="417"/>
        <v/>
      </c>
      <c r="RI73" s="43">
        <f t="shared" si="418"/>
        <v>0</v>
      </c>
      <c r="RK73" s="47">
        <v>0</v>
      </c>
      <c r="RL73" s="48" t="s">
        <v>4</v>
      </c>
      <c r="RM73" s="49">
        <v>2</v>
      </c>
      <c r="RO73" s="42">
        <f t="shared" si="419"/>
        <v>4.2</v>
      </c>
      <c r="RP73" s="43">
        <f t="shared" si="420"/>
        <v>-2</v>
      </c>
      <c r="RR73" s="47">
        <v>0</v>
      </c>
      <c r="RS73" s="48" t="s">
        <v>4</v>
      </c>
      <c r="RT73" s="49">
        <v>2</v>
      </c>
      <c r="RV73" s="42">
        <f t="shared" si="421"/>
        <v>4.2</v>
      </c>
      <c r="RW73" s="43">
        <f t="shared" si="422"/>
        <v>-2</v>
      </c>
      <c r="RY73" s="47">
        <v>0</v>
      </c>
      <c r="RZ73" s="48" t="s">
        <v>4</v>
      </c>
      <c r="SA73" s="49">
        <v>2</v>
      </c>
      <c r="SC73" s="42">
        <f t="shared" si="423"/>
        <v>4.2</v>
      </c>
      <c r="SD73" s="43">
        <f t="shared" si="424"/>
        <v>-2</v>
      </c>
      <c r="SF73" s="47">
        <v>0</v>
      </c>
      <c r="SG73" s="48" t="s">
        <v>4</v>
      </c>
      <c r="SH73" s="49">
        <v>2</v>
      </c>
      <c r="SJ73" s="42">
        <f t="shared" si="425"/>
        <v>4.2</v>
      </c>
      <c r="SK73" s="43">
        <f t="shared" si="426"/>
        <v>-2</v>
      </c>
      <c r="SM73" s="47">
        <v>1</v>
      </c>
      <c r="SN73" s="48" t="s">
        <v>4</v>
      </c>
      <c r="SO73" s="49">
        <v>1</v>
      </c>
      <c r="SQ73" s="42">
        <f t="shared" si="427"/>
        <v>0</v>
      </c>
      <c r="SR73" s="43">
        <f t="shared" si="428"/>
        <v>0</v>
      </c>
    </row>
    <row r="74" spans="1:512" ht="16" customHeight="1" x14ac:dyDescent="0.15">
      <c r="A74" s="51">
        <v>46200</v>
      </c>
      <c r="B74" s="35">
        <v>0.95833333333333337</v>
      </c>
      <c r="C74" s="82" t="s">
        <v>59</v>
      </c>
      <c r="D74" s="82" t="s">
        <v>8</v>
      </c>
      <c r="E74" s="2">
        <v>0</v>
      </c>
      <c r="F74" s="50" t="s">
        <v>4</v>
      </c>
      <c r="G74" s="1">
        <v>2</v>
      </c>
      <c r="H74" s="16">
        <v>4.2</v>
      </c>
      <c r="I74" s="32">
        <f t="shared" si="429"/>
        <v>-2</v>
      </c>
      <c r="J74" s="47">
        <v>1</v>
      </c>
      <c r="K74" s="48" t="s">
        <v>4</v>
      </c>
      <c r="L74" s="49">
        <v>3</v>
      </c>
      <c r="N74" s="42">
        <f t="shared" si="430"/>
        <v>4.2</v>
      </c>
      <c r="O74" s="43">
        <f t="shared" si="431"/>
        <v>-2</v>
      </c>
      <c r="P74" s="5"/>
      <c r="Q74" s="47">
        <v>1</v>
      </c>
      <c r="R74" s="48" t="s">
        <v>4</v>
      </c>
      <c r="S74" s="49">
        <v>3</v>
      </c>
      <c r="U74" s="42">
        <f t="shared" si="287"/>
        <v>4.2</v>
      </c>
      <c r="V74" s="43">
        <f t="shared" si="288"/>
        <v>-2</v>
      </c>
      <c r="W74" s="5"/>
      <c r="X74" s="47">
        <v>0</v>
      </c>
      <c r="Y74" s="48" t="s">
        <v>4</v>
      </c>
      <c r="Z74" s="49">
        <v>2</v>
      </c>
      <c r="AB74" s="42">
        <f t="shared" si="289"/>
        <v>6.3000000000000007</v>
      </c>
      <c r="AC74" s="43">
        <f t="shared" si="290"/>
        <v>-2</v>
      </c>
      <c r="AD74" s="5"/>
      <c r="AE74" s="47">
        <v>1</v>
      </c>
      <c r="AF74" s="48" t="s">
        <v>4</v>
      </c>
      <c r="AG74" s="49">
        <v>3</v>
      </c>
      <c r="AI74" s="42">
        <f t="shared" si="291"/>
        <v>4.2</v>
      </c>
      <c r="AJ74" s="43">
        <f t="shared" si="292"/>
        <v>-2</v>
      </c>
      <c r="AL74" s="47">
        <v>0</v>
      </c>
      <c r="AM74" s="48" t="s">
        <v>4</v>
      </c>
      <c r="AN74" s="49">
        <v>3</v>
      </c>
      <c r="AP74" s="42">
        <f t="shared" si="293"/>
        <v>4.2</v>
      </c>
      <c r="AQ74" s="43">
        <f t="shared" si="294"/>
        <v>-3</v>
      </c>
      <c r="AS74" s="47">
        <v>0</v>
      </c>
      <c r="AT74" s="48" t="s">
        <v>4</v>
      </c>
      <c r="AU74" s="49">
        <v>3</v>
      </c>
      <c r="AW74" s="42">
        <f t="shared" si="295"/>
        <v>4.2</v>
      </c>
      <c r="AX74" s="43">
        <f t="shared" si="296"/>
        <v>-3</v>
      </c>
      <c r="AZ74" s="47">
        <v>0</v>
      </c>
      <c r="BA74" s="48" t="s">
        <v>4</v>
      </c>
      <c r="BB74" s="49">
        <v>3</v>
      </c>
      <c r="BD74" s="42">
        <f t="shared" si="297"/>
        <v>4.2</v>
      </c>
      <c r="BE74" s="43">
        <f t="shared" si="298"/>
        <v>-3</v>
      </c>
      <c r="BF74" s="5"/>
      <c r="BG74" s="47">
        <v>2</v>
      </c>
      <c r="BH74" s="48" t="s">
        <v>4</v>
      </c>
      <c r="BI74" s="49">
        <v>3</v>
      </c>
      <c r="BK74" s="42">
        <f t="shared" si="299"/>
        <v>4.2</v>
      </c>
      <c r="BL74" s="43">
        <f t="shared" si="300"/>
        <v>-1</v>
      </c>
      <c r="BN74" s="47">
        <v>1</v>
      </c>
      <c r="BO74" s="48" t="s">
        <v>4</v>
      </c>
      <c r="BP74" s="49">
        <v>3</v>
      </c>
      <c r="BR74" s="42">
        <f t="shared" si="301"/>
        <v>4.2</v>
      </c>
      <c r="BS74" s="43">
        <f t="shared" si="302"/>
        <v>-2</v>
      </c>
      <c r="BU74" s="47">
        <v>1</v>
      </c>
      <c r="BV74" s="48" t="s">
        <v>4</v>
      </c>
      <c r="BW74" s="49">
        <v>3</v>
      </c>
      <c r="BY74" s="42">
        <f t="shared" si="303"/>
        <v>4.2</v>
      </c>
      <c r="BZ74" s="43">
        <f t="shared" si="304"/>
        <v>-2</v>
      </c>
      <c r="CB74" s="47">
        <v>0</v>
      </c>
      <c r="CC74" s="48" t="s">
        <v>4</v>
      </c>
      <c r="CD74" s="49">
        <v>2</v>
      </c>
      <c r="CF74" s="42">
        <f t="shared" si="305"/>
        <v>6.3000000000000007</v>
      </c>
      <c r="CG74" s="43">
        <f t="shared" si="306"/>
        <v>-2</v>
      </c>
      <c r="CH74" s="5"/>
      <c r="CI74" s="47">
        <v>0</v>
      </c>
      <c r="CJ74" s="48" t="s">
        <v>4</v>
      </c>
      <c r="CK74" s="49">
        <v>3</v>
      </c>
      <c r="CM74" s="42">
        <f t="shared" si="307"/>
        <v>4.2</v>
      </c>
      <c r="CN74" s="43">
        <f t="shared" si="308"/>
        <v>-3</v>
      </c>
      <c r="CP74" s="47">
        <v>0</v>
      </c>
      <c r="CQ74" s="48" t="s">
        <v>4</v>
      </c>
      <c r="CR74" s="49">
        <v>2</v>
      </c>
      <c r="CT74" s="42">
        <f t="shared" si="309"/>
        <v>6.3000000000000007</v>
      </c>
      <c r="CU74" s="43">
        <f t="shared" si="310"/>
        <v>-2</v>
      </c>
      <c r="CW74" s="47">
        <v>0</v>
      </c>
      <c r="CX74" s="48" t="s">
        <v>4</v>
      </c>
      <c r="CY74" s="49">
        <v>3</v>
      </c>
      <c r="DA74" s="42">
        <f t="shared" si="311"/>
        <v>4.2</v>
      </c>
      <c r="DB74" s="43">
        <f t="shared" si="312"/>
        <v>-3</v>
      </c>
      <c r="DD74" s="47">
        <v>0</v>
      </c>
      <c r="DE74" s="48" t="s">
        <v>4</v>
      </c>
      <c r="DF74" s="49">
        <v>2</v>
      </c>
      <c r="DH74" s="42">
        <f t="shared" si="313"/>
        <v>6.3000000000000007</v>
      </c>
      <c r="DI74" s="43">
        <f t="shared" si="314"/>
        <v>-2</v>
      </c>
      <c r="DJ74" s="5"/>
      <c r="DK74" s="47">
        <v>0</v>
      </c>
      <c r="DL74" s="48" t="s">
        <v>4</v>
      </c>
      <c r="DM74" s="49">
        <v>2</v>
      </c>
      <c r="DO74" s="42">
        <f t="shared" si="315"/>
        <v>6.3000000000000007</v>
      </c>
      <c r="DP74" s="43">
        <f t="shared" si="316"/>
        <v>-2</v>
      </c>
      <c r="DR74" s="47">
        <v>0</v>
      </c>
      <c r="DS74" s="48" t="s">
        <v>4</v>
      </c>
      <c r="DT74" s="49">
        <v>2</v>
      </c>
      <c r="DV74" s="42">
        <f t="shared" si="317"/>
        <v>6.3000000000000007</v>
      </c>
      <c r="DW74" s="43">
        <f t="shared" si="318"/>
        <v>-2</v>
      </c>
      <c r="DY74" s="47">
        <v>0</v>
      </c>
      <c r="DZ74" s="48" t="s">
        <v>4</v>
      </c>
      <c r="EA74" s="49">
        <v>3</v>
      </c>
      <c r="EC74" s="42">
        <f t="shared" si="319"/>
        <v>4.2</v>
      </c>
      <c r="ED74" s="43">
        <f t="shared" si="320"/>
        <v>-3</v>
      </c>
      <c r="EF74" s="47">
        <v>0</v>
      </c>
      <c r="EG74" s="48" t="s">
        <v>4</v>
      </c>
      <c r="EH74" s="49">
        <v>3</v>
      </c>
      <c r="EJ74" s="42">
        <f t="shared" si="321"/>
        <v>4.2</v>
      </c>
      <c r="EK74" s="43">
        <f t="shared" si="322"/>
        <v>-3</v>
      </c>
      <c r="EL74" s="5"/>
      <c r="EM74" s="47">
        <v>0</v>
      </c>
      <c r="EN74" s="48" t="s">
        <v>4</v>
      </c>
      <c r="EO74" s="49">
        <v>4</v>
      </c>
      <c r="EQ74" s="42">
        <f t="shared" si="323"/>
        <v>4.2</v>
      </c>
      <c r="ER74" s="43">
        <f t="shared" si="324"/>
        <v>-4</v>
      </c>
      <c r="ET74" s="47">
        <v>0</v>
      </c>
      <c r="EU74" s="48" t="s">
        <v>4</v>
      </c>
      <c r="EV74" s="49">
        <v>3</v>
      </c>
      <c r="EX74" s="42">
        <f t="shared" si="325"/>
        <v>4.2</v>
      </c>
      <c r="EY74" s="43">
        <f t="shared" si="326"/>
        <v>-3</v>
      </c>
      <c r="FA74" s="47">
        <v>1</v>
      </c>
      <c r="FB74" s="48" t="s">
        <v>4</v>
      </c>
      <c r="FC74" s="49">
        <v>5</v>
      </c>
      <c r="FE74" s="42">
        <f t="shared" si="327"/>
        <v>4.2</v>
      </c>
      <c r="FF74" s="43">
        <f t="shared" si="328"/>
        <v>-4</v>
      </c>
      <c r="FH74" s="47">
        <v>0</v>
      </c>
      <c r="FI74" s="48" t="s">
        <v>4</v>
      </c>
      <c r="FJ74" s="49">
        <v>2</v>
      </c>
      <c r="FL74" s="42">
        <f t="shared" si="329"/>
        <v>6.3000000000000007</v>
      </c>
      <c r="FM74" s="43">
        <f t="shared" si="330"/>
        <v>-2</v>
      </c>
      <c r="FN74" s="5"/>
      <c r="FO74" s="47">
        <v>1</v>
      </c>
      <c r="FP74" s="48" t="s">
        <v>4</v>
      </c>
      <c r="FQ74" s="49">
        <v>3</v>
      </c>
      <c r="FS74" s="42">
        <f t="shared" si="331"/>
        <v>4.2</v>
      </c>
      <c r="FT74" s="43">
        <f t="shared" si="332"/>
        <v>-2</v>
      </c>
      <c r="FV74" s="47">
        <v>0</v>
      </c>
      <c r="FW74" s="48" t="s">
        <v>4</v>
      </c>
      <c r="FX74" s="49">
        <v>3</v>
      </c>
      <c r="FZ74" s="42">
        <f t="shared" si="333"/>
        <v>4.2</v>
      </c>
      <c r="GA74" s="43">
        <f t="shared" si="334"/>
        <v>-3</v>
      </c>
      <c r="GC74" s="47">
        <v>0</v>
      </c>
      <c r="GD74" s="48" t="s">
        <v>4</v>
      </c>
      <c r="GE74" s="49">
        <v>3</v>
      </c>
      <c r="GG74" s="42">
        <f t="shared" si="335"/>
        <v>4.2</v>
      </c>
      <c r="GH74" s="43">
        <f t="shared" si="336"/>
        <v>-3</v>
      </c>
      <c r="GJ74" s="47">
        <v>0</v>
      </c>
      <c r="GK74" s="48" t="s">
        <v>4</v>
      </c>
      <c r="GL74" s="49">
        <v>3</v>
      </c>
      <c r="GN74" s="42">
        <f t="shared" si="337"/>
        <v>4.2</v>
      </c>
      <c r="GO74" s="43">
        <f t="shared" si="338"/>
        <v>-3</v>
      </c>
      <c r="GP74" s="5"/>
      <c r="GQ74" s="47">
        <v>0</v>
      </c>
      <c r="GR74" s="48" t="s">
        <v>4</v>
      </c>
      <c r="GS74" s="49">
        <v>4</v>
      </c>
      <c r="GU74" s="42">
        <f t="shared" si="339"/>
        <v>4.2</v>
      </c>
      <c r="GV74" s="43">
        <f t="shared" si="340"/>
        <v>-4</v>
      </c>
      <c r="GX74" s="47">
        <v>0</v>
      </c>
      <c r="GY74" s="48" t="s">
        <v>4</v>
      </c>
      <c r="GZ74" s="49">
        <v>2</v>
      </c>
      <c r="HB74" s="42">
        <f t="shared" si="341"/>
        <v>6.3000000000000007</v>
      </c>
      <c r="HC74" s="43">
        <f t="shared" si="342"/>
        <v>-2</v>
      </c>
      <c r="HE74" s="47">
        <v>0</v>
      </c>
      <c r="HF74" s="48" t="s">
        <v>4</v>
      </c>
      <c r="HG74" s="49">
        <v>4</v>
      </c>
      <c r="HI74" s="42">
        <f t="shared" si="343"/>
        <v>4.2</v>
      </c>
      <c r="HJ74" s="43">
        <f t="shared" si="344"/>
        <v>-4</v>
      </c>
      <c r="HL74" s="47">
        <v>0</v>
      </c>
      <c r="HM74" s="48" t="s">
        <v>4</v>
      </c>
      <c r="HN74" s="49">
        <v>3</v>
      </c>
      <c r="HP74" s="42">
        <f t="shared" si="345"/>
        <v>4.2</v>
      </c>
      <c r="HQ74" s="43">
        <f t="shared" si="346"/>
        <v>-3</v>
      </c>
      <c r="HR74" s="5"/>
      <c r="HS74" s="47">
        <v>1</v>
      </c>
      <c r="HT74" s="48" t="s">
        <v>4</v>
      </c>
      <c r="HU74" s="49">
        <v>3</v>
      </c>
      <c r="HW74" s="42">
        <f t="shared" si="347"/>
        <v>4.2</v>
      </c>
      <c r="HX74" s="43">
        <f t="shared" si="348"/>
        <v>-2</v>
      </c>
      <c r="HZ74" s="47">
        <v>1</v>
      </c>
      <c r="IA74" s="48" t="s">
        <v>4</v>
      </c>
      <c r="IB74" s="49">
        <v>3</v>
      </c>
      <c r="ID74" s="42">
        <f t="shared" si="349"/>
        <v>4.2</v>
      </c>
      <c r="IE74" s="43">
        <f t="shared" si="350"/>
        <v>-2</v>
      </c>
      <c r="IG74" s="47">
        <v>0</v>
      </c>
      <c r="IH74" s="48" t="s">
        <v>4</v>
      </c>
      <c r="II74" s="49">
        <v>1</v>
      </c>
      <c r="IK74" s="42">
        <f t="shared" si="351"/>
        <v>4.2</v>
      </c>
      <c r="IL74" s="43">
        <f t="shared" si="352"/>
        <v>-1</v>
      </c>
      <c r="IN74" s="47">
        <v>0</v>
      </c>
      <c r="IO74" s="48" t="s">
        <v>4</v>
      </c>
      <c r="IP74" s="49">
        <v>3</v>
      </c>
      <c r="IR74" s="42">
        <f t="shared" si="353"/>
        <v>4.2</v>
      </c>
      <c r="IS74" s="43">
        <f t="shared" si="354"/>
        <v>-3</v>
      </c>
      <c r="IT74" s="5"/>
      <c r="IU74" s="47">
        <v>0</v>
      </c>
      <c r="IV74" s="48" t="s">
        <v>4</v>
      </c>
      <c r="IW74" s="49">
        <v>2</v>
      </c>
      <c r="IY74" s="42">
        <f t="shared" si="355"/>
        <v>6.3000000000000007</v>
      </c>
      <c r="IZ74" s="43">
        <f t="shared" si="356"/>
        <v>-2</v>
      </c>
      <c r="JB74" s="47">
        <v>0</v>
      </c>
      <c r="JC74" s="48" t="s">
        <v>4</v>
      </c>
      <c r="JD74" s="49">
        <v>3</v>
      </c>
      <c r="JF74" s="42">
        <f t="shared" si="357"/>
        <v>4.2</v>
      </c>
      <c r="JG74" s="43">
        <f t="shared" si="358"/>
        <v>-3</v>
      </c>
      <c r="JI74" s="47">
        <v>1</v>
      </c>
      <c r="JJ74" s="48" t="s">
        <v>4</v>
      </c>
      <c r="JK74" s="49">
        <v>4</v>
      </c>
      <c r="JM74" s="42">
        <f t="shared" si="359"/>
        <v>4.2</v>
      </c>
      <c r="JN74" s="43">
        <f t="shared" si="360"/>
        <v>-3</v>
      </c>
      <c r="JP74" s="47">
        <v>0</v>
      </c>
      <c r="JQ74" s="48" t="s">
        <v>4</v>
      </c>
      <c r="JR74" s="49">
        <v>2</v>
      </c>
      <c r="JT74" s="42">
        <f t="shared" si="361"/>
        <v>6.3000000000000007</v>
      </c>
      <c r="JU74" s="43">
        <f t="shared" si="362"/>
        <v>-2</v>
      </c>
      <c r="JV74" s="5"/>
      <c r="JW74" s="47">
        <v>0</v>
      </c>
      <c r="JX74" s="48" t="s">
        <v>4</v>
      </c>
      <c r="JY74" s="49">
        <v>3</v>
      </c>
      <c r="KA74" s="42">
        <f t="shared" si="363"/>
        <v>4.2</v>
      </c>
      <c r="KB74" s="43">
        <f t="shared" si="364"/>
        <v>-3</v>
      </c>
      <c r="KD74" s="47">
        <v>1</v>
      </c>
      <c r="KE74" s="48" t="s">
        <v>4</v>
      </c>
      <c r="KF74" s="49">
        <v>4</v>
      </c>
      <c r="KH74" s="42">
        <f t="shared" si="365"/>
        <v>4.2</v>
      </c>
      <c r="KI74" s="43">
        <f t="shared" si="366"/>
        <v>-3</v>
      </c>
      <c r="KK74" s="47">
        <v>0</v>
      </c>
      <c r="KL74" s="48" t="s">
        <v>4</v>
      </c>
      <c r="KM74" s="49">
        <v>2</v>
      </c>
      <c r="KO74" s="42">
        <f t="shared" si="367"/>
        <v>6.3000000000000007</v>
      </c>
      <c r="KP74" s="43">
        <f t="shared" si="368"/>
        <v>-2</v>
      </c>
      <c r="KR74" s="47">
        <v>0</v>
      </c>
      <c r="KS74" s="48" t="s">
        <v>4</v>
      </c>
      <c r="KT74" s="49">
        <v>2</v>
      </c>
      <c r="KV74" s="42">
        <f t="shared" si="369"/>
        <v>6.3000000000000007</v>
      </c>
      <c r="KW74" s="43">
        <f t="shared" si="370"/>
        <v>-2</v>
      </c>
      <c r="KY74" s="47">
        <v>1</v>
      </c>
      <c r="KZ74" s="48" t="s">
        <v>4</v>
      </c>
      <c r="LA74" s="49">
        <v>2</v>
      </c>
      <c r="LC74" s="42">
        <f t="shared" si="371"/>
        <v>4.2</v>
      </c>
      <c r="LD74" s="43">
        <f t="shared" si="372"/>
        <v>-1</v>
      </c>
      <c r="LF74" s="47">
        <v>0</v>
      </c>
      <c r="LG74" s="48" t="s">
        <v>4</v>
      </c>
      <c r="LH74" s="49">
        <v>3</v>
      </c>
      <c r="LJ74" s="42">
        <f t="shared" si="373"/>
        <v>4.2</v>
      </c>
      <c r="LK74" s="43">
        <f t="shared" si="374"/>
        <v>-3</v>
      </c>
      <c r="LM74" s="47">
        <v>1</v>
      </c>
      <c r="LN74" s="48" t="s">
        <v>4</v>
      </c>
      <c r="LO74" s="49">
        <v>2</v>
      </c>
      <c r="LQ74" s="42">
        <f t="shared" si="375"/>
        <v>4.2</v>
      </c>
      <c r="LR74" s="43">
        <f t="shared" si="376"/>
        <v>-1</v>
      </c>
      <c r="LT74" s="47">
        <v>0</v>
      </c>
      <c r="LU74" s="48" t="s">
        <v>4</v>
      </c>
      <c r="LV74" s="49">
        <v>2</v>
      </c>
      <c r="LX74" s="42">
        <f t="shared" si="377"/>
        <v>6.3000000000000007</v>
      </c>
      <c r="LY74" s="43">
        <f t="shared" si="378"/>
        <v>-2</v>
      </c>
      <c r="MA74" s="47">
        <v>0</v>
      </c>
      <c r="MB74" s="48" t="s">
        <v>4</v>
      </c>
      <c r="MC74" s="49">
        <v>6</v>
      </c>
      <c r="ME74" s="42">
        <f t="shared" si="379"/>
        <v>4.2</v>
      </c>
      <c r="MF74" s="43">
        <f t="shared" si="380"/>
        <v>-6</v>
      </c>
      <c r="MH74" s="47">
        <v>0</v>
      </c>
      <c r="MI74" s="48" t="s">
        <v>4</v>
      </c>
      <c r="MJ74" s="49">
        <v>5</v>
      </c>
      <c r="ML74" s="42">
        <f t="shared" si="381"/>
        <v>4.2</v>
      </c>
      <c r="MM74" s="43">
        <f t="shared" si="382"/>
        <v>-5</v>
      </c>
      <c r="MO74" s="47">
        <v>0</v>
      </c>
      <c r="MP74" s="48" t="s">
        <v>4</v>
      </c>
      <c r="MQ74" s="49">
        <v>3</v>
      </c>
      <c r="MS74" s="42">
        <f t="shared" si="383"/>
        <v>4.2</v>
      </c>
      <c r="MT74" s="43">
        <f t="shared" si="384"/>
        <v>-3</v>
      </c>
      <c r="MV74" s="47">
        <v>0</v>
      </c>
      <c r="MW74" s="48" t="s">
        <v>4</v>
      </c>
      <c r="MX74" s="49">
        <v>2</v>
      </c>
      <c r="MZ74" s="42">
        <f t="shared" si="385"/>
        <v>6.3000000000000007</v>
      </c>
      <c r="NA74" s="43">
        <f t="shared" si="386"/>
        <v>-2</v>
      </c>
      <c r="NC74" s="47">
        <v>1</v>
      </c>
      <c r="ND74" s="48" t="s">
        <v>4</v>
      </c>
      <c r="NE74" s="49">
        <v>3</v>
      </c>
      <c r="NG74" s="42">
        <f t="shared" si="387"/>
        <v>4.2</v>
      </c>
      <c r="NH74" s="43">
        <f t="shared" si="388"/>
        <v>-2</v>
      </c>
      <c r="NJ74" s="47">
        <v>1</v>
      </c>
      <c r="NK74" s="48" t="s">
        <v>4</v>
      </c>
      <c r="NL74" s="49">
        <v>0</v>
      </c>
      <c r="NN74" s="42">
        <f t="shared" si="389"/>
        <v>0</v>
      </c>
      <c r="NO74" s="43">
        <f t="shared" si="390"/>
        <v>1</v>
      </c>
      <c r="NQ74" s="47">
        <v>0</v>
      </c>
      <c r="NR74" s="48" t="s">
        <v>4</v>
      </c>
      <c r="NS74" s="49">
        <v>3</v>
      </c>
      <c r="NU74" s="42">
        <f t="shared" si="391"/>
        <v>4.2</v>
      </c>
      <c r="NV74" s="43">
        <f t="shared" si="392"/>
        <v>-3</v>
      </c>
      <c r="NX74" s="47">
        <v>0</v>
      </c>
      <c r="NY74" s="48" t="s">
        <v>4</v>
      </c>
      <c r="NZ74" s="49">
        <v>2</v>
      </c>
      <c r="OB74" s="42">
        <f t="shared" si="393"/>
        <v>6.3000000000000007</v>
      </c>
      <c r="OC74" s="43">
        <f t="shared" si="394"/>
        <v>-2</v>
      </c>
      <c r="OE74" s="47">
        <v>1</v>
      </c>
      <c r="OF74" s="48" t="s">
        <v>4</v>
      </c>
      <c r="OG74" s="49">
        <v>3</v>
      </c>
      <c r="OI74" s="42">
        <f t="shared" si="395"/>
        <v>4.2</v>
      </c>
      <c r="OJ74" s="43">
        <f t="shared" si="396"/>
        <v>-2</v>
      </c>
      <c r="OL74" s="47">
        <v>0</v>
      </c>
      <c r="OM74" s="48" t="s">
        <v>4</v>
      </c>
      <c r="ON74" s="49">
        <v>5</v>
      </c>
      <c r="OP74" s="42">
        <f t="shared" si="397"/>
        <v>4.2</v>
      </c>
      <c r="OQ74" s="43">
        <f t="shared" si="398"/>
        <v>-5</v>
      </c>
      <c r="OS74" s="47">
        <v>0</v>
      </c>
      <c r="OT74" s="48" t="s">
        <v>4</v>
      </c>
      <c r="OU74" s="49">
        <v>3</v>
      </c>
      <c r="OW74" s="42">
        <f t="shared" si="399"/>
        <v>4.2</v>
      </c>
      <c r="OX74" s="43">
        <f t="shared" si="400"/>
        <v>-3</v>
      </c>
      <c r="OZ74" s="47">
        <v>1</v>
      </c>
      <c r="PA74" s="48" t="s">
        <v>4</v>
      </c>
      <c r="PB74" s="49">
        <v>2</v>
      </c>
      <c r="PD74" s="42">
        <f t="shared" si="401"/>
        <v>4.2</v>
      </c>
      <c r="PE74" s="43">
        <f t="shared" si="402"/>
        <v>-1</v>
      </c>
      <c r="PG74" s="47">
        <v>0</v>
      </c>
      <c r="PH74" s="48" t="s">
        <v>4</v>
      </c>
      <c r="PI74" s="49">
        <v>4</v>
      </c>
      <c r="PK74" s="42">
        <f t="shared" si="403"/>
        <v>4.2</v>
      </c>
      <c r="PL74" s="43">
        <f t="shared" si="404"/>
        <v>-4</v>
      </c>
      <c r="PN74" s="47">
        <v>1</v>
      </c>
      <c r="PO74" s="48" t="s">
        <v>4</v>
      </c>
      <c r="PP74" s="49">
        <v>3</v>
      </c>
      <c r="PR74" s="42">
        <f t="shared" si="405"/>
        <v>4.2</v>
      </c>
      <c r="PS74" s="43">
        <f t="shared" si="406"/>
        <v>-2</v>
      </c>
      <c r="PU74" s="47">
        <v>0</v>
      </c>
      <c r="PV74" s="48" t="s">
        <v>4</v>
      </c>
      <c r="PW74" s="49">
        <v>3</v>
      </c>
      <c r="PY74" s="42">
        <f t="shared" si="407"/>
        <v>4.2</v>
      </c>
      <c r="PZ74" s="43">
        <f t="shared" si="408"/>
        <v>-3</v>
      </c>
      <c r="QB74" s="47">
        <v>1</v>
      </c>
      <c r="QC74" s="48" t="s">
        <v>4</v>
      </c>
      <c r="QD74" s="49">
        <v>1</v>
      </c>
      <c r="QF74" s="42">
        <f t="shared" si="409"/>
        <v>0</v>
      </c>
      <c r="QG74" s="43">
        <f t="shared" si="410"/>
        <v>0</v>
      </c>
      <c r="QI74" s="47">
        <v>0</v>
      </c>
      <c r="QJ74" s="48" t="s">
        <v>4</v>
      </c>
      <c r="QK74" s="49">
        <v>3</v>
      </c>
      <c r="QM74" s="42">
        <f t="shared" si="411"/>
        <v>4.2</v>
      </c>
      <c r="QN74" s="43">
        <f t="shared" si="412"/>
        <v>-3</v>
      </c>
      <c r="QP74" s="47">
        <v>1</v>
      </c>
      <c r="QQ74" s="48" t="s">
        <v>4</v>
      </c>
      <c r="QR74" s="49">
        <v>2</v>
      </c>
      <c r="QT74" s="42">
        <f t="shared" si="413"/>
        <v>4.2</v>
      </c>
      <c r="QU74" s="43">
        <f t="shared" si="414"/>
        <v>-1</v>
      </c>
      <c r="QW74" s="47">
        <v>1</v>
      </c>
      <c r="QX74" s="48" t="s">
        <v>4</v>
      </c>
      <c r="QY74" s="49">
        <v>0</v>
      </c>
      <c r="RA74" s="42">
        <f t="shared" si="415"/>
        <v>0</v>
      </c>
      <c r="RB74" s="43">
        <f t="shared" si="416"/>
        <v>1</v>
      </c>
      <c r="RD74" s="47"/>
      <c r="RE74" s="48" t="s">
        <v>4</v>
      </c>
      <c r="RF74" s="49"/>
      <c r="RH74" s="42" t="str">
        <f t="shared" si="417"/>
        <v/>
      </c>
      <c r="RI74" s="43">
        <f t="shared" si="418"/>
        <v>0</v>
      </c>
      <c r="RK74" s="47">
        <v>3</v>
      </c>
      <c r="RL74" s="48" t="s">
        <v>4</v>
      </c>
      <c r="RM74" s="49">
        <v>0</v>
      </c>
      <c r="RO74" s="42">
        <f t="shared" si="419"/>
        <v>0</v>
      </c>
      <c r="RP74" s="43">
        <f t="shared" si="420"/>
        <v>3</v>
      </c>
      <c r="RR74" s="47">
        <v>0</v>
      </c>
      <c r="RS74" s="48" t="s">
        <v>4</v>
      </c>
      <c r="RT74" s="49">
        <v>3</v>
      </c>
      <c r="RV74" s="42">
        <f t="shared" si="421"/>
        <v>4.2</v>
      </c>
      <c r="RW74" s="43">
        <f t="shared" si="422"/>
        <v>-3</v>
      </c>
      <c r="RY74" s="47">
        <v>3</v>
      </c>
      <c r="RZ74" s="48" t="s">
        <v>4</v>
      </c>
      <c r="SA74" s="49">
        <v>0</v>
      </c>
      <c r="SC74" s="42">
        <f t="shared" si="423"/>
        <v>0</v>
      </c>
      <c r="SD74" s="43">
        <f t="shared" si="424"/>
        <v>3</v>
      </c>
      <c r="SF74" s="47">
        <v>3</v>
      </c>
      <c r="SG74" s="48" t="s">
        <v>4</v>
      </c>
      <c r="SH74" s="49">
        <v>0</v>
      </c>
      <c r="SJ74" s="42">
        <f t="shared" si="425"/>
        <v>0</v>
      </c>
      <c r="SK74" s="43">
        <f t="shared" si="426"/>
        <v>3</v>
      </c>
      <c r="SM74" s="47">
        <v>0</v>
      </c>
      <c r="SN74" s="48" t="s">
        <v>4</v>
      </c>
      <c r="SO74" s="49">
        <v>3</v>
      </c>
      <c r="SQ74" s="42">
        <f t="shared" si="427"/>
        <v>4.2</v>
      </c>
      <c r="SR74" s="43">
        <f t="shared" si="428"/>
        <v>-3</v>
      </c>
    </row>
    <row r="75" spans="1:512" ht="16" customHeight="1" x14ac:dyDescent="0.15">
      <c r="A75" s="51">
        <v>46200</v>
      </c>
      <c r="B75" s="46">
        <v>0.95833333333333337</v>
      </c>
      <c r="C75" s="82" t="s">
        <v>22</v>
      </c>
      <c r="D75" s="82" t="s">
        <v>58</v>
      </c>
      <c r="E75" s="2">
        <v>2</v>
      </c>
      <c r="F75" s="50" t="s">
        <v>4</v>
      </c>
      <c r="G75" s="1">
        <v>1</v>
      </c>
      <c r="H75" s="16">
        <v>4.2</v>
      </c>
      <c r="I75" s="32">
        <f t="shared" si="429"/>
        <v>1</v>
      </c>
      <c r="J75" s="47">
        <v>1</v>
      </c>
      <c r="K75" s="48" t="s">
        <v>4</v>
      </c>
      <c r="L75" s="49">
        <v>2</v>
      </c>
      <c r="N75" s="42">
        <f t="shared" si="430"/>
        <v>0</v>
      </c>
      <c r="O75" s="43">
        <f t="shared" si="431"/>
        <v>-1</v>
      </c>
      <c r="P75" s="5"/>
      <c r="Q75" s="47">
        <v>3</v>
      </c>
      <c r="R75" s="48" t="s">
        <v>4</v>
      </c>
      <c r="S75" s="49">
        <v>2</v>
      </c>
      <c r="U75" s="42">
        <f t="shared" si="287"/>
        <v>4.2</v>
      </c>
      <c r="V75" s="43">
        <f t="shared" si="288"/>
        <v>1</v>
      </c>
      <c r="W75" s="5"/>
      <c r="X75" s="47">
        <v>1</v>
      </c>
      <c r="Y75" s="48" t="s">
        <v>4</v>
      </c>
      <c r="Z75" s="49">
        <v>1</v>
      </c>
      <c r="AB75" s="42">
        <f t="shared" si="289"/>
        <v>0</v>
      </c>
      <c r="AC75" s="43">
        <f t="shared" si="290"/>
        <v>0</v>
      </c>
      <c r="AD75" s="5"/>
      <c r="AE75" s="47">
        <v>2</v>
      </c>
      <c r="AF75" s="48" t="s">
        <v>4</v>
      </c>
      <c r="AG75" s="49">
        <v>3</v>
      </c>
      <c r="AI75" s="42">
        <f t="shared" si="291"/>
        <v>0</v>
      </c>
      <c r="AJ75" s="43">
        <f t="shared" si="292"/>
        <v>-1</v>
      </c>
      <c r="AL75" s="47">
        <v>2</v>
      </c>
      <c r="AM75" s="48" t="s">
        <v>4</v>
      </c>
      <c r="AN75" s="49">
        <v>1</v>
      </c>
      <c r="AP75" s="42">
        <f t="shared" si="293"/>
        <v>6.3000000000000007</v>
      </c>
      <c r="AQ75" s="43">
        <f t="shared" si="294"/>
        <v>1</v>
      </c>
      <c r="AS75" s="47">
        <v>2</v>
      </c>
      <c r="AT75" s="48" t="s">
        <v>4</v>
      </c>
      <c r="AU75" s="49">
        <v>1</v>
      </c>
      <c r="AW75" s="42">
        <f t="shared" si="295"/>
        <v>6.3000000000000007</v>
      </c>
      <c r="AX75" s="43">
        <f t="shared" si="296"/>
        <v>1</v>
      </c>
      <c r="AZ75" s="47">
        <v>2</v>
      </c>
      <c r="BA75" s="48" t="s">
        <v>4</v>
      </c>
      <c r="BB75" s="49">
        <v>1</v>
      </c>
      <c r="BD75" s="42">
        <f t="shared" si="297"/>
        <v>6.3000000000000007</v>
      </c>
      <c r="BE75" s="43">
        <f t="shared" si="298"/>
        <v>1</v>
      </c>
      <c r="BF75" s="5"/>
      <c r="BG75" s="47">
        <v>2</v>
      </c>
      <c r="BH75" s="48" t="s">
        <v>4</v>
      </c>
      <c r="BI75" s="49">
        <v>1</v>
      </c>
      <c r="BK75" s="42">
        <f t="shared" si="299"/>
        <v>6.3000000000000007</v>
      </c>
      <c r="BL75" s="43">
        <f t="shared" si="300"/>
        <v>1</v>
      </c>
      <c r="BN75" s="47">
        <v>2</v>
      </c>
      <c r="BO75" s="48" t="s">
        <v>4</v>
      </c>
      <c r="BP75" s="49">
        <v>0</v>
      </c>
      <c r="BR75" s="42">
        <f t="shared" si="301"/>
        <v>4.2</v>
      </c>
      <c r="BS75" s="43">
        <f t="shared" si="302"/>
        <v>2</v>
      </c>
      <c r="BU75" s="47">
        <v>2</v>
      </c>
      <c r="BV75" s="48" t="s">
        <v>4</v>
      </c>
      <c r="BW75" s="49">
        <v>0</v>
      </c>
      <c r="BY75" s="42">
        <f t="shared" si="303"/>
        <v>4.2</v>
      </c>
      <c r="BZ75" s="43">
        <f t="shared" si="304"/>
        <v>2</v>
      </c>
      <c r="CB75" s="47">
        <v>4</v>
      </c>
      <c r="CC75" s="48" t="s">
        <v>4</v>
      </c>
      <c r="CD75" s="49">
        <v>2</v>
      </c>
      <c r="CF75" s="42">
        <f t="shared" si="305"/>
        <v>4.2</v>
      </c>
      <c r="CG75" s="43">
        <f t="shared" si="306"/>
        <v>2</v>
      </c>
      <c r="CH75" s="5"/>
      <c r="CI75" s="47">
        <v>2</v>
      </c>
      <c r="CJ75" s="48" t="s">
        <v>4</v>
      </c>
      <c r="CK75" s="49">
        <v>1</v>
      </c>
      <c r="CM75" s="42">
        <f t="shared" si="307"/>
        <v>6.3000000000000007</v>
      </c>
      <c r="CN75" s="43">
        <f t="shared" si="308"/>
        <v>1</v>
      </c>
      <c r="CP75" s="47">
        <v>3</v>
      </c>
      <c r="CQ75" s="48" t="s">
        <v>4</v>
      </c>
      <c r="CR75" s="49">
        <v>0</v>
      </c>
      <c r="CT75" s="42">
        <f t="shared" si="309"/>
        <v>4.2</v>
      </c>
      <c r="CU75" s="43">
        <f t="shared" si="310"/>
        <v>3</v>
      </c>
      <c r="CW75" s="47">
        <v>2</v>
      </c>
      <c r="CX75" s="48" t="s">
        <v>4</v>
      </c>
      <c r="CY75" s="49">
        <v>1</v>
      </c>
      <c r="DA75" s="42">
        <f t="shared" si="311"/>
        <v>6.3000000000000007</v>
      </c>
      <c r="DB75" s="43">
        <f t="shared" si="312"/>
        <v>1</v>
      </c>
      <c r="DD75" s="47">
        <v>1</v>
      </c>
      <c r="DE75" s="48" t="s">
        <v>4</v>
      </c>
      <c r="DF75" s="49">
        <v>0</v>
      </c>
      <c r="DH75" s="42">
        <f t="shared" si="313"/>
        <v>4.2</v>
      </c>
      <c r="DI75" s="43">
        <f t="shared" si="314"/>
        <v>1</v>
      </c>
      <c r="DJ75" s="5"/>
      <c r="DK75" s="47">
        <v>2</v>
      </c>
      <c r="DL75" s="48" t="s">
        <v>4</v>
      </c>
      <c r="DM75" s="49">
        <v>1</v>
      </c>
      <c r="DO75" s="42">
        <f t="shared" si="315"/>
        <v>6.3000000000000007</v>
      </c>
      <c r="DP75" s="43">
        <f t="shared" si="316"/>
        <v>1</v>
      </c>
      <c r="DR75" s="47">
        <v>3</v>
      </c>
      <c r="DS75" s="48" t="s">
        <v>4</v>
      </c>
      <c r="DT75" s="49">
        <v>1</v>
      </c>
      <c r="DV75" s="42">
        <f t="shared" si="317"/>
        <v>4.2</v>
      </c>
      <c r="DW75" s="43">
        <f t="shared" si="318"/>
        <v>2</v>
      </c>
      <c r="DY75" s="47">
        <v>1</v>
      </c>
      <c r="DZ75" s="48" t="s">
        <v>4</v>
      </c>
      <c r="EA75" s="49">
        <v>1</v>
      </c>
      <c r="EC75" s="42">
        <f t="shared" si="319"/>
        <v>0</v>
      </c>
      <c r="ED75" s="43">
        <f t="shared" si="320"/>
        <v>0</v>
      </c>
      <c r="EF75" s="47">
        <v>1</v>
      </c>
      <c r="EG75" s="48" t="s">
        <v>4</v>
      </c>
      <c r="EH75" s="49">
        <v>1</v>
      </c>
      <c r="EJ75" s="42">
        <f t="shared" si="321"/>
        <v>0</v>
      </c>
      <c r="EK75" s="43">
        <f t="shared" si="322"/>
        <v>0</v>
      </c>
      <c r="EL75" s="5"/>
      <c r="EM75" s="47">
        <v>2</v>
      </c>
      <c r="EN75" s="48" t="s">
        <v>4</v>
      </c>
      <c r="EO75" s="49">
        <v>2</v>
      </c>
      <c r="EQ75" s="42">
        <f t="shared" si="323"/>
        <v>0</v>
      </c>
      <c r="ER75" s="43">
        <f t="shared" si="324"/>
        <v>0</v>
      </c>
      <c r="ET75" s="47">
        <v>2</v>
      </c>
      <c r="EU75" s="48" t="s">
        <v>4</v>
      </c>
      <c r="EV75" s="49">
        <v>2</v>
      </c>
      <c r="EX75" s="42">
        <f t="shared" si="325"/>
        <v>0</v>
      </c>
      <c r="EY75" s="43">
        <f t="shared" si="326"/>
        <v>0</v>
      </c>
      <c r="FA75" s="47">
        <v>2</v>
      </c>
      <c r="FB75" s="48" t="s">
        <v>4</v>
      </c>
      <c r="FC75" s="49">
        <v>1</v>
      </c>
      <c r="FE75" s="42">
        <f t="shared" si="327"/>
        <v>6.3000000000000007</v>
      </c>
      <c r="FF75" s="43">
        <f t="shared" si="328"/>
        <v>1</v>
      </c>
      <c r="FH75" s="47">
        <v>1</v>
      </c>
      <c r="FI75" s="48" t="s">
        <v>4</v>
      </c>
      <c r="FJ75" s="49">
        <v>0</v>
      </c>
      <c r="FL75" s="42">
        <f t="shared" si="329"/>
        <v>4.2</v>
      </c>
      <c r="FM75" s="43">
        <f t="shared" si="330"/>
        <v>1</v>
      </c>
      <c r="FN75" s="5"/>
      <c r="FO75" s="47">
        <v>2</v>
      </c>
      <c r="FP75" s="48" t="s">
        <v>4</v>
      </c>
      <c r="FQ75" s="49">
        <v>1</v>
      </c>
      <c r="FS75" s="42">
        <f t="shared" si="331"/>
        <v>6.3000000000000007</v>
      </c>
      <c r="FT75" s="43">
        <f t="shared" si="332"/>
        <v>1</v>
      </c>
      <c r="FV75" s="47">
        <v>1</v>
      </c>
      <c r="FW75" s="48" t="s">
        <v>4</v>
      </c>
      <c r="FX75" s="49">
        <v>1</v>
      </c>
      <c r="FZ75" s="42">
        <f t="shared" si="333"/>
        <v>0</v>
      </c>
      <c r="GA75" s="43">
        <f t="shared" si="334"/>
        <v>0</v>
      </c>
      <c r="GC75" s="47">
        <v>1</v>
      </c>
      <c r="GD75" s="48" t="s">
        <v>4</v>
      </c>
      <c r="GE75" s="49">
        <v>0</v>
      </c>
      <c r="GG75" s="42">
        <f t="shared" si="335"/>
        <v>4.2</v>
      </c>
      <c r="GH75" s="43">
        <f t="shared" si="336"/>
        <v>1</v>
      </c>
      <c r="GJ75" s="47">
        <v>2</v>
      </c>
      <c r="GK75" s="48" t="s">
        <v>4</v>
      </c>
      <c r="GL75" s="49">
        <v>1</v>
      </c>
      <c r="GN75" s="42">
        <f t="shared" si="337"/>
        <v>6.3000000000000007</v>
      </c>
      <c r="GO75" s="43">
        <f t="shared" si="338"/>
        <v>1</v>
      </c>
      <c r="GP75" s="5"/>
      <c r="GQ75" s="47">
        <v>2</v>
      </c>
      <c r="GR75" s="48" t="s">
        <v>4</v>
      </c>
      <c r="GS75" s="49">
        <v>1</v>
      </c>
      <c r="GU75" s="42">
        <f t="shared" si="339"/>
        <v>6.3000000000000007</v>
      </c>
      <c r="GV75" s="43">
        <f t="shared" si="340"/>
        <v>1</v>
      </c>
      <c r="GX75" s="47">
        <v>2</v>
      </c>
      <c r="GY75" s="48" t="s">
        <v>4</v>
      </c>
      <c r="GZ75" s="49">
        <v>1</v>
      </c>
      <c r="HB75" s="42">
        <f t="shared" si="341"/>
        <v>6.3000000000000007</v>
      </c>
      <c r="HC75" s="43">
        <f t="shared" si="342"/>
        <v>1</v>
      </c>
      <c r="HE75" s="47">
        <v>2</v>
      </c>
      <c r="HF75" s="48" t="s">
        <v>4</v>
      </c>
      <c r="HG75" s="49">
        <v>0</v>
      </c>
      <c r="HI75" s="42">
        <f t="shared" si="343"/>
        <v>4.2</v>
      </c>
      <c r="HJ75" s="43">
        <f t="shared" si="344"/>
        <v>2</v>
      </c>
      <c r="HL75" s="47">
        <v>2</v>
      </c>
      <c r="HM75" s="48" t="s">
        <v>4</v>
      </c>
      <c r="HN75" s="49">
        <v>0</v>
      </c>
      <c r="HP75" s="42">
        <f t="shared" si="345"/>
        <v>4.2</v>
      </c>
      <c r="HQ75" s="43">
        <f t="shared" si="346"/>
        <v>2</v>
      </c>
      <c r="HR75" s="5"/>
      <c r="HS75" s="47">
        <v>2</v>
      </c>
      <c r="HT75" s="48" t="s">
        <v>4</v>
      </c>
      <c r="HU75" s="49">
        <v>0</v>
      </c>
      <c r="HW75" s="42">
        <f t="shared" si="347"/>
        <v>4.2</v>
      </c>
      <c r="HX75" s="43">
        <f t="shared" si="348"/>
        <v>2</v>
      </c>
      <c r="HZ75" s="47">
        <v>2</v>
      </c>
      <c r="IA75" s="48" t="s">
        <v>4</v>
      </c>
      <c r="IB75" s="49">
        <v>2</v>
      </c>
      <c r="ID75" s="42">
        <f t="shared" si="349"/>
        <v>0</v>
      </c>
      <c r="IE75" s="43">
        <f t="shared" si="350"/>
        <v>0</v>
      </c>
      <c r="IG75" s="47">
        <v>2</v>
      </c>
      <c r="IH75" s="48" t="s">
        <v>4</v>
      </c>
      <c r="II75" s="49">
        <v>0</v>
      </c>
      <c r="IK75" s="42">
        <f t="shared" si="351"/>
        <v>4.2</v>
      </c>
      <c r="IL75" s="43">
        <f t="shared" si="352"/>
        <v>2</v>
      </c>
      <c r="IN75" s="47">
        <v>1</v>
      </c>
      <c r="IO75" s="48" t="s">
        <v>4</v>
      </c>
      <c r="IP75" s="49">
        <v>0</v>
      </c>
      <c r="IR75" s="42">
        <f t="shared" si="353"/>
        <v>4.2</v>
      </c>
      <c r="IS75" s="43">
        <f t="shared" si="354"/>
        <v>1</v>
      </c>
      <c r="IT75" s="5"/>
      <c r="IU75" s="47">
        <v>2</v>
      </c>
      <c r="IV75" s="48" t="s">
        <v>4</v>
      </c>
      <c r="IW75" s="49">
        <v>0</v>
      </c>
      <c r="IY75" s="42">
        <f t="shared" si="355"/>
        <v>4.2</v>
      </c>
      <c r="IZ75" s="43">
        <f t="shared" si="356"/>
        <v>2</v>
      </c>
      <c r="JB75" s="47">
        <v>2</v>
      </c>
      <c r="JC75" s="48" t="s">
        <v>4</v>
      </c>
      <c r="JD75" s="49">
        <v>1</v>
      </c>
      <c r="JF75" s="42">
        <f t="shared" si="357"/>
        <v>6.3000000000000007</v>
      </c>
      <c r="JG75" s="43">
        <f t="shared" si="358"/>
        <v>1</v>
      </c>
      <c r="JI75" s="47">
        <v>4</v>
      </c>
      <c r="JJ75" s="48" t="s">
        <v>4</v>
      </c>
      <c r="JK75" s="49">
        <v>2</v>
      </c>
      <c r="JM75" s="42">
        <f t="shared" si="359"/>
        <v>4.2</v>
      </c>
      <c r="JN75" s="43">
        <f t="shared" si="360"/>
        <v>2</v>
      </c>
      <c r="JP75" s="47">
        <v>2</v>
      </c>
      <c r="JQ75" s="48" t="s">
        <v>4</v>
      </c>
      <c r="JR75" s="49">
        <v>2</v>
      </c>
      <c r="JT75" s="42">
        <f t="shared" si="361"/>
        <v>0</v>
      </c>
      <c r="JU75" s="43">
        <f t="shared" si="362"/>
        <v>0</v>
      </c>
      <c r="JV75" s="5"/>
      <c r="JW75" s="47">
        <v>2</v>
      </c>
      <c r="JX75" s="48" t="s">
        <v>4</v>
      </c>
      <c r="JY75" s="49">
        <v>2</v>
      </c>
      <c r="KA75" s="42">
        <f t="shared" si="363"/>
        <v>0</v>
      </c>
      <c r="KB75" s="43">
        <f t="shared" si="364"/>
        <v>0</v>
      </c>
      <c r="KD75" s="47">
        <v>2</v>
      </c>
      <c r="KE75" s="48" t="s">
        <v>4</v>
      </c>
      <c r="KF75" s="49">
        <v>1</v>
      </c>
      <c r="KH75" s="42">
        <f t="shared" si="365"/>
        <v>6.3000000000000007</v>
      </c>
      <c r="KI75" s="43">
        <f t="shared" si="366"/>
        <v>1</v>
      </c>
      <c r="KK75" s="47">
        <v>1</v>
      </c>
      <c r="KL75" s="48" t="s">
        <v>4</v>
      </c>
      <c r="KM75" s="49">
        <v>0</v>
      </c>
      <c r="KO75" s="42">
        <f t="shared" si="367"/>
        <v>4.2</v>
      </c>
      <c r="KP75" s="43">
        <f t="shared" si="368"/>
        <v>1</v>
      </c>
      <c r="KR75" s="47">
        <v>0</v>
      </c>
      <c r="KS75" s="48" t="s">
        <v>4</v>
      </c>
      <c r="KT75" s="49">
        <v>1</v>
      </c>
      <c r="KV75" s="42">
        <f t="shared" si="369"/>
        <v>0</v>
      </c>
      <c r="KW75" s="43">
        <f t="shared" si="370"/>
        <v>-1</v>
      </c>
      <c r="KY75" s="47">
        <v>1</v>
      </c>
      <c r="KZ75" s="48" t="s">
        <v>4</v>
      </c>
      <c r="LA75" s="49">
        <v>2</v>
      </c>
      <c r="LC75" s="42">
        <f t="shared" si="371"/>
        <v>0</v>
      </c>
      <c r="LD75" s="43">
        <f t="shared" si="372"/>
        <v>-1</v>
      </c>
      <c r="LF75" s="47">
        <v>3</v>
      </c>
      <c r="LG75" s="48" t="s">
        <v>4</v>
      </c>
      <c r="LH75" s="49">
        <v>1</v>
      </c>
      <c r="LJ75" s="42">
        <f t="shared" si="373"/>
        <v>4.2</v>
      </c>
      <c r="LK75" s="43">
        <f t="shared" si="374"/>
        <v>2</v>
      </c>
      <c r="LM75" s="47">
        <v>3</v>
      </c>
      <c r="LN75" s="48" t="s">
        <v>4</v>
      </c>
      <c r="LO75" s="49">
        <v>1</v>
      </c>
      <c r="LQ75" s="42">
        <f t="shared" si="375"/>
        <v>4.2</v>
      </c>
      <c r="LR75" s="43">
        <f t="shared" si="376"/>
        <v>2</v>
      </c>
      <c r="LT75" s="47">
        <v>1</v>
      </c>
      <c r="LU75" s="48" t="s">
        <v>4</v>
      </c>
      <c r="LV75" s="49">
        <v>0</v>
      </c>
      <c r="LX75" s="42">
        <f t="shared" si="377"/>
        <v>4.2</v>
      </c>
      <c r="LY75" s="43">
        <f t="shared" si="378"/>
        <v>1</v>
      </c>
      <c r="MA75" s="47">
        <v>2</v>
      </c>
      <c r="MB75" s="48" t="s">
        <v>4</v>
      </c>
      <c r="MC75" s="49">
        <v>2</v>
      </c>
      <c r="ME75" s="42">
        <f t="shared" si="379"/>
        <v>0</v>
      </c>
      <c r="MF75" s="43">
        <f t="shared" si="380"/>
        <v>0</v>
      </c>
      <c r="MH75" s="47">
        <v>3</v>
      </c>
      <c r="MI75" s="48" t="s">
        <v>4</v>
      </c>
      <c r="MJ75" s="49">
        <v>1</v>
      </c>
      <c r="ML75" s="42">
        <f t="shared" si="381"/>
        <v>4.2</v>
      </c>
      <c r="MM75" s="43">
        <f t="shared" si="382"/>
        <v>2</v>
      </c>
      <c r="MO75" s="47">
        <v>2</v>
      </c>
      <c r="MP75" s="48" t="s">
        <v>4</v>
      </c>
      <c r="MQ75" s="49">
        <v>0</v>
      </c>
      <c r="MS75" s="42">
        <f t="shared" si="383"/>
        <v>4.2</v>
      </c>
      <c r="MT75" s="43">
        <f t="shared" si="384"/>
        <v>2</v>
      </c>
      <c r="MV75" s="47">
        <v>2</v>
      </c>
      <c r="MW75" s="48" t="s">
        <v>4</v>
      </c>
      <c r="MX75" s="49">
        <v>0</v>
      </c>
      <c r="MZ75" s="42">
        <f t="shared" si="385"/>
        <v>4.2</v>
      </c>
      <c r="NA75" s="43">
        <f t="shared" si="386"/>
        <v>2</v>
      </c>
      <c r="NC75" s="47">
        <v>0</v>
      </c>
      <c r="ND75" s="48" t="s">
        <v>4</v>
      </c>
      <c r="NE75" s="49">
        <v>2</v>
      </c>
      <c r="NG75" s="42">
        <f t="shared" si="387"/>
        <v>0</v>
      </c>
      <c r="NH75" s="43">
        <f t="shared" si="388"/>
        <v>-2</v>
      </c>
      <c r="NJ75" s="47">
        <v>1</v>
      </c>
      <c r="NK75" s="48" t="s">
        <v>4</v>
      </c>
      <c r="NL75" s="49">
        <v>1</v>
      </c>
      <c r="NN75" s="42">
        <f t="shared" si="389"/>
        <v>0</v>
      </c>
      <c r="NO75" s="43">
        <f t="shared" si="390"/>
        <v>0</v>
      </c>
      <c r="NQ75" s="47">
        <v>1</v>
      </c>
      <c r="NR75" s="48" t="s">
        <v>4</v>
      </c>
      <c r="NS75" s="49">
        <v>1</v>
      </c>
      <c r="NU75" s="42">
        <f t="shared" si="391"/>
        <v>0</v>
      </c>
      <c r="NV75" s="43">
        <f t="shared" si="392"/>
        <v>0</v>
      </c>
      <c r="NX75" s="47">
        <v>1</v>
      </c>
      <c r="NY75" s="48" t="s">
        <v>4</v>
      </c>
      <c r="NZ75" s="49">
        <v>1</v>
      </c>
      <c r="OB75" s="42">
        <f t="shared" si="393"/>
        <v>0</v>
      </c>
      <c r="OC75" s="43">
        <f t="shared" si="394"/>
        <v>0</v>
      </c>
      <c r="OE75" s="47">
        <v>3</v>
      </c>
      <c r="OF75" s="48" t="s">
        <v>4</v>
      </c>
      <c r="OG75" s="49">
        <v>0</v>
      </c>
      <c r="OI75" s="42">
        <f t="shared" si="395"/>
        <v>4.2</v>
      </c>
      <c r="OJ75" s="43">
        <f t="shared" si="396"/>
        <v>3</v>
      </c>
      <c r="OL75" s="47">
        <v>3</v>
      </c>
      <c r="OM75" s="48" t="s">
        <v>4</v>
      </c>
      <c r="ON75" s="49">
        <v>1</v>
      </c>
      <c r="OP75" s="42">
        <f t="shared" si="397"/>
        <v>4.2</v>
      </c>
      <c r="OQ75" s="43">
        <f t="shared" si="398"/>
        <v>2</v>
      </c>
      <c r="OS75" s="47">
        <v>1</v>
      </c>
      <c r="OT75" s="48" t="s">
        <v>4</v>
      </c>
      <c r="OU75" s="49">
        <v>0</v>
      </c>
      <c r="OW75" s="42">
        <f t="shared" si="399"/>
        <v>4.2</v>
      </c>
      <c r="OX75" s="43">
        <f t="shared" si="400"/>
        <v>1</v>
      </c>
      <c r="OZ75" s="47">
        <v>3</v>
      </c>
      <c r="PA75" s="48" t="s">
        <v>4</v>
      </c>
      <c r="PB75" s="49">
        <v>1</v>
      </c>
      <c r="PD75" s="42">
        <f t="shared" si="401"/>
        <v>4.2</v>
      </c>
      <c r="PE75" s="43">
        <f t="shared" si="402"/>
        <v>2</v>
      </c>
      <c r="PG75" s="47">
        <v>1</v>
      </c>
      <c r="PH75" s="48" t="s">
        <v>4</v>
      </c>
      <c r="PI75" s="49">
        <v>2</v>
      </c>
      <c r="PK75" s="42">
        <f t="shared" si="403"/>
        <v>0</v>
      </c>
      <c r="PL75" s="43">
        <f t="shared" si="404"/>
        <v>-1</v>
      </c>
      <c r="PN75" s="47">
        <v>2</v>
      </c>
      <c r="PO75" s="48" t="s">
        <v>4</v>
      </c>
      <c r="PP75" s="49">
        <v>1</v>
      </c>
      <c r="PR75" s="42">
        <f t="shared" si="405"/>
        <v>6.3000000000000007</v>
      </c>
      <c r="PS75" s="43">
        <f t="shared" si="406"/>
        <v>1</v>
      </c>
      <c r="PU75" s="47">
        <v>1</v>
      </c>
      <c r="PV75" s="48" t="s">
        <v>4</v>
      </c>
      <c r="PW75" s="49">
        <v>1</v>
      </c>
      <c r="PY75" s="42">
        <f t="shared" si="407"/>
        <v>0</v>
      </c>
      <c r="PZ75" s="43">
        <f t="shared" si="408"/>
        <v>0</v>
      </c>
      <c r="QB75" s="47">
        <v>2</v>
      </c>
      <c r="QC75" s="48" t="s">
        <v>4</v>
      </c>
      <c r="QD75" s="49">
        <v>0</v>
      </c>
      <c r="QF75" s="42">
        <f t="shared" si="409"/>
        <v>4.2</v>
      </c>
      <c r="QG75" s="43">
        <f t="shared" si="410"/>
        <v>2</v>
      </c>
      <c r="QI75" s="47">
        <v>1</v>
      </c>
      <c r="QJ75" s="48" t="s">
        <v>4</v>
      </c>
      <c r="QK75" s="49">
        <v>0</v>
      </c>
      <c r="QM75" s="42">
        <f t="shared" si="411"/>
        <v>4.2</v>
      </c>
      <c r="QN75" s="43">
        <f t="shared" si="412"/>
        <v>1</v>
      </c>
      <c r="QP75" s="47">
        <v>3</v>
      </c>
      <c r="QQ75" s="48" t="s">
        <v>4</v>
      </c>
      <c r="QR75" s="49">
        <v>2</v>
      </c>
      <c r="QT75" s="42">
        <f t="shared" si="413"/>
        <v>4.2</v>
      </c>
      <c r="QU75" s="43">
        <f t="shared" si="414"/>
        <v>1</v>
      </c>
      <c r="QW75" s="47">
        <v>1</v>
      </c>
      <c r="QX75" s="48" t="s">
        <v>4</v>
      </c>
      <c r="QY75" s="49">
        <v>2</v>
      </c>
      <c r="RA75" s="42">
        <f t="shared" si="415"/>
        <v>0</v>
      </c>
      <c r="RB75" s="43">
        <f t="shared" si="416"/>
        <v>-1</v>
      </c>
      <c r="RD75" s="47"/>
      <c r="RE75" s="48" t="s">
        <v>4</v>
      </c>
      <c r="RF75" s="49"/>
      <c r="RH75" s="42" t="str">
        <f t="shared" si="417"/>
        <v/>
      </c>
      <c r="RI75" s="43">
        <f t="shared" si="418"/>
        <v>0</v>
      </c>
      <c r="RK75" s="47">
        <v>1</v>
      </c>
      <c r="RL75" s="48" t="s">
        <v>4</v>
      </c>
      <c r="RM75" s="49">
        <v>1</v>
      </c>
      <c r="RO75" s="42">
        <f t="shared" si="419"/>
        <v>0</v>
      </c>
      <c r="RP75" s="43">
        <f t="shared" si="420"/>
        <v>0</v>
      </c>
      <c r="RR75" s="47">
        <v>1</v>
      </c>
      <c r="RS75" s="48" t="s">
        <v>4</v>
      </c>
      <c r="RT75" s="49">
        <v>1</v>
      </c>
      <c r="RV75" s="42">
        <f t="shared" si="421"/>
        <v>0</v>
      </c>
      <c r="RW75" s="43">
        <f t="shared" si="422"/>
        <v>0</v>
      </c>
      <c r="RY75" s="47">
        <v>1</v>
      </c>
      <c r="RZ75" s="48" t="s">
        <v>4</v>
      </c>
      <c r="SA75" s="49">
        <v>1</v>
      </c>
      <c r="SC75" s="42">
        <f t="shared" si="423"/>
        <v>0</v>
      </c>
      <c r="SD75" s="43">
        <f t="shared" si="424"/>
        <v>0</v>
      </c>
      <c r="SF75" s="47">
        <v>1</v>
      </c>
      <c r="SG75" s="48" t="s">
        <v>4</v>
      </c>
      <c r="SH75" s="49">
        <v>1</v>
      </c>
      <c r="SJ75" s="42">
        <f t="shared" si="425"/>
        <v>0</v>
      </c>
      <c r="SK75" s="43">
        <f t="shared" si="426"/>
        <v>0</v>
      </c>
      <c r="SM75" s="47">
        <v>2</v>
      </c>
      <c r="SN75" s="48" t="s">
        <v>4</v>
      </c>
      <c r="SO75" s="49">
        <v>1</v>
      </c>
      <c r="SQ75" s="42">
        <f t="shared" si="427"/>
        <v>6.3000000000000007</v>
      </c>
      <c r="SR75" s="43">
        <f t="shared" si="428"/>
        <v>1</v>
      </c>
    </row>
    <row r="76" spans="1:512" ht="16" customHeight="1" x14ac:dyDescent="0.15">
      <c r="A76" s="51">
        <v>46201</v>
      </c>
      <c r="B76" s="46">
        <v>6.25E-2</v>
      </c>
      <c r="C76" s="82" t="s">
        <v>61</v>
      </c>
      <c r="D76" s="82" t="s">
        <v>9</v>
      </c>
      <c r="E76" s="2">
        <v>0</v>
      </c>
      <c r="F76" s="50" t="s">
        <v>4</v>
      </c>
      <c r="G76" s="1">
        <v>0</v>
      </c>
      <c r="H76" s="16">
        <v>4.4000000000000004</v>
      </c>
      <c r="I76" s="32">
        <f t="shared" si="429"/>
        <v>0</v>
      </c>
      <c r="J76" s="47">
        <v>1</v>
      </c>
      <c r="K76" s="48" t="s">
        <v>4</v>
      </c>
      <c r="L76" s="49">
        <v>2</v>
      </c>
      <c r="N76" s="42">
        <f t="shared" si="430"/>
        <v>0</v>
      </c>
      <c r="O76" s="43">
        <f t="shared" si="431"/>
        <v>-1</v>
      </c>
      <c r="P76" s="5"/>
      <c r="Q76" s="47">
        <v>1</v>
      </c>
      <c r="R76" s="48" t="s">
        <v>4</v>
      </c>
      <c r="S76" s="49">
        <v>3</v>
      </c>
      <c r="U76" s="42">
        <f t="shared" si="287"/>
        <v>0</v>
      </c>
      <c r="V76" s="43">
        <f t="shared" si="288"/>
        <v>-2</v>
      </c>
      <c r="W76" s="5"/>
      <c r="X76" s="47">
        <v>0</v>
      </c>
      <c r="Y76" s="48" t="s">
        <v>4</v>
      </c>
      <c r="Z76" s="49">
        <v>4</v>
      </c>
      <c r="AB76" s="42">
        <f t="shared" si="289"/>
        <v>0</v>
      </c>
      <c r="AC76" s="43">
        <f t="shared" si="290"/>
        <v>-4</v>
      </c>
      <c r="AD76" s="5"/>
      <c r="AE76" s="47">
        <v>3</v>
      </c>
      <c r="AF76" s="48" t="s">
        <v>4</v>
      </c>
      <c r="AG76" s="49">
        <v>3</v>
      </c>
      <c r="AI76" s="42">
        <f t="shared" si="291"/>
        <v>4.4000000000000004</v>
      </c>
      <c r="AJ76" s="43">
        <f t="shared" si="292"/>
        <v>0</v>
      </c>
      <c r="AL76" s="47">
        <v>1</v>
      </c>
      <c r="AM76" s="48" t="s">
        <v>4</v>
      </c>
      <c r="AN76" s="49">
        <v>1</v>
      </c>
      <c r="AP76" s="42">
        <f t="shared" si="293"/>
        <v>4.4000000000000004</v>
      </c>
      <c r="AQ76" s="43">
        <f t="shared" si="294"/>
        <v>0</v>
      </c>
      <c r="AS76" s="47">
        <v>2</v>
      </c>
      <c r="AT76" s="48" t="s">
        <v>4</v>
      </c>
      <c r="AU76" s="49">
        <v>2</v>
      </c>
      <c r="AW76" s="42">
        <f t="shared" si="295"/>
        <v>4.4000000000000004</v>
      </c>
      <c r="AX76" s="43">
        <f t="shared" si="296"/>
        <v>0</v>
      </c>
      <c r="AZ76" s="47">
        <v>1</v>
      </c>
      <c r="BA76" s="48" t="s">
        <v>4</v>
      </c>
      <c r="BB76" s="49">
        <v>3</v>
      </c>
      <c r="BD76" s="42">
        <f t="shared" si="297"/>
        <v>0</v>
      </c>
      <c r="BE76" s="43">
        <f t="shared" si="298"/>
        <v>-2</v>
      </c>
      <c r="BF76" s="5"/>
      <c r="BG76" s="47">
        <v>2</v>
      </c>
      <c r="BH76" s="48" t="s">
        <v>4</v>
      </c>
      <c r="BI76" s="49">
        <v>2</v>
      </c>
      <c r="BK76" s="42">
        <f t="shared" si="299"/>
        <v>4.4000000000000004</v>
      </c>
      <c r="BL76" s="43">
        <f t="shared" si="300"/>
        <v>0</v>
      </c>
      <c r="BN76" s="47">
        <v>2</v>
      </c>
      <c r="BO76" s="48" t="s">
        <v>4</v>
      </c>
      <c r="BP76" s="49">
        <v>2</v>
      </c>
      <c r="BR76" s="42">
        <f t="shared" si="301"/>
        <v>4.4000000000000004</v>
      </c>
      <c r="BS76" s="43">
        <f t="shared" si="302"/>
        <v>0</v>
      </c>
      <c r="BU76" s="47">
        <v>1</v>
      </c>
      <c r="BV76" s="48" t="s">
        <v>4</v>
      </c>
      <c r="BW76" s="49">
        <v>2</v>
      </c>
      <c r="BY76" s="42">
        <f t="shared" si="303"/>
        <v>0</v>
      </c>
      <c r="BZ76" s="43">
        <f t="shared" si="304"/>
        <v>-1</v>
      </c>
      <c r="CB76" s="47">
        <v>2</v>
      </c>
      <c r="CC76" s="48" t="s">
        <v>4</v>
      </c>
      <c r="CD76" s="49">
        <v>2</v>
      </c>
      <c r="CF76" s="42">
        <f t="shared" si="305"/>
        <v>4.4000000000000004</v>
      </c>
      <c r="CG76" s="43">
        <f t="shared" si="306"/>
        <v>0</v>
      </c>
      <c r="CH76" s="5"/>
      <c r="CI76" s="47">
        <v>0</v>
      </c>
      <c r="CJ76" s="48" t="s">
        <v>4</v>
      </c>
      <c r="CK76" s="49">
        <v>2</v>
      </c>
      <c r="CM76" s="42">
        <f t="shared" si="307"/>
        <v>0</v>
      </c>
      <c r="CN76" s="43">
        <f t="shared" si="308"/>
        <v>-2</v>
      </c>
      <c r="CP76" s="47">
        <v>0</v>
      </c>
      <c r="CQ76" s="48" t="s">
        <v>4</v>
      </c>
      <c r="CR76" s="49">
        <v>1</v>
      </c>
      <c r="CT76" s="42">
        <f t="shared" si="309"/>
        <v>0</v>
      </c>
      <c r="CU76" s="43">
        <f t="shared" si="310"/>
        <v>-1</v>
      </c>
      <c r="CW76" s="47">
        <v>0</v>
      </c>
      <c r="CX76" s="48" t="s">
        <v>4</v>
      </c>
      <c r="CY76" s="49">
        <v>2</v>
      </c>
      <c r="DA76" s="42">
        <f t="shared" si="311"/>
        <v>0</v>
      </c>
      <c r="DB76" s="43">
        <f t="shared" si="312"/>
        <v>-2</v>
      </c>
      <c r="DD76" s="47">
        <v>0</v>
      </c>
      <c r="DE76" s="48" t="s">
        <v>4</v>
      </c>
      <c r="DF76" s="49">
        <v>2</v>
      </c>
      <c r="DH76" s="42">
        <f t="shared" si="313"/>
        <v>0</v>
      </c>
      <c r="DI76" s="43">
        <f t="shared" si="314"/>
        <v>-2</v>
      </c>
      <c r="DJ76" s="5"/>
      <c r="DK76" s="47">
        <v>0</v>
      </c>
      <c r="DL76" s="48" t="s">
        <v>4</v>
      </c>
      <c r="DM76" s="49">
        <v>1</v>
      </c>
      <c r="DO76" s="42">
        <f t="shared" si="315"/>
        <v>0</v>
      </c>
      <c r="DP76" s="43">
        <f t="shared" si="316"/>
        <v>-1</v>
      </c>
      <c r="DR76" s="47">
        <v>0</v>
      </c>
      <c r="DS76" s="48" t="s">
        <v>4</v>
      </c>
      <c r="DT76" s="49">
        <v>2</v>
      </c>
      <c r="DV76" s="42">
        <f t="shared" si="317"/>
        <v>0</v>
      </c>
      <c r="DW76" s="43">
        <f t="shared" si="318"/>
        <v>-2</v>
      </c>
      <c r="DY76" s="47">
        <v>0</v>
      </c>
      <c r="DZ76" s="48" t="s">
        <v>4</v>
      </c>
      <c r="EA76" s="49">
        <v>2</v>
      </c>
      <c r="EC76" s="42">
        <f t="shared" si="319"/>
        <v>0</v>
      </c>
      <c r="ED76" s="43">
        <f t="shared" si="320"/>
        <v>-2</v>
      </c>
      <c r="EF76" s="47">
        <v>2</v>
      </c>
      <c r="EG76" s="48" t="s">
        <v>4</v>
      </c>
      <c r="EH76" s="49">
        <v>2</v>
      </c>
      <c r="EJ76" s="42">
        <f t="shared" si="321"/>
        <v>4.4000000000000004</v>
      </c>
      <c r="EK76" s="43">
        <f t="shared" si="322"/>
        <v>0</v>
      </c>
      <c r="EL76" s="5"/>
      <c r="EM76" s="47">
        <v>2</v>
      </c>
      <c r="EN76" s="48" t="s">
        <v>4</v>
      </c>
      <c r="EO76" s="49">
        <v>3</v>
      </c>
      <c r="EQ76" s="42">
        <f t="shared" si="323"/>
        <v>0</v>
      </c>
      <c r="ER76" s="43">
        <f t="shared" si="324"/>
        <v>-1</v>
      </c>
      <c r="ET76" s="47">
        <v>1</v>
      </c>
      <c r="EU76" s="48" t="s">
        <v>4</v>
      </c>
      <c r="EV76" s="49">
        <v>2</v>
      </c>
      <c r="EX76" s="42">
        <f t="shared" si="325"/>
        <v>0</v>
      </c>
      <c r="EY76" s="43">
        <f t="shared" si="326"/>
        <v>-1</v>
      </c>
      <c r="FA76" s="47">
        <v>1</v>
      </c>
      <c r="FB76" s="48" t="s">
        <v>4</v>
      </c>
      <c r="FC76" s="49">
        <v>2</v>
      </c>
      <c r="FE76" s="42">
        <f t="shared" si="327"/>
        <v>0</v>
      </c>
      <c r="FF76" s="43">
        <f t="shared" si="328"/>
        <v>-1</v>
      </c>
      <c r="FH76" s="47">
        <v>1</v>
      </c>
      <c r="FI76" s="48" t="s">
        <v>4</v>
      </c>
      <c r="FJ76" s="49">
        <v>1</v>
      </c>
      <c r="FL76" s="42">
        <f t="shared" si="329"/>
        <v>4.4000000000000004</v>
      </c>
      <c r="FM76" s="43">
        <f t="shared" si="330"/>
        <v>0</v>
      </c>
      <c r="FN76" s="5"/>
      <c r="FO76" s="47">
        <v>0</v>
      </c>
      <c r="FP76" s="48" t="s">
        <v>4</v>
      </c>
      <c r="FQ76" s="49">
        <v>1</v>
      </c>
      <c r="FS76" s="42">
        <f t="shared" si="331"/>
        <v>0</v>
      </c>
      <c r="FT76" s="43">
        <f t="shared" si="332"/>
        <v>-1</v>
      </c>
      <c r="FV76" s="47">
        <v>1</v>
      </c>
      <c r="FW76" s="48" t="s">
        <v>4</v>
      </c>
      <c r="FX76" s="49">
        <v>1</v>
      </c>
      <c r="FZ76" s="42">
        <f t="shared" si="333"/>
        <v>4.4000000000000004</v>
      </c>
      <c r="GA76" s="43">
        <f t="shared" si="334"/>
        <v>0</v>
      </c>
      <c r="GC76" s="47">
        <v>1</v>
      </c>
      <c r="GD76" s="48" t="s">
        <v>4</v>
      </c>
      <c r="GE76" s="49">
        <v>1</v>
      </c>
      <c r="GG76" s="42">
        <f t="shared" si="335"/>
        <v>4.4000000000000004</v>
      </c>
      <c r="GH76" s="43">
        <f t="shared" si="336"/>
        <v>0</v>
      </c>
      <c r="GJ76" s="47">
        <v>1</v>
      </c>
      <c r="GK76" s="48" t="s">
        <v>4</v>
      </c>
      <c r="GL76" s="49">
        <v>2</v>
      </c>
      <c r="GN76" s="42">
        <f t="shared" si="337"/>
        <v>0</v>
      </c>
      <c r="GO76" s="43">
        <f t="shared" si="338"/>
        <v>-1</v>
      </c>
      <c r="GP76" s="5"/>
      <c r="GQ76" s="47">
        <v>1</v>
      </c>
      <c r="GR76" s="48" t="s">
        <v>4</v>
      </c>
      <c r="GS76" s="49">
        <v>2</v>
      </c>
      <c r="GU76" s="42">
        <f t="shared" si="339"/>
        <v>0</v>
      </c>
      <c r="GV76" s="43">
        <f t="shared" si="340"/>
        <v>-1</v>
      </c>
      <c r="GX76" s="47">
        <v>2</v>
      </c>
      <c r="GY76" s="48" t="s">
        <v>4</v>
      </c>
      <c r="GZ76" s="49">
        <v>2</v>
      </c>
      <c r="HB76" s="42">
        <f t="shared" si="341"/>
        <v>4.4000000000000004</v>
      </c>
      <c r="HC76" s="43">
        <f t="shared" si="342"/>
        <v>0</v>
      </c>
      <c r="HE76" s="47">
        <v>1</v>
      </c>
      <c r="HF76" s="48" t="s">
        <v>4</v>
      </c>
      <c r="HG76" s="49">
        <v>2</v>
      </c>
      <c r="HI76" s="42">
        <f t="shared" si="343"/>
        <v>0</v>
      </c>
      <c r="HJ76" s="43">
        <f t="shared" si="344"/>
        <v>-1</v>
      </c>
      <c r="HL76" s="47">
        <v>1</v>
      </c>
      <c r="HM76" s="48" t="s">
        <v>4</v>
      </c>
      <c r="HN76" s="49">
        <v>2</v>
      </c>
      <c r="HP76" s="42">
        <f t="shared" si="345"/>
        <v>0</v>
      </c>
      <c r="HQ76" s="43">
        <f t="shared" si="346"/>
        <v>-1</v>
      </c>
      <c r="HR76" s="5"/>
      <c r="HS76" s="47">
        <v>0</v>
      </c>
      <c r="HT76" s="48" t="s">
        <v>4</v>
      </c>
      <c r="HU76" s="49">
        <v>2</v>
      </c>
      <c r="HW76" s="42">
        <f t="shared" si="347"/>
        <v>0</v>
      </c>
      <c r="HX76" s="43">
        <f t="shared" si="348"/>
        <v>-2</v>
      </c>
      <c r="HZ76" s="47">
        <v>1</v>
      </c>
      <c r="IA76" s="48" t="s">
        <v>4</v>
      </c>
      <c r="IB76" s="49">
        <v>3</v>
      </c>
      <c r="ID76" s="42">
        <f t="shared" si="349"/>
        <v>0</v>
      </c>
      <c r="IE76" s="43">
        <f t="shared" si="350"/>
        <v>-2</v>
      </c>
      <c r="IG76" s="47">
        <v>2</v>
      </c>
      <c r="IH76" s="48" t="s">
        <v>4</v>
      </c>
      <c r="II76" s="49">
        <v>3</v>
      </c>
      <c r="IK76" s="42">
        <f t="shared" si="351"/>
        <v>0</v>
      </c>
      <c r="IL76" s="43">
        <f t="shared" si="352"/>
        <v>-1</v>
      </c>
      <c r="IN76" s="47">
        <v>1</v>
      </c>
      <c r="IO76" s="48" t="s">
        <v>4</v>
      </c>
      <c r="IP76" s="49">
        <v>3</v>
      </c>
      <c r="IR76" s="42">
        <f t="shared" si="353"/>
        <v>0</v>
      </c>
      <c r="IS76" s="43">
        <f t="shared" si="354"/>
        <v>-2</v>
      </c>
      <c r="IT76" s="5"/>
      <c r="IU76" s="47">
        <v>0</v>
      </c>
      <c r="IV76" s="48" t="s">
        <v>4</v>
      </c>
      <c r="IW76" s="49">
        <v>2</v>
      </c>
      <c r="IY76" s="42">
        <f t="shared" si="355"/>
        <v>0</v>
      </c>
      <c r="IZ76" s="43">
        <f t="shared" si="356"/>
        <v>-2</v>
      </c>
      <c r="JB76" s="47">
        <v>1</v>
      </c>
      <c r="JC76" s="48" t="s">
        <v>4</v>
      </c>
      <c r="JD76" s="49">
        <v>2</v>
      </c>
      <c r="JF76" s="42">
        <f t="shared" si="357"/>
        <v>0</v>
      </c>
      <c r="JG76" s="43">
        <f t="shared" si="358"/>
        <v>-1</v>
      </c>
      <c r="JI76" s="47">
        <v>2</v>
      </c>
      <c r="JJ76" s="48" t="s">
        <v>4</v>
      </c>
      <c r="JK76" s="49">
        <v>2</v>
      </c>
      <c r="JM76" s="42">
        <f t="shared" si="359"/>
        <v>4.4000000000000004</v>
      </c>
      <c r="JN76" s="43">
        <f t="shared" si="360"/>
        <v>0</v>
      </c>
      <c r="JP76" s="47">
        <v>0</v>
      </c>
      <c r="JQ76" s="48" t="s">
        <v>4</v>
      </c>
      <c r="JR76" s="49">
        <v>1</v>
      </c>
      <c r="JT76" s="42">
        <f t="shared" si="361"/>
        <v>0</v>
      </c>
      <c r="JU76" s="43">
        <f t="shared" si="362"/>
        <v>-1</v>
      </c>
      <c r="JV76" s="5"/>
      <c r="JW76" s="47">
        <v>0</v>
      </c>
      <c r="JX76" s="48" t="s">
        <v>4</v>
      </c>
      <c r="JY76" s="49">
        <v>2</v>
      </c>
      <c r="KA76" s="42">
        <f t="shared" si="363"/>
        <v>0</v>
      </c>
      <c r="KB76" s="43">
        <f t="shared" si="364"/>
        <v>-2</v>
      </c>
      <c r="KD76" s="47">
        <v>2</v>
      </c>
      <c r="KE76" s="48" t="s">
        <v>4</v>
      </c>
      <c r="KF76" s="49">
        <v>3</v>
      </c>
      <c r="KH76" s="42">
        <f t="shared" si="365"/>
        <v>0</v>
      </c>
      <c r="KI76" s="43">
        <f t="shared" si="366"/>
        <v>-1</v>
      </c>
      <c r="KK76" s="47">
        <v>0</v>
      </c>
      <c r="KL76" s="48" t="s">
        <v>4</v>
      </c>
      <c r="KM76" s="49">
        <v>2</v>
      </c>
      <c r="KO76" s="42">
        <f t="shared" si="367"/>
        <v>0</v>
      </c>
      <c r="KP76" s="43">
        <f t="shared" si="368"/>
        <v>-2</v>
      </c>
      <c r="KR76" s="47">
        <v>0</v>
      </c>
      <c r="KS76" s="48" t="s">
        <v>4</v>
      </c>
      <c r="KT76" s="49">
        <v>1</v>
      </c>
      <c r="KV76" s="42">
        <f t="shared" si="369"/>
        <v>0</v>
      </c>
      <c r="KW76" s="43">
        <f t="shared" si="370"/>
        <v>-1</v>
      </c>
      <c r="KY76" s="47">
        <v>1</v>
      </c>
      <c r="KZ76" s="48" t="s">
        <v>4</v>
      </c>
      <c r="LA76" s="49">
        <v>2</v>
      </c>
      <c r="LC76" s="42">
        <f t="shared" si="371"/>
        <v>0</v>
      </c>
      <c r="LD76" s="43">
        <f t="shared" si="372"/>
        <v>-1</v>
      </c>
      <c r="LF76" s="47">
        <v>2</v>
      </c>
      <c r="LG76" s="48" t="s">
        <v>4</v>
      </c>
      <c r="LH76" s="49">
        <v>3</v>
      </c>
      <c r="LJ76" s="42">
        <f t="shared" si="373"/>
        <v>0</v>
      </c>
      <c r="LK76" s="43">
        <f t="shared" si="374"/>
        <v>-1</v>
      </c>
      <c r="LM76" s="47">
        <v>0</v>
      </c>
      <c r="LN76" s="48" t="s">
        <v>4</v>
      </c>
      <c r="LO76" s="49">
        <v>2</v>
      </c>
      <c r="LQ76" s="42">
        <f t="shared" si="375"/>
        <v>0</v>
      </c>
      <c r="LR76" s="43">
        <f t="shared" si="376"/>
        <v>-2</v>
      </c>
      <c r="LT76" s="47">
        <v>1</v>
      </c>
      <c r="LU76" s="48" t="s">
        <v>4</v>
      </c>
      <c r="LV76" s="49">
        <v>1</v>
      </c>
      <c r="LX76" s="42">
        <f t="shared" si="377"/>
        <v>4.4000000000000004</v>
      </c>
      <c r="LY76" s="43">
        <f t="shared" si="378"/>
        <v>0</v>
      </c>
      <c r="MA76" s="47">
        <v>1</v>
      </c>
      <c r="MB76" s="48" t="s">
        <v>4</v>
      </c>
      <c r="MC76" s="49">
        <v>4</v>
      </c>
      <c r="ME76" s="42">
        <f t="shared" si="379"/>
        <v>0</v>
      </c>
      <c r="MF76" s="43">
        <f t="shared" si="380"/>
        <v>-3</v>
      </c>
      <c r="MH76" s="47">
        <v>1</v>
      </c>
      <c r="MI76" s="48" t="s">
        <v>4</v>
      </c>
      <c r="MJ76" s="49">
        <v>4</v>
      </c>
      <c r="ML76" s="42">
        <f t="shared" si="381"/>
        <v>0</v>
      </c>
      <c r="MM76" s="43">
        <f t="shared" si="382"/>
        <v>-3</v>
      </c>
      <c r="MO76" s="47">
        <v>1</v>
      </c>
      <c r="MP76" s="48" t="s">
        <v>4</v>
      </c>
      <c r="MQ76" s="49">
        <v>3</v>
      </c>
      <c r="MS76" s="42">
        <f t="shared" si="383"/>
        <v>0</v>
      </c>
      <c r="MT76" s="43">
        <f t="shared" si="384"/>
        <v>-2</v>
      </c>
      <c r="MV76" s="47">
        <v>2</v>
      </c>
      <c r="MW76" s="48" t="s">
        <v>4</v>
      </c>
      <c r="MX76" s="49">
        <v>3</v>
      </c>
      <c r="MZ76" s="42">
        <f t="shared" si="385"/>
        <v>0</v>
      </c>
      <c r="NA76" s="43">
        <f t="shared" si="386"/>
        <v>-1</v>
      </c>
      <c r="NC76" s="47">
        <v>0</v>
      </c>
      <c r="ND76" s="48" t="s">
        <v>4</v>
      </c>
      <c r="NE76" s="49">
        <v>3</v>
      </c>
      <c r="NG76" s="42">
        <f t="shared" si="387"/>
        <v>0</v>
      </c>
      <c r="NH76" s="43">
        <f t="shared" si="388"/>
        <v>-3</v>
      </c>
      <c r="NJ76" s="47">
        <v>2</v>
      </c>
      <c r="NK76" s="48" t="s">
        <v>4</v>
      </c>
      <c r="NL76" s="49">
        <v>1</v>
      </c>
      <c r="NN76" s="42">
        <f t="shared" si="389"/>
        <v>0</v>
      </c>
      <c r="NO76" s="43">
        <f t="shared" si="390"/>
        <v>1</v>
      </c>
      <c r="NQ76" s="47">
        <v>0</v>
      </c>
      <c r="NR76" s="48" t="s">
        <v>4</v>
      </c>
      <c r="NS76" s="49">
        <v>2</v>
      </c>
      <c r="NU76" s="42">
        <f t="shared" si="391"/>
        <v>0</v>
      </c>
      <c r="NV76" s="43">
        <f t="shared" si="392"/>
        <v>-2</v>
      </c>
      <c r="NX76" s="47">
        <v>1</v>
      </c>
      <c r="NY76" s="48" t="s">
        <v>4</v>
      </c>
      <c r="NZ76" s="49">
        <v>2</v>
      </c>
      <c r="OB76" s="42">
        <f t="shared" si="393"/>
        <v>0</v>
      </c>
      <c r="OC76" s="43">
        <f t="shared" si="394"/>
        <v>-1</v>
      </c>
      <c r="OE76" s="47">
        <v>1</v>
      </c>
      <c r="OF76" s="48" t="s">
        <v>4</v>
      </c>
      <c r="OG76" s="49">
        <v>4</v>
      </c>
      <c r="OI76" s="42">
        <f t="shared" si="395"/>
        <v>0</v>
      </c>
      <c r="OJ76" s="43">
        <f t="shared" si="396"/>
        <v>-3</v>
      </c>
      <c r="OL76" s="47">
        <v>1</v>
      </c>
      <c r="OM76" s="48" t="s">
        <v>4</v>
      </c>
      <c r="ON76" s="49">
        <v>2</v>
      </c>
      <c r="OP76" s="42">
        <f t="shared" si="397"/>
        <v>0</v>
      </c>
      <c r="OQ76" s="43">
        <f t="shared" si="398"/>
        <v>-1</v>
      </c>
      <c r="OS76" s="47">
        <v>1</v>
      </c>
      <c r="OT76" s="48" t="s">
        <v>4</v>
      </c>
      <c r="OU76" s="49">
        <v>3</v>
      </c>
      <c r="OW76" s="42">
        <f t="shared" si="399"/>
        <v>0</v>
      </c>
      <c r="OX76" s="43">
        <f t="shared" si="400"/>
        <v>-2</v>
      </c>
      <c r="OZ76" s="47">
        <v>1</v>
      </c>
      <c r="PA76" s="48" t="s">
        <v>4</v>
      </c>
      <c r="PB76" s="49">
        <v>2</v>
      </c>
      <c r="PD76" s="42">
        <f t="shared" si="401"/>
        <v>0</v>
      </c>
      <c r="PE76" s="43">
        <f t="shared" si="402"/>
        <v>-1</v>
      </c>
      <c r="PG76" s="47">
        <v>1</v>
      </c>
      <c r="PH76" s="48" t="s">
        <v>4</v>
      </c>
      <c r="PI76" s="49">
        <v>2</v>
      </c>
      <c r="PK76" s="42">
        <f t="shared" si="403"/>
        <v>0</v>
      </c>
      <c r="PL76" s="43">
        <f t="shared" si="404"/>
        <v>-1</v>
      </c>
      <c r="PN76" s="47">
        <v>0</v>
      </c>
      <c r="PO76" s="48" t="s">
        <v>4</v>
      </c>
      <c r="PP76" s="49">
        <v>1</v>
      </c>
      <c r="PR76" s="42">
        <f t="shared" si="405"/>
        <v>0</v>
      </c>
      <c r="PS76" s="43">
        <f t="shared" si="406"/>
        <v>-1</v>
      </c>
      <c r="PU76" s="47">
        <v>2</v>
      </c>
      <c r="PV76" s="48" t="s">
        <v>4</v>
      </c>
      <c r="PW76" s="49">
        <v>3</v>
      </c>
      <c r="PY76" s="42">
        <f t="shared" si="407"/>
        <v>0</v>
      </c>
      <c r="PZ76" s="43">
        <f t="shared" si="408"/>
        <v>-1</v>
      </c>
      <c r="QB76" s="47">
        <v>1</v>
      </c>
      <c r="QC76" s="48" t="s">
        <v>4</v>
      </c>
      <c r="QD76" s="49">
        <v>2</v>
      </c>
      <c r="QF76" s="42">
        <f t="shared" si="409"/>
        <v>0</v>
      </c>
      <c r="QG76" s="43">
        <f t="shared" si="410"/>
        <v>-1</v>
      </c>
      <c r="QI76" s="47">
        <v>1</v>
      </c>
      <c r="QJ76" s="48" t="s">
        <v>4</v>
      </c>
      <c r="QK76" s="49">
        <v>3</v>
      </c>
      <c r="QM76" s="42">
        <f t="shared" si="411"/>
        <v>0</v>
      </c>
      <c r="QN76" s="43">
        <f t="shared" si="412"/>
        <v>-2</v>
      </c>
      <c r="QP76" s="47">
        <v>1</v>
      </c>
      <c r="QQ76" s="48" t="s">
        <v>4</v>
      </c>
      <c r="QR76" s="49">
        <v>3</v>
      </c>
      <c r="QT76" s="42">
        <f t="shared" si="413"/>
        <v>0</v>
      </c>
      <c r="QU76" s="43">
        <f t="shared" si="414"/>
        <v>-2</v>
      </c>
      <c r="QW76" s="47">
        <v>0</v>
      </c>
      <c r="QX76" s="48" t="s">
        <v>4</v>
      </c>
      <c r="QY76" s="49">
        <v>3</v>
      </c>
      <c r="RA76" s="42">
        <f t="shared" si="415"/>
        <v>0</v>
      </c>
      <c r="RB76" s="43">
        <f t="shared" si="416"/>
        <v>-3</v>
      </c>
      <c r="RD76" s="47"/>
      <c r="RE76" s="48" t="s">
        <v>4</v>
      </c>
      <c r="RF76" s="49"/>
      <c r="RH76" s="42" t="str">
        <f t="shared" si="417"/>
        <v/>
      </c>
      <c r="RI76" s="43">
        <f t="shared" si="418"/>
        <v>0</v>
      </c>
      <c r="RK76" s="47">
        <v>1</v>
      </c>
      <c r="RL76" s="48" t="s">
        <v>4</v>
      </c>
      <c r="RM76" s="49">
        <v>2</v>
      </c>
      <c r="RO76" s="42">
        <f t="shared" si="419"/>
        <v>0</v>
      </c>
      <c r="RP76" s="43">
        <f t="shared" si="420"/>
        <v>-1</v>
      </c>
      <c r="RR76" s="47">
        <v>1</v>
      </c>
      <c r="RS76" s="48" t="s">
        <v>4</v>
      </c>
      <c r="RT76" s="49">
        <v>2</v>
      </c>
      <c r="RV76" s="42">
        <f t="shared" si="421"/>
        <v>0</v>
      </c>
      <c r="RW76" s="43">
        <f t="shared" si="422"/>
        <v>-1</v>
      </c>
      <c r="RY76" s="47">
        <v>1</v>
      </c>
      <c r="RZ76" s="48" t="s">
        <v>4</v>
      </c>
      <c r="SA76" s="49">
        <v>2</v>
      </c>
      <c r="SC76" s="42">
        <f t="shared" si="423"/>
        <v>0</v>
      </c>
      <c r="SD76" s="43">
        <f t="shared" si="424"/>
        <v>-1</v>
      </c>
      <c r="SF76" s="47">
        <v>1</v>
      </c>
      <c r="SG76" s="48" t="s">
        <v>4</v>
      </c>
      <c r="SH76" s="49">
        <v>2</v>
      </c>
      <c r="SJ76" s="42">
        <f t="shared" si="425"/>
        <v>0</v>
      </c>
      <c r="SK76" s="43">
        <f t="shared" si="426"/>
        <v>-1</v>
      </c>
      <c r="SM76" s="47">
        <v>1</v>
      </c>
      <c r="SN76" s="48" t="s">
        <v>4</v>
      </c>
      <c r="SO76" s="49">
        <v>3</v>
      </c>
      <c r="SQ76" s="42">
        <f t="shared" si="427"/>
        <v>0</v>
      </c>
      <c r="SR76" s="43">
        <f t="shared" si="428"/>
        <v>-2</v>
      </c>
    </row>
    <row r="77" spans="1:512" ht="16" customHeight="1" x14ac:dyDescent="0.15">
      <c r="A77" s="51">
        <v>46201</v>
      </c>
      <c r="B77" s="35">
        <v>6.25E-2</v>
      </c>
      <c r="C77" s="82" t="s">
        <v>57</v>
      </c>
      <c r="D77" s="83" t="s">
        <v>60</v>
      </c>
      <c r="E77" s="2">
        <v>3</v>
      </c>
      <c r="F77" s="50" t="s">
        <v>4</v>
      </c>
      <c r="G77" s="1">
        <v>1</v>
      </c>
      <c r="H77" s="16">
        <v>4.4000000000000004</v>
      </c>
      <c r="I77" s="32">
        <f t="shared" si="429"/>
        <v>2</v>
      </c>
      <c r="J77" s="47">
        <v>2</v>
      </c>
      <c r="K77" s="48" t="s">
        <v>4</v>
      </c>
      <c r="L77" s="49">
        <v>0</v>
      </c>
      <c r="N77" s="42">
        <f t="shared" si="430"/>
        <v>4.4000000000000004</v>
      </c>
      <c r="O77" s="43">
        <f t="shared" si="431"/>
        <v>2</v>
      </c>
      <c r="P77" s="5"/>
      <c r="Q77" s="47">
        <v>2</v>
      </c>
      <c r="R77" s="48" t="s">
        <v>4</v>
      </c>
      <c r="S77" s="49">
        <v>2</v>
      </c>
      <c r="U77" s="42">
        <f t="shared" si="287"/>
        <v>0</v>
      </c>
      <c r="V77" s="43">
        <f t="shared" si="288"/>
        <v>0</v>
      </c>
      <c r="W77" s="5"/>
      <c r="X77" s="47">
        <v>0</v>
      </c>
      <c r="Y77" s="48" t="s">
        <v>4</v>
      </c>
      <c r="Z77" s="49">
        <v>1</v>
      </c>
      <c r="AB77" s="42">
        <f t="shared" si="289"/>
        <v>0</v>
      </c>
      <c r="AC77" s="43">
        <f t="shared" si="290"/>
        <v>-1</v>
      </c>
      <c r="AD77" s="5"/>
      <c r="AE77" s="47">
        <v>1</v>
      </c>
      <c r="AF77" s="48" t="s">
        <v>4</v>
      </c>
      <c r="AG77" s="49">
        <v>2</v>
      </c>
      <c r="AI77" s="42">
        <f t="shared" si="291"/>
        <v>0</v>
      </c>
      <c r="AJ77" s="43">
        <f t="shared" si="292"/>
        <v>-1</v>
      </c>
      <c r="AL77" s="47">
        <v>1</v>
      </c>
      <c r="AM77" s="48" t="s">
        <v>4</v>
      </c>
      <c r="AN77" s="49">
        <v>1</v>
      </c>
      <c r="AP77" s="42">
        <f t="shared" si="293"/>
        <v>0</v>
      </c>
      <c r="AQ77" s="43">
        <f t="shared" si="294"/>
        <v>0</v>
      </c>
      <c r="AS77" s="47">
        <v>1</v>
      </c>
      <c r="AT77" s="48" t="s">
        <v>4</v>
      </c>
      <c r="AU77" s="49">
        <v>0</v>
      </c>
      <c r="AW77" s="42">
        <f t="shared" si="295"/>
        <v>4.4000000000000004</v>
      </c>
      <c r="AX77" s="43">
        <f t="shared" si="296"/>
        <v>1</v>
      </c>
      <c r="AZ77" s="47">
        <v>0</v>
      </c>
      <c r="BA77" s="48" t="s">
        <v>4</v>
      </c>
      <c r="BB77" s="49">
        <v>0</v>
      </c>
      <c r="BD77" s="42">
        <f t="shared" si="297"/>
        <v>0</v>
      </c>
      <c r="BE77" s="43">
        <f t="shared" si="298"/>
        <v>0</v>
      </c>
      <c r="BF77" s="5"/>
      <c r="BG77" s="47">
        <v>1</v>
      </c>
      <c r="BH77" s="48" t="s">
        <v>4</v>
      </c>
      <c r="BI77" s="49">
        <v>0</v>
      </c>
      <c r="BK77" s="42">
        <f t="shared" si="299"/>
        <v>4.4000000000000004</v>
      </c>
      <c r="BL77" s="43">
        <f t="shared" si="300"/>
        <v>1</v>
      </c>
      <c r="BN77" s="47">
        <v>0</v>
      </c>
      <c r="BO77" s="48" t="s">
        <v>4</v>
      </c>
      <c r="BP77" s="49">
        <v>1</v>
      </c>
      <c r="BR77" s="42">
        <f t="shared" si="301"/>
        <v>0</v>
      </c>
      <c r="BS77" s="43">
        <f t="shared" si="302"/>
        <v>-1</v>
      </c>
      <c r="BU77" s="47">
        <v>1</v>
      </c>
      <c r="BV77" s="48" t="s">
        <v>4</v>
      </c>
      <c r="BW77" s="49">
        <v>0</v>
      </c>
      <c r="BY77" s="42">
        <f t="shared" si="303"/>
        <v>4.4000000000000004</v>
      </c>
      <c r="BZ77" s="43">
        <f t="shared" si="304"/>
        <v>1</v>
      </c>
      <c r="CB77" s="47">
        <v>1</v>
      </c>
      <c r="CC77" s="48" t="s">
        <v>4</v>
      </c>
      <c r="CD77" s="49">
        <v>1</v>
      </c>
      <c r="CF77" s="42">
        <f t="shared" si="305"/>
        <v>0</v>
      </c>
      <c r="CG77" s="43">
        <f t="shared" si="306"/>
        <v>0</v>
      </c>
      <c r="CH77" s="5"/>
      <c r="CI77" s="47">
        <v>0</v>
      </c>
      <c r="CJ77" s="48" t="s">
        <v>4</v>
      </c>
      <c r="CK77" s="49">
        <v>0</v>
      </c>
      <c r="CM77" s="42">
        <f t="shared" si="307"/>
        <v>0</v>
      </c>
      <c r="CN77" s="43">
        <f t="shared" si="308"/>
        <v>0</v>
      </c>
      <c r="CP77" s="47">
        <v>0</v>
      </c>
      <c r="CQ77" s="48" t="s">
        <v>4</v>
      </c>
      <c r="CR77" s="49">
        <v>0</v>
      </c>
      <c r="CT77" s="42">
        <f t="shared" si="309"/>
        <v>0</v>
      </c>
      <c r="CU77" s="43">
        <f t="shared" si="310"/>
        <v>0</v>
      </c>
      <c r="CW77" s="47">
        <v>0</v>
      </c>
      <c r="CX77" s="48" t="s">
        <v>4</v>
      </c>
      <c r="CY77" s="49">
        <v>0</v>
      </c>
      <c r="DA77" s="42">
        <f t="shared" si="311"/>
        <v>0</v>
      </c>
      <c r="DB77" s="43">
        <f t="shared" si="312"/>
        <v>0</v>
      </c>
      <c r="DD77" s="47">
        <v>2</v>
      </c>
      <c r="DE77" s="48" t="s">
        <v>4</v>
      </c>
      <c r="DF77" s="49">
        <v>1</v>
      </c>
      <c r="DH77" s="42">
        <f t="shared" si="313"/>
        <v>4.4000000000000004</v>
      </c>
      <c r="DI77" s="43">
        <f t="shared" si="314"/>
        <v>1</v>
      </c>
      <c r="DJ77" s="5"/>
      <c r="DK77" s="47">
        <v>0</v>
      </c>
      <c r="DL77" s="48" t="s">
        <v>4</v>
      </c>
      <c r="DM77" s="49">
        <v>1</v>
      </c>
      <c r="DO77" s="42">
        <f t="shared" si="315"/>
        <v>0</v>
      </c>
      <c r="DP77" s="43">
        <f t="shared" si="316"/>
        <v>-1</v>
      </c>
      <c r="DR77" s="47">
        <v>1</v>
      </c>
      <c r="DS77" s="48" t="s">
        <v>4</v>
      </c>
      <c r="DT77" s="49">
        <v>0</v>
      </c>
      <c r="DV77" s="42">
        <f t="shared" si="317"/>
        <v>4.4000000000000004</v>
      </c>
      <c r="DW77" s="43">
        <f t="shared" si="318"/>
        <v>1</v>
      </c>
      <c r="DY77" s="47">
        <v>2</v>
      </c>
      <c r="DZ77" s="48" t="s">
        <v>4</v>
      </c>
      <c r="EA77" s="49">
        <v>0</v>
      </c>
      <c r="EC77" s="42">
        <f t="shared" si="319"/>
        <v>4.4000000000000004</v>
      </c>
      <c r="ED77" s="43">
        <f t="shared" si="320"/>
        <v>2</v>
      </c>
      <c r="EF77" s="47">
        <v>0</v>
      </c>
      <c r="EG77" s="48" t="s">
        <v>4</v>
      </c>
      <c r="EH77" s="49">
        <v>0</v>
      </c>
      <c r="EJ77" s="42">
        <f t="shared" si="321"/>
        <v>0</v>
      </c>
      <c r="EK77" s="43">
        <f t="shared" si="322"/>
        <v>0</v>
      </c>
      <c r="EL77" s="5"/>
      <c r="EM77" s="47">
        <v>1</v>
      </c>
      <c r="EN77" s="48" t="s">
        <v>4</v>
      </c>
      <c r="EO77" s="49">
        <v>0</v>
      </c>
      <c r="EQ77" s="42">
        <f t="shared" si="323"/>
        <v>4.4000000000000004</v>
      </c>
      <c r="ER77" s="43">
        <f t="shared" si="324"/>
        <v>1</v>
      </c>
      <c r="ET77" s="47">
        <v>1</v>
      </c>
      <c r="EU77" s="48" t="s">
        <v>4</v>
      </c>
      <c r="EV77" s="49">
        <v>0</v>
      </c>
      <c r="EX77" s="42">
        <f t="shared" si="325"/>
        <v>4.4000000000000004</v>
      </c>
      <c r="EY77" s="43">
        <f t="shared" si="326"/>
        <v>1</v>
      </c>
      <c r="FA77" s="47">
        <v>1</v>
      </c>
      <c r="FB77" s="48" t="s">
        <v>4</v>
      </c>
      <c r="FC77" s="49">
        <v>1</v>
      </c>
      <c r="FE77" s="42">
        <f t="shared" si="327"/>
        <v>0</v>
      </c>
      <c r="FF77" s="43">
        <f t="shared" si="328"/>
        <v>0</v>
      </c>
      <c r="FH77" s="47">
        <v>2</v>
      </c>
      <c r="FI77" s="48" t="s">
        <v>4</v>
      </c>
      <c r="FJ77" s="49">
        <v>1</v>
      </c>
      <c r="FL77" s="42">
        <f t="shared" si="329"/>
        <v>4.4000000000000004</v>
      </c>
      <c r="FM77" s="43">
        <f t="shared" si="330"/>
        <v>1</v>
      </c>
      <c r="FN77" s="5"/>
      <c r="FO77" s="47">
        <v>1</v>
      </c>
      <c r="FP77" s="48" t="s">
        <v>4</v>
      </c>
      <c r="FQ77" s="49">
        <v>1</v>
      </c>
      <c r="FS77" s="42">
        <f t="shared" si="331"/>
        <v>0</v>
      </c>
      <c r="FT77" s="43">
        <f t="shared" si="332"/>
        <v>0</v>
      </c>
      <c r="FV77" s="47">
        <v>1</v>
      </c>
      <c r="FW77" s="48" t="s">
        <v>4</v>
      </c>
      <c r="FX77" s="49">
        <v>0</v>
      </c>
      <c r="FZ77" s="42">
        <f t="shared" si="333"/>
        <v>4.4000000000000004</v>
      </c>
      <c r="GA77" s="43">
        <f t="shared" si="334"/>
        <v>1</v>
      </c>
      <c r="GC77" s="47">
        <v>7</v>
      </c>
      <c r="GD77" s="48" t="s">
        <v>4</v>
      </c>
      <c r="GE77" s="49">
        <v>5</v>
      </c>
      <c r="GG77" s="42">
        <f t="shared" si="335"/>
        <v>4.4000000000000004</v>
      </c>
      <c r="GH77" s="43">
        <f t="shared" si="336"/>
        <v>2</v>
      </c>
      <c r="GJ77" s="47">
        <v>1</v>
      </c>
      <c r="GK77" s="48" t="s">
        <v>4</v>
      </c>
      <c r="GL77" s="49">
        <v>1</v>
      </c>
      <c r="GN77" s="42">
        <f t="shared" si="337"/>
        <v>0</v>
      </c>
      <c r="GO77" s="43">
        <f t="shared" si="338"/>
        <v>0</v>
      </c>
      <c r="GP77" s="5"/>
      <c r="GQ77" s="47">
        <v>1</v>
      </c>
      <c r="GR77" s="48" t="s">
        <v>4</v>
      </c>
      <c r="GS77" s="49">
        <v>1</v>
      </c>
      <c r="GU77" s="42">
        <f t="shared" si="339"/>
        <v>0</v>
      </c>
      <c r="GV77" s="43">
        <f t="shared" si="340"/>
        <v>0</v>
      </c>
      <c r="GX77" s="47">
        <v>1</v>
      </c>
      <c r="GY77" s="48" t="s">
        <v>4</v>
      </c>
      <c r="GZ77" s="49">
        <v>1</v>
      </c>
      <c r="HB77" s="42">
        <f t="shared" si="341"/>
        <v>0</v>
      </c>
      <c r="HC77" s="43">
        <f t="shared" si="342"/>
        <v>0</v>
      </c>
      <c r="HE77" s="47">
        <v>1</v>
      </c>
      <c r="HF77" s="48" t="s">
        <v>4</v>
      </c>
      <c r="HG77" s="49">
        <v>0</v>
      </c>
      <c r="HI77" s="42">
        <f t="shared" si="343"/>
        <v>4.4000000000000004</v>
      </c>
      <c r="HJ77" s="43">
        <f t="shared" si="344"/>
        <v>1</v>
      </c>
      <c r="HL77" s="47">
        <v>2</v>
      </c>
      <c r="HM77" s="48" t="s">
        <v>4</v>
      </c>
      <c r="HN77" s="49">
        <v>0</v>
      </c>
      <c r="HP77" s="42">
        <f t="shared" si="345"/>
        <v>4.4000000000000004</v>
      </c>
      <c r="HQ77" s="43">
        <f t="shared" si="346"/>
        <v>2</v>
      </c>
      <c r="HR77" s="5"/>
      <c r="HS77" s="47">
        <v>1</v>
      </c>
      <c r="HT77" s="48" t="s">
        <v>4</v>
      </c>
      <c r="HU77" s="49">
        <v>0</v>
      </c>
      <c r="HW77" s="42">
        <f t="shared" si="347"/>
        <v>4.4000000000000004</v>
      </c>
      <c r="HX77" s="43">
        <f t="shared" si="348"/>
        <v>1</v>
      </c>
      <c r="HZ77" s="47">
        <v>1</v>
      </c>
      <c r="IA77" s="48" t="s">
        <v>4</v>
      </c>
      <c r="IB77" s="49">
        <v>0</v>
      </c>
      <c r="ID77" s="42">
        <f t="shared" si="349"/>
        <v>4.4000000000000004</v>
      </c>
      <c r="IE77" s="43">
        <f t="shared" si="350"/>
        <v>1</v>
      </c>
      <c r="IG77" s="47">
        <v>0</v>
      </c>
      <c r="IH77" s="48" t="s">
        <v>4</v>
      </c>
      <c r="II77" s="49">
        <v>0</v>
      </c>
      <c r="IK77" s="42">
        <f t="shared" si="351"/>
        <v>0</v>
      </c>
      <c r="IL77" s="43">
        <f t="shared" si="352"/>
        <v>0</v>
      </c>
      <c r="IN77" s="47">
        <v>3</v>
      </c>
      <c r="IO77" s="48" t="s">
        <v>4</v>
      </c>
      <c r="IP77" s="49">
        <v>2</v>
      </c>
      <c r="IR77" s="42">
        <f t="shared" si="353"/>
        <v>4.4000000000000004</v>
      </c>
      <c r="IS77" s="43">
        <f t="shared" si="354"/>
        <v>1</v>
      </c>
      <c r="IT77" s="5"/>
      <c r="IU77" s="47">
        <v>2</v>
      </c>
      <c r="IV77" s="48" t="s">
        <v>4</v>
      </c>
      <c r="IW77" s="49">
        <v>0</v>
      </c>
      <c r="IY77" s="42">
        <f t="shared" si="355"/>
        <v>4.4000000000000004</v>
      </c>
      <c r="IZ77" s="43">
        <f t="shared" si="356"/>
        <v>2</v>
      </c>
      <c r="JB77" s="47">
        <v>1</v>
      </c>
      <c r="JC77" s="48" t="s">
        <v>4</v>
      </c>
      <c r="JD77" s="49">
        <v>0</v>
      </c>
      <c r="JF77" s="42">
        <f t="shared" si="357"/>
        <v>4.4000000000000004</v>
      </c>
      <c r="JG77" s="43">
        <f t="shared" si="358"/>
        <v>1</v>
      </c>
      <c r="JI77" s="47">
        <v>3</v>
      </c>
      <c r="JJ77" s="48" t="s">
        <v>4</v>
      </c>
      <c r="JK77" s="49">
        <v>1</v>
      </c>
      <c r="JM77" s="42">
        <f t="shared" si="359"/>
        <v>6.6000000000000005</v>
      </c>
      <c r="JN77" s="43">
        <f t="shared" si="360"/>
        <v>2</v>
      </c>
      <c r="JP77" s="47">
        <v>3</v>
      </c>
      <c r="JQ77" s="48" t="s">
        <v>4</v>
      </c>
      <c r="JR77" s="49">
        <v>2</v>
      </c>
      <c r="JT77" s="42">
        <f t="shared" si="361"/>
        <v>4.4000000000000004</v>
      </c>
      <c r="JU77" s="43">
        <f t="shared" si="362"/>
        <v>1</v>
      </c>
      <c r="JV77" s="5"/>
      <c r="JW77" s="47">
        <v>1</v>
      </c>
      <c r="JX77" s="48" t="s">
        <v>4</v>
      </c>
      <c r="JY77" s="49">
        <v>1</v>
      </c>
      <c r="KA77" s="42">
        <f t="shared" si="363"/>
        <v>0</v>
      </c>
      <c r="KB77" s="43">
        <f t="shared" si="364"/>
        <v>0</v>
      </c>
      <c r="KD77" s="47">
        <v>1</v>
      </c>
      <c r="KE77" s="48" t="s">
        <v>4</v>
      </c>
      <c r="KF77" s="49">
        <v>1</v>
      </c>
      <c r="KH77" s="42">
        <f t="shared" si="365"/>
        <v>0</v>
      </c>
      <c r="KI77" s="43">
        <f t="shared" si="366"/>
        <v>0</v>
      </c>
      <c r="KK77" s="47">
        <v>1</v>
      </c>
      <c r="KL77" s="48" t="s">
        <v>4</v>
      </c>
      <c r="KM77" s="49">
        <v>1</v>
      </c>
      <c r="KO77" s="42">
        <f t="shared" si="367"/>
        <v>0</v>
      </c>
      <c r="KP77" s="43">
        <f t="shared" si="368"/>
        <v>0</v>
      </c>
      <c r="KR77" s="47">
        <v>1</v>
      </c>
      <c r="KS77" s="48" t="s">
        <v>4</v>
      </c>
      <c r="KT77" s="49">
        <v>0</v>
      </c>
      <c r="KV77" s="42">
        <f t="shared" si="369"/>
        <v>4.4000000000000004</v>
      </c>
      <c r="KW77" s="43">
        <f t="shared" si="370"/>
        <v>1</v>
      </c>
      <c r="KY77" s="47">
        <v>2</v>
      </c>
      <c r="KZ77" s="48" t="s">
        <v>4</v>
      </c>
      <c r="LA77" s="49">
        <v>1</v>
      </c>
      <c r="LC77" s="42">
        <f t="shared" si="371"/>
        <v>4.4000000000000004</v>
      </c>
      <c r="LD77" s="43">
        <f t="shared" si="372"/>
        <v>1</v>
      </c>
      <c r="LF77" s="47">
        <v>1</v>
      </c>
      <c r="LG77" s="48" t="s">
        <v>4</v>
      </c>
      <c r="LH77" s="49">
        <v>0</v>
      </c>
      <c r="LJ77" s="42">
        <f t="shared" si="373"/>
        <v>4.4000000000000004</v>
      </c>
      <c r="LK77" s="43">
        <f t="shared" si="374"/>
        <v>1</v>
      </c>
      <c r="LM77" s="47">
        <v>2</v>
      </c>
      <c r="LN77" s="48" t="s">
        <v>4</v>
      </c>
      <c r="LO77" s="49">
        <v>1</v>
      </c>
      <c r="LQ77" s="42">
        <f t="shared" si="375"/>
        <v>4.4000000000000004</v>
      </c>
      <c r="LR77" s="43">
        <f t="shared" si="376"/>
        <v>1</v>
      </c>
      <c r="LT77" s="47">
        <v>1</v>
      </c>
      <c r="LU77" s="48" t="s">
        <v>4</v>
      </c>
      <c r="LV77" s="49">
        <v>1</v>
      </c>
      <c r="LX77" s="42">
        <f t="shared" si="377"/>
        <v>0</v>
      </c>
      <c r="LY77" s="43">
        <f t="shared" si="378"/>
        <v>0</v>
      </c>
      <c r="MA77" s="47">
        <v>0</v>
      </c>
      <c r="MB77" s="48" t="s">
        <v>4</v>
      </c>
      <c r="MC77" s="49">
        <v>2</v>
      </c>
      <c r="ME77" s="42">
        <f t="shared" si="379"/>
        <v>0</v>
      </c>
      <c r="MF77" s="43">
        <f t="shared" si="380"/>
        <v>-2</v>
      </c>
      <c r="MH77" s="47">
        <v>2</v>
      </c>
      <c r="MI77" s="48" t="s">
        <v>4</v>
      </c>
      <c r="MJ77" s="49">
        <v>2</v>
      </c>
      <c r="ML77" s="42">
        <f t="shared" si="381"/>
        <v>0</v>
      </c>
      <c r="MM77" s="43">
        <f t="shared" si="382"/>
        <v>0</v>
      </c>
      <c r="MO77" s="47">
        <v>1</v>
      </c>
      <c r="MP77" s="48" t="s">
        <v>4</v>
      </c>
      <c r="MQ77" s="49">
        <v>1</v>
      </c>
      <c r="MS77" s="42">
        <f t="shared" si="383"/>
        <v>0</v>
      </c>
      <c r="MT77" s="43">
        <f t="shared" si="384"/>
        <v>0</v>
      </c>
      <c r="MV77" s="47">
        <v>1</v>
      </c>
      <c r="MW77" s="48" t="s">
        <v>4</v>
      </c>
      <c r="MX77" s="49">
        <v>0</v>
      </c>
      <c r="MZ77" s="42">
        <f t="shared" si="385"/>
        <v>4.4000000000000004</v>
      </c>
      <c r="NA77" s="43">
        <f t="shared" si="386"/>
        <v>1</v>
      </c>
      <c r="NC77" s="47">
        <v>0</v>
      </c>
      <c r="ND77" s="48" t="s">
        <v>4</v>
      </c>
      <c r="NE77" s="49">
        <v>0</v>
      </c>
      <c r="NG77" s="42">
        <f t="shared" si="387"/>
        <v>0</v>
      </c>
      <c r="NH77" s="43">
        <f t="shared" si="388"/>
        <v>0</v>
      </c>
      <c r="NJ77" s="47">
        <v>0</v>
      </c>
      <c r="NK77" s="48" t="s">
        <v>4</v>
      </c>
      <c r="NL77" s="49">
        <v>1</v>
      </c>
      <c r="NN77" s="42">
        <f t="shared" si="389"/>
        <v>0</v>
      </c>
      <c r="NO77" s="43">
        <f t="shared" si="390"/>
        <v>-1</v>
      </c>
      <c r="NQ77" s="47">
        <v>1</v>
      </c>
      <c r="NR77" s="48" t="s">
        <v>4</v>
      </c>
      <c r="NS77" s="49">
        <v>0</v>
      </c>
      <c r="NU77" s="42">
        <f t="shared" si="391"/>
        <v>4.4000000000000004</v>
      </c>
      <c r="NV77" s="43">
        <f t="shared" si="392"/>
        <v>1</v>
      </c>
      <c r="NX77" s="47">
        <v>2</v>
      </c>
      <c r="NY77" s="48" t="s">
        <v>4</v>
      </c>
      <c r="NZ77" s="49">
        <v>0</v>
      </c>
      <c r="OB77" s="42">
        <f t="shared" si="393"/>
        <v>4.4000000000000004</v>
      </c>
      <c r="OC77" s="43">
        <f t="shared" si="394"/>
        <v>2</v>
      </c>
      <c r="OE77" s="47">
        <v>1</v>
      </c>
      <c r="OF77" s="48" t="s">
        <v>4</v>
      </c>
      <c r="OG77" s="49">
        <v>1</v>
      </c>
      <c r="OI77" s="42">
        <f t="shared" si="395"/>
        <v>0</v>
      </c>
      <c r="OJ77" s="43">
        <f t="shared" si="396"/>
        <v>0</v>
      </c>
      <c r="OL77" s="47">
        <v>2</v>
      </c>
      <c r="OM77" s="48" t="s">
        <v>4</v>
      </c>
      <c r="ON77" s="49">
        <v>2</v>
      </c>
      <c r="OP77" s="42">
        <f t="shared" si="397"/>
        <v>0</v>
      </c>
      <c r="OQ77" s="43">
        <f t="shared" si="398"/>
        <v>0</v>
      </c>
      <c r="OS77" s="47">
        <v>0</v>
      </c>
      <c r="OT77" s="48" t="s">
        <v>4</v>
      </c>
      <c r="OU77" s="49">
        <v>0</v>
      </c>
      <c r="OW77" s="42">
        <f t="shared" si="399"/>
        <v>0</v>
      </c>
      <c r="OX77" s="43">
        <f t="shared" si="400"/>
        <v>0</v>
      </c>
      <c r="OZ77" s="47">
        <v>1</v>
      </c>
      <c r="PA77" s="48" t="s">
        <v>4</v>
      </c>
      <c r="PB77" s="49">
        <v>0</v>
      </c>
      <c r="PD77" s="42">
        <f t="shared" si="401"/>
        <v>4.4000000000000004</v>
      </c>
      <c r="PE77" s="43">
        <f t="shared" si="402"/>
        <v>1</v>
      </c>
      <c r="PG77" s="47">
        <v>2</v>
      </c>
      <c r="PH77" s="48" t="s">
        <v>4</v>
      </c>
      <c r="PI77" s="49">
        <v>0</v>
      </c>
      <c r="PK77" s="42">
        <f t="shared" si="403"/>
        <v>4.4000000000000004</v>
      </c>
      <c r="PL77" s="43">
        <f t="shared" si="404"/>
        <v>2</v>
      </c>
      <c r="PN77" s="47">
        <v>1</v>
      </c>
      <c r="PO77" s="48" t="s">
        <v>4</v>
      </c>
      <c r="PP77" s="49">
        <v>2</v>
      </c>
      <c r="PR77" s="42">
        <f t="shared" si="405"/>
        <v>0</v>
      </c>
      <c r="PS77" s="43">
        <f t="shared" si="406"/>
        <v>-1</v>
      </c>
      <c r="PU77" s="47">
        <v>1</v>
      </c>
      <c r="PV77" s="48" t="s">
        <v>4</v>
      </c>
      <c r="PW77" s="49">
        <v>2</v>
      </c>
      <c r="PY77" s="42">
        <f t="shared" si="407"/>
        <v>0</v>
      </c>
      <c r="PZ77" s="43">
        <f t="shared" si="408"/>
        <v>-1</v>
      </c>
      <c r="QB77" s="47">
        <v>0</v>
      </c>
      <c r="QC77" s="48" t="s">
        <v>4</v>
      </c>
      <c r="QD77" s="49">
        <v>2</v>
      </c>
      <c r="QF77" s="42">
        <f t="shared" si="409"/>
        <v>0</v>
      </c>
      <c r="QG77" s="43">
        <f t="shared" si="410"/>
        <v>-2</v>
      </c>
      <c r="QI77" s="47">
        <v>1</v>
      </c>
      <c r="QJ77" s="48" t="s">
        <v>4</v>
      </c>
      <c r="QK77" s="49">
        <v>2</v>
      </c>
      <c r="QM77" s="42">
        <f t="shared" si="411"/>
        <v>0</v>
      </c>
      <c r="QN77" s="43">
        <f t="shared" si="412"/>
        <v>-1</v>
      </c>
      <c r="QP77" s="47">
        <v>2</v>
      </c>
      <c r="QQ77" s="48" t="s">
        <v>4</v>
      </c>
      <c r="QR77" s="49">
        <v>1</v>
      </c>
      <c r="QT77" s="42">
        <f t="shared" si="413"/>
        <v>4.4000000000000004</v>
      </c>
      <c r="QU77" s="43">
        <f t="shared" si="414"/>
        <v>1</v>
      </c>
      <c r="QW77" s="47">
        <v>2</v>
      </c>
      <c r="QX77" s="48" t="s">
        <v>4</v>
      </c>
      <c r="QY77" s="49">
        <v>2</v>
      </c>
      <c r="RA77" s="42">
        <f t="shared" si="415"/>
        <v>0</v>
      </c>
      <c r="RB77" s="43">
        <f t="shared" si="416"/>
        <v>0</v>
      </c>
      <c r="RD77" s="47"/>
      <c r="RE77" s="48" t="s">
        <v>4</v>
      </c>
      <c r="RF77" s="49"/>
      <c r="RH77" s="42" t="str">
        <f t="shared" si="417"/>
        <v/>
      </c>
      <c r="RI77" s="43">
        <f t="shared" si="418"/>
        <v>0</v>
      </c>
      <c r="RK77" s="47">
        <v>1</v>
      </c>
      <c r="RL77" s="48" t="s">
        <v>4</v>
      </c>
      <c r="RM77" s="49">
        <v>5</v>
      </c>
      <c r="RO77" s="42">
        <f t="shared" si="419"/>
        <v>0</v>
      </c>
      <c r="RP77" s="43">
        <f t="shared" si="420"/>
        <v>-4</v>
      </c>
      <c r="RR77" s="47">
        <v>2</v>
      </c>
      <c r="RS77" s="48" t="s">
        <v>4</v>
      </c>
      <c r="RT77" s="49">
        <v>1</v>
      </c>
      <c r="RV77" s="42">
        <f t="shared" si="421"/>
        <v>4.4000000000000004</v>
      </c>
      <c r="RW77" s="43">
        <f t="shared" si="422"/>
        <v>1</v>
      </c>
      <c r="RY77" s="47">
        <v>2</v>
      </c>
      <c r="RZ77" s="48" t="s">
        <v>4</v>
      </c>
      <c r="SA77" s="49">
        <v>1</v>
      </c>
      <c r="SC77" s="42">
        <f t="shared" si="423"/>
        <v>4.4000000000000004</v>
      </c>
      <c r="SD77" s="43">
        <f t="shared" si="424"/>
        <v>1</v>
      </c>
      <c r="SF77" s="47">
        <v>2</v>
      </c>
      <c r="SG77" s="48" t="s">
        <v>4</v>
      </c>
      <c r="SH77" s="49">
        <v>1</v>
      </c>
      <c r="SJ77" s="42">
        <f t="shared" si="425"/>
        <v>4.4000000000000004</v>
      </c>
      <c r="SK77" s="43">
        <f t="shared" si="426"/>
        <v>1</v>
      </c>
      <c r="SM77" s="47">
        <v>1</v>
      </c>
      <c r="SN77" s="48" t="s">
        <v>4</v>
      </c>
      <c r="SO77" s="49">
        <v>1</v>
      </c>
      <c r="SQ77" s="42">
        <f t="shared" si="427"/>
        <v>0</v>
      </c>
      <c r="SR77" s="43">
        <f t="shared" si="428"/>
        <v>0</v>
      </c>
    </row>
    <row r="78" spans="1:512" ht="16" customHeight="1" x14ac:dyDescent="0.15">
      <c r="A78" s="51">
        <v>46201</v>
      </c>
      <c r="B78" s="46">
        <v>0.16666666666666666</v>
      </c>
      <c r="C78" s="82" t="s">
        <v>55</v>
      </c>
      <c r="D78" s="83" t="s">
        <v>24</v>
      </c>
      <c r="E78" s="2">
        <v>3</v>
      </c>
      <c r="F78" s="50" t="s">
        <v>4</v>
      </c>
      <c r="G78" s="1">
        <v>3</v>
      </c>
      <c r="H78" s="16">
        <v>4.4000000000000004</v>
      </c>
      <c r="I78" s="32">
        <f t="shared" si="429"/>
        <v>0</v>
      </c>
      <c r="J78" s="47">
        <v>1</v>
      </c>
      <c r="K78" s="48" t="s">
        <v>4</v>
      </c>
      <c r="L78" s="49">
        <v>1</v>
      </c>
      <c r="N78" s="42">
        <f t="shared" si="430"/>
        <v>4.4000000000000004</v>
      </c>
      <c r="O78" s="43">
        <f t="shared" si="431"/>
        <v>0</v>
      </c>
      <c r="P78" s="5"/>
      <c r="Q78" s="47">
        <v>1</v>
      </c>
      <c r="R78" s="48" t="s">
        <v>4</v>
      </c>
      <c r="S78" s="49">
        <v>2</v>
      </c>
      <c r="U78" s="42">
        <f t="shared" si="287"/>
        <v>0</v>
      </c>
      <c r="V78" s="43">
        <f t="shared" si="288"/>
        <v>-1</v>
      </c>
      <c r="W78" s="5"/>
      <c r="X78" s="47">
        <v>2</v>
      </c>
      <c r="Y78" s="48" t="s">
        <v>4</v>
      </c>
      <c r="Z78" s="49">
        <v>2</v>
      </c>
      <c r="AB78" s="42">
        <f t="shared" si="289"/>
        <v>4.4000000000000004</v>
      </c>
      <c r="AC78" s="43">
        <f t="shared" si="290"/>
        <v>0</v>
      </c>
      <c r="AD78" s="5"/>
      <c r="AE78" s="47">
        <v>2</v>
      </c>
      <c r="AF78" s="48" t="s">
        <v>4</v>
      </c>
      <c r="AG78" s="49">
        <v>2</v>
      </c>
      <c r="AI78" s="42">
        <f t="shared" si="291"/>
        <v>4.4000000000000004</v>
      </c>
      <c r="AJ78" s="43">
        <f t="shared" si="292"/>
        <v>0</v>
      </c>
      <c r="AL78" s="47">
        <v>1</v>
      </c>
      <c r="AM78" s="48" t="s">
        <v>4</v>
      </c>
      <c r="AN78" s="49">
        <v>1</v>
      </c>
      <c r="AP78" s="42">
        <f t="shared" si="293"/>
        <v>4.4000000000000004</v>
      </c>
      <c r="AQ78" s="43">
        <f t="shared" si="294"/>
        <v>0</v>
      </c>
      <c r="AS78" s="47">
        <v>0</v>
      </c>
      <c r="AT78" s="48" t="s">
        <v>4</v>
      </c>
      <c r="AU78" s="49">
        <v>2</v>
      </c>
      <c r="AW78" s="42">
        <f t="shared" si="295"/>
        <v>0</v>
      </c>
      <c r="AX78" s="43">
        <f t="shared" si="296"/>
        <v>-2</v>
      </c>
      <c r="AZ78" s="47">
        <v>1</v>
      </c>
      <c r="BA78" s="48" t="s">
        <v>4</v>
      </c>
      <c r="BB78" s="49">
        <v>3</v>
      </c>
      <c r="BD78" s="42">
        <f t="shared" si="297"/>
        <v>0</v>
      </c>
      <c r="BE78" s="43">
        <f t="shared" si="298"/>
        <v>-2</v>
      </c>
      <c r="BF78" s="5"/>
      <c r="BG78" s="47">
        <v>2</v>
      </c>
      <c r="BH78" s="48" t="s">
        <v>4</v>
      </c>
      <c r="BI78" s="49">
        <v>3</v>
      </c>
      <c r="BK78" s="42">
        <f t="shared" si="299"/>
        <v>0</v>
      </c>
      <c r="BL78" s="43">
        <f t="shared" si="300"/>
        <v>-1</v>
      </c>
      <c r="BN78" s="47">
        <v>1</v>
      </c>
      <c r="BO78" s="48" t="s">
        <v>4</v>
      </c>
      <c r="BP78" s="49">
        <v>1</v>
      </c>
      <c r="BR78" s="42">
        <f t="shared" si="301"/>
        <v>4.4000000000000004</v>
      </c>
      <c r="BS78" s="43">
        <f t="shared" si="302"/>
        <v>0</v>
      </c>
      <c r="BU78" s="47">
        <v>0</v>
      </c>
      <c r="BV78" s="48" t="s">
        <v>4</v>
      </c>
      <c r="BW78" s="49">
        <v>1</v>
      </c>
      <c r="BY78" s="42">
        <f t="shared" si="303"/>
        <v>0</v>
      </c>
      <c r="BZ78" s="43">
        <f t="shared" si="304"/>
        <v>-1</v>
      </c>
      <c r="CB78" s="47">
        <v>0</v>
      </c>
      <c r="CC78" s="48" t="s">
        <v>4</v>
      </c>
      <c r="CD78" s="49">
        <v>1</v>
      </c>
      <c r="CF78" s="42">
        <f t="shared" si="305"/>
        <v>0</v>
      </c>
      <c r="CG78" s="43">
        <f t="shared" si="306"/>
        <v>-1</v>
      </c>
      <c r="CH78" s="5"/>
      <c r="CI78" s="47">
        <v>1</v>
      </c>
      <c r="CJ78" s="48" t="s">
        <v>4</v>
      </c>
      <c r="CK78" s="49">
        <v>2</v>
      </c>
      <c r="CM78" s="42">
        <f t="shared" si="307"/>
        <v>0</v>
      </c>
      <c r="CN78" s="43">
        <f t="shared" si="308"/>
        <v>-1</v>
      </c>
      <c r="CP78" s="47">
        <v>0</v>
      </c>
      <c r="CQ78" s="48" t="s">
        <v>4</v>
      </c>
      <c r="CR78" s="49">
        <v>1</v>
      </c>
      <c r="CT78" s="42">
        <f t="shared" si="309"/>
        <v>0</v>
      </c>
      <c r="CU78" s="43">
        <f t="shared" si="310"/>
        <v>-1</v>
      </c>
      <c r="CW78" s="47">
        <v>0</v>
      </c>
      <c r="CX78" s="48" t="s">
        <v>4</v>
      </c>
      <c r="CY78" s="49">
        <v>1</v>
      </c>
      <c r="DA78" s="42">
        <f t="shared" si="311"/>
        <v>0</v>
      </c>
      <c r="DB78" s="43">
        <f t="shared" si="312"/>
        <v>-1</v>
      </c>
      <c r="DD78" s="47">
        <v>1</v>
      </c>
      <c r="DE78" s="48" t="s">
        <v>4</v>
      </c>
      <c r="DF78" s="49">
        <v>2</v>
      </c>
      <c r="DH78" s="42">
        <f t="shared" si="313"/>
        <v>0</v>
      </c>
      <c r="DI78" s="43">
        <f t="shared" si="314"/>
        <v>-1</v>
      </c>
      <c r="DJ78" s="5"/>
      <c r="DK78" s="47">
        <v>1</v>
      </c>
      <c r="DL78" s="48" t="s">
        <v>4</v>
      </c>
      <c r="DM78" s="49">
        <v>0</v>
      </c>
      <c r="DO78" s="42">
        <f t="shared" si="315"/>
        <v>0</v>
      </c>
      <c r="DP78" s="43">
        <f t="shared" si="316"/>
        <v>1</v>
      </c>
      <c r="DR78" s="47">
        <v>2</v>
      </c>
      <c r="DS78" s="48" t="s">
        <v>4</v>
      </c>
      <c r="DT78" s="49">
        <v>2</v>
      </c>
      <c r="DV78" s="42">
        <f t="shared" si="317"/>
        <v>4.4000000000000004</v>
      </c>
      <c r="DW78" s="43">
        <f t="shared" si="318"/>
        <v>0</v>
      </c>
      <c r="DY78" s="47">
        <v>1</v>
      </c>
      <c r="DZ78" s="48" t="s">
        <v>4</v>
      </c>
      <c r="EA78" s="49">
        <v>2</v>
      </c>
      <c r="EC78" s="42">
        <f t="shared" si="319"/>
        <v>0</v>
      </c>
      <c r="ED78" s="43">
        <f t="shared" si="320"/>
        <v>-1</v>
      </c>
      <c r="EF78" s="47">
        <v>0</v>
      </c>
      <c r="EG78" s="48" t="s">
        <v>4</v>
      </c>
      <c r="EH78" s="49">
        <v>1</v>
      </c>
      <c r="EJ78" s="42">
        <f t="shared" si="321"/>
        <v>0</v>
      </c>
      <c r="EK78" s="43">
        <f t="shared" si="322"/>
        <v>-1</v>
      </c>
      <c r="EL78" s="5"/>
      <c r="EM78" s="47">
        <v>1</v>
      </c>
      <c r="EN78" s="48" t="s">
        <v>4</v>
      </c>
      <c r="EO78" s="49">
        <v>2</v>
      </c>
      <c r="EQ78" s="42">
        <f t="shared" si="323"/>
        <v>0</v>
      </c>
      <c r="ER78" s="43">
        <f t="shared" si="324"/>
        <v>-1</v>
      </c>
      <c r="ET78" s="47">
        <v>2</v>
      </c>
      <c r="EU78" s="48" t="s">
        <v>4</v>
      </c>
      <c r="EV78" s="49">
        <v>1</v>
      </c>
      <c r="EX78" s="42">
        <f t="shared" si="325"/>
        <v>0</v>
      </c>
      <c r="EY78" s="43">
        <f t="shared" si="326"/>
        <v>1</v>
      </c>
      <c r="FA78" s="47">
        <v>1</v>
      </c>
      <c r="FB78" s="48" t="s">
        <v>4</v>
      </c>
      <c r="FC78" s="49">
        <v>2</v>
      </c>
      <c r="FE78" s="42">
        <f t="shared" si="327"/>
        <v>0</v>
      </c>
      <c r="FF78" s="43">
        <f t="shared" si="328"/>
        <v>-1</v>
      </c>
      <c r="FH78" s="47">
        <v>1</v>
      </c>
      <c r="FI78" s="48" t="s">
        <v>4</v>
      </c>
      <c r="FJ78" s="49">
        <v>1</v>
      </c>
      <c r="FL78" s="42">
        <f t="shared" si="329"/>
        <v>4.4000000000000004</v>
      </c>
      <c r="FM78" s="43">
        <f t="shared" si="330"/>
        <v>0</v>
      </c>
      <c r="FN78" s="5"/>
      <c r="FO78" s="47">
        <v>0</v>
      </c>
      <c r="FP78" s="48" t="s">
        <v>4</v>
      </c>
      <c r="FQ78" s="49">
        <v>2</v>
      </c>
      <c r="FS78" s="42">
        <f t="shared" si="331"/>
        <v>0</v>
      </c>
      <c r="FT78" s="43">
        <f t="shared" si="332"/>
        <v>-2</v>
      </c>
      <c r="FV78" s="47">
        <v>1</v>
      </c>
      <c r="FW78" s="48" t="s">
        <v>4</v>
      </c>
      <c r="FX78" s="49">
        <v>2</v>
      </c>
      <c r="FZ78" s="42">
        <f t="shared" si="333"/>
        <v>0</v>
      </c>
      <c r="GA78" s="43">
        <f t="shared" si="334"/>
        <v>-1</v>
      </c>
      <c r="GC78" s="47">
        <v>0</v>
      </c>
      <c r="GD78" s="48" t="s">
        <v>4</v>
      </c>
      <c r="GE78" s="49">
        <v>1</v>
      </c>
      <c r="GG78" s="42">
        <f t="shared" si="335"/>
        <v>0</v>
      </c>
      <c r="GH78" s="43">
        <f t="shared" si="336"/>
        <v>-1</v>
      </c>
      <c r="GJ78" s="47">
        <v>1</v>
      </c>
      <c r="GK78" s="48" t="s">
        <v>4</v>
      </c>
      <c r="GL78" s="49">
        <v>1</v>
      </c>
      <c r="GN78" s="42">
        <f t="shared" si="337"/>
        <v>4.4000000000000004</v>
      </c>
      <c r="GO78" s="43">
        <f t="shared" si="338"/>
        <v>0</v>
      </c>
      <c r="GP78" s="5"/>
      <c r="GQ78" s="47">
        <v>1</v>
      </c>
      <c r="GR78" s="48" t="s">
        <v>4</v>
      </c>
      <c r="GS78" s="49">
        <v>2</v>
      </c>
      <c r="GU78" s="42">
        <f t="shared" si="339"/>
        <v>0</v>
      </c>
      <c r="GV78" s="43">
        <f t="shared" si="340"/>
        <v>-1</v>
      </c>
      <c r="GX78" s="47">
        <v>1</v>
      </c>
      <c r="GY78" s="48" t="s">
        <v>4</v>
      </c>
      <c r="GZ78" s="49">
        <v>2</v>
      </c>
      <c r="HB78" s="42">
        <f t="shared" si="341"/>
        <v>0</v>
      </c>
      <c r="HC78" s="43">
        <f t="shared" si="342"/>
        <v>-1</v>
      </c>
      <c r="HE78" s="47">
        <v>1</v>
      </c>
      <c r="HF78" s="48" t="s">
        <v>4</v>
      </c>
      <c r="HG78" s="49">
        <v>2</v>
      </c>
      <c r="HI78" s="42">
        <f t="shared" si="343"/>
        <v>0</v>
      </c>
      <c r="HJ78" s="43">
        <f t="shared" si="344"/>
        <v>-1</v>
      </c>
      <c r="HL78" s="47">
        <v>0</v>
      </c>
      <c r="HM78" s="48" t="s">
        <v>4</v>
      </c>
      <c r="HN78" s="49">
        <v>2</v>
      </c>
      <c r="HP78" s="42">
        <f t="shared" si="345"/>
        <v>0</v>
      </c>
      <c r="HQ78" s="43">
        <f t="shared" si="346"/>
        <v>-2</v>
      </c>
      <c r="HR78" s="5"/>
      <c r="HS78" s="47">
        <v>0</v>
      </c>
      <c r="HT78" s="48" t="s">
        <v>4</v>
      </c>
      <c r="HU78" s="49">
        <v>2</v>
      </c>
      <c r="HW78" s="42">
        <f t="shared" si="347"/>
        <v>0</v>
      </c>
      <c r="HX78" s="43">
        <f t="shared" si="348"/>
        <v>-2</v>
      </c>
      <c r="HZ78" s="47">
        <v>1</v>
      </c>
      <c r="IA78" s="48" t="s">
        <v>4</v>
      </c>
      <c r="IB78" s="49">
        <v>2</v>
      </c>
      <c r="ID78" s="42">
        <f t="shared" si="349"/>
        <v>0</v>
      </c>
      <c r="IE78" s="43">
        <f t="shared" si="350"/>
        <v>-1</v>
      </c>
      <c r="IG78" s="47">
        <v>1</v>
      </c>
      <c r="IH78" s="48" t="s">
        <v>4</v>
      </c>
      <c r="II78" s="49">
        <v>3</v>
      </c>
      <c r="IK78" s="42">
        <f t="shared" si="351"/>
        <v>0</v>
      </c>
      <c r="IL78" s="43">
        <f t="shared" si="352"/>
        <v>-2</v>
      </c>
      <c r="IN78" s="47">
        <v>0</v>
      </c>
      <c r="IO78" s="48" t="s">
        <v>4</v>
      </c>
      <c r="IP78" s="49">
        <v>1</v>
      </c>
      <c r="IR78" s="42">
        <f t="shared" si="353"/>
        <v>0</v>
      </c>
      <c r="IS78" s="43">
        <f t="shared" si="354"/>
        <v>-1</v>
      </c>
      <c r="IT78" s="5"/>
      <c r="IU78" s="47">
        <v>0</v>
      </c>
      <c r="IV78" s="48" t="s">
        <v>4</v>
      </c>
      <c r="IW78" s="49">
        <v>2</v>
      </c>
      <c r="IY78" s="42">
        <f t="shared" si="355"/>
        <v>0</v>
      </c>
      <c r="IZ78" s="43">
        <f t="shared" si="356"/>
        <v>-2</v>
      </c>
      <c r="JB78" s="47">
        <v>1</v>
      </c>
      <c r="JC78" s="48" t="s">
        <v>4</v>
      </c>
      <c r="JD78" s="49">
        <v>1</v>
      </c>
      <c r="JF78" s="42">
        <f t="shared" si="357"/>
        <v>4.4000000000000004</v>
      </c>
      <c r="JG78" s="43">
        <f t="shared" si="358"/>
        <v>0</v>
      </c>
      <c r="JI78" s="47">
        <v>2</v>
      </c>
      <c r="JJ78" s="48" t="s">
        <v>4</v>
      </c>
      <c r="JK78" s="49">
        <v>1</v>
      </c>
      <c r="JM78" s="42">
        <f t="shared" si="359"/>
        <v>0</v>
      </c>
      <c r="JN78" s="43">
        <f t="shared" si="360"/>
        <v>1</v>
      </c>
      <c r="JP78" s="47">
        <v>2</v>
      </c>
      <c r="JQ78" s="48" t="s">
        <v>4</v>
      </c>
      <c r="JR78" s="49">
        <v>0</v>
      </c>
      <c r="JT78" s="42">
        <f t="shared" si="361"/>
        <v>0</v>
      </c>
      <c r="JU78" s="43">
        <f t="shared" si="362"/>
        <v>2</v>
      </c>
      <c r="JV78" s="5"/>
      <c r="JW78" s="47">
        <v>2</v>
      </c>
      <c r="JX78" s="48" t="s">
        <v>4</v>
      </c>
      <c r="JY78" s="49">
        <v>3</v>
      </c>
      <c r="KA78" s="42">
        <f t="shared" si="363"/>
        <v>0</v>
      </c>
      <c r="KB78" s="43">
        <f t="shared" si="364"/>
        <v>-1</v>
      </c>
      <c r="KD78" s="47">
        <v>2</v>
      </c>
      <c r="KE78" s="48" t="s">
        <v>4</v>
      </c>
      <c r="KF78" s="49">
        <v>3</v>
      </c>
      <c r="KH78" s="42">
        <f t="shared" si="365"/>
        <v>0</v>
      </c>
      <c r="KI78" s="43">
        <f t="shared" si="366"/>
        <v>-1</v>
      </c>
      <c r="KK78" s="47">
        <v>0</v>
      </c>
      <c r="KL78" s="48" t="s">
        <v>4</v>
      </c>
      <c r="KM78" s="49">
        <v>1</v>
      </c>
      <c r="KO78" s="42">
        <f t="shared" si="367"/>
        <v>0</v>
      </c>
      <c r="KP78" s="43">
        <f t="shared" si="368"/>
        <v>-1</v>
      </c>
      <c r="KR78" s="47">
        <v>0</v>
      </c>
      <c r="KS78" s="48" t="s">
        <v>4</v>
      </c>
      <c r="KT78" s="49">
        <v>1</v>
      </c>
      <c r="KV78" s="42">
        <f t="shared" si="369"/>
        <v>0</v>
      </c>
      <c r="KW78" s="43">
        <f t="shared" si="370"/>
        <v>-1</v>
      </c>
      <c r="KY78" s="47">
        <v>1</v>
      </c>
      <c r="KZ78" s="48" t="s">
        <v>4</v>
      </c>
      <c r="LA78" s="49">
        <v>2</v>
      </c>
      <c r="LC78" s="42">
        <f t="shared" si="371"/>
        <v>0</v>
      </c>
      <c r="LD78" s="43">
        <f t="shared" si="372"/>
        <v>-1</v>
      </c>
      <c r="LF78" s="47">
        <v>1</v>
      </c>
      <c r="LG78" s="48" t="s">
        <v>4</v>
      </c>
      <c r="LH78" s="49">
        <v>2</v>
      </c>
      <c r="LJ78" s="42">
        <f t="shared" si="373"/>
        <v>0</v>
      </c>
      <c r="LK78" s="43">
        <f t="shared" si="374"/>
        <v>-1</v>
      </c>
      <c r="LM78" s="47">
        <v>1</v>
      </c>
      <c r="LN78" s="48" t="s">
        <v>4</v>
      </c>
      <c r="LO78" s="49">
        <v>1</v>
      </c>
      <c r="LQ78" s="42">
        <f t="shared" si="375"/>
        <v>4.4000000000000004</v>
      </c>
      <c r="LR78" s="43">
        <f t="shared" si="376"/>
        <v>0</v>
      </c>
      <c r="LT78" s="47">
        <v>0</v>
      </c>
      <c r="LU78" s="48" t="s">
        <v>4</v>
      </c>
      <c r="LV78" s="49">
        <v>1</v>
      </c>
      <c r="LX78" s="42">
        <f t="shared" si="377"/>
        <v>0</v>
      </c>
      <c r="LY78" s="43">
        <f t="shared" si="378"/>
        <v>-1</v>
      </c>
      <c r="MA78" s="47">
        <v>0</v>
      </c>
      <c r="MB78" s="48" t="s">
        <v>4</v>
      </c>
      <c r="MC78" s="49">
        <v>3</v>
      </c>
      <c r="ME78" s="42">
        <f t="shared" si="379"/>
        <v>0</v>
      </c>
      <c r="MF78" s="43">
        <f t="shared" si="380"/>
        <v>-3</v>
      </c>
      <c r="MH78" s="47">
        <v>0</v>
      </c>
      <c r="MI78" s="48" t="s">
        <v>4</v>
      </c>
      <c r="MJ78" s="49">
        <v>3</v>
      </c>
      <c r="ML78" s="42">
        <f t="shared" si="381"/>
        <v>0</v>
      </c>
      <c r="MM78" s="43">
        <f t="shared" si="382"/>
        <v>-3</v>
      </c>
      <c r="MO78" s="47">
        <v>0</v>
      </c>
      <c r="MP78" s="48" t="s">
        <v>4</v>
      </c>
      <c r="MQ78" s="49">
        <v>2</v>
      </c>
      <c r="MS78" s="42">
        <f t="shared" si="383"/>
        <v>0</v>
      </c>
      <c r="MT78" s="43">
        <f t="shared" si="384"/>
        <v>-2</v>
      </c>
      <c r="MV78" s="47">
        <v>2</v>
      </c>
      <c r="MW78" s="48" t="s">
        <v>4</v>
      </c>
      <c r="MX78" s="49">
        <v>3</v>
      </c>
      <c r="MZ78" s="42">
        <f t="shared" si="385"/>
        <v>0</v>
      </c>
      <c r="NA78" s="43">
        <f t="shared" si="386"/>
        <v>-1</v>
      </c>
      <c r="NC78" s="47">
        <v>2</v>
      </c>
      <c r="ND78" s="48" t="s">
        <v>4</v>
      </c>
      <c r="NE78" s="49">
        <v>0</v>
      </c>
      <c r="NG78" s="42">
        <f t="shared" si="387"/>
        <v>0</v>
      </c>
      <c r="NH78" s="43">
        <f t="shared" si="388"/>
        <v>2</v>
      </c>
      <c r="NJ78" s="47">
        <v>3</v>
      </c>
      <c r="NK78" s="48" t="s">
        <v>4</v>
      </c>
      <c r="NL78" s="49">
        <v>3</v>
      </c>
      <c r="NN78" s="42">
        <f t="shared" si="389"/>
        <v>6.6000000000000005</v>
      </c>
      <c r="NO78" s="43">
        <f t="shared" si="390"/>
        <v>0</v>
      </c>
      <c r="NQ78" s="47">
        <v>1</v>
      </c>
      <c r="NR78" s="48" t="s">
        <v>4</v>
      </c>
      <c r="NS78" s="49">
        <v>2</v>
      </c>
      <c r="NU78" s="42">
        <f t="shared" si="391"/>
        <v>0</v>
      </c>
      <c r="NV78" s="43">
        <f t="shared" si="392"/>
        <v>-1</v>
      </c>
      <c r="NX78" s="47">
        <v>1</v>
      </c>
      <c r="NY78" s="48" t="s">
        <v>4</v>
      </c>
      <c r="NZ78" s="49">
        <v>2</v>
      </c>
      <c r="OB78" s="42">
        <f t="shared" si="393"/>
        <v>0</v>
      </c>
      <c r="OC78" s="43">
        <f t="shared" si="394"/>
        <v>-1</v>
      </c>
      <c r="OE78" s="47">
        <v>2</v>
      </c>
      <c r="OF78" s="48" t="s">
        <v>4</v>
      </c>
      <c r="OG78" s="49">
        <v>1</v>
      </c>
      <c r="OI78" s="42">
        <f t="shared" si="395"/>
        <v>0</v>
      </c>
      <c r="OJ78" s="43">
        <f t="shared" si="396"/>
        <v>1</v>
      </c>
      <c r="OL78" s="47">
        <v>0</v>
      </c>
      <c r="OM78" s="48" t="s">
        <v>4</v>
      </c>
      <c r="ON78" s="49">
        <v>1</v>
      </c>
      <c r="OP78" s="42">
        <f t="shared" si="397"/>
        <v>0</v>
      </c>
      <c r="OQ78" s="43">
        <f t="shared" si="398"/>
        <v>-1</v>
      </c>
      <c r="OS78" s="47">
        <v>0</v>
      </c>
      <c r="OT78" s="48" t="s">
        <v>4</v>
      </c>
      <c r="OU78" s="49">
        <v>4</v>
      </c>
      <c r="OW78" s="42">
        <f t="shared" si="399"/>
        <v>0</v>
      </c>
      <c r="OX78" s="43">
        <f t="shared" si="400"/>
        <v>-4</v>
      </c>
      <c r="OZ78" s="47">
        <v>1</v>
      </c>
      <c r="PA78" s="48" t="s">
        <v>4</v>
      </c>
      <c r="PB78" s="49">
        <v>3</v>
      </c>
      <c r="PD78" s="42">
        <f t="shared" si="401"/>
        <v>0</v>
      </c>
      <c r="PE78" s="43">
        <f t="shared" si="402"/>
        <v>-2</v>
      </c>
      <c r="PG78" s="47">
        <v>1</v>
      </c>
      <c r="PH78" s="48" t="s">
        <v>4</v>
      </c>
      <c r="PI78" s="49">
        <v>1</v>
      </c>
      <c r="PK78" s="42">
        <f t="shared" si="403"/>
        <v>4.4000000000000004</v>
      </c>
      <c r="PL78" s="43">
        <f t="shared" si="404"/>
        <v>0</v>
      </c>
      <c r="PN78" s="47">
        <v>0</v>
      </c>
      <c r="PO78" s="48" t="s">
        <v>4</v>
      </c>
      <c r="PP78" s="49">
        <v>2</v>
      </c>
      <c r="PR78" s="42">
        <f t="shared" si="405"/>
        <v>0</v>
      </c>
      <c r="PS78" s="43">
        <f t="shared" si="406"/>
        <v>-2</v>
      </c>
      <c r="PU78" s="47">
        <v>2</v>
      </c>
      <c r="PV78" s="48" t="s">
        <v>4</v>
      </c>
      <c r="PW78" s="49">
        <v>1</v>
      </c>
      <c r="PY78" s="42">
        <f t="shared" si="407"/>
        <v>0</v>
      </c>
      <c r="PZ78" s="43">
        <f t="shared" si="408"/>
        <v>1</v>
      </c>
      <c r="QB78" s="47">
        <v>1</v>
      </c>
      <c r="QC78" s="48" t="s">
        <v>4</v>
      </c>
      <c r="QD78" s="49">
        <v>2</v>
      </c>
      <c r="QF78" s="42">
        <f t="shared" si="409"/>
        <v>0</v>
      </c>
      <c r="QG78" s="43">
        <f t="shared" si="410"/>
        <v>-1</v>
      </c>
      <c r="QI78" s="47">
        <v>1</v>
      </c>
      <c r="QJ78" s="48" t="s">
        <v>4</v>
      </c>
      <c r="QK78" s="49">
        <v>2</v>
      </c>
      <c r="QM78" s="42">
        <f t="shared" si="411"/>
        <v>0</v>
      </c>
      <c r="QN78" s="43">
        <f t="shared" si="412"/>
        <v>-1</v>
      </c>
      <c r="QP78" s="47">
        <v>3</v>
      </c>
      <c r="QQ78" s="48" t="s">
        <v>4</v>
      </c>
      <c r="QR78" s="49">
        <v>1</v>
      </c>
      <c r="QT78" s="42">
        <f t="shared" si="413"/>
        <v>0</v>
      </c>
      <c r="QU78" s="43">
        <f t="shared" si="414"/>
        <v>2</v>
      </c>
      <c r="QW78" s="47">
        <v>0</v>
      </c>
      <c r="QX78" s="48" t="s">
        <v>4</v>
      </c>
      <c r="QY78" s="49">
        <v>2</v>
      </c>
      <c r="RA78" s="42">
        <f t="shared" si="415"/>
        <v>0</v>
      </c>
      <c r="RB78" s="43">
        <f t="shared" si="416"/>
        <v>-2</v>
      </c>
      <c r="RD78" s="47"/>
      <c r="RE78" s="48" t="s">
        <v>4</v>
      </c>
      <c r="RF78" s="49"/>
      <c r="RH78" s="42" t="str">
        <f t="shared" si="417"/>
        <v/>
      </c>
      <c r="RI78" s="43">
        <f t="shared" si="418"/>
        <v>0</v>
      </c>
      <c r="RK78" s="47">
        <v>1</v>
      </c>
      <c r="RL78" s="48" t="s">
        <v>4</v>
      </c>
      <c r="RM78" s="49">
        <v>1</v>
      </c>
      <c r="RO78" s="42">
        <f t="shared" si="419"/>
        <v>4.4000000000000004</v>
      </c>
      <c r="RP78" s="43">
        <f t="shared" si="420"/>
        <v>0</v>
      </c>
      <c r="RR78" s="47">
        <v>0</v>
      </c>
      <c r="RS78" s="48" t="s">
        <v>4</v>
      </c>
      <c r="RT78" s="49">
        <v>1</v>
      </c>
      <c r="RV78" s="42">
        <f t="shared" si="421"/>
        <v>0</v>
      </c>
      <c r="RW78" s="43">
        <f t="shared" si="422"/>
        <v>-1</v>
      </c>
      <c r="RY78" s="47">
        <v>0</v>
      </c>
      <c r="RZ78" s="48" t="s">
        <v>4</v>
      </c>
      <c r="SA78" s="49">
        <v>1</v>
      </c>
      <c r="SC78" s="42">
        <f t="shared" si="423"/>
        <v>0</v>
      </c>
      <c r="SD78" s="43">
        <f t="shared" si="424"/>
        <v>-1</v>
      </c>
      <c r="SF78" s="47">
        <v>0</v>
      </c>
      <c r="SG78" s="48" t="s">
        <v>4</v>
      </c>
      <c r="SH78" s="49">
        <v>1</v>
      </c>
      <c r="SJ78" s="42">
        <f t="shared" si="425"/>
        <v>0</v>
      </c>
      <c r="SK78" s="43">
        <f t="shared" si="426"/>
        <v>-1</v>
      </c>
      <c r="SM78" s="47">
        <v>1</v>
      </c>
      <c r="SN78" s="48" t="s">
        <v>4</v>
      </c>
      <c r="SO78" s="49">
        <v>2</v>
      </c>
      <c r="SQ78" s="42">
        <f t="shared" si="427"/>
        <v>0</v>
      </c>
      <c r="SR78" s="43">
        <f t="shared" si="428"/>
        <v>-1</v>
      </c>
    </row>
    <row r="79" spans="1:512" ht="16" customHeight="1" x14ac:dyDescent="0.15">
      <c r="A79" s="51">
        <v>46201</v>
      </c>
      <c r="B79" s="46">
        <v>0.16666666666666666</v>
      </c>
      <c r="C79" s="82" t="s">
        <v>56</v>
      </c>
      <c r="D79" s="82" t="s">
        <v>54</v>
      </c>
      <c r="E79" s="2">
        <v>1</v>
      </c>
      <c r="F79" s="50" t="s">
        <v>4</v>
      </c>
      <c r="G79" s="1">
        <v>3</v>
      </c>
      <c r="H79" s="16">
        <v>4.4000000000000004</v>
      </c>
      <c r="I79" s="32">
        <f t="shared" si="429"/>
        <v>-2</v>
      </c>
      <c r="J79" s="47">
        <v>0</v>
      </c>
      <c r="K79" s="48" t="s">
        <v>4</v>
      </c>
      <c r="L79" s="49">
        <v>4</v>
      </c>
      <c r="N79" s="42">
        <f t="shared" si="430"/>
        <v>4.4000000000000004</v>
      </c>
      <c r="O79" s="43">
        <f t="shared" si="431"/>
        <v>-4</v>
      </c>
      <c r="P79" s="5"/>
      <c r="Q79" s="47">
        <v>0</v>
      </c>
      <c r="R79" s="48" t="s">
        <v>4</v>
      </c>
      <c r="S79" s="49">
        <v>2</v>
      </c>
      <c r="U79" s="42">
        <f t="shared" si="287"/>
        <v>4.4000000000000004</v>
      </c>
      <c r="V79" s="43">
        <f t="shared" si="288"/>
        <v>-2</v>
      </c>
      <c r="W79" s="5"/>
      <c r="X79" s="47">
        <v>0</v>
      </c>
      <c r="Y79" s="48" t="s">
        <v>4</v>
      </c>
      <c r="Z79" s="49">
        <v>5</v>
      </c>
      <c r="AB79" s="42">
        <f t="shared" si="289"/>
        <v>4.4000000000000004</v>
      </c>
      <c r="AC79" s="43">
        <f t="shared" si="290"/>
        <v>-5</v>
      </c>
      <c r="AD79" s="5"/>
      <c r="AE79" s="47">
        <v>0</v>
      </c>
      <c r="AF79" s="48" t="s">
        <v>4</v>
      </c>
      <c r="AG79" s="49">
        <v>3</v>
      </c>
      <c r="AI79" s="42">
        <f t="shared" si="291"/>
        <v>4.4000000000000004</v>
      </c>
      <c r="AJ79" s="43">
        <f t="shared" si="292"/>
        <v>-3</v>
      </c>
      <c r="AL79" s="47">
        <v>0</v>
      </c>
      <c r="AM79" s="48" t="s">
        <v>4</v>
      </c>
      <c r="AN79" s="49">
        <v>3</v>
      </c>
      <c r="AP79" s="42">
        <f t="shared" si="293"/>
        <v>4.4000000000000004</v>
      </c>
      <c r="AQ79" s="43">
        <f t="shared" si="294"/>
        <v>-3</v>
      </c>
      <c r="AS79" s="47">
        <v>1</v>
      </c>
      <c r="AT79" s="48" t="s">
        <v>4</v>
      </c>
      <c r="AU79" s="49">
        <v>2</v>
      </c>
      <c r="AW79" s="42">
        <f t="shared" si="295"/>
        <v>4.4000000000000004</v>
      </c>
      <c r="AX79" s="43">
        <f t="shared" si="296"/>
        <v>-1</v>
      </c>
      <c r="AZ79" s="47">
        <v>0</v>
      </c>
      <c r="BA79" s="48" t="s">
        <v>4</v>
      </c>
      <c r="BB79" s="49">
        <v>1</v>
      </c>
      <c r="BD79" s="42">
        <f t="shared" si="297"/>
        <v>4.4000000000000004</v>
      </c>
      <c r="BE79" s="43">
        <f t="shared" si="298"/>
        <v>-1</v>
      </c>
      <c r="BF79" s="5"/>
      <c r="BG79" s="47">
        <v>0</v>
      </c>
      <c r="BH79" s="48"/>
      <c r="BI79" s="49">
        <v>5</v>
      </c>
      <c r="BK79" s="42">
        <f t="shared" si="299"/>
        <v>4.4000000000000004</v>
      </c>
      <c r="BL79" s="43">
        <f t="shared" si="300"/>
        <v>-5</v>
      </c>
      <c r="BN79" s="47">
        <v>1</v>
      </c>
      <c r="BO79" s="48" t="s">
        <v>4</v>
      </c>
      <c r="BP79" s="49">
        <v>4</v>
      </c>
      <c r="BR79" s="42">
        <f t="shared" si="301"/>
        <v>4.4000000000000004</v>
      </c>
      <c r="BS79" s="43">
        <f t="shared" si="302"/>
        <v>-3</v>
      </c>
      <c r="BU79" s="47">
        <v>0</v>
      </c>
      <c r="BV79" s="48" t="s">
        <v>4</v>
      </c>
      <c r="BW79" s="49">
        <v>2</v>
      </c>
      <c r="BY79" s="42">
        <f t="shared" si="303"/>
        <v>4.4000000000000004</v>
      </c>
      <c r="BZ79" s="43">
        <f t="shared" si="304"/>
        <v>-2</v>
      </c>
      <c r="CB79" s="47">
        <v>0</v>
      </c>
      <c r="CC79" s="48" t="s">
        <v>4</v>
      </c>
      <c r="CD79" s="49">
        <v>2</v>
      </c>
      <c r="CF79" s="42">
        <f t="shared" si="305"/>
        <v>4.4000000000000004</v>
      </c>
      <c r="CG79" s="43">
        <f t="shared" si="306"/>
        <v>-2</v>
      </c>
      <c r="CH79" s="5"/>
      <c r="CI79" s="47">
        <v>0</v>
      </c>
      <c r="CJ79" s="48" t="s">
        <v>4</v>
      </c>
      <c r="CK79" s="49">
        <v>4</v>
      </c>
      <c r="CM79" s="42">
        <f t="shared" si="307"/>
        <v>4.4000000000000004</v>
      </c>
      <c r="CN79" s="43">
        <f t="shared" si="308"/>
        <v>-4</v>
      </c>
      <c r="CP79" s="47">
        <v>0</v>
      </c>
      <c r="CQ79" s="48" t="s">
        <v>4</v>
      </c>
      <c r="CR79" s="49">
        <v>3</v>
      </c>
      <c r="CT79" s="42">
        <f t="shared" si="309"/>
        <v>4.4000000000000004</v>
      </c>
      <c r="CU79" s="43">
        <f t="shared" si="310"/>
        <v>-3</v>
      </c>
      <c r="CW79" s="47">
        <v>0</v>
      </c>
      <c r="CX79" s="48" t="s">
        <v>4</v>
      </c>
      <c r="CY79" s="49">
        <v>3</v>
      </c>
      <c r="DA79" s="42">
        <f t="shared" si="311"/>
        <v>4.4000000000000004</v>
      </c>
      <c r="DB79" s="43">
        <f t="shared" si="312"/>
        <v>-3</v>
      </c>
      <c r="DD79" s="47">
        <v>0</v>
      </c>
      <c r="DE79" s="48" t="s">
        <v>4</v>
      </c>
      <c r="DF79" s="49">
        <v>2</v>
      </c>
      <c r="DH79" s="42">
        <f t="shared" si="313"/>
        <v>4.4000000000000004</v>
      </c>
      <c r="DI79" s="43">
        <f t="shared" si="314"/>
        <v>-2</v>
      </c>
      <c r="DJ79" s="5"/>
      <c r="DK79" s="47">
        <v>0</v>
      </c>
      <c r="DL79" s="48" t="s">
        <v>4</v>
      </c>
      <c r="DM79" s="49">
        <v>2</v>
      </c>
      <c r="DO79" s="42">
        <f t="shared" si="315"/>
        <v>4.4000000000000004</v>
      </c>
      <c r="DP79" s="43">
        <f t="shared" si="316"/>
        <v>-2</v>
      </c>
      <c r="DR79" s="47">
        <v>0</v>
      </c>
      <c r="DS79" s="48" t="s">
        <v>4</v>
      </c>
      <c r="DT79" s="49">
        <v>3</v>
      </c>
      <c r="DV79" s="42">
        <f t="shared" si="317"/>
        <v>4.4000000000000004</v>
      </c>
      <c r="DW79" s="43">
        <f t="shared" si="318"/>
        <v>-3</v>
      </c>
      <c r="DY79" s="47">
        <v>0</v>
      </c>
      <c r="DZ79" s="48" t="s">
        <v>4</v>
      </c>
      <c r="EA79" s="49">
        <v>3</v>
      </c>
      <c r="EC79" s="42">
        <f t="shared" si="319"/>
        <v>4.4000000000000004</v>
      </c>
      <c r="ED79" s="43">
        <f t="shared" si="320"/>
        <v>-3</v>
      </c>
      <c r="EF79" s="47">
        <v>0</v>
      </c>
      <c r="EG79" s="48" t="s">
        <v>4</v>
      </c>
      <c r="EH79" s="49">
        <v>1</v>
      </c>
      <c r="EJ79" s="42">
        <f t="shared" si="321"/>
        <v>4.4000000000000004</v>
      </c>
      <c r="EK79" s="43">
        <f t="shared" si="322"/>
        <v>-1</v>
      </c>
      <c r="EL79" s="5"/>
      <c r="EM79" s="47">
        <v>0</v>
      </c>
      <c r="EN79" s="48" t="s">
        <v>4</v>
      </c>
      <c r="EO79" s="49">
        <v>3</v>
      </c>
      <c r="EQ79" s="42">
        <f t="shared" si="323"/>
        <v>4.4000000000000004</v>
      </c>
      <c r="ER79" s="43">
        <f t="shared" si="324"/>
        <v>-3</v>
      </c>
      <c r="ET79" s="47">
        <v>1</v>
      </c>
      <c r="EU79" s="48" t="s">
        <v>4</v>
      </c>
      <c r="EV79" s="49">
        <v>3</v>
      </c>
      <c r="EX79" s="42">
        <f t="shared" si="325"/>
        <v>6.6000000000000005</v>
      </c>
      <c r="EY79" s="43">
        <f t="shared" si="326"/>
        <v>-2</v>
      </c>
      <c r="FA79" s="47">
        <v>0</v>
      </c>
      <c r="FB79" s="48" t="s">
        <v>4</v>
      </c>
      <c r="FC79" s="49">
        <v>3</v>
      </c>
      <c r="FE79" s="42">
        <f t="shared" si="327"/>
        <v>4.4000000000000004</v>
      </c>
      <c r="FF79" s="43">
        <f t="shared" si="328"/>
        <v>-3</v>
      </c>
      <c r="FH79" s="47">
        <v>1</v>
      </c>
      <c r="FI79" s="48" t="s">
        <v>4</v>
      </c>
      <c r="FJ79" s="49">
        <v>2</v>
      </c>
      <c r="FL79" s="42">
        <f t="shared" si="329"/>
        <v>4.4000000000000004</v>
      </c>
      <c r="FM79" s="43">
        <f t="shared" si="330"/>
        <v>-1</v>
      </c>
      <c r="FN79" s="5"/>
      <c r="FO79" s="47">
        <v>0</v>
      </c>
      <c r="FP79" s="48" t="s">
        <v>4</v>
      </c>
      <c r="FQ79" s="49">
        <v>1</v>
      </c>
      <c r="FS79" s="42">
        <f t="shared" si="331"/>
        <v>4.4000000000000004</v>
      </c>
      <c r="FT79" s="43">
        <f t="shared" si="332"/>
        <v>-1</v>
      </c>
      <c r="FV79" s="47">
        <v>0</v>
      </c>
      <c r="FW79" s="48" t="s">
        <v>4</v>
      </c>
      <c r="FX79" s="49">
        <v>2</v>
      </c>
      <c r="FZ79" s="42">
        <f t="shared" si="333"/>
        <v>4.4000000000000004</v>
      </c>
      <c r="GA79" s="43">
        <f t="shared" si="334"/>
        <v>-2</v>
      </c>
      <c r="GC79" s="47">
        <v>0</v>
      </c>
      <c r="GD79" s="48" t="s">
        <v>4</v>
      </c>
      <c r="GE79" s="49">
        <v>3</v>
      </c>
      <c r="GG79" s="42">
        <f t="shared" si="335"/>
        <v>4.4000000000000004</v>
      </c>
      <c r="GH79" s="43">
        <f t="shared" si="336"/>
        <v>-3</v>
      </c>
      <c r="GJ79" s="47">
        <v>0</v>
      </c>
      <c r="GK79" s="48" t="s">
        <v>4</v>
      </c>
      <c r="GL79" s="49">
        <v>3</v>
      </c>
      <c r="GN79" s="42">
        <f t="shared" si="337"/>
        <v>4.4000000000000004</v>
      </c>
      <c r="GO79" s="43">
        <f t="shared" si="338"/>
        <v>-3</v>
      </c>
      <c r="GP79" s="5"/>
      <c r="GQ79" s="47">
        <v>0</v>
      </c>
      <c r="GR79" s="48" t="s">
        <v>4</v>
      </c>
      <c r="GS79" s="49">
        <v>4</v>
      </c>
      <c r="GU79" s="42">
        <f t="shared" si="339"/>
        <v>4.4000000000000004</v>
      </c>
      <c r="GV79" s="43">
        <f t="shared" si="340"/>
        <v>-4</v>
      </c>
      <c r="GX79" s="47">
        <v>0</v>
      </c>
      <c r="GY79" s="48" t="s">
        <v>4</v>
      </c>
      <c r="GZ79" s="49">
        <v>2</v>
      </c>
      <c r="HB79" s="42">
        <f t="shared" si="341"/>
        <v>4.4000000000000004</v>
      </c>
      <c r="HC79" s="43">
        <f t="shared" si="342"/>
        <v>-2</v>
      </c>
      <c r="HE79" s="47">
        <v>0</v>
      </c>
      <c r="HF79" s="48" t="s">
        <v>4</v>
      </c>
      <c r="HG79" s="49">
        <v>3</v>
      </c>
      <c r="HI79" s="42">
        <f t="shared" si="343"/>
        <v>4.4000000000000004</v>
      </c>
      <c r="HJ79" s="43">
        <f t="shared" si="344"/>
        <v>-3</v>
      </c>
      <c r="HL79" s="47">
        <v>0</v>
      </c>
      <c r="HM79" s="48" t="s">
        <v>4</v>
      </c>
      <c r="HN79" s="49">
        <v>3</v>
      </c>
      <c r="HP79" s="42">
        <f t="shared" si="345"/>
        <v>4.4000000000000004</v>
      </c>
      <c r="HQ79" s="43">
        <f t="shared" si="346"/>
        <v>-3</v>
      </c>
      <c r="HR79" s="5"/>
      <c r="HS79" s="47">
        <v>0</v>
      </c>
      <c r="HT79" s="48" t="s">
        <v>4</v>
      </c>
      <c r="HU79" s="49">
        <v>2</v>
      </c>
      <c r="HW79" s="42">
        <f t="shared" si="347"/>
        <v>4.4000000000000004</v>
      </c>
      <c r="HX79" s="43">
        <f t="shared" si="348"/>
        <v>-2</v>
      </c>
      <c r="HZ79" s="47">
        <v>1</v>
      </c>
      <c r="IA79" s="48" t="s">
        <v>4</v>
      </c>
      <c r="IB79" s="49">
        <v>3</v>
      </c>
      <c r="ID79" s="42">
        <f t="shared" si="349"/>
        <v>6.6000000000000005</v>
      </c>
      <c r="IE79" s="43">
        <f t="shared" si="350"/>
        <v>-2</v>
      </c>
      <c r="IG79" s="47">
        <v>1</v>
      </c>
      <c r="IH79" s="48" t="s">
        <v>4</v>
      </c>
      <c r="II79" s="49">
        <v>4</v>
      </c>
      <c r="IK79" s="42">
        <f t="shared" si="351"/>
        <v>4.4000000000000004</v>
      </c>
      <c r="IL79" s="43">
        <f t="shared" si="352"/>
        <v>-3</v>
      </c>
      <c r="IN79" s="47">
        <v>0</v>
      </c>
      <c r="IO79" s="48" t="s">
        <v>4</v>
      </c>
      <c r="IP79" s="49">
        <v>3</v>
      </c>
      <c r="IR79" s="42">
        <f t="shared" si="353"/>
        <v>4.4000000000000004</v>
      </c>
      <c r="IS79" s="43">
        <f t="shared" si="354"/>
        <v>-3</v>
      </c>
      <c r="IT79" s="5"/>
      <c r="IU79" s="47">
        <v>0</v>
      </c>
      <c r="IV79" s="48" t="s">
        <v>4</v>
      </c>
      <c r="IW79" s="49">
        <v>2</v>
      </c>
      <c r="IY79" s="42">
        <f t="shared" si="355"/>
        <v>4.4000000000000004</v>
      </c>
      <c r="IZ79" s="43">
        <f t="shared" si="356"/>
        <v>-2</v>
      </c>
      <c r="JB79" s="47">
        <v>0</v>
      </c>
      <c r="JC79" s="48" t="s">
        <v>4</v>
      </c>
      <c r="JD79" s="49">
        <v>1</v>
      </c>
      <c r="JF79" s="42">
        <f t="shared" si="357"/>
        <v>4.4000000000000004</v>
      </c>
      <c r="JG79" s="43">
        <f t="shared" si="358"/>
        <v>-1</v>
      </c>
      <c r="JI79" s="47">
        <v>1</v>
      </c>
      <c r="JJ79" s="48" t="s">
        <v>4</v>
      </c>
      <c r="JK79" s="49">
        <v>3</v>
      </c>
      <c r="JM79" s="42">
        <f t="shared" si="359"/>
        <v>6.6000000000000005</v>
      </c>
      <c r="JN79" s="43">
        <f t="shared" si="360"/>
        <v>-2</v>
      </c>
      <c r="JP79" s="47">
        <v>1</v>
      </c>
      <c r="JQ79" s="48" t="s">
        <v>4</v>
      </c>
      <c r="JR79" s="49">
        <v>3</v>
      </c>
      <c r="JT79" s="42">
        <f t="shared" si="361"/>
        <v>6.6000000000000005</v>
      </c>
      <c r="JU79" s="43">
        <f t="shared" si="362"/>
        <v>-2</v>
      </c>
      <c r="JV79" s="5"/>
      <c r="JW79" s="47">
        <v>0</v>
      </c>
      <c r="JX79" s="48" t="s">
        <v>4</v>
      </c>
      <c r="JY79" s="49">
        <v>4</v>
      </c>
      <c r="KA79" s="42">
        <f t="shared" si="363"/>
        <v>4.4000000000000004</v>
      </c>
      <c r="KB79" s="43">
        <f t="shared" si="364"/>
        <v>-4</v>
      </c>
      <c r="KD79" s="47">
        <v>1</v>
      </c>
      <c r="KE79" s="48" t="s">
        <v>4</v>
      </c>
      <c r="KF79" s="49">
        <v>3</v>
      </c>
      <c r="KH79" s="42">
        <f t="shared" si="365"/>
        <v>6.6000000000000005</v>
      </c>
      <c r="KI79" s="43">
        <f t="shared" si="366"/>
        <v>-2</v>
      </c>
      <c r="KK79" s="47">
        <v>1</v>
      </c>
      <c r="KL79" s="48" t="s">
        <v>4</v>
      </c>
      <c r="KM79" s="49">
        <v>2</v>
      </c>
      <c r="KO79" s="42">
        <f t="shared" si="367"/>
        <v>4.4000000000000004</v>
      </c>
      <c r="KP79" s="43">
        <f t="shared" si="368"/>
        <v>-1</v>
      </c>
      <c r="KR79" s="47">
        <v>0</v>
      </c>
      <c r="KS79" s="48" t="s">
        <v>4</v>
      </c>
      <c r="KT79" s="49">
        <v>2</v>
      </c>
      <c r="KV79" s="42">
        <f t="shared" si="369"/>
        <v>4.4000000000000004</v>
      </c>
      <c r="KW79" s="43">
        <f t="shared" si="370"/>
        <v>-2</v>
      </c>
      <c r="KY79" s="47">
        <v>1</v>
      </c>
      <c r="KZ79" s="48" t="s">
        <v>4</v>
      </c>
      <c r="LA79" s="49">
        <v>2</v>
      </c>
      <c r="LC79" s="42">
        <f t="shared" si="371"/>
        <v>4.4000000000000004</v>
      </c>
      <c r="LD79" s="43">
        <f t="shared" si="372"/>
        <v>-1</v>
      </c>
      <c r="LF79" s="47">
        <v>0</v>
      </c>
      <c r="LG79" s="48" t="s">
        <v>4</v>
      </c>
      <c r="LH79" s="49">
        <v>4</v>
      </c>
      <c r="LJ79" s="42">
        <f t="shared" si="373"/>
        <v>4.4000000000000004</v>
      </c>
      <c r="LK79" s="43">
        <f t="shared" si="374"/>
        <v>-4</v>
      </c>
      <c r="LM79" s="47">
        <v>1</v>
      </c>
      <c r="LN79" s="48" t="s">
        <v>4</v>
      </c>
      <c r="LO79" s="49">
        <v>3</v>
      </c>
      <c r="LQ79" s="42">
        <f t="shared" si="375"/>
        <v>6.6000000000000005</v>
      </c>
      <c r="LR79" s="43">
        <f t="shared" si="376"/>
        <v>-2</v>
      </c>
      <c r="LT79" s="47">
        <v>0</v>
      </c>
      <c r="LU79" s="48" t="s">
        <v>4</v>
      </c>
      <c r="LV79" s="49">
        <v>2</v>
      </c>
      <c r="LX79" s="42">
        <f t="shared" si="377"/>
        <v>4.4000000000000004</v>
      </c>
      <c r="LY79" s="43">
        <f t="shared" si="378"/>
        <v>-2</v>
      </c>
      <c r="MA79" s="47">
        <v>0</v>
      </c>
      <c r="MB79" s="48" t="s">
        <v>4</v>
      </c>
      <c r="MC79" s="49">
        <v>3</v>
      </c>
      <c r="ME79" s="42">
        <f t="shared" si="379"/>
        <v>4.4000000000000004</v>
      </c>
      <c r="MF79" s="43">
        <f t="shared" si="380"/>
        <v>-3</v>
      </c>
      <c r="MH79" s="47">
        <v>0</v>
      </c>
      <c r="MI79" s="48" t="s">
        <v>4</v>
      </c>
      <c r="MJ79" s="49">
        <v>4</v>
      </c>
      <c r="ML79" s="42">
        <f t="shared" si="381"/>
        <v>4.4000000000000004</v>
      </c>
      <c r="MM79" s="43">
        <f t="shared" si="382"/>
        <v>-4</v>
      </c>
      <c r="MO79" s="47">
        <v>0</v>
      </c>
      <c r="MP79" s="48" t="s">
        <v>4</v>
      </c>
      <c r="MQ79" s="49">
        <v>2</v>
      </c>
      <c r="MS79" s="42">
        <f t="shared" si="383"/>
        <v>4.4000000000000004</v>
      </c>
      <c r="MT79" s="43">
        <f t="shared" si="384"/>
        <v>-2</v>
      </c>
      <c r="MV79" s="47">
        <v>0</v>
      </c>
      <c r="MW79" s="48" t="s">
        <v>4</v>
      </c>
      <c r="MX79" s="49">
        <v>2</v>
      </c>
      <c r="MZ79" s="42">
        <f t="shared" si="385"/>
        <v>4.4000000000000004</v>
      </c>
      <c r="NA79" s="43">
        <f t="shared" si="386"/>
        <v>-2</v>
      </c>
      <c r="NC79" s="47">
        <v>1</v>
      </c>
      <c r="ND79" s="48" t="s">
        <v>4</v>
      </c>
      <c r="NE79" s="49">
        <v>3</v>
      </c>
      <c r="NG79" s="42">
        <f t="shared" si="387"/>
        <v>6.6000000000000005</v>
      </c>
      <c r="NH79" s="43">
        <f t="shared" si="388"/>
        <v>-2</v>
      </c>
      <c r="NJ79" s="47">
        <v>1</v>
      </c>
      <c r="NK79" s="48" t="s">
        <v>4</v>
      </c>
      <c r="NL79" s="49">
        <v>2</v>
      </c>
      <c r="NN79" s="42">
        <f t="shared" si="389"/>
        <v>4.4000000000000004</v>
      </c>
      <c r="NO79" s="43">
        <f t="shared" si="390"/>
        <v>-1</v>
      </c>
      <c r="NQ79" s="47">
        <v>1</v>
      </c>
      <c r="NR79" s="48" t="s">
        <v>4</v>
      </c>
      <c r="NS79" s="49">
        <v>3</v>
      </c>
      <c r="NU79" s="42">
        <f t="shared" si="391"/>
        <v>6.6000000000000005</v>
      </c>
      <c r="NV79" s="43">
        <f t="shared" si="392"/>
        <v>-2</v>
      </c>
      <c r="NX79" s="47">
        <v>0</v>
      </c>
      <c r="NY79" s="48" t="s">
        <v>4</v>
      </c>
      <c r="NZ79" s="49">
        <v>4</v>
      </c>
      <c r="OB79" s="42">
        <f t="shared" si="393"/>
        <v>4.4000000000000004</v>
      </c>
      <c r="OC79" s="43">
        <f t="shared" si="394"/>
        <v>-4</v>
      </c>
      <c r="OE79" s="47">
        <v>1</v>
      </c>
      <c r="OF79" s="48" t="s">
        <v>4</v>
      </c>
      <c r="OG79" s="49">
        <v>4</v>
      </c>
      <c r="OI79" s="42">
        <f t="shared" si="395"/>
        <v>4.4000000000000004</v>
      </c>
      <c r="OJ79" s="43">
        <f t="shared" si="396"/>
        <v>-3</v>
      </c>
      <c r="OL79" s="47">
        <v>0</v>
      </c>
      <c r="OM79" s="48" t="s">
        <v>4</v>
      </c>
      <c r="ON79" s="49">
        <v>4</v>
      </c>
      <c r="OP79" s="42">
        <f t="shared" si="397"/>
        <v>4.4000000000000004</v>
      </c>
      <c r="OQ79" s="43">
        <f t="shared" si="398"/>
        <v>-4</v>
      </c>
      <c r="OS79" s="47">
        <v>0</v>
      </c>
      <c r="OT79" s="48" t="s">
        <v>4</v>
      </c>
      <c r="OU79" s="49">
        <v>1</v>
      </c>
      <c r="OW79" s="42">
        <f t="shared" si="399"/>
        <v>4.4000000000000004</v>
      </c>
      <c r="OX79" s="43">
        <f t="shared" si="400"/>
        <v>-1</v>
      </c>
      <c r="OZ79" s="47">
        <v>0</v>
      </c>
      <c r="PA79" s="48" t="s">
        <v>4</v>
      </c>
      <c r="PB79" s="49">
        <v>5</v>
      </c>
      <c r="PD79" s="42">
        <f t="shared" si="401"/>
        <v>4.4000000000000004</v>
      </c>
      <c r="PE79" s="43">
        <f t="shared" si="402"/>
        <v>-5</v>
      </c>
      <c r="PG79" s="47">
        <v>0</v>
      </c>
      <c r="PH79" s="48" t="s">
        <v>4</v>
      </c>
      <c r="PI79" s="49">
        <v>2</v>
      </c>
      <c r="PK79" s="42">
        <f t="shared" si="403"/>
        <v>4.4000000000000004</v>
      </c>
      <c r="PL79" s="43">
        <f t="shared" si="404"/>
        <v>-2</v>
      </c>
      <c r="PN79" s="47">
        <v>0</v>
      </c>
      <c r="PO79" s="48" t="s">
        <v>4</v>
      </c>
      <c r="PP79" s="49">
        <v>2</v>
      </c>
      <c r="PR79" s="42">
        <f t="shared" si="405"/>
        <v>4.4000000000000004</v>
      </c>
      <c r="PS79" s="43">
        <f t="shared" si="406"/>
        <v>-2</v>
      </c>
      <c r="PU79" s="47">
        <v>0</v>
      </c>
      <c r="PV79" s="48" t="s">
        <v>4</v>
      </c>
      <c r="PW79" s="49">
        <v>1</v>
      </c>
      <c r="PY79" s="42">
        <f t="shared" si="407"/>
        <v>4.4000000000000004</v>
      </c>
      <c r="PZ79" s="43">
        <f t="shared" si="408"/>
        <v>-1</v>
      </c>
      <c r="QB79" s="47">
        <v>0</v>
      </c>
      <c r="QC79" s="48" t="s">
        <v>4</v>
      </c>
      <c r="QD79" s="49">
        <v>3</v>
      </c>
      <c r="QF79" s="42">
        <f t="shared" si="409"/>
        <v>4.4000000000000004</v>
      </c>
      <c r="QG79" s="43">
        <f t="shared" si="410"/>
        <v>-3</v>
      </c>
      <c r="QI79" s="47">
        <v>0</v>
      </c>
      <c r="QJ79" s="48" t="s">
        <v>4</v>
      </c>
      <c r="QK79" s="49">
        <v>2</v>
      </c>
      <c r="QM79" s="42">
        <f t="shared" si="411"/>
        <v>4.4000000000000004</v>
      </c>
      <c r="QN79" s="43">
        <f t="shared" si="412"/>
        <v>-2</v>
      </c>
      <c r="QP79" s="47">
        <v>0</v>
      </c>
      <c r="QQ79" s="48" t="s">
        <v>4</v>
      </c>
      <c r="QR79" s="49">
        <v>4</v>
      </c>
      <c r="QT79" s="42">
        <f t="shared" si="413"/>
        <v>4.4000000000000004</v>
      </c>
      <c r="QU79" s="43">
        <f t="shared" si="414"/>
        <v>-4</v>
      </c>
      <c r="QW79" s="47">
        <v>0</v>
      </c>
      <c r="QX79" s="48" t="s">
        <v>4</v>
      </c>
      <c r="QY79" s="49">
        <v>3</v>
      </c>
      <c r="RA79" s="42">
        <f t="shared" si="415"/>
        <v>4.4000000000000004</v>
      </c>
      <c r="RB79" s="43">
        <f t="shared" si="416"/>
        <v>-3</v>
      </c>
      <c r="RD79" s="47"/>
      <c r="RE79" s="48" t="s">
        <v>4</v>
      </c>
      <c r="RF79" s="49"/>
      <c r="RH79" s="42" t="str">
        <f t="shared" si="417"/>
        <v/>
      </c>
      <c r="RI79" s="43">
        <f t="shared" si="418"/>
        <v>0</v>
      </c>
      <c r="RK79" s="47">
        <v>0</v>
      </c>
      <c r="RL79" s="48" t="s">
        <v>4</v>
      </c>
      <c r="RM79" s="49">
        <v>3</v>
      </c>
      <c r="RO79" s="42">
        <f t="shared" si="419"/>
        <v>4.4000000000000004</v>
      </c>
      <c r="RP79" s="43">
        <f t="shared" si="420"/>
        <v>-3</v>
      </c>
      <c r="RR79" s="47">
        <v>0</v>
      </c>
      <c r="RS79" s="48" t="s">
        <v>4</v>
      </c>
      <c r="RT79" s="49">
        <v>4</v>
      </c>
      <c r="RV79" s="42">
        <f t="shared" si="421"/>
        <v>4.4000000000000004</v>
      </c>
      <c r="RW79" s="43">
        <f t="shared" si="422"/>
        <v>-4</v>
      </c>
      <c r="RY79" s="47">
        <v>4</v>
      </c>
      <c r="RZ79" s="48" t="s">
        <v>4</v>
      </c>
      <c r="SA79" s="49">
        <v>0</v>
      </c>
      <c r="SC79" s="42">
        <f t="shared" si="423"/>
        <v>0</v>
      </c>
      <c r="SD79" s="43">
        <f t="shared" si="424"/>
        <v>4</v>
      </c>
      <c r="SF79" s="47">
        <v>0</v>
      </c>
      <c r="SG79" s="48" t="s">
        <v>4</v>
      </c>
      <c r="SH79" s="49">
        <v>4</v>
      </c>
      <c r="SJ79" s="42">
        <f t="shared" si="425"/>
        <v>4.4000000000000004</v>
      </c>
      <c r="SK79" s="43">
        <f t="shared" si="426"/>
        <v>-4</v>
      </c>
      <c r="SM79" s="47">
        <v>1</v>
      </c>
      <c r="SN79" s="48" t="s">
        <v>4</v>
      </c>
      <c r="SO79" s="49">
        <v>1</v>
      </c>
      <c r="SQ79" s="42">
        <f t="shared" si="427"/>
        <v>0</v>
      </c>
      <c r="SR79" s="43">
        <f t="shared" si="428"/>
        <v>0</v>
      </c>
    </row>
    <row r="80" spans="1:512" ht="16" customHeight="1" x14ac:dyDescent="0.15">
      <c r="A80" s="83"/>
      <c r="B80" s="46"/>
      <c r="C80" s="79"/>
      <c r="D80" s="79"/>
      <c r="I80" s="32"/>
      <c r="J80" s="47"/>
      <c r="K80" s="48"/>
      <c r="L80" s="49"/>
      <c r="N80" s="42"/>
      <c r="O80" s="43"/>
      <c r="P80" s="5"/>
      <c r="Q80" s="47"/>
      <c r="R80" s="48"/>
      <c r="S80" s="49"/>
      <c r="U80" s="42"/>
      <c r="V80" s="43"/>
      <c r="W80" s="5"/>
      <c r="X80" s="47"/>
      <c r="Y80" s="48"/>
      <c r="Z80" s="49"/>
      <c r="AB80" s="42"/>
      <c r="AC80" s="43"/>
      <c r="AD80" s="5"/>
      <c r="AE80" s="47"/>
      <c r="AF80" s="48"/>
      <c r="AG80" s="49"/>
      <c r="AI80" s="42"/>
      <c r="AJ80" s="43"/>
      <c r="AL80" s="47"/>
      <c r="AM80" s="48"/>
      <c r="AN80" s="49"/>
      <c r="AP80" s="42"/>
      <c r="AQ80" s="43"/>
      <c r="AS80" s="47"/>
      <c r="AT80" s="48"/>
      <c r="AU80" s="49"/>
      <c r="AW80" s="42"/>
      <c r="AX80" s="43"/>
      <c r="AZ80" s="47"/>
      <c r="BA80" s="48"/>
      <c r="BB80" s="49"/>
      <c r="BD80" s="42"/>
      <c r="BE80" s="43"/>
      <c r="BF80" s="5"/>
      <c r="BG80" s="47"/>
      <c r="BH80" s="48"/>
      <c r="BI80" s="49"/>
      <c r="BK80" s="42"/>
      <c r="BL80" s="43"/>
      <c r="BN80" s="47"/>
      <c r="BO80" s="48"/>
      <c r="BP80" s="49"/>
      <c r="BR80" s="42"/>
      <c r="BS80" s="43"/>
      <c r="BU80" s="47"/>
      <c r="BV80" s="48"/>
      <c r="BW80" s="49"/>
      <c r="BY80" s="42"/>
      <c r="BZ80" s="43"/>
      <c r="CB80" s="47"/>
      <c r="CC80" s="48"/>
      <c r="CD80" s="49"/>
      <c r="CF80" s="42"/>
      <c r="CG80" s="43"/>
      <c r="CH80" s="5"/>
      <c r="CI80" s="47"/>
      <c r="CJ80" s="48"/>
      <c r="CK80" s="49"/>
      <c r="CM80" s="42"/>
      <c r="CN80" s="43"/>
      <c r="CP80" s="47"/>
      <c r="CQ80" s="48"/>
      <c r="CR80" s="49"/>
      <c r="CT80" s="42"/>
      <c r="CU80" s="43"/>
      <c r="CW80" s="47"/>
      <c r="CX80" s="48"/>
      <c r="CY80" s="49"/>
      <c r="DA80" s="42"/>
      <c r="DB80" s="43"/>
      <c r="DD80" s="47"/>
      <c r="DE80" s="48"/>
      <c r="DF80" s="49"/>
      <c r="DH80" s="42"/>
      <c r="DI80" s="43"/>
      <c r="DJ80" s="5"/>
      <c r="DK80" s="47"/>
      <c r="DL80" s="48"/>
      <c r="DM80" s="49"/>
      <c r="DO80" s="42"/>
      <c r="DP80" s="43"/>
      <c r="DR80" s="47"/>
      <c r="DS80" s="48"/>
      <c r="DT80" s="49"/>
      <c r="DV80" s="42"/>
      <c r="DW80" s="43"/>
      <c r="DY80" s="47"/>
      <c r="DZ80" s="48"/>
      <c r="EA80" s="49"/>
      <c r="EC80" s="42"/>
      <c r="ED80" s="43"/>
      <c r="EF80" s="47"/>
      <c r="EG80" s="48"/>
      <c r="EH80" s="49"/>
      <c r="EJ80" s="42"/>
      <c r="EK80" s="43"/>
      <c r="EL80" s="5"/>
      <c r="EM80" s="47"/>
      <c r="EN80" s="48"/>
      <c r="EO80" s="49"/>
      <c r="EQ80" s="42"/>
      <c r="ER80" s="43"/>
      <c r="ET80" s="47"/>
      <c r="EU80" s="48"/>
      <c r="EV80" s="49"/>
      <c r="EX80" s="42"/>
      <c r="EY80" s="43"/>
      <c r="FA80" s="47"/>
      <c r="FB80" s="48"/>
      <c r="FC80" s="49"/>
      <c r="FE80" s="42"/>
      <c r="FF80" s="43"/>
      <c r="FH80" s="47"/>
      <c r="FI80" s="48"/>
      <c r="FJ80" s="49"/>
      <c r="FL80" s="42"/>
      <c r="FM80" s="43"/>
      <c r="FN80" s="5"/>
      <c r="FO80" s="47"/>
      <c r="FP80" s="48"/>
      <c r="FQ80" s="49"/>
      <c r="FS80" s="42"/>
      <c r="FT80" s="43"/>
      <c r="FV80" s="47"/>
      <c r="FW80" s="48"/>
      <c r="FX80" s="49"/>
      <c r="FZ80" s="42"/>
      <c r="GA80" s="43"/>
      <c r="GC80" s="47"/>
      <c r="GD80" s="48"/>
      <c r="GE80" s="49"/>
      <c r="GG80" s="42"/>
      <c r="GH80" s="43"/>
      <c r="GJ80" s="47"/>
      <c r="GK80" s="48"/>
      <c r="GL80" s="49"/>
      <c r="GN80" s="42"/>
      <c r="GO80" s="43"/>
      <c r="GP80" s="5"/>
      <c r="GQ80" s="47"/>
      <c r="GR80" s="48"/>
      <c r="GS80" s="49"/>
      <c r="GU80" s="42"/>
      <c r="GV80" s="43"/>
      <c r="GX80" s="47"/>
      <c r="GY80" s="48"/>
      <c r="GZ80" s="49"/>
      <c r="HB80" s="42"/>
      <c r="HC80" s="43"/>
      <c r="HE80" s="47"/>
      <c r="HF80" s="48"/>
      <c r="HG80" s="49"/>
      <c r="HI80" s="42"/>
      <c r="HJ80" s="43"/>
      <c r="HL80" s="47"/>
      <c r="HM80" s="48"/>
      <c r="HN80" s="49"/>
      <c r="HP80" s="42"/>
      <c r="HQ80" s="43"/>
      <c r="HR80" s="5"/>
      <c r="HS80" s="47"/>
      <c r="HT80" s="48"/>
      <c r="HU80" s="49"/>
      <c r="HW80" s="42"/>
      <c r="HX80" s="43"/>
      <c r="HZ80" s="47"/>
      <c r="IA80" s="48"/>
      <c r="IB80" s="49"/>
      <c r="ID80" s="42"/>
      <c r="IE80" s="43"/>
      <c r="IG80" s="47"/>
      <c r="IH80" s="48"/>
      <c r="II80" s="49"/>
      <c r="IK80" s="42"/>
      <c r="IL80" s="43"/>
      <c r="IN80" s="47"/>
      <c r="IO80" s="48"/>
      <c r="IP80" s="49"/>
      <c r="IR80" s="42"/>
      <c r="IS80" s="43"/>
      <c r="IT80" s="5"/>
      <c r="IU80" s="47"/>
      <c r="IV80" s="48"/>
      <c r="IW80" s="49"/>
      <c r="IY80" s="42"/>
      <c r="IZ80" s="43"/>
      <c r="JB80" s="47"/>
      <c r="JC80" s="48"/>
      <c r="JD80" s="49"/>
      <c r="JF80" s="42"/>
      <c r="JG80" s="43"/>
      <c r="JI80" s="47"/>
      <c r="JJ80" s="48"/>
      <c r="JK80" s="49"/>
      <c r="JM80" s="42"/>
      <c r="JN80" s="43"/>
      <c r="JP80" s="47"/>
      <c r="JQ80" s="48"/>
      <c r="JR80" s="49"/>
      <c r="JT80" s="42"/>
      <c r="JU80" s="43"/>
      <c r="JV80" s="5"/>
      <c r="JW80" s="47"/>
      <c r="JX80" s="48"/>
      <c r="JY80" s="49"/>
      <c r="KA80" s="42"/>
      <c r="KB80" s="43"/>
      <c r="KD80" s="47"/>
      <c r="KE80" s="48"/>
      <c r="KF80" s="49"/>
      <c r="KH80" s="42"/>
      <c r="KI80" s="43"/>
      <c r="KK80" s="47"/>
      <c r="KL80" s="48"/>
      <c r="KM80" s="49"/>
      <c r="KO80" s="42"/>
      <c r="KP80" s="43"/>
      <c r="KR80" s="47"/>
      <c r="KS80" s="48"/>
      <c r="KT80" s="49"/>
      <c r="KV80" s="42"/>
      <c r="KW80" s="43"/>
      <c r="KY80" s="47"/>
      <c r="KZ80" s="48"/>
      <c r="LA80" s="49"/>
      <c r="LC80" s="42"/>
      <c r="LD80" s="43"/>
      <c r="LF80" s="47"/>
      <c r="LG80" s="48"/>
      <c r="LH80" s="49"/>
      <c r="LJ80" s="42"/>
      <c r="LK80" s="43"/>
      <c r="LM80" s="47"/>
      <c r="LN80" s="48"/>
      <c r="LO80" s="49"/>
      <c r="LQ80" s="42"/>
      <c r="LR80" s="43"/>
      <c r="LT80" s="47"/>
      <c r="LU80" s="48"/>
      <c r="LV80" s="49"/>
      <c r="LX80" s="42"/>
      <c r="LY80" s="43"/>
      <c r="MA80" s="47"/>
      <c r="MB80" s="48"/>
      <c r="MC80" s="49"/>
      <c r="ME80" s="42"/>
      <c r="MF80" s="43"/>
      <c r="MH80" s="47"/>
      <c r="MI80" s="48"/>
      <c r="MJ80" s="49"/>
      <c r="ML80" s="42"/>
      <c r="MM80" s="43"/>
      <c r="MO80" s="47"/>
      <c r="MP80" s="48"/>
      <c r="MQ80" s="49"/>
      <c r="MS80" s="42"/>
      <c r="MT80" s="43"/>
      <c r="MV80" s="47"/>
      <c r="MW80" s="48"/>
      <c r="MX80" s="49"/>
      <c r="MZ80" s="42"/>
      <c r="NA80" s="43"/>
      <c r="NC80" s="47"/>
      <c r="ND80" s="48"/>
      <c r="NE80" s="49"/>
      <c r="NG80" s="42"/>
      <c r="NH80" s="43"/>
      <c r="NJ80" s="47"/>
      <c r="NK80" s="48"/>
      <c r="NL80" s="49"/>
      <c r="NN80" s="42"/>
      <c r="NO80" s="43"/>
      <c r="NQ80" s="47"/>
      <c r="NR80" s="48"/>
      <c r="NS80" s="49"/>
      <c r="NU80" s="42"/>
      <c r="NV80" s="43"/>
      <c r="NX80" s="47"/>
      <c r="NY80" s="48"/>
      <c r="NZ80" s="49"/>
      <c r="OB80" s="42"/>
      <c r="OC80" s="43"/>
      <c r="OE80" s="47"/>
      <c r="OF80" s="48"/>
      <c r="OG80" s="49"/>
      <c r="OI80" s="42"/>
      <c r="OJ80" s="43"/>
      <c r="OL80" s="47"/>
      <c r="OM80" s="48"/>
      <c r="ON80" s="49"/>
      <c r="OP80" s="42"/>
      <c r="OQ80" s="43"/>
      <c r="OS80" s="47"/>
      <c r="OT80" s="48"/>
      <c r="OU80" s="49"/>
      <c r="OW80" s="42"/>
      <c r="OX80" s="43"/>
      <c r="OZ80" s="47"/>
      <c r="PA80" s="48"/>
      <c r="PB80" s="49"/>
      <c r="PD80" s="42"/>
      <c r="PE80" s="43"/>
      <c r="PG80" s="47"/>
      <c r="PH80" s="48"/>
      <c r="PI80" s="49"/>
      <c r="PK80" s="42"/>
      <c r="PL80" s="43"/>
      <c r="PN80" s="47"/>
      <c r="PO80" s="48"/>
      <c r="PP80" s="49"/>
      <c r="PR80" s="42"/>
      <c r="PS80" s="43"/>
      <c r="PU80" s="47"/>
      <c r="PV80" s="48"/>
      <c r="PW80" s="49"/>
      <c r="PY80" s="42"/>
      <c r="PZ80" s="43"/>
      <c r="QB80" s="47"/>
      <c r="QC80" s="48"/>
      <c r="QD80" s="49"/>
      <c r="QF80" s="42"/>
      <c r="QG80" s="43"/>
      <c r="QI80" s="47"/>
      <c r="QJ80" s="48"/>
      <c r="QK80" s="49"/>
      <c r="QM80" s="42"/>
      <c r="QN80" s="43"/>
      <c r="QP80" s="47"/>
      <c r="QQ80" s="48"/>
      <c r="QR80" s="49"/>
      <c r="QT80" s="42"/>
      <c r="QU80" s="43"/>
      <c r="QW80" s="47"/>
      <c r="QX80" s="48"/>
      <c r="QY80" s="49"/>
      <c r="RA80" s="42"/>
      <c r="RB80" s="43"/>
      <c r="RD80" s="47"/>
      <c r="RE80" s="48"/>
      <c r="RF80" s="49"/>
      <c r="RH80" s="42"/>
      <c r="RI80" s="43"/>
      <c r="RK80" s="47"/>
      <c r="RL80" s="48"/>
      <c r="RM80" s="49"/>
      <c r="RO80" s="42"/>
      <c r="RP80" s="43"/>
      <c r="RR80" s="47"/>
      <c r="RS80" s="48"/>
      <c r="RT80" s="49"/>
      <c r="RV80" s="42"/>
      <c r="RW80" s="43"/>
      <c r="RY80" s="47"/>
      <c r="RZ80" s="48"/>
      <c r="SA80" s="49"/>
      <c r="SC80" s="42"/>
      <c r="SD80" s="43"/>
      <c r="SF80" s="47"/>
      <c r="SG80" s="48"/>
      <c r="SH80" s="49"/>
      <c r="SJ80" s="42"/>
      <c r="SK80" s="43"/>
      <c r="SM80" s="47"/>
      <c r="SN80" s="48"/>
      <c r="SO80" s="49"/>
      <c r="SQ80" s="42"/>
      <c r="SR80" s="43"/>
    </row>
    <row r="81" spans="1:512" ht="16" customHeight="1" x14ac:dyDescent="0.15">
      <c r="A81" s="84" t="s">
        <v>63</v>
      </c>
      <c r="B81" s="46"/>
      <c r="C81" s="82"/>
      <c r="D81" s="83"/>
      <c r="E81" s="5"/>
      <c r="F81" s="5"/>
      <c r="I81" s="32"/>
      <c r="J81" s="5"/>
      <c r="K81" s="5"/>
      <c r="N81" s="42"/>
      <c r="O81" s="43"/>
      <c r="P81" s="5"/>
      <c r="Q81" s="5"/>
      <c r="R81" s="5"/>
      <c r="U81" s="42"/>
      <c r="V81" s="43"/>
      <c r="W81" s="5"/>
      <c r="X81" s="5"/>
      <c r="Y81" s="5"/>
      <c r="AB81" s="42"/>
      <c r="AC81" s="43"/>
      <c r="AD81" s="5"/>
      <c r="AE81" s="5"/>
      <c r="AF81" s="5"/>
      <c r="AI81" s="42"/>
      <c r="AJ81" s="43"/>
      <c r="AL81" s="5"/>
      <c r="AM81" s="5"/>
      <c r="AP81" s="42"/>
      <c r="AQ81" s="43"/>
      <c r="AS81" s="5"/>
      <c r="AT81" s="5"/>
      <c r="AW81" s="42"/>
      <c r="AX81" s="43"/>
      <c r="AZ81" s="5"/>
      <c r="BA81" s="5"/>
      <c r="BD81" s="42"/>
      <c r="BE81" s="43"/>
      <c r="BF81" s="5"/>
      <c r="BG81" s="5"/>
      <c r="BH81" s="5"/>
      <c r="BK81" s="42"/>
      <c r="BL81" s="43"/>
      <c r="BN81" s="5"/>
      <c r="BO81" s="5"/>
      <c r="BR81" s="42"/>
      <c r="BS81" s="43"/>
      <c r="BU81" s="5"/>
      <c r="BV81" s="5"/>
      <c r="BY81" s="42"/>
      <c r="BZ81" s="43"/>
      <c r="CB81" s="5"/>
      <c r="CC81" s="5"/>
      <c r="CF81" s="42"/>
      <c r="CG81" s="43"/>
      <c r="CH81" s="5"/>
      <c r="CI81" s="5"/>
      <c r="CJ81" s="5"/>
      <c r="CM81" s="42"/>
      <c r="CN81" s="43"/>
      <c r="CP81" s="5"/>
      <c r="CQ81" s="5"/>
      <c r="CT81" s="42"/>
      <c r="CU81" s="43"/>
      <c r="CW81" s="5"/>
      <c r="CX81" s="5"/>
      <c r="DA81" s="42"/>
      <c r="DB81" s="43"/>
      <c r="DD81" s="5"/>
      <c r="DE81" s="5"/>
      <c r="DH81" s="42"/>
      <c r="DI81" s="43"/>
      <c r="DJ81" s="5"/>
      <c r="DK81" s="5"/>
      <c r="DL81" s="5"/>
      <c r="DO81" s="42"/>
      <c r="DP81" s="43"/>
      <c r="DR81" s="5"/>
      <c r="DS81" s="5"/>
      <c r="DV81" s="42"/>
      <c r="DW81" s="43"/>
      <c r="DY81" s="5"/>
      <c r="DZ81" s="5"/>
      <c r="EC81" s="42"/>
      <c r="ED81" s="43"/>
      <c r="EF81" s="5"/>
      <c r="EG81" s="5"/>
      <c r="EJ81" s="42"/>
      <c r="EK81" s="43"/>
      <c r="EL81" s="5"/>
      <c r="EM81" s="5"/>
      <c r="EN81" s="5"/>
      <c r="EQ81" s="42"/>
      <c r="ER81" s="43"/>
      <c r="ET81" s="5"/>
      <c r="EU81" s="5"/>
      <c r="EX81" s="42"/>
      <c r="EY81" s="43"/>
      <c r="FA81" s="5"/>
      <c r="FB81" s="5"/>
      <c r="FE81" s="42"/>
      <c r="FF81" s="43"/>
      <c r="FH81" s="5"/>
      <c r="FI81" s="5"/>
      <c r="FL81" s="42"/>
      <c r="FM81" s="43"/>
      <c r="FN81" s="5"/>
      <c r="FO81" s="5"/>
      <c r="FP81" s="5"/>
      <c r="FS81" s="42"/>
      <c r="FT81" s="43"/>
      <c r="FV81" s="5"/>
      <c r="FW81" s="5"/>
      <c r="FZ81" s="42"/>
      <c r="GA81" s="43"/>
      <c r="GC81" s="5"/>
      <c r="GD81" s="5"/>
      <c r="GG81" s="42"/>
      <c r="GH81" s="43"/>
      <c r="GJ81" s="5"/>
      <c r="GK81" s="5"/>
      <c r="GN81" s="42"/>
      <c r="GO81" s="43"/>
      <c r="GP81" s="5"/>
      <c r="GQ81" s="5"/>
      <c r="GR81" s="5"/>
      <c r="GU81" s="42"/>
      <c r="GV81" s="43"/>
      <c r="GX81" s="5"/>
      <c r="GY81" s="5"/>
      <c r="HB81" s="42"/>
      <c r="HC81" s="43"/>
      <c r="HE81" s="5"/>
      <c r="HF81" s="5"/>
      <c r="HI81" s="42"/>
      <c r="HJ81" s="43"/>
      <c r="HL81" s="5"/>
      <c r="HM81" s="5"/>
      <c r="HP81" s="42"/>
      <c r="HQ81" s="43"/>
      <c r="HR81" s="5"/>
      <c r="HS81" s="5"/>
      <c r="HT81" s="5"/>
      <c r="HW81" s="42"/>
      <c r="HX81" s="43"/>
      <c r="HZ81" s="5"/>
      <c r="IA81" s="5"/>
      <c r="ID81" s="42"/>
      <c r="IE81" s="43"/>
      <c r="IG81" s="5"/>
      <c r="IH81" s="5"/>
      <c r="IK81" s="42"/>
      <c r="IL81" s="43"/>
      <c r="IN81" s="5"/>
      <c r="IO81" s="5"/>
      <c r="IR81" s="42"/>
      <c r="IS81" s="43"/>
      <c r="IT81" s="5"/>
      <c r="IU81" s="5"/>
      <c r="IV81" s="5"/>
      <c r="IY81" s="42"/>
      <c r="IZ81" s="43"/>
      <c r="JB81" s="5"/>
      <c r="JC81" s="5"/>
      <c r="JF81" s="42"/>
      <c r="JG81" s="43"/>
      <c r="JI81" s="5"/>
      <c r="JJ81" s="5"/>
      <c r="JM81" s="42"/>
      <c r="JN81" s="43"/>
      <c r="JP81" s="5"/>
      <c r="JQ81" s="5"/>
      <c r="JT81" s="42"/>
      <c r="JU81" s="43"/>
      <c r="JV81" s="5"/>
      <c r="JW81" s="5"/>
      <c r="JX81" s="5"/>
      <c r="KA81" s="42"/>
      <c r="KB81" s="43"/>
      <c r="KD81" s="5"/>
      <c r="KE81" s="5"/>
      <c r="KH81" s="42"/>
      <c r="KI81" s="43"/>
      <c r="KK81" s="5"/>
      <c r="KL81" s="5"/>
      <c r="KO81" s="42"/>
      <c r="KP81" s="43"/>
      <c r="KR81" s="5"/>
      <c r="KS81" s="5"/>
      <c r="KV81" s="42"/>
      <c r="KW81" s="43"/>
      <c r="KY81" s="5"/>
      <c r="KZ81" s="5"/>
      <c r="LC81" s="42"/>
      <c r="LD81" s="43"/>
      <c r="LF81" s="5"/>
      <c r="LG81" s="5"/>
      <c r="LJ81" s="42"/>
      <c r="LK81" s="43"/>
      <c r="LM81" s="5"/>
      <c r="LN81" s="5"/>
      <c r="LQ81" s="42"/>
      <c r="LR81" s="43"/>
      <c r="LT81" s="5"/>
      <c r="LU81" s="5"/>
      <c r="LX81" s="42"/>
      <c r="LY81" s="43"/>
      <c r="MA81" s="5"/>
      <c r="MB81" s="5"/>
      <c r="ME81" s="42"/>
      <c r="MF81" s="43"/>
      <c r="MH81" s="5"/>
      <c r="MI81" s="5"/>
      <c r="ML81" s="42"/>
      <c r="MM81" s="43"/>
      <c r="MO81" s="5"/>
      <c r="MP81" s="5"/>
      <c r="MS81" s="42"/>
      <c r="MT81" s="43"/>
      <c r="MV81" s="5"/>
      <c r="MW81" s="5"/>
      <c r="MZ81" s="42"/>
      <c r="NA81" s="43"/>
      <c r="NC81" s="5"/>
      <c r="ND81" s="5"/>
      <c r="NG81" s="42"/>
      <c r="NH81" s="43"/>
      <c r="NJ81" s="5"/>
      <c r="NK81" s="5"/>
      <c r="NN81" s="42"/>
      <c r="NO81" s="43"/>
      <c r="NQ81" s="5"/>
      <c r="NR81" s="5"/>
      <c r="NU81" s="42"/>
      <c r="NV81" s="43"/>
      <c r="NX81" s="5"/>
      <c r="NY81" s="5"/>
      <c r="OB81" s="42"/>
      <c r="OC81" s="43"/>
      <c r="OE81" s="5"/>
      <c r="OF81" s="5"/>
      <c r="OI81" s="42"/>
      <c r="OJ81" s="43"/>
      <c r="OL81" s="5"/>
      <c r="OM81" s="5"/>
      <c r="OP81" s="42"/>
      <c r="OQ81" s="43"/>
      <c r="OS81" s="5"/>
      <c r="OT81" s="5"/>
      <c r="OW81" s="42"/>
      <c r="OX81" s="43"/>
      <c r="OZ81" s="5"/>
      <c r="PA81" s="5"/>
      <c r="PD81" s="42"/>
      <c r="PE81" s="43"/>
      <c r="PG81" s="5"/>
      <c r="PH81" s="5"/>
      <c r="PK81" s="42"/>
      <c r="PL81" s="43"/>
      <c r="PN81" s="5"/>
      <c r="PO81" s="5"/>
      <c r="PR81" s="42"/>
      <c r="PS81" s="43"/>
      <c r="PU81" s="5"/>
      <c r="PV81" s="5"/>
      <c r="PY81" s="42"/>
      <c r="PZ81" s="43"/>
      <c r="QB81" s="5"/>
      <c r="QC81" s="5"/>
      <c r="QF81" s="42"/>
      <c r="QG81" s="43"/>
      <c r="QI81" s="5"/>
      <c r="QJ81" s="5"/>
      <c r="QM81" s="42"/>
      <c r="QN81" s="43"/>
      <c r="QP81" s="5"/>
      <c r="QQ81" s="5"/>
      <c r="QT81" s="42"/>
      <c r="QU81" s="43"/>
      <c r="QW81" s="5"/>
      <c r="QX81" s="5"/>
      <c r="RA81" s="42"/>
      <c r="RB81" s="43"/>
      <c r="RD81" s="5"/>
      <c r="RE81" s="5"/>
      <c r="RH81" s="42"/>
      <c r="RI81" s="43"/>
      <c r="RK81" s="5"/>
      <c r="RL81" s="5"/>
      <c r="RO81" s="42"/>
      <c r="RP81" s="43"/>
      <c r="RR81" s="5"/>
      <c r="RS81" s="5"/>
      <c r="RV81" s="42"/>
      <c r="RW81" s="43"/>
      <c r="RY81" s="5"/>
      <c r="RZ81" s="5"/>
      <c r="SC81" s="42"/>
      <c r="SD81" s="43"/>
      <c r="SF81" s="5"/>
      <c r="SG81" s="5"/>
      <c r="SJ81" s="42"/>
      <c r="SK81" s="43"/>
      <c r="SM81" s="5"/>
      <c r="SN81" s="5"/>
      <c r="SQ81" s="42"/>
      <c r="SR81" s="43"/>
    </row>
    <row r="82" spans="1:512" ht="16" customHeight="1" x14ac:dyDescent="0.15">
      <c r="A82" s="51">
        <v>46201</v>
      </c>
      <c r="B82" s="46">
        <v>0.875</v>
      </c>
      <c r="C82" s="82" t="s">
        <v>29</v>
      </c>
      <c r="D82" s="82" t="s">
        <v>31</v>
      </c>
      <c r="E82" s="2">
        <v>0</v>
      </c>
      <c r="F82" s="50" t="s">
        <v>4</v>
      </c>
      <c r="G82" s="1">
        <v>1</v>
      </c>
      <c r="H82" s="16">
        <v>4.8</v>
      </c>
      <c r="I82" s="32">
        <f t="shared" si="429"/>
        <v>-1</v>
      </c>
      <c r="J82" s="47"/>
      <c r="K82" s="48" t="s">
        <v>4</v>
      </c>
      <c r="L82" s="49"/>
      <c r="N82" s="42" t="str">
        <f t="shared" si="430"/>
        <v/>
      </c>
      <c r="O82" s="43">
        <f t="shared" si="431"/>
        <v>0</v>
      </c>
      <c r="P82" s="5"/>
      <c r="Q82" s="47">
        <v>1</v>
      </c>
      <c r="R82" s="48" t="s">
        <v>4</v>
      </c>
      <c r="S82" s="49">
        <v>2</v>
      </c>
      <c r="U82" s="42">
        <f t="shared" ref="U82:U97" si="432">IF(OR($G82="",S82=""),"",IF(AND($E82=Q82,$G82=S82),$H82*1.5,IF(AND($I82&gt;0,V82&gt;0),$H82,IF(AND($I82&lt;0,V82&lt;0),$H82,IF(AND($I82=0,V82=0),$H82,0)))))</f>
        <v>4.8</v>
      </c>
      <c r="V82" s="43">
        <f t="shared" ref="V82:V97" si="433">Q82-S82</f>
        <v>-1</v>
      </c>
      <c r="W82" s="5"/>
      <c r="X82" s="47"/>
      <c r="Y82" s="48" t="s">
        <v>4</v>
      </c>
      <c r="Z82" s="49"/>
      <c r="AB82" s="42" t="str">
        <f t="shared" ref="AB82:AB97" si="434">IF(OR($G82="",Z82=""),"",IF(AND($E82=X82,$G82=Z82),$H82*1.5,IF(AND($I82&gt;0,AC82&gt;0),$H82,IF(AND($I82&lt;0,AC82&lt;0),$H82,IF(AND($I82=0,AC82=0),$H82,0)))))</f>
        <v/>
      </c>
      <c r="AC82" s="43">
        <f t="shared" ref="AC82:AC97" si="435">X82-Z82</f>
        <v>0</v>
      </c>
      <c r="AD82" s="5"/>
      <c r="AE82" s="47">
        <v>1</v>
      </c>
      <c r="AF82" s="48" t="s">
        <v>4</v>
      </c>
      <c r="AG82" s="49">
        <v>4</v>
      </c>
      <c r="AI82" s="42">
        <f t="shared" ref="AI82:AI97" si="436">IF(OR($G82="",AG82=""),"",IF(AND($E82=AE82,$G82=AG82),$H82*1.5,IF(AND($I82&gt;0,AJ82&gt;0),$H82,IF(AND($I82&lt;0,AJ82&lt;0),$H82,IF(AND($I82=0,AJ82=0),$H82,0)))))</f>
        <v>4.8</v>
      </c>
      <c r="AJ82" s="43">
        <f t="shared" ref="AJ82:AJ97" si="437">AE82-AG82</f>
        <v>-3</v>
      </c>
      <c r="AL82" s="47">
        <v>1</v>
      </c>
      <c r="AM82" s="48" t="s">
        <v>4</v>
      </c>
      <c r="AN82" s="49">
        <v>2</v>
      </c>
      <c r="AP82" s="42">
        <f t="shared" ref="AP82:AP97" si="438">IF(OR($G82="",AN82=""),"",IF(AND($E82=AL82,$G82=AN82),$H82*1.5,IF(AND($I82&gt;0,AQ82&gt;0),$H82,IF(AND($I82&lt;0,AQ82&lt;0),$H82,IF(AND($I82=0,AQ82=0),$H82,0)))))</f>
        <v>4.8</v>
      </c>
      <c r="AQ82" s="43">
        <f t="shared" ref="AQ82:AQ97" si="439">AL82-AN82</f>
        <v>-1</v>
      </c>
      <c r="AS82" s="47">
        <v>1</v>
      </c>
      <c r="AT82" s="48" t="s">
        <v>4</v>
      </c>
      <c r="AU82" s="49">
        <v>2</v>
      </c>
      <c r="AW82" s="42">
        <f t="shared" ref="AW82:AW97" si="440">IF(OR($G82="",AU82=""),"",IF(AND($E82=AS82,$G82=AU82),$H82*1.5,IF(AND($I82&gt;0,AX82&gt;0),$H82,IF(AND($I82&lt;0,AX82&lt;0),$H82,IF(AND($I82=0,AX82=0),$H82,0)))))</f>
        <v>4.8</v>
      </c>
      <c r="AX82" s="43">
        <f t="shared" ref="AX82:AX97" si="441">AS82-AU82</f>
        <v>-1</v>
      </c>
      <c r="AZ82" s="47">
        <v>1</v>
      </c>
      <c r="BA82" s="48" t="s">
        <v>4</v>
      </c>
      <c r="BB82" s="49">
        <v>2</v>
      </c>
      <c r="BD82" s="42">
        <f t="shared" ref="BD82:BD97" si="442">IF(OR($G82="",BB82=""),"",IF(AND($E82=AZ82,$G82=BB82),$H82*1.5,IF(AND($I82&gt;0,BE82&gt;0),$H82,IF(AND($I82&lt;0,BE82&lt;0),$H82,IF(AND($I82=0,BE82=0),$H82,0)))))</f>
        <v>4.8</v>
      </c>
      <c r="BE82" s="43">
        <f t="shared" ref="BE82:BE97" si="443">AZ82-BB82</f>
        <v>-1</v>
      </c>
      <c r="BF82" s="5"/>
      <c r="BG82" s="47">
        <v>1</v>
      </c>
      <c r="BH82" s="48" t="s">
        <v>4</v>
      </c>
      <c r="BI82" s="49">
        <v>2</v>
      </c>
      <c r="BK82" s="42">
        <f t="shared" ref="BK82:BK97" si="444">IF(OR($G82="",BI82=""),"",IF(AND($E82=BG82,$G82=BI82),$H82*1.5,IF(AND($I82&gt;0,BL82&gt;0),$H82,IF(AND($I82&lt;0,BL82&lt;0),$H82,IF(AND($I82=0,BL82=0),$H82,0)))))</f>
        <v>4.8</v>
      </c>
      <c r="BL82" s="43">
        <f t="shared" ref="BL82:BL97" si="445">BG82-BI82</f>
        <v>-1</v>
      </c>
      <c r="BN82" s="47">
        <v>1</v>
      </c>
      <c r="BO82" s="48" t="s">
        <v>4</v>
      </c>
      <c r="BP82" s="49">
        <v>2</v>
      </c>
      <c r="BR82" s="42">
        <f t="shared" ref="BR82:BR97" si="446">IF(OR($G82="",BP82=""),"",IF(AND($E82=BN82,$G82=BP82),$H82*1.5,IF(AND($I82&gt;0,BS82&gt;0),$H82,IF(AND($I82&lt;0,BS82&lt;0),$H82,IF(AND($I82=0,BS82=0),$H82,0)))))</f>
        <v>4.8</v>
      </c>
      <c r="BS82" s="43">
        <f t="shared" ref="BS82:BS97" si="447">BN82-BP82</f>
        <v>-1</v>
      </c>
      <c r="BU82" s="47">
        <v>0</v>
      </c>
      <c r="BV82" s="48" t="s">
        <v>4</v>
      </c>
      <c r="BW82" s="49">
        <v>1</v>
      </c>
      <c r="BY82" s="42">
        <f t="shared" ref="BY82:BY97" si="448">IF(OR($G82="",BW82=""),"",IF(AND($E82=BU82,$G82=BW82),$H82*1.5,IF(AND($I82&gt;0,BZ82&gt;0),$H82,IF(AND($I82&lt;0,BZ82&lt;0),$H82,IF(AND($I82=0,BZ82=0),$H82,0)))))</f>
        <v>7.1999999999999993</v>
      </c>
      <c r="BZ82" s="43">
        <f t="shared" ref="BZ82:BZ97" si="449">BU82-BW82</f>
        <v>-1</v>
      </c>
      <c r="CB82" s="47"/>
      <c r="CC82" s="48" t="s">
        <v>4</v>
      </c>
      <c r="CD82" s="49"/>
      <c r="CF82" s="42" t="str">
        <f t="shared" ref="CF82:CF97" si="450">IF(OR($G82="",CD82=""),"",IF(AND($E82=CB82,$G82=CD82),$H82*1.5,IF(AND($I82&gt;0,CG82&gt;0),$H82,IF(AND($I82&lt;0,CG82&lt;0),$H82,IF(AND($I82=0,CG82=0),$H82,0)))))</f>
        <v/>
      </c>
      <c r="CG82" s="43">
        <f t="shared" ref="CG82:CG97" si="451">CB82-CD82</f>
        <v>0</v>
      </c>
      <c r="CH82" s="5"/>
      <c r="CI82" s="47">
        <v>2</v>
      </c>
      <c r="CJ82" s="48" t="s">
        <v>4</v>
      </c>
      <c r="CK82" s="49">
        <v>1</v>
      </c>
      <c r="CM82" s="42">
        <f t="shared" ref="CM82:CM97" si="452">IF(OR($G82="",CK82=""),"",IF(AND($E82=CI82,$G82=CK82),$H82*1.5,IF(AND($I82&gt;0,CN82&gt;0),$H82,IF(AND($I82&lt;0,CN82&lt;0),$H82,IF(AND($I82=0,CN82=0),$H82,0)))))</f>
        <v>0</v>
      </c>
      <c r="CN82" s="43">
        <f t="shared" ref="CN82:CN97" si="453">CI82-CK82</f>
        <v>1</v>
      </c>
      <c r="CP82" s="47">
        <v>0</v>
      </c>
      <c r="CQ82" s="48" t="s">
        <v>4</v>
      </c>
      <c r="CR82" s="49">
        <v>2</v>
      </c>
      <c r="CT82" s="42">
        <f t="shared" ref="CT82:CT97" si="454">IF(OR($G82="",CR82=""),"",IF(AND($E82=CP82,$G82=CR82),$H82*1.5,IF(AND($I82&gt;0,CU82&gt;0),$H82,IF(AND($I82&lt;0,CU82&lt;0),$H82,IF(AND($I82=0,CU82=0),$H82,0)))))</f>
        <v>4.8</v>
      </c>
      <c r="CU82" s="43">
        <f t="shared" ref="CU82:CU97" si="455">CP82-CR82</f>
        <v>-2</v>
      </c>
      <c r="CW82" s="47">
        <v>1</v>
      </c>
      <c r="CX82" s="48" t="s">
        <v>4</v>
      </c>
      <c r="CY82" s="49">
        <v>2</v>
      </c>
      <c r="DA82" s="42">
        <f t="shared" ref="DA82:DA97" si="456">IF(OR($G82="",CY82=""),"",IF(AND($E82=CW82,$G82=CY82),$H82*1.5,IF(AND($I82&gt;0,DB82&gt;0),$H82,IF(AND($I82&lt;0,DB82&lt;0),$H82,IF(AND($I82=0,DB82=0),$H82,0)))))</f>
        <v>4.8</v>
      </c>
      <c r="DB82" s="43">
        <f t="shared" ref="DB82:DB97" si="457">CW82-CY82</f>
        <v>-1</v>
      </c>
      <c r="DD82" s="47">
        <v>1</v>
      </c>
      <c r="DE82" s="48" t="s">
        <v>4</v>
      </c>
      <c r="DF82" s="49">
        <v>2</v>
      </c>
      <c r="DH82" s="42">
        <f t="shared" ref="DH82:DH97" si="458">IF(OR($G82="",DF82=""),"",IF(AND($E82=DD82,$G82=DF82),$H82*1.5,IF(AND($I82&gt;0,DI82&gt;0),$H82,IF(AND($I82&lt;0,DI82&lt;0),$H82,IF(AND($I82=0,DI82=0),$H82,0)))))</f>
        <v>4.8</v>
      </c>
      <c r="DI82" s="43">
        <f t="shared" ref="DI82:DI97" si="459">DD82-DF82</f>
        <v>-1</v>
      </c>
      <c r="DJ82" s="5"/>
      <c r="DK82" s="47">
        <v>0</v>
      </c>
      <c r="DL82" s="48" t="s">
        <v>4</v>
      </c>
      <c r="DM82" s="49">
        <v>2</v>
      </c>
      <c r="DO82" s="42">
        <f t="shared" ref="DO82:DO97" si="460">IF(OR($G82="",DM82=""),"",IF(AND($E82=DK82,$G82=DM82),$H82*1.5,IF(AND($I82&gt;0,DP82&gt;0),$H82,IF(AND($I82&lt;0,DP82&lt;0),$H82,IF(AND($I82=0,DP82=0),$H82,0)))))</f>
        <v>4.8</v>
      </c>
      <c r="DP82" s="43">
        <f t="shared" ref="DP82:DP97" si="461">DK82-DM82</f>
        <v>-2</v>
      </c>
      <c r="DR82" s="47">
        <v>0</v>
      </c>
      <c r="DS82" s="48" t="s">
        <v>4</v>
      </c>
      <c r="DT82" s="49">
        <v>2</v>
      </c>
      <c r="DV82" s="42">
        <f t="shared" ref="DV82:DV97" si="462">IF(OR($G82="",DT82=""),"",IF(AND($E82=DR82,$G82=DT82),$H82*1.5,IF(AND($I82&gt;0,DW82&gt;0),$H82,IF(AND($I82&lt;0,DW82&lt;0),$H82,IF(AND($I82=0,DW82=0),$H82,0)))))</f>
        <v>4.8</v>
      </c>
      <c r="DW82" s="43">
        <f t="shared" ref="DW82:DW97" si="463">DR82-DT82</f>
        <v>-2</v>
      </c>
      <c r="DY82" s="47">
        <v>3</v>
      </c>
      <c r="DZ82" s="48" t="s">
        <v>4</v>
      </c>
      <c r="EA82" s="49">
        <v>5</v>
      </c>
      <c r="EC82" s="42">
        <f t="shared" ref="EC82:EC97" si="464">IF(OR($G82="",EA82=""),"",IF(AND($E82=DY82,$G82=EA82),$H82*1.5,IF(AND($I82&gt;0,ED82&gt;0),$H82,IF(AND($I82&lt;0,ED82&lt;0),$H82,IF(AND($I82=0,ED82=0),$H82,0)))))</f>
        <v>4.8</v>
      </c>
      <c r="ED82" s="43">
        <f t="shared" ref="ED82:ED97" si="465">DY82-EA82</f>
        <v>-2</v>
      </c>
      <c r="EF82" s="47">
        <v>1</v>
      </c>
      <c r="EG82" s="48" t="s">
        <v>4</v>
      </c>
      <c r="EH82" s="49">
        <v>3</v>
      </c>
      <c r="EJ82" s="42">
        <f t="shared" ref="EJ82:EJ97" si="466">IF(OR($G82="",EH82=""),"",IF(AND($E82=EF82,$G82=EH82),$H82*1.5,IF(AND($I82&gt;0,EK82&gt;0),$H82,IF(AND($I82&lt;0,EK82&lt;0),$H82,IF(AND($I82=0,EK82=0),$H82,0)))))</f>
        <v>4.8</v>
      </c>
      <c r="EK82" s="43">
        <f t="shared" ref="EK82:EK97" si="467">EF82-EH82</f>
        <v>-2</v>
      </c>
      <c r="EL82" s="5"/>
      <c r="EM82" s="47">
        <v>1</v>
      </c>
      <c r="EN82" s="48" t="s">
        <v>4</v>
      </c>
      <c r="EO82" s="49">
        <v>2</v>
      </c>
      <c r="EQ82" s="42">
        <f t="shared" ref="EQ82:EQ97" si="468">IF(OR($G82="",EO82=""),"",IF(AND($E82=EM82,$G82=EO82),$H82*1.5,IF(AND($I82&gt;0,ER82&gt;0),$H82,IF(AND($I82&lt;0,ER82&lt;0),$H82,IF(AND($I82=0,ER82=0),$H82,0)))))</f>
        <v>4.8</v>
      </c>
      <c r="ER82" s="43">
        <f t="shared" ref="ER82:ER97" si="469">EM82-EO82</f>
        <v>-1</v>
      </c>
      <c r="ET82" s="47">
        <v>1</v>
      </c>
      <c r="EU82" s="48" t="s">
        <v>4</v>
      </c>
      <c r="EV82" s="49">
        <v>2</v>
      </c>
      <c r="EX82" s="42">
        <f t="shared" ref="EX82:EX97" si="470">IF(OR($G82="",EV82=""),"",IF(AND($E82=ET82,$G82=EV82),$H82*1.5,IF(AND($I82&gt;0,EY82&gt;0),$H82,IF(AND($I82&lt;0,EY82&lt;0),$H82,IF(AND($I82=0,EY82=0),$H82,0)))))</f>
        <v>4.8</v>
      </c>
      <c r="EY82" s="43">
        <f t="shared" ref="EY82:EY97" si="471">ET82-EV82</f>
        <v>-1</v>
      </c>
      <c r="FA82" s="47">
        <v>1</v>
      </c>
      <c r="FB82" s="48" t="s">
        <v>4</v>
      </c>
      <c r="FC82" s="49">
        <v>2</v>
      </c>
      <c r="FE82" s="42">
        <f t="shared" ref="FE82:FE97" si="472">IF(OR($G82="",FC82=""),"",IF(AND($E82=FA82,$G82=FC82),$H82*1.5,IF(AND($I82&gt;0,FF82&gt;0),$H82,IF(AND($I82&lt;0,FF82&lt;0),$H82,IF(AND($I82=0,FF82=0),$H82,0)))))</f>
        <v>4.8</v>
      </c>
      <c r="FF82" s="43">
        <f t="shared" ref="FF82:FF97" si="473">FA82-FC82</f>
        <v>-1</v>
      </c>
      <c r="FH82" s="47">
        <v>0</v>
      </c>
      <c r="FI82" s="48" t="s">
        <v>4</v>
      </c>
      <c r="FJ82" s="49">
        <v>2</v>
      </c>
      <c r="FL82" s="42">
        <f t="shared" ref="FL82:FL97" si="474">IF(OR($G82="",FJ82=""),"",IF(AND($E82=FH82,$G82=FJ82),$H82*1.5,IF(AND($I82&gt;0,FM82&gt;0),$H82,IF(AND($I82&lt;0,FM82&lt;0),$H82,IF(AND($I82=0,FM82=0),$H82,0)))))</f>
        <v>4.8</v>
      </c>
      <c r="FM82" s="43">
        <f t="shared" ref="FM82:FM97" si="475">FH82-FJ82</f>
        <v>-2</v>
      </c>
      <c r="FN82" s="5"/>
      <c r="FO82" s="47">
        <v>0</v>
      </c>
      <c r="FP82" s="48" t="s">
        <v>4</v>
      </c>
      <c r="FQ82" s="49">
        <v>1</v>
      </c>
      <c r="FS82" s="42">
        <f t="shared" ref="FS82:FS97" si="476">IF(OR($G82="",FQ82=""),"",IF(AND($E82=FO82,$G82=FQ82),$H82*1.5,IF(AND($I82&gt;0,FT82&gt;0),$H82,IF(AND($I82&lt;0,FT82&lt;0),$H82,IF(AND($I82=0,FT82=0),$H82,0)))))</f>
        <v>7.1999999999999993</v>
      </c>
      <c r="FT82" s="43">
        <f t="shared" ref="FT82:FT97" si="477">FO82-FQ82</f>
        <v>-1</v>
      </c>
      <c r="FV82" s="47">
        <v>0</v>
      </c>
      <c r="FW82" s="48" t="s">
        <v>4</v>
      </c>
      <c r="FX82" s="49">
        <v>2</v>
      </c>
      <c r="FZ82" s="42">
        <f t="shared" ref="FZ82:FZ97" si="478">IF(OR($G82="",FX82=""),"",IF(AND($E82=FV82,$G82=FX82),$H82*1.5,IF(AND($I82&gt;0,GA82&gt;0),$H82,IF(AND($I82&lt;0,GA82&lt;0),$H82,IF(AND($I82=0,GA82=0),$H82,0)))))</f>
        <v>4.8</v>
      </c>
      <c r="GA82" s="43">
        <f t="shared" ref="GA82:GA97" si="479">FV82-FX82</f>
        <v>-2</v>
      </c>
      <c r="GC82" s="47">
        <v>0</v>
      </c>
      <c r="GD82" s="48" t="s">
        <v>4</v>
      </c>
      <c r="GE82" s="49">
        <v>2</v>
      </c>
      <c r="GG82" s="42">
        <f t="shared" ref="GG82:GG97" si="480">IF(OR($G82="",GE82=""),"",IF(AND($E82=GC82,$G82=GE82),$H82*1.5,IF(AND($I82&gt;0,GH82&gt;0),$H82,IF(AND($I82&lt;0,GH82&lt;0),$H82,IF(AND($I82=0,GH82=0),$H82,0)))))</f>
        <v>4.8</v>
      </c>
      <c r="GH82" s="43">
        <f t="shared" ref="GH82:GH97" si="481">GC82-GE82</f>
        <v>-2</v>
      </c>
      <c r="GJ82" s="47">
        <v>1</v>
      </c>
      <c r="GK82" s="48" t="s">
        <v>4</v>
      </c>
      <c r="GL82" s="49">
        <v>2</v>
      </c>
      <c r="GN82" s="42">
        <f t="shared" ref="GN82:GN97" si="482">IF(OR($G82="",GL82=""),"",IF(AND($E82=GJ82,$G82=GL82),$H82*1.5,IF(AND($I82&gt;0,GO82&gt;0),$H82,IF(AND($I82&lt;0,GO82&lt;0),$H82,IF(AND($I82=0,GO82=0),$H82,0)))))</f>
        <v>4.8</v>
      </c>
      <c r="GO82" s="43">
        <f t="shared" ref="GO82:GO97" si="483">GJ82-GL82</f>
        <v>-1</v>
      </c>
      <c r="GP82" s="5"/>
      <c r="GQ82" s="47">
        <v>5</v>
      </c>
      <c r="GR82" s="48" t="s">
        <v>4</v>
      </c>
      <c r="GS82" s="49">
        <v>4</v>
      </c>
      <c r="GU82" s="42">
        <f t="shared" ref="GU82:GU97" si="484">IF(OR($G82="",GS82=""),"",IF(AND($E82=GQ82,$G82=GS82),$H82*1.5,IF(AND($I82&gt;0,GV82&gt;0),$H82,IF(AND($I82&lt;0,GV82&lt;0),$H82,IF(AND($I82=0,GV82=0),$H82,0)))))</f>
        <v>0</v>
      </c>
      <c r="GV82" s="43">
        <f t="shared" ref="GV82:GV97" si="485">GQ82-GS82</f>
        <v>1</v>
      </c>
      <c r="GX82" s="47">
        <v>5</v>
      </c>
      <c r="GY82" s="48" t="s">
        <v>4</v>
      </c>
      <c r="GZ82" s="49">
        <v>6</v>
      </c>
      <c r="HB82" s="42">
        <f t="shared" ref="HB82:HB97" si="486">IF(OR($G82="",GZ82=""),"",IF(AND($E82=GX82,$G82=GZ82),$H82*1.5,IF(AND($I82&gt;0,HC82&gt;0),$H82,IF(AND($I82&lt;0,HC82&lt;0),$H82,IF(AND($I82=0,HC82=0),$H82,0)))))</f>
        <v>4.8</v>
      </c>
      <c r="HC82" s="43">
        <f t="shared" ref="HC82:HC97" si="487">GX82-GZ82</f>
        <v>-1</v>
      </c>
      <c r="HE82" s="47">
        <v>0</v>
      </c>
      <c r="HF82" s="48" t="s">
        <v>4</v>
      </c>
      <c r="HG82" s="49">
        <v>2</v>
      </c>
      <c r="HI82" s="42">
        <f t="shared" ref="HI82:HI97" si="488">IF(OR($G82="",HG82=""),"",IF(AND($E82=HE82,$G82=HG82),$H82*1.5,IF(AND($I82&gt;0,HJ82&gt;0),$H82,IF(AND($I82&lt;0,HJ82&lt;0),$H82,IF(AND($I82=0,HJ82=0),$H82,0)))))</f>
        <v>4.8</v>
      </c>
      <c r="HJ82" s="43">
        <f t="shared" ref="HJ82:HJ97" si="489">HE82-HG82</f>
        <v>-2</v>
      </c>
      <c r="HL82" s="47">
        <v>5</v>
      </c>
      <c r="HM82" s="48" t="s">
        <v>4</v>
      </c>
      <c r="HN82" s="49">
        <v>6</v>
      </c>
      <c r="HP82" s="42">
        <f t="shared" ref="HP82:HP97" si="490">IF(OR($G82="",HN82=""),"",IF(AND($E82=HL82,$G82=HN82),$H82*1.5,IF(AND($I82&gt;0,HQ82&gt;0),$H82,IF(AND($I82&lt;0,HQ82&lt;0),$H82,IF(AND($I82=0,HQ82=0),$H82,0)))))</f>
        <v>4.8</v>
      </c>
      <c r="HQ82" s="43">
        <f t="shared" ref="HQ82:HQ97" si="491">HL82-HN82</f>
        <v>-1</v>
      </c>
      <c r="HR82" s="5"/>
      <c r="HS82" s="47">
        <v>1</v>
      </c>
      <c r="HT82" s="48" t="s">
        <v>4</v>
      </c>
      <c r="HU82" s="49">
        <v>2</v>
      </c>
      <c r="HW82" s="42">
        <f t="shared" ref="HW82:HW97" si="492">IF(OR($G82="",HU82=""),"",IF(AND($E82=HS82,$G82=HU82),$H82*1.5,IF(AND($I82&gt;0,HX82&gt;0),$H82,IF(AND($I82&lt;0,HX82&lt;0),$H82,IF(AND($I82=0,HX82=0),$H82,0)))))</f>
        <v>4.8</v>
      </c>
      <c r="HX82" s="43">
        <f t="shared" ref="HX82:HX97" si="493">HS82-HU82</f>
        <v>-1</v>
      </c>
      <c r="HZ82" s="47">
        <v>1</v>
      </c>
      <c r="IA82" s="48" t="s">
        <v>4</v>
      </c>
      <c r="IB82" s="49">
        <v>2</v>
      </c>
      <c r="ID82" s="42">
        <f t="shared" ref="ID82:ID97" si="494">IF(OR($G82="",IB82=""),"",IF(AND($E82=HZ82,$G82=IB82),$H82*1.5,IF(AND($I82&gt;0,IE82&gt;0),$H82,IF(AND($I82&lt;0,IE82&lt;0),$H82,IF(AND($I82=0,IE82=0),$H82,0)))))</f>
        <v>4.8</v>
      </c>
      <c r="IE82" s="43">
        <f t="shared" ref="IE82:IE97" si="495">HZ82-IB82</f>
        <v>-1</v>
      </c>
      <c r="IG82" s="47">
        <v>1</v>
      </c>
      <c r="IH82" s="48" t="s">
        <v>4</v>
      </c>
      <c r="II82" s="49">
        <v>2</v>
      </c>
      <c r="IK82" s="42">
        <f t="shared" ref="IK82:IK97" si="496">IF(OR($G82="",II82=""),"",IF(AND($E82=IG82,$G82=II82),$H82*1.5,IF(AND($I82&gt;0,IL82&gt;0),$H82,IF(AND($I82&lt;0,IL82&lt;0),$H82,IF(AND($I82=0,IL82=0),$H82,0)))))</f>
        <v>4.8</v>
      </c>
      <c r="IL82" s="43">
        <f t="shared" ref="IL82:IL97" si="497">IG82-II82</f>
        <v>-1</v>
      </c>
      <c r="IN82" s="47">
        <v>1</v>
      </c>
      <c r="IO82" s="48" t="s">
        <v>4</v>
      </c>
      <c r="IP82" s="49">
        <v>2</v>
      </c>
      <c r="IR82" s="42">
        <f t="shared" ref="IR82:IR97" si="498">IF(OR($G82="",IP82=""),"",IF(AND($E82=IN82,$G82=IP82),$H82*1.5,IF(AND($I82&gt;0,IS82&gt;0),$H82,IF(AND($I82&lt;0,IS82&lt;0),$H82,IF(AND($I82=0,IS82=0),$H82,0)))))</f>
        <v>4.8</v>
      </c>
      <c r="IS82" s="43">
        <f t="shared" ref="IS82:IS97" si="499">IN82-IP82</f>
        <v>-1</v>
      </c>
      <c r="IT82" s="5"/>
      <c r="IU82" s="47">
        <v>0</v>
      </c>
      <c r="IV82" s="48" t="s">
        <v>4</v>
      </c>
      <c r="IW82" s="49">
        <v>2</v>
      </c>
      <c r="IY82" s="42">
        <f t="shared" ref="IY82:IY97" si="500">IF(OR($G82="",IW82=""),"",IF(AND($E82=IU82,$G82=IW82),$H82*1.5,IF(AND($I82&gt;0,IZ82&gt;0),$H82,IF(AND($I82&lt;0,IZ82&lt;0),$H82,IF(AND($I82=0,IZ82=0),$H82,0)))))</f>
        <v>4.8</v>
      </c>
      <c r="IZ82" s="43">
        <f t="shared" ref="IZ82:IZ97" si="501">IU82-IW82</f>
        <v>-2</v>
      </c>
      <c r="JB82" s="47">
        <v>2</v>
      </c>
      <c r="JC82" s="48" t="s">
        <v>4</v>
      </c>
      <c r="JD82" s="49">
        <v>3</v>
      </c>
      <c r="JF82" s="42">
        <f t="shared" ref="JF82:JF97" si="502">IF(OR($G82="",JD82=""),"",IF(AND($E82=JB82,$G82=JD82),$H82*1.5,IF(AND($I82&gt;0,JG82&gt;0),$H82,IF(AND($I82&lt;0,JG82&lt;0),$H82,IF(AND($I82=0,JG82=0),$H82,0)))))</f>
        <v>4.8</v>
      </c>
      <c r="JG82" s="43">
        <f t="shared" ref="JG82:JG97" si="503">JB82-JD82</f>
        <v>-1</v>
      </c>
      <c r="JI82" s="47">
        <v>2</v>
      </c>
      <c r="JJ82" s="48" t="s">
        <v>4</v>
      </c>
      <c r="JK82" s="49">
        <v>1</v>
      </c>
      <c r="JM82" s="42">
        <f t="shared" ref="JM82:JM97" si="504">IF(OR($G82="",JK82=""),"",IF(AND($E82=JI82,$G82=JK82),$H82*1.5,IF(AND($I82&gt;0,JN82&gt;0),$H82,IF(AND($I82&lt;0,JN82&lt;0),$H82,IF(AND($I82=0,JN82=0),$H82,0)))))</f>
        <v>0</v>
      </c>
      <c r="JN82" s="43">
        <f t="shared" ref="JN82:JN97" si="505">JI82-JK82</f>
        <v>1</v>
      </c>
      <c r="JP82" s="47">
        <v>0</v>
      </c>
      <c r="JQ82" s="48" t="s">
        <v>4</v>
      </c>
      <c r="JR82" s="49">
        <v>2</v>
      </c>
      <c r="JT82" s="42">
        <f t="shared" ref="JT82:JT97" si="506">IF(OR($G82="",JR82=""),"",IF(AND($E82=JP82,$G82=JR82),$H82*1.5,IF(AND($I82&gt;0,JU82&gt;0),$H82,IF(AND($I82&lt;0,JU82&lt;0),$H82,IF(AND($I82=0,JU82=0),$H82,0)))))</f>
        <v>4.8</v>
      </c>
      <c r="JU82" s="43">
        <f t="shared" ref="JU82:JU97" si="507">JP82-JR82</f>
        <v>-2</v>
      </c>
      <c r="JV82" s="5"/>
      <c r="JW82" s="47">
        <v>1</v>
      </c>
      <c r="JX82" s="48" t="s">
        <v>4</v>
      </c>
      <c r="JY82" s="49">
        <v>2</v>
      </c>
      <c r="KA82" s="42">
        <f t="shared" ref="KA82:KA97" si="508">IF(OR($G82="",JY82=""),"",IF(AND($E82=JW82,$G82=JY82),$H82*1.5,IF(AND($I82&gt;0,KB82&gt;0),$H82,IF(AND($I82&lt;0,KB82&lt;0),$H82,IF(AND($I82=0,KB82=0),$H82,0)))))</f>
        <v>4.8</v>
      </c>
      <c r="KB82" s="43">
        <f t="shared" ref="KB82:KB97" si="509">JW82-JY82</f>
        <v>-1</v>
      </c>
      <c r="KD82" s="47">
        <v>5</v>
      </c>
      <c r="KE82" s="48" t="s">
        <v>4</v>
      </c>
      <c r="KF82" s="49">
        <v>6</v>
      </c>
      <c r="KH82" s="42">
        <f t="shared" ref="KH82:KH97" si="510">IF(OR($G82="",KF82=""),"",IF(AND($E82=KD82,$G82=KF82),$H82*1.5,IF(AND($I82&gt;0,KI82&gt;0),$H82,IF(AND($I82&lt;0,KI82&lt;0),$H82,IF(AND($I82=0,KI82=0),$H82,0)))))</f>
        <v>4.8</v>
      </c>
      <c r="KI82" s="43">
        <f t="shared" ref="KI82:KI97" si="511">KD82-KF82</f>
        <v>-1</v>
      </c>
      <c r="KK82" s="47">
        <v>0</v>
      </c>
      <c r="KL82" s="48" t="s">
        <v>4</v>
      </c>
      <c r="KM82" s="49">
        <v>2</v>
      </c>
      <c r="KO82" s="42">
        <f t="shared" ref="KO82:KO97" si="512">IF(OR($G82="",KM82=""),"",IF(AND($E82=KK82,$G82=KM82),$H82*1.5,IF(AND($I82&gt;0,KP82&gt;0),$H82,IF(AND($I82&lt;0,KP82&lt;0),$H82,IF(AND($I82=0,KP82=0),$H82,0)))))</f>
        <v>4.8</v>
      </c>
      <c r="KP82" s="43">
        <f t="shared" ref="KP82:KP97" si="513">KK82-KM82</f>
        <v>-2</v>
      </c>
      <c r="KR82" s="47">
        <v>4</v>
      </c>
      <c r="KS82" s="48" t="s">
        <v>4</v>
      </c>
      <c r="KT82" s="49">
        <v>6</v>
      </c>
      <c r="KV82" s="42">
        <f t="shared" ref="KV82:KV97" si="514">IF(OR($G82="",KT82=""),"",IF(AND($E82=KR82,$G82=KT82),$H82*1.5,IF(AND($I82&gt;0,KW82&gt;0),$H82,IF(AND($I82&lt;0,KW82&lt;0),$H82,IF(AND($I82=0,KW82=0),$H82,0)))))</f>
        <v>4.8</v>
      </c>
      <c r="KW82" s="43">
        <f t="shared" ref="KW82:KW97" si="515">KR82-KT82</f>
        <v>-2</v>
      </c>
      <c r="KY82" s="47">
        <v>1</v>
      </c>
      <c r="KZ82" s="48" t="s">
        <v>4</v>
      </c>
      <c r="LA82" s="49">
        <v>2</v>
      </c>
      <c r="LC82" s="42">
        <f t="shared" ref="LC82:LC97" si="516">IF(OR($G82="",LA82=""),"",IF(AND($E82=KY82,$G82=LA82),$H82*1.5,IF(AND($I82&gt;0,LD82&gt;0),$H82,IF(AND($I82&lt;0,LD82&lt;0),$H82,IF(AND($I82=0,LD82=0),$H82,0)))))</f>
        <v>4.8</v>
      </c>
      <c r="LD82" s="43">
        <f t="shared" ref="LD82:LD97" si="517">KY82-LA82</f>
        <v>-1</v>
      </c>
      <c r="LF82" s="47">
        <v>0</v>
      </c>
      <c r="LG82" s="48" t="s">
        <v>4</v>
      </c>
      <c r="LH82" s="49">
        <v>2</v>
      </c>
      <c r="LJ82" s="42">
        <f t="shared" ref="LJ82:LJ97" si="518">IF(OR($G82="",LH82=""),"",IF(AND($E82=LF82,$G82=LH82),$H82*1.5,IF(AND($I82&gt;0,LK82&gt;0),$H82,IF(AND($I82&lt;0,LK82&lt;0),$H82,IF(AND($I82=0,LK82=0),$H82,0)))))</f>
        <v>4.8</v>
      </c>
      <c r="LK82" s="43">
        <f t="shared" ref="LK82:LK97" si="519">LF82-LH82</f>
        <v>-2</v>
      </c>
      <c r="LM82" s="47">
        <v>0</v>
      </c>
      <c r="LN82" s="48" t="s">
        <v>4</v>
      </c>
      <c r="LO82" s="49">
        <v>2</v>
      </c>
      <c r="LQ82" s="42">
        <f t="shared" ref="LQ82:LQ97" si="520">IF(OR($G82="",LO82=""),"",IF(AND($E82=LM82,$G82=LO82),$H82*1.5,IF(AND($I82&gt;0,LR82&gt;0),$H82,IF(AND($I82&lt;0,LR82&lt;0),$H82,IF(AND($I82=0,LR82=0),$H82,0)))))</f>
        <v>4.8</v>
      </c>
      <c r="LR82" s="43">
        <f t="shared" ref="LR82:LR97" si="521">LM82-LO82</f>
        <v>-2</v>
      </c>
      <c r="LT82" s="47">
        <v>1</v>
      </c>
      <c r="LU82" s="48" t="s">
        <v>4</v>
      </c>
      <c r="LV82" s="49">
        <v>2</v>
      </c>
      <c r="LX82" s="42">
        <f t="shared" ref="LX82:LX97" si="522">IF(OR($G82="",LV82=""),"",IF(AND($E82=LT82,$G82=LV82),$H82*1.5,IF(AND($I82&gt;0,LY82&gt;0),$H82,IF(AND($I82&lt;0,LY82&lt;0),$H82,IF(AND($I82=0,LY82=0),$H82,0)))))</f>
        <v>4.8</v>
      </c>
      <c r="LY82" s="43">
        <f t="shared" ref="LY82:LY97" si="523">LT82-LV82</f>
        <v>-1</v>
      </c>
      <c r="MA82" s="47">
        <v>1</v>
      </c>
      <c r="MB82" s="48" t="s">
        <v>4</v>
      </c>
      <c r="MC82" s="49">
        <v>2</v>
      </c>
      <c r="ME82" s="42">
        <f t="shared" ref="ME82:ME97" si="524">IF(OR($G82="",MC82=""),"",IF(AND($E82=MA82,$G82=MC82),$H82*1.5,IF(AND($I82&gt;0,MF82&gt;0),$H82,IF(AND($I82&lt;0,MF82&lt;0),$H82,IF(AND($I82=0,MF82=0),$H82,0)))))</f>
        <v>4.8</v>
      </c>
      <c r="MF82" s="43">
        <f t="shared" ref="MF82:MF97" si="525">MA82-MC82</f>
        <v>-1</v>
      </c>
      <c r="MH82" s="47">
        <v>0</v>
      </c>
      <c r="MI82" s="48" t="s">
        <v>4</v>
      </c>
      <c r="MJ82" s="49">
        <v>2</v>
      </c>
      <c r="ML82" s="42">
        <f t="shared" ref="ML82:ML97" si="526">IF(OR($G82="",MJ82=""),"",IF(AND($E82=MH82,$G82=MJ82),$H82*1.5,IF(AND($I82&gt;0,MM82&gt;0),$H82,IF(AND($I82&lt;0,MM82&lt;0),$H82,IF(AND($I82=0,MM82=0),$H82,0)))))</f>
        <v>4.8</v>
      </c>
      <c r="MM82" s="43">
        <f t="shared" ref="MM82:MM97" si="527">MH82-MJ82</f>
        <v>-2</v>
      </c>
      <c r="MO82" s="47">
        <v>1</v>
      </c>
      <c r="MP82" s="48" t="s">
        <v>4</v>
      </c>
      <c r="MQ82" s="49">
        <v>2</v>
      </c>
      <c r="MS82" s="42">
        <f t="shared" ref="MS82:MS97" si="528">IF(OR($G82="",MQ82=""),"",IF(AND($E82=MO82,$G82=MQ82),$H82*1.5,IF(AND($I82&gt;0,MT82&gt;0),$H82,IF(AND($I82&lt;0,MT82&lt;0),$H82,IF(AND($I82=0,MT82=0),$H82,0)))))</f>
        <v>4.8</v>
      </c>
      <c r="MT82" s="43">
        <f t="shared" ref="MT82:MT97" si="529">MO82-MQ82</f>
        <v>-1</v>
      </c>
      <c r="MV82" s="47">
        <v>3</v>
      </c>
      <c r="MW82" s="48" t="s">
        <v>4</v>
      </c>
      <c r="MX82" s="49">
        <v>4</v>
      </c>
      <c r="MZ82" s="42">
        <f t="shared" ref="MZ82:MZ97" si="530">IF(OR($G82="",MX82=""),"",IF(AND($E82=MV82,$G82=MX82),$H82*1.5,IF(AND($I82&gt;0,NA82&gt;0),$H82,IF(AND($I82&lt;0,NA82&lt;0),$H82,IF(AND($I82=0,NA82=0),$H82,0)))))</f>
        <v>4.8</v>
      </c>
      <c r="NA82" s="43">
        <f t="shared" ref="NA82:NA97" si="531">MV82-MX82</f>
        <v>-1</v>
      </c>
      <c r="NC82" s="47">
        <v>2</v>
      </c>
      <c r="ND82" s="48" t="s">
        <v>4</v>
      </c>
      <c r="NE82" s="49">
        <v>1</v>
      </c>
      <c r="NG82" s="42">
        <f t="shared" ref="NG82:NG97" si="532">IF(OR($G82="",NE82=""),"",IF(AND($E82=NC82,$G82=NE82),$H82*1.5,IF(AND($I82&gt;0,NH82&gt;0),$H82,IF(AND($I82&lt;0,NH82&lt;0),$H82,IF(AND($I82=0,NH82=0),$H82,0)))))</f>
        <v>0</v>
      </c>
      <c r="NH82" s="43">
        <f t="shared" ref="NH82:NH97" si="533">NC82-NE82</f>
        <v>1</v>
      </c>
      <c r="NJ82" s="47">
        <v>1</v>
      </c>
      <c r="NK82" s="48" t="s">
        <v>4</v>
      </c>
      <c r="NL82" s="49">
        <v>2</v>
      </c>
      <c r="NN82" s="42">
        <f t="shared" ref="NN82:NN97" si="534">IF(OR($G82="",NL82=""),"",IF(AND($E82=NJ82,$G82=NL82),$H82*1.5,IF(AND($I82&gt;0,NO82&gt;0),$H82,IF(AND($I82&lt;0,NO82&lt;0),$H82,IF(AND($I82=0,NO82=0),$H82,0)))))</f>
        <v>4.8</v>
      </c>
      <c r="NO82" s="43">
        <f t="shared" ref="NO82:NO97" si="535">NJ82-NL82</f>
        <v>-1</v>
      </c>
      <c r="NQ82" s="47">
        <v>1</v>
      </c>
      <c r="NR82" s="48" t="s">
        <v>4</v>
      </c>
      <c r="NS82" s="49">
        <v>2</v>
      </c>
      <c r="NU82" s="42">
        <f t="shared" ref="NU82:NU97" si="536">IF(OR($G82="",NS82=""),"",IF(AND($E82=NQ82,$G82=NS82),$H82*1.5,IF(AND($I82&gt;0,NV82&gt;0),$H82,IF(AND($I82&lt;0,NV82&lt;0),$H82,IF(AND($I82=0,NV82=0),$H82,0)))))</f>
        <v>4.8</v>
      </c>
      <c r="NV82" s="43">
        <f t="shared" ref="NV82:NV97" si="537">NQ82-NS82</f>
        <v>-1</v>
      </c>
      <c r="NX82" s="47">
        <v>5</v>
      </c>
      <c r="NY82" s="48" t="s">
        <v>4</v>
      </c>
      <c r="NZ82" s="49">
        <v>6</v>
      </c>
      <c r="OB82" s="42">
        <f t="shared" ref="OB82:OB97" si="538">IF(OR($G82="",NZ82=""),"",IF(AND($E82=NX82,$G82=NZ82),$H82*1.5,IF(AND($I82&gt;0,OC82&gt;0),$H82,IF(AND($I82&lt;0,OC82&lt;0),$H82,IF(AND($I82=0,OC82=0),$H82,0)))))</f>
        <v>4.8</v>
      </c>
      <c r="OC82" s="43">
        <f t="shared" ref="OC82:OC97" si="539">NX82-NZ82</f>
        <v>-1</v>
      </c>
      <c r="OE82" s="47">
        <v>1</v>
      </c>
      <c r="OF82" s="48" t="s">
        <v>4</v>
      </c>
      <c r="OG82" s="49">
        <v>3</v>
      </c>
      <c r="OI82" s="42">
        <f t="shared" ref="OI82:OI97" si="540">IF(OR($G82="",OG82=""),"",IF(AND($E82=OE82,$G82=OG82),$H82*1.5,IF(AND($I82&gt;0,OJ82&gt;0),$H82,IF(AND($I82&lt;0,OJ82&lt;0),$H82,IF(AND($I82=0,OJ82=0),$H82,0)))))</f>
        <v>4.8</v>
      </c>
      <c r="OJ82" s="43">
        <f t="shared" ref="OJ82:OJ97" si="541">OE82-OG82</f>
        <v>-2</v>
      </c>
      <c r="OL82" s="47">
        <v>0</v>
      </c>
      <c r="OM82" s="48" t="s">
        <v>4</v>
      </c>
      <c r="ON82" s="49">
        <v>3</v>
      </c>
      <c r="OP82" s="42">
        <f t="shared" ref="OP82:OP97" si="542">IF(OR($G82="",ON82=""),"",IF(AND($E82=OL82,$G82=ON82),$H82*1.5,IF(AND($I82&gt;0,OQ82&gt;0),$H82,IF(AND($I82&lt;0,OQ82&lt;0),$H82,IF(AND($I82=0,OQ82=0),$H82,0)))))</f>
        <v>4.8</v>
      </c>
      <c r="OQ82" s="43">
        <f t="shared" ref="OQ82:OQ97" si="543">OL82-ON82</f>
        <v>-3</v>
      </c>
      <c r="OS82" s="47">
        <v>2</v>
      </c>
      <c r="OT82" s="48" t="s">
        <v>4</v>
      </c>
      <c r="OU82" s="49">
        <v>1</v>
      </c>
      <c r="OW82" s="42">
        <f t="shared" ref="OW82:OW97" si="544">IF(OR($G82="",OU82=""),"",IF(AND($E82=OS82,$G82=OU82),$H82*1.5,IF(AND($I82&gt;0,OX82&gt;0),$H82,IF(AND($I82&lt;0,OX82&lt;0),$H82,IF(AND($I82=0,OX82=0),$H82,0)))))</f>
        <v>0</v>
      </c>
      <c r="OX82" s="43">
        <f t="shared" ref="OX82:OX97" si="545">OS82-OU82</f>
        <v>1</v>
      </c>
      <c r="OZ82" s="47">
        <v>1</v>
      </c>
      <c r="PA82" s="48" t="s">
        <v>4</v>
      </c>
      <c r="PB82" s="49">
        <v>2</v>
      </c>
      <c r="PD82" s="42">
        <f t="shared" ref="PD82:PD97" si="546">IF(OR($G82="",PB82=""),"",IF(AND($E82=OZ82,$G82=PB82),$H82*1.5,IF(AND($I82&gt;0,PE82&gt;0),$H82,IF(AND($I82&lt;0,PE82&lt;0),$H82,IF(AND($I82=0,PE82=0),$H82,0)))))</f>
        <v>4.8</v>
      </c>
      <c r="PE82" s="43">
        <f t="shared" ref="PE82:PE97" si="547">OZ82-PB82</f>
        <v>-1</v>
      </c>
      <c r="PG82" s="47">
        <v>1</v>
      </c>
      <c r="PH82" s="48" t="s">
        <v>4</v>
      </c>
      <c r="PI82" s="49">
        <v>0</v>
      </c>
      <c r="PK82" s="42">
        <f t="shared" ref="PK82:PK97" si="548">IF(OR($G82="",PI82=""),"",IF(AND($E82=PG82,$G82=PI82),$H82*1.5,IF(AND($I82&gt;0,PL82&gt;0),$H82,IF(AND($I82&lt;0,PL82&lt;0),$H82,IF(AND($I82=0,PL82=0),$H82,0)))))</f>
        <v>0</v>
      </c>
      <c r="PL82" s="43">
        <f t="shared" ref="PL82:PL97" si="549">PG82-PI82</f>
        <v>1</v>
      </c>
      <c r="PN82" s="47">
        <v>1</v>
      </c>
      <c r="PO82" s="48" t="s">
        <v>4</v>
      </c>
      <c r="PP82" s="49">
        <v>2</v>
      </c>
      <c r="PR82" s="42">
        <f t="shared" ref="PR82:PR97" si="550">IF(OR($G82="",PP82=""),"",IF(AND($E82=PN82,$G82=PP82),$H82*1.5,IF(AND($I82&gt;0,PS82&gt;0),$H82,IF(AND($I82&lt;0,PS82&lt;0),$H82,IF(AND($I82=0,PS82=0),$H82,0)))))</f>
        <v>4.8</v>
      </c>
      <c r="PS82" s="43">
        <f t="shared" ref="PS82:PS97" si="551">PN82-PP82</f>
        <v>-1</v>
      </c>
      <c r="PU82" s="47">
        <v>1</v>
      </c>
      <c r="PV82" s="48" t="s">
        <v>4</v>
      </c>
      <c r="PW82" s="49">
        <v>2</v>
      </c>
      <c r="PY82" s="42">
        <f t="shared" ref="PY82:PY97" si="552">IF(OR($G82="",PW82=""),"",IF(AND($E82=PU82,$G82=PW82),$H82*1.5,IF(AND($I82&gt;0,PZ82&gt;0),$H82,IF(AND($I82&lt;0,PZ82&lt;0),$H82,IF(AND($I82=0,PZ82=0),$H82,0)))))</f>
        <v>4.8</v>
      </c>
      <c r="PZ82" s="43">
        <f t="shared" ref="PZ82:PZ97" si="553">PU82-PW82</f>
        <v>-1</v>
      </c>
      <c r="QB82" s="47">
        <v>1</v>
      </c>
      <c r="QC82" s="48"/>
      <c r="QD82" s="49">
        <v>2</v>
      </c>
      <c r="QF82" s="42">
        <f t="shared" ref="QF82:QF97" si="554">IF(OR($G82="",QD82=""),"",IF(AND($E82=QB82,$G82=QD82),$H82*1.5,IF(AND($I82&gt;0,QG82&gt;0),$H82,IF(AND($I82&lt;0,QG82&lt;0),$H82,IF(AND($I82=0,QG82=0),$H82,0)))))</f>
        <v>4.8</v>
      </c>
      <c r="QG82" s="43">
        <f t="shared" ref="QG82:QG97" si="555">QB82-QD82</f>
        <v>-1</v>
      </c>
      <c r="QI82" s="47">
        <v>0</v>
      </c>
      <c r="QJ82" s="48" t="s">
        <v>4</v>
      </c>
      <c r="QK82" s="49">
        <v>1</v>
      </c>
      <c r="QM82" s="42">
        <f t="shared" ref="QM82:QM97" si="556">IF(OR($G82="",QK82=""),"",IF(AND($E82=QI82,$G82=QK82),$H82*1.5,IF(AND($I82&gt;0,QN82&gt;0),$H82,IF(AND($I82&lt;0,QN82&lt;0),$H82,IF(AND($I82=0,QN82=0),$H82,0)))))</f>
        <v>7.1999999999999993</v>
      </c>
      <c r="QN82" s="43">
        <f t="shared" ref="QN82:QN97" si="557">QI82-QK82</f>
        <v>-1</v>
      </c>
      <c r="QP82" s="47">
        <v>5</v>
      </c>
      <c r="QQ82" s="48" t="s">
        <v>4</v>
      </c>
      <c r="QR82" s="49">
        <v>4</v>
      </c>
      <c r="QT82" s="42">
        <f t="shared" ref="QT82:QT97" si="558">IF(OR($G82="",QR82=""),"",IF(AND($E82=QP82,$G82=QR82),$H82*1.5,IF(AND($I82&gt;0,QU82&gt;0),$H82,IF(AND($I82&lt;0,QU82&lt;0),$H82,IF(AND($I82=0,QU82=0),$H82,0)))))</f>
        <v>0</v>
      </c>
      <c r="QU82" s="43">
        <f t="shared" ref="QU82:QU97" si="559">QP82-QR82</f>
        <v>1</v>
      </c>
      <c r="QW82" s="47">
        <v>1</v>
      </c>
      <c r="QX82" s="48" t="s">
        <v>4</v>
      </c>
      <c r="QY82" s="49">
        <v>2</v>
      </c>
      <c r="RA82" s="42">
        <f t="shared" ref="RA82:RA97" si="560">IF(OR($G82="",QY82=""),"",IF(AND($E82=QW82,$G82=QY82),$H82*1.5,IF(AND($I82&gt;0,RB82&gt;0),$H82,IF(AND($I82&lt;0,RB82&lt;0),$H82,IF(AND($I82=0,RB82=0),$H82,0)))))</f>
        <v>4.8</v>
      </c>
      <c r="RB82" s="43">
        <f t="shared" ref="RB82:RB97" si="561">QW82-QY82</f>
        <v>-1</v>
      </c>
      <c r="RD82" s="47"/>
      <c r="RE82" s="48" t="s">
        <v>4</v>
      </c>
      <c r="RF82" s="49"/>
      <c r="RH82" s="42" t="str">
        <f t="shared" ref="RH82:RH97" si="562">IF(OR($G82="",RF82=""),"",IF(AND($E82=RD82,$G82=RF82),$H82*1.5,IF(AND($I82&gt;0,RI82&gt;0),$H82,IF(AND($I82&lt;0,RI82&lt;0),$H82,IF(AND($I82=0,RI82=0),$H82,0)))))</f>
        <v/>
      </c>
      <c r="RI82" s="43">
        <f t="shared" ref="RI82:RI97" si="563">RD82-RF82</f>
        <v>0</v>
      </c>
      <c r="RK82" s="47">
        <v>3</v>
      </c>
      <c r="RL82" s="48" t="s">
        <v>4</v>
      </c>
      <c r="RM82" s="49">
        <v>0</v>
      </c>
      <c r="RO82" s="42">
        <f t="shared" ref="RO82:RO97" si="564">IF(OR($G82="",RM82=""),"",IF(AND($E82=RK82,$G82=RM82),$H82*1.5,IF(AND($I82&gt;0,RP82&gt;0),$H82,IF(AND($I82&lt;0,RP82&lt;0),$H82,IF(AND($I82=0,RP82=0),$H82,0)))))</f>
        <v>0</v>
      </c>
      <c r="RP82" s="43">
        <f t="shared" ref="RP82:RP97" si="565">RK82-RM82</f>
        <v>3</v>
      </c>
      <c r="RR82" s="47">
        <v>0</v>
      </c>
      <c r="RS82" s="48" t="s">
        <v>4</v>
      </c>
      <c r="RT82" s="49">
        <v>1</v>
      </c>
      <c r="RV82" s="42">
        <f t="shared" ref="RV82:RV97" si="566">IF(OR($G82="",RT82=""),"",IF(AND($E82=RR82,$G82=RT82),$H82*1.5,IF(AND($I82&gt;0,RW82&gt;0),$H82,IF(AND($I82&lt;0,RW82&lt;0),$H82,IF(AND($I82=0,RW82=0),$H82,0)))))</f>
        <v>7.1999999999999993</v>
      </c>
      <c r="RW82" s="43">
        <f t="shared" ref="RW82:RW97" si="567">RR82-RT82</f>
        <v>-1</v>
      </c>
      <c r="RY82" s="47">
        <v>1</v>
      </c>
      <c r="RZ82" s="48" t="s">
        <v>4</v>
      </c>
      <c r="SA82" s="49">
        <v>3</v>
      </c>
      <c r="SC82" s="42">
        <f t="shared" ref="SC82:SC97" si="568">IF(OR($G82="",SA82=""),"",IF(AND($E82=RY82,$G82=SA82),$H82*1.5,IF(AND($I82&gt;0,SD82&gt;0),$H82,IF(AND($I82&lt;0,SD82&lt;0),$H82,IF(AND($I82=0,SD82=0),$H82,0)))))</f>
        <v>4.8</v>
      </c>
      <c r="SD82" s="43">
        <f t="shared" ref="SD82:SD97" si="569">RY82-SA82</f>
        <v>-2</v>
      </c>
      <c r="SF82" s="47">
        <v>5</v>
      </c>
      <c r="SG82" s="48" t="s">
        <v>4</v>
      </c>
      <c r="SH82" s="49">
        <v>3</v>
      </c>
      <c r="SJ82" s="42">
        <f t="shared" ref="SJ82:SJ97" si="570">IF(OR($G82="",SH82=""),"",IF(AND($E82=SF82,$G82=SH82),$H82*1.5,IF(AND($I82&gt;0,SK82&gt;0),$H82,IF(AND($I82&lt;0,SK82&lt;0),$H82,IF(AND($I82=0,SK82=0),$H82,0)))))</f>
        <v>0</v>
      </c>
      <c r="SK82" s="43">
        <f t="shared" ref="SK82:SK97" si="571">SF82-SH82</f>
        <v>2</v>
      </c>
      <c r="SM82" s="47">
        <v>1</v>
      </c>
      <c r="SN82" s="48" t="s">
        <v>4</v>
      </c>
      <c r="SO82" s="49">
        <v>2</v>
      </c>
      <c r="SQ82" s="42">
        <f t="shared" ref="SQ82:SQ97" si="572">IF(OR($G82="",SO82=""),"",IF(AND($E82=SM82,$G82=SO82),$H82*1.5,IF(AND($I82&gt;0,SR82&gt;0),$H82,IF(AND($I82&lt;0,SR82&lt;0),$H82,IF(AND($I82=0,SR82=0),$H82,0)))))</f>
        <v>4.8</v>
      </c>
      <c r="SR82" s="43">
        <f t="shared" ref="SR82:SR97" si="573">SM82-SO82</f>
        <v>-1</v>
      </c>
    </row>
    <row r="83" spans="1:512" ht="16" customHeight="1" x14ac:dyDescent="0.15">
      <c r="A83" s="51">
        <v>46202</v>
      </c>
      <c r="B83" s="46">
        <v>0.79166666666666663</v>
      </c>
      <c r="C83" s="82" t="s">
        <v>35</v>
      </c>
      <c r="D83" s="83" t="s">
        <v>40</v>
      </c>
      <c r="E83" s="2">
        <v>2</v>
      </c>
      <c r="F83" s="50" t="s">
        <v>4</v>
      </c>
      <c r="G83" s="1">
        <v>1</v>
      </c>
      <c r="H83" s="16">
        <v>5.2</v>
      </c>
      <c r="I83" s="32">
        <f t="shared" si="429"/>
        <v>1</v>
      </c>
      <c r="J83" s="47"/>
      <c r="K83" s="48" t="s">
        <v>4</v>
      </c>
      <c r="L83" s="49"/>
      <c r="M83" s="8"/>
      <c r="N83" s="42" t="str">
        <f t="shared" si="430"/>
        <v/>
      </c>
      <c r="O83" s="43">
        <f t="shared" si="431"/>
        <v>0</v>
      </c>
      <c r="Q83" s="47">
        <v>3</v>
      </c>
      <c r="R83" s="48" t="s">
        <v>4</v>
      </c>
      <c r="S83" s="49">
        <v>1</v>
      </c>
      <c r="T83" s="8"/>
      <c r="U83" s="42">
        <f t="shared" si="432"/>
        <v>5.2</v>
      </c>
      <c r="V83" s="43">
        <f t="shared" si="433"/>
        <v>2</v>
      </c>
      <c r="W83" s="8"/>
      <c r="X83" s="47"/>
      <c r="Y83" s="48" t="s">
        <v>4</v>
      </c>
      <c r="Z83" s="49"/>
      <c r="AA83" s="8"/>
      <c r="AB83" s="42" t="str">
        <f t="shared" si="434"/>
        <v/>
      </c>
      <c r="AC83" s="43">
        <f t="shared" si="435"/>
        <v>0</v>
      </c>
      <c r="AD83" s="8"/>
      <c r="AE83" s="47">
        <v>2</v>
      </c>
      <c r="AF83" s="48" t="s">
        <v>4</v>
      </c>
      <c r="AG83" s="49">
        <v>0</v>
      </c>
      <c r="AH83" s="8"/>
      <c r="AI83" s="42">
        <f t="shared" si="436"/>
        <v>5.2</v>
      </c>
      <c r="AJ83" s="43">
        <f t="shared" si="437"/>
        <v>2</v>
      </c>
      <c r="AK83" s="8"/>
      <c r="AL83" s="47">
        <v>3</v>
      </c>
      <c r="AM83" s="48" t="s">
        <v>4</v>
      </c>
      <c r="AN83" s="49">
        <v>1</v>
      </c>
      <c r="AO83" s="8"/>
      <c r="AP83" s="42">
        <f t="shared" si="438"/>
        <v>5.2</v>
      </c>
      <c r="AQ83" s="43">
        <f t="shared" si="439"/>
        <v>2</v>
      </c>
      <c r="AR83" s="8"/>
      <c r="AS83" s="47">
        <v>4</v>
      </c>
      <c r="AT83" s="48" t="s">
        <v>4</v>
      </c>
      <c r="AU83" s="49">
        <v>2</v>
      </c>
      <c r="AV83" s="8"/>
      <c r="AW83" s="42">
        <f t="shared" si="440"/>
        <v>5.2</v>
      </c>
      <c r="AX83" s="43">
        <f t="shared" si="441"/>
        <v>2</v>
      </c>
      <c r="AY83" s="8"/>
      <c r="AZ83" s="47">
        <v>6</v>
      </c>
      <c r="BA83" s="48" t="s">
        <v>4</v>
      </c>
      <c r="BB83" s="49">
        <v>4</v>
      </c>
      <c r="BC83" s="8"/>
      <c r="BD83" s="42">
        <f t="shared" si="442"/>
        <v>5.2</v>
      </c>
      <c r="BE83" s="43">
        <f t="shared" si="443"/>
        <v>2</v>
      </c>
      <c r="BF83" s="8"/>
      <c r="BG83" s="47">
        <v>2</v>
      </c>
      <c r="BH83" s="48" t="s">
        <v>4</v>
      </c>
      <c r="BI83" s="49">
        <v>0</v>
      </c>
      <c r="BJ83" s="8"/>
      <c r="BK83" s="42">
        <f t="shared" si="444"/>
        <v>5.2</v>
      </c>
      <c r="BL83" s="43">
        <f t="shared" si="445"/>
        <v>2</v>
      </c>
      <c r="BM83" s="8"/>
      <c r="BN83" s="47">
        <v>2</v>
      </c>
      <c r="BO83" s="48" t="s">
        <v>4</v>
      </c>
      <c r="BP83" s="49">
        <v>3</v>
      </c>
      <c r="BQ83" s="8"/>
      <c r="BR83" s="42">
        <f t="shared" si="446"/>
        <v>0</v>
      </c>
      <c r="BS83" s="43">
        <f t="shared" si="447"/>
        <v>-1</v>
      </c>
      <c r="BT83" s="8"/>
      <c r="BU83" s="47">
        <v>3</v>
      </c>
      <c r="BV83" s="48" t="s">
        <v>4</v>
      </c>
      <c r="BW83" s="49">
        <v>0</v>
      </c>
      <c r="BX83" s="8"/>
      <c r="BY83" s="42">
        <f t="shared" si="448"/>
        <v>5.2</v>
      </c>
      <c r="BZ83" s="43">
        <f t="shared" si="449"/>
        <v>3</v>
      </c>
      <c r="CA83" s="8"/>
      <c r="CB83" s="47"/>
      <c r="CC83" s="48" t="s">
        <v>4</v>
      </c>
      <c r="CD83" s="49"/>
      <c r="CE83" s="8"/>
      <c r="CF83" s="42" t="str">
        <f t="shared" si="450"/>
        <v/>
      </c>
      <c r="CG83" s="43">
        <f t="shared" si="451"/>
        <v>0</v>
      </c>
      <c r="CH83" s="8"/>
      <c r="CI83" s="47">
        <v>2</v>
      </c>
      <c r="CJ83" s="48" t="s">
        <v>4</v>
      </c>
      <c r="CK83" s="49">
        <v>0</v>
      </c>
      <c r="CL83" s="8"/>
      <c r="CM83" s="42">
        <f t="shared" si="452"/>
        <v>5.2</v>
      </c>
      <c r="CN83" s="43">
        <f t="shared" si="453"/>
        <v>2</v>
      </c>
      <c r="CO83" s="8"/>
      <c r="CP83" s="47">
        <v>1</v>
      </c>
      <c r="CQ83" s="48" t="s">
        <v>4</v>
      </c>
      <c r="CR83" s="49">
        <v>0</v>
      </c>
      <c r="CS83" s="8"/>
      <c r="CT83" s="42">
        <f t="shared" si="454"/>
        <v>5.2</v>
      </c>
      <c r="CU83" s="43">
        <f t="shared" si="455"/>
        <v>1</v>
      </c>
      <c r="CV83" s="8"/>
      <c r="CW83" s="47">
        <v>3</v>
      </c>
      <c r="CX83" s="48" t="s">
        <v>4</v>
      </c>
      <c r="CY83" s="49">
        <v>1</v>
      </c>
      <c r="CZ83" s="8"/>
      <c r="DA83" s="42">
        <f t="shared" si="456"/>
        <v>5.2</v>
      </c>
      <c r="DB83" s="43">
        <f t="shared" si="457"/>
        <v>2</v>
      </c>
      <c r="DC83" s="8"/>
      <c r="DD83" s="47">
        <v>3</v>
      </c>
      <c r="DE83" s="48" t="s">
        <v>4</v>
      </c>
      <c r="DF83" s="49">
        <v>0</v>
      </c>
      <c r="DG83" s="8"/>
      <c r="DH83" s="42">
        <f t="shared" si="458"/>
        <v>5.2</v>
      </c>
      <c r="DI83" s="43">
        <f t="shared" si="459"/>
        <v>3</v>
      </c>
      <c r="DJ83" s="8"/>
      <c r="DK83" s="47">
        <v>0</v>
      </c>
      <c r="DL83" s="48" t="s">
        <v>4</v>
      </c>
      <c r="DM83" s="49">
        <v>1</v>
      </c>
      <c r="DN83" s="8"/>
      <c r="DO83" s="42">
        <f t="shared" si="460"/>
        <v>0</v>
      </c>
      <c r="DP83" s="43">
        <f t="shared" si="461"/>
        <v>-1</v>
      </c>
      <c r="DQ83" s="8"/>
      <c r="DR83" s="47">
        <v>3</v>
      </c>
      <c r="DS83" s="48" t="s">
        <v>4</v>
      </c>
      <c r="DT83" s="49">
        <v>1</v>
      </c>
      <c r="DU83" s="8"/>
      <c r="DV83" s="42">
        <f t="shared" si="462"/>
        <v>5.2</v>
      </c>
      <c r="DW83" s="43">
        <f t="shared" si="463"/>
        <v>2</v>
      </c>
      <c r="DX83" s="8"/>
      <c r="DY83" s="47">
        <v>2</v>
      </c>
      <c r="DZ83" s="48" t="s">
        <v>4</v>
      </c>
      <c r="EA83" s="49">
        <v>1</v>
      </c>
      <c r="EB83" s="8"/>
      <c r="EC83" s="42">
        <f t="shared" si="464"/>
        <v>7.8000000000000007</v>
      </c>
      <c r="ED83" s="43">
        <f t="shared" si="465"/>
        <v>1</v>
      </c>
      <c r="EE83" s="8"/>
      <c r="EF83" s="47">
        <v>3</v>
      </c>
      <c r="EG83" s="48" t="s">
        <v>4</v>
      </c>
      <c r="EH83" s="49">
        <v>1</v>
      </c>
      <c r="EI83" s="8"/>
      <c r="EJ83" s="42">
        <f t="shared" si="466"/>
        <v>5.2</v>
      </c>
      <c r="EK83" s="43">
        <f t="shared" si="467"/>
        <v>2</v>
      </c>
      <c r="EL83" s="8"/>
      <c r="EM83" s="47">
        <v>3</v>
      </c>
      <c r="EN83" s="48" t="s">
        <v>4</v>
      </c>
      <c r="EO83" s="49">
        <v>2</v>
      </c>
      <c r="EP83" s="8"/>
      <c r="EQ83" s="42">
        <f t="shared" si="468"/>
        <v>5.2</v>
      </c>
      <c r="ER83" s="43">
        <f t="shared" si="469"/>
        <v>1</v>
      </c>
      <c r="ES83" s="8"/>
      <c r="ET83" s="47">
        <v>3</v>
      </c>
      <c r="EU83" s="48" t="s">
        <v>4</v>
      </c>
      <c r="EV83" s="49">
        <v>2</v>
      </c>
      <c r="EW83" s="8"/>
      <c r="EX83" s="42">
        <f t="shared" si="470"/>
        <v>5.2</v>
      </c>
      <c r="EY83" s="43">
        <f t="shared" si="471"/>
        <v>1</v>
      </c>
      <c r="EZ83" s="8"/>
      <c r="FA83" s="47">
        <v>4</v>
      </c>
      <c r="FB83" s="48" t="s">
        <v>4</v>
      </c>
      <c r="FC83" s="49">
        <v>2</v>
      </c>
      <c r="FD83" s="8"/>
      <c r="FE83" s="42">
        <f t="shared" si="472"/>
        <v>5.2</v>
      </c>
      <c r="FF83" s="43">
        <f t="shared" si="473"/>
        <v>2</v>
      </c>
      <c r="FG83" s="8"/>
      <c r="FH83" s="47">
        <v>2</v>
      </c>
      <c r="FI83" s="48" t="s">
        <v>4</v>
      </c>
      <c r="FJ83" s="49">
        <v>1</v>
      </c>
      <c r="FK83" s="8"/>
      <c r="FL83" s="42">
        <f t="shared" si="474"/>
        <v>7.8000000000000007</v>
      </c>
      <c r="FM83" s="43">
        <f t="shared" si="475"/>
        <v>1</v>
      </c>
      <c r="FN83" s="8"/>
      <c r="FO83" s="47">
        <v>2</v>
      </c>
      <c r="FP83" s="48" t="s">
        <v>4</v>
      </c>
      <c r="FQ83" s="49">
        <v>1</v>
      </c>
      <c r="FR83" s="8"/>
      <c r="FS83" s="42">
        <f t="shared" si="476"/>
        <v>7.8000000000000007</v>
      </c>
      <c r="FT83" s="43">
        <f t="shared" si="477"/>
        <v>1</v>
      </c>
      <c r="FU83" s="8"/>
      <c r="FV83" s="47">
        <v>6</v>
      </c>
      <c r="FW83" s="48" t="s">
        <v>4</v>
      </c>
      <c r="FX83" s="49">
        <v>4</v>
      </c>
      <c r="FY83" s="8"/>
      <c r="FZ83" s="42">
        <f t="shared" si="478"/>
        <v>5.2</v>
      </c>
      <c r="GA83" s="43">
        <f t="shared" si="479"/>
        <v>2</v>
      </c>
      <c r="GB83" s="8"/>
      <c r="GC83" s="47">
        <v>2</v>
      </c>
      <c r="GD83" s="48" t="s">
        <v>4</v>
      </c>
      <c r="GE83" s="49">
        <v>1</v>
      </c>
      <c r="GF83" s="8"/>
      <c r="GG83" s="42">
        <f t="shared" si="480"/>
        <v>7.8000000000000007</v>
      </c>
      <c r="GH83" s="43">
        <f t="shared" si="481"/>
        <v>1</v>
      </c>
      <c r="GI83" s="8"/>
      <c r="GJ83" s="47">
        <v>3</v>
      </c>
      <c r="GK83" s="48" t="s">
        <v>4</v>
      </c>
      <c r="GL83" s="49">
        <v>1</v>
      </c>
      <c r="GM83" s="8"/>
      <c r="GN83" s="42">
        <f t="shared" si="482"/>
        <v>5.2</v>
      </c>
      <c r="GO83" s="43">
        <f t="shared" si="483"/>
        <v>2</v>
      </c>
      <c r="GP83" s="8"/>
      <c r="GQ83" s="47">
        <v>3</v>
      </c>
      <c r="GR83" s="48" t="s">
        <v>4</v>
      </c>
      <c r="GS83" s="49">
        <v>1</v>
      </c>
      <c r="GT83" s="8"/>
      <c r="GU83" s="42">
        <f t="shared" si="484"/>
        <v>5.2</v>
      </c>
      <c r="GV83" s="43">
        <f t="shared" si="485"/>
        <v>2</v>
      </c>
      <c r="GW83" s="8"/>
      <c r="GX83" s="47">
        <v>2</v>
      </c>
      <c r="GY83" s="48" t="s">
        <v>4</v>
      </c>
      <c r="GZ83" s="49">
        <v>1</v>
      </c>
      <c r="HA83" s="8"/>
      <c r="HB83" s="42">
        <f t="shared" si="486"/>
        <v>7.8000000000000007</v>
      </c>
      <c r="HC83" s="43">
        <f t="shared" si="487"/>
        <v>1</v>
      </c>
      <c r="HD83" s="8"/>
      <c r="HE83" s="47">
        <v>3</v>
      </c>
      <c r="HF83" s="48" t="s">
        <v>4</v>
      </c>
      <c r="HG83" s="49">
        <v>1</v>
      </c>
      <c r="HH83" s="8"/>
      <c r="HI83" s="42">
        <f t="shared" si="488"/>
        <v>5.2</v>
      </c>
      <c r="HJ83" s="43">
        <f t="shared" si="489"/>
        <v>2</v>
      </c>
      <c r="HK83" s="8"/>
      <c r="HL83" s="47">
        <v>2</v>
      </c>
      <c r="HM83" s="48" t="s">
        <v>4</v>
      </c>
      <c r="HN83" s="49">
        <v>1</v>
      </c>
      <c r="HO83" s="8"/>
      <c r="HP83" s="42">
        <f t="shared" si="490"/>
        <v>7.8000000000000007</v>
      </c>
      <c r="HQ83" s="43">
        <f t="shared" si="491"/>
        <v>1</v>
      </c>
      <c r="HR83" s="8"/>
      <c r="HS83" s="47">
        <v>2</v>
      </c>
      <c r="HT83" s="48" t="s">
        <v>4</v>
      </c>
      <c r="HU83" s="49">
        <v>1</v>
      </c>
      <c r="HV83" s="8"/>
      <c r="HW83" s="42">
        <f t="shared" si="492"/>
        <v>7.8000000000000007</v>
      </c>
      <c r="HX83" s="43">
        <f t="shared" si="493"/>
        <v>1</v>
      </c>
      <c r="HY83" s="8"/>
      <c r="HZ83" s="47">
        <v>3</v>
      </c>
      <c r="IA83" s="48" t="s">
        <v>4</v>
      </c>
      <c r="IB83" s="49">
        <v>2</v>
      </c>
      <c r="IC83" s="8"/>
      <c r="ID83" s="42">
        <f t="shared" si="494"/>
        <v>5.2</v>
      </c>
      <c r="IE83" s="43">
        <f t="shared" si="495"/>
        <v>1</v>
      </c>
      <c r="IF83" s="8"/>
      <c r="IG83" s="47">
        <v>3</v>
      </c>
      <c r="IH83" s="48" t="s">
        <v>4</v>
      </c>
      <c r="II83" s="49">
        <v>2</v>
      </c>
      <c r="IJ83" s="8"/>
      <c r="IK83" s="42">
        <f t="shared" si="496"/>
        <v>5.2</v>
      </c>
      <c r="IL83" s="43">
        <f t="shared" si="497"/>
        <v>1</v>
      </c>
      <c r="IM83" s="8"/>
      <c r="IN83" s="47">
        <v>6</v>
      </c>
      <c r="IO83" s="48" t="s">
        <v>4</v>
      </c>
      <c r="IP83" s="49">
        <v>7</v>
      </c>
      <c r="IQ83" s="8"/>
      <c r="IR83" s="42">
        <f t="shared" si="498"/>
        <v>0</v>
      </c>
      <c r="IS83" s="43">
        <f t="shared" si="499"/>
        <v>-1</v>
      </c>
      <c r="IT83" s="8"/>
      <c r="IU83" s="47">
        <v>2</v>
      </c>
      <c r="IV83" s="48" t="s">
        <v>4</v>
      </c>
      <c r="IW83" s="49">
        <v>0</v>
      </c>
      <c r="IX83" s="8"/>
      <c r="IY83" s="42">
        <f t="shared" si="500"/>
        <v>5.2</v>
      </c>
      <c r="IZ83" s="43">
        <f t="shared" si="501"/>
        <v>2</v>
      </c>
      <c r="JA83" s="8"/>
      <c r="JB83" s="47">
        <v>2</v>
      </c>
      <c r="JC83" s="48" t="s">
        <v>4</v>
      </c>
      <c r="JD83" s="49">
        <v>1</v>
      </c>
      <c r="JE83" s="8"/>
      <c r="JF83" s="42">
        <f t="shared" si="502"/>
        <v>7.8000000000000007</v>
      </c>
      <c r="JG83" s="43">
        <f t="shared" si="503"/>
        <v>1</v>
      </c>
      <c r="JH83" s="8"/>
      <c r="JI83" s="47">
        <v>3</v>
      </c>
      <c r="JJ83" s="48" t="s">
        <v>4</v>
      </c>
      <c r="JK83" s="49">
        <v>0</v>
      </c>
      <c r="JL83" s="8"/>
      <c r="JM83" s="42">
        <f t="shared" si="504"/>
        <v>5.2</v>
      </c>
      <c r="JN83" s="43">
        <f t="shared" si="505"/>
        <v>3</v>
      </c>
      <c r="JO83" s="8"/>
      <c r="JP83" s="47">
        <v>4</v>
      </c>
      <c r="JQ83" s="48" t="s">
        <v>4</v>
      </c>
      <c r="JR83" s="49">
        <v>5</v>
      </c>
      <c r="JS83" s="8"/>
      <c r="JT83" s="42">
        <f t="shared" si="506"/>
        <v>0</v>
      </c>
      <c r="JU83" s="43">
        <f t="shared" si="507"/>
        <v>-1</v>
      </c>
      <c r="JV83" s="8"/>
      <c r="JW83" s="47">
        <v>3</v>
      </c>
      <c r="JX83" s="48" t="s">
        <v>4</v>
      </c>
      <c r="JY83" s="49">
        <v>1</v>
      </c>
      <c r="JZ83" s="8"/>
      <c r="KA83" s="42">
        <f t="shared" si="508"/>
        <v>5.2</v>
      </c>
      <c r="KB83" s="43">
        <f t="shared" si="509"/>
        <v>2</v>
      </c>
      <c r="KC83" s="8"/>
      <c r="KD83" s="47">
        <v>1</v>
      </c>
      <c r="KE83" s="48" t="s">
        <v>4</v>
      </c>
      <c r="KF83" s="49">
        <v>0</v>
      </c>
      <c r="KG83" s="8"/>
      <c r="KH83" s="42">
        <f t="shared" si="510"/>
        <v>5.2</v>
      </c>
      <c r="KI83" s="43">
        <f t="shared" si="511"/>
        <v>1</v>
      </c>
      <c r="KJ83" s="8"/>
      <c r="KK83" s="47">
        <v>2</v>
      </c>
      <c r="KL83" s="48" t="s">
        <v>4</v>
      </c>
      <c r="KM83" s="49">
        <v>0</v>
      </c>
      <c r="KN83" s="8"/>
      <c r="KO83" s="42">
        <f t="shared" si="512"/>
        <v>5.2</v>
      </c>
      <c r="KP83" s="43">
        <f t="shared" si="513"/>
        <v>2</v>
      </c>
      <c r="KQ83" s="8"/>
      <c r="KR83" s="47">
        <v>0</v>
      </c>
      <c r="KS83" s="48" t="s">
        <v>4</v>
      </c>
      <c r="KT83" s="49">
        <v>1</v>
      </c>
      <c r="KU83" s="8"/>
      <c r="KV83" s="42">
        <f t="shared" si="514"/>
        <v>0</v>
      </c>
      <c r="KW83" s="43">
        <f t="shared" si="515"/>
        <v>-1</v>
      </c>
      <c r="KX83" s="8"/>
      <c r="KY83" s="47">
        <v>2</v>
      </c>
      <c r="KZ83" s="48" t="s">
        <v>4</v>
      </c>
      <c r="LA83" s="49">
        <v>1</v>
      </c>
      <c r="LB83" s="8"/>
      <c r="LC83" s="42">
        <f t="shared" si="516"/>
        <v>7.8000000000000007</v>
      </c>
      <c r="LD83" s="43">
        <f t="shared" si="517"/>
        <v>1</v>
      </c>
      <c r="LE83" s="8"/>
      <c r="LF83" s="47">
        <v>3</v>
      </c>
      <c r="LG83" s="48" t="s">
        <v>4</v>
      </c>
      <c r="LH83" s="49">
        <v>2</v>
      </c>
      <c r="LI83" s="8"/>
      <c r="LJ83" s="42">
        <f t="shared" si="518"/>
        <v>5.2</v>
      </c>
      <c r="LK83" s="43">
        <f t="shared" si="519"/>
        <v>1</v>
      </c>
      <c r="LL83" s="8"/>
      <c r="LM83" s="47">
        <v>3</v>
      </c>
      <c r="LN83" s="48" t="s">
        <v>4</v>
      </c>
      <c r="LO83" s="49">
        <v>1</v>
      </c>
      <c r="LP83" s="8"/>
      <c r="LQ83" s="42">
        <f t="shared" si="520"/>
        <v>5.2</v>
      </c>
      <c r="LR83" s="43">
        <f t="shared" si="521"/>
        <v>2</v>
      </c>
      <c r="LS83" s="8"/>
      <c r="LT83" s="47">
        <v>2</v>
      </c>
      <c r="LU83" s="48" t="s">
        <v>4</v>
      </c>
      <c r="LV83" s="49">
        <v>1</v>
      </c>
      <c r="LW83" s="8"/>
      <c r="LX83" s="42">
        <f t="shared" si="522"/>
        <v>7.8000000000000007</v>
      </c>
      <c r="LY83" s="43">
        <f t="shared" si="523"/>
        <v>1</v>
      </c>
      <c r="LZ83" s="8"/>
      <c r="MA83" s="47">
        <v>2</v>
      </c>
      <c r="MB83" s="48" t="s">
        <v>4</v>
      </c>
      <c r="MC83" s="49">
        <v>0</v>
      </c>
      <c r="MD83" s="8"/>
      <c r="ME83" s="42">
        <f t="shared" si="524"/>
        <v>5.2</v>
      </c>
      <c r="MF83" s="43">
        <f t="shared" si="525"/>
        <v>2</v>
      </c>
      <c r="MG83" s="8"/>
      <c r="MH83" s="47">
        <v>3</v>
      </c>
      <c r="MI83" s="48" t="s">
        <v>4</v>
      </c>
      <c r="MJ83" s="49">
        <v>2</v>
      </c>
      <c r="MK83" s="8"/>
      <c r="ML83" s="42">
        <f t="shared" si="526"/>
        <v>5.2</v>
      </c>
      <c r="MM83" s="43">
        <f t="shared" si="527"/>
        <v>1</v>
      </c>
      <c r="MN83" s="8"/>
      <c r="MO83" s="47">
        <v>2</v>
      </c>
      <c r="MP83" s="48" t="s">
        <v>4</v>
      </c>
      <c r="MQ83" s="49">
        <v>0</v>
      </c>
      <c r="MR83" s="8"/>
      <c r="MS83" s="42">
        <f t="shared" si="528"/>
        <v>5.2</v>
      </c>
      <c r="MT83" s="43">
        <f t="shared" si="529"/>
        <v>2</v>
      </c>
      <c r="MU83" s="8"/>
      <c r="MV83" s="47">
        <v>4</v>
      </c>
      <c r="MW83" s="48" t="s">
        <v>4</v>
      </c>
      <c r="MX83" s="49">
        <v>2</v>
      </c>
      <c r="MY83" s="8"/>
      <c r="MZ83" s="42">
        <f t="shared" si="530"/>
        <v>5.2</v>
      </c>
      <c r="NA83" s="43">
        <f t="shared" si="531"/>
        <v>2</v>
      </c>
      <c r="NB83" s="8"/>
      <c r="NC83" s="47">
        <v>3</v>
      </c>
      <c r="ND83" s="48" t="s">
        <v>4</v>
      </c>
      <c r="NE83" s="49">
        <v>0</v>
      </c>
      <c r="NF83" s="8"/>
      <c r="NG83" s="42">
        <f t="shared" si="532"/>
        <v>5.2</v>
      </c>
      <c r="NH83" s="43">
        <f t="shared" si="533"/>
        <v>3</v>
      </c>
      <c r="NI83" s="8"/>
      <c r="NJ83" s="47">
        <v>2</v>
      </c>
      <c r="NK83" s="48" t="s">
        <v>4</v>
      </c>
      <c r="NL83" s="49">
        <v>0</v>
      </c>
      <c r="NM83" s="8"/>
      <c r="NN83" s="42">
        <f t="shared" si="534"/>
        <v>5.2</v>
      </c>
      <c r="NO83" s="43">
        <f t="shared" si="535"/>
        <v>2</v>
      </c>
      <c r="NP83" s="8"/>
      <c r="NQ83" s="47">
        <v>3</v>
      </c>
      <c r="NR83" s="48" t="s">
        <v>4</v>
      </c>
      <c r="NS83" s="49">
        <v>2</v>
      </c>
      <c r="NT83" s="8"/>
      <c r="NU83" s="42">
        <f t="shared" si="536"/>
        <v>5.2</v>
      </c>
      <c r="NV83" s="43">
        <f t="shared" si="537"/>
        <v>1</v>
      </c>
      <c r="NW83" s="8"/>
      <c r="NX83" s="47">
        <v>3</v>
      </c>
      <c r="NY83" s="48" t="s">
        <v>4</v>
      </c>
      <c r="NZ83" s="49">
        <v>1</v>
      </c>
      <c r="OA83" s="8"/>
      <c r="OB83" s="42">
        <f t="shared" si="538"/>
        <v>5.2</v>
      </c>
      <c r="OC83" s="43">
        <f t="shared" si="539"/>
        <v>2</v>
      </c>
      <c r="OD83" s="8"/>
      <c r="OE83" s="47">
        <v>1</v>
      </c>
      <c r="OF83" s="48" t="s">
        <v>4</v>
      </c>
      <c r="OG83" s="49">
        <v>2</v>
      </c>
      <c r="OH83" s="8"/>
      <c r="OI83" s="42">
        <f t="shared" si="540"/>
        <v>0</v>
      </c>
      <c r="OJ83" s="43">
        <f t="shared" si="541"/>
        <v>-1</v>
      </c>
      <c r="OK83" s="8"/>
      <c r="OL83" s="47">
        <v>2</v>
      </c>
      <c r="OM83" s="48" t="s">
        <v>4</v>
      </c>
      <c r="ON83" s="49">
        <v>1</v>
      </c>
      <c r="OO83" s="8"/>
      <c r="OP83" s="42">
        <f t="shared" si="542"/>
        <v>7.8000000000000007</v>
      </c>
      <c r="OQ83" s="43">
        <f t="shared" si="543"/>
        <v>1</v>
      </c>
      <c r="OR83" s="8"/>
      <c r="OS83" s="47">
        <v>3</v>
      </c>
      <c r="OT83" s="48" t="s">
        <v>4</v>
      </c>
      <c r="OU83" s="49">
        <v>1</v>
      </c>
      <c r="OV83" s="8"/>
      <c r="OW83" s="42">
        <f t="shared" si="544"/>
        <v>5.2</v>
      </c>
      <c r="OX83" s="43">
        <f t="shared" si="545"/>
        <v>2</v>
      </c>
      <c r="OY83" s="8"/>
      <c r="OZ83" s="47">
        <v>2</v>
      </c>
      <c r="PA83" s="48" t="s">
        <v>4</v>
      </c>
      <c r="PB83" s="49">
        <v>3</v>
      </c>
      <c r="PC83" s="8"/>
      <c r="PD83" s="42">
        <f t="shared" si="546"/>
        <v>0</v>
      </c>
      <c r="PE83" s="43">
        <f t="shared" si="547"/>
        <v>-1</v>
      </c>
      <c r="PF83" s="8"/>
      <c r="PG83" s="47">
        <v>1</v>
      </c>
      <c r="PH83" s="48" t="s">
        <v>4</v>
      </c>
      <c r="PI83" s="49">
        <v>0</v>
      </c>
      <c r="PJ83" s="8"/>
      <c r="PK83" s="42">
        <f t="shared" si="548"/>
        <v>5.2</v>
      </c>
      <c r="PL83" s="43">
        <f t="shared" si="549"/>
        <v>1</v>
      </c>
      <c r="PM83" s="8"/>
      <c r="PN83" s="47">
        <v>2</v>
      </c>
      <c r="PO83" s="48" t="s">
        <v>4</v>
      </c>
      <c r="PP83" s="49">
        <v>0</v>
      </c>
      <c r="PQ83" s="8"/>
      <c r="PR83" s="42">
        <f t="shared" si="550"/>
        <v>5.2</v>
      </c>
      <c r="PS83" s="43">
        <f t="shared" si="551"/>
        <v>2</v>
      </c>
      <c r="PT83" s="8"/>
      <c r="PU83" s="47">
        <v>2</v>
      </c>
      <c r="PV83" s="48" t="s">
        <v>4</v>
      </c>
      <c r="PW83" s="49">
        <v>1</v>
      </c>
      <c r="PX83" s="8"/>
      <c r="PY83" s="42">
        <f t="shared" si="552"/>
        <v>7.8000000000000007</v>
      </c>
      <c r="PZ83" s="43">
        <f t="shared" si="553"/>
        <v>1</v>
      </c>
      <c r="QA83" s="8"/>
      <c r="QB83" s="47">
        <v>2</v>
      </c>
      <c r="QC83" s="48" t="s">
        <v>4</v>
      </c>
      <c r="QD83" s="49">
        <v>1</v>
      </c>
      <c r="QE83" s="8"/>
      <c r="QF83" s="42">
        <f t="shared" si="554"/>
        <v>7.8000000000000007</v>
      </c>
      <c r="QG83" s="43">
        <f t="shared" si="555"/>
        <v>1</v>
      </c>
      <c r="QH83" s="8"/>
      <c r="QI83" s="47">
        <v>4</v>
      </c>
      <c r="QJ83" s="48" t="s">
        <v>4</v>
      </c>
      <c r="QK83" s="49">
        <v>3</v>
      </c>
      <c r="QL83" s="8"/>
      <c r="QM83" s="42">
        <f t="shared" si="556"/>
        <v>5.2</v>
      </c>
      <c r="QN83" s="43">
        <f t="shared" si="557"/>
        <v>1</v>
      </c>
      <c r="QO83" s="8"/>
      <c r="QP83" s="47">
        <v>4</v>
      </c>
      <c r="QQ83" s="48" t="s">
        <v>4</v>
      </c>
      <c r="QR83" s="49">
        <v>2</v>
      </c>
      <c r="QS83" s="8"/>
      <c r="QT83" s="42">
        <f t="shared" si="558"/>
        <v>5.2</v>
      </c>
      <c r="QU83" s="43">
        <f t="shared" si="559"/>
        <v>2</v>
      </c>
      <c r="QV83" s="8"/>
      <c r="QW83" s="47">
        <v>2</v>
      </c>
      <c r="QX83" s="48" t="s">
        <v>4</v>
      </c>
      <c r="QY83" s="49">
        <v>1</v>
      </c>
      <c r="QZ83" s="8"/>
      <c r="RA83" s="42">
        <f t="shared" si="560"/>
        <v>7.8000000000000007</v>
      </c>
      <c r="RB83" s="43">
        <f t="shared" si="561"/>
        <v>1</v>
      </c>
      <c r="RC83" s="8"/>
      <c r="RD83" s="47"/>
      <c r="RE83" s="48" t="s">
        <v>4</v>
      </c>
      <c r="RF83" s="49"/>
      <c r="RG83" s="8"/>
      <c r="RH83" s="42" t="str">
        <f t="shared" si="562"/>
        <v/>
      </c>
      <c r="RI83" s="43">
        <f t="shared" si="563"/>
        <v>0</v>
      </c>
      <c r="RJ83" s="8"/>
      <c r="RK83" s="47">
        <v>2</v>
      </c>
      <c r="RL83" s="48" t="s">
        <v>4</v>
      </c>
      <c r="RM83" s="49">
        <v>0</v>
      </c>
      <c r="RN83" s="8"/>
      <c r="RO83" s="42">
        <f t="shared" si="564"/>
        <v>5.2</v>
      </c>
      <c r="RP83" s="43">
        <f t="shared" si="565"/>
        <v>2</v>
      </c>
      <c r="RQ83" s="8"/>
      <c r="RR83" s="47">
        <v>2</v>
      </c>
      <c r="RS83" s="48" t="s">
        <v>4</v>
      </c>
      <c r="RT83" s="49">
        <v>0</v>
      </c>
      <c r="RU83" s="8"/>
      <c r="RV83" s="42">
        <f t="shared" si="566"/>
        <v>5.2</v>
      </c>
      <c r="RW83" s="43">
        <f t="shared" si="567"/>
        <v>2</v>
      </c>
      <c r="RX83" s="8"/>
      <c r="RY83" s="47">
        <v>2</v>
      </c>
      <c r="RZ83" s="48" t="s">
        <v>4</v>
      </c>
      <c r="SA83" s="49">
        <v>0</v>
      </c>
      <c r="SB83" s="8"/>
      <c r="SC83" s="42">
        <f t="shared" si="568"/>
        <v>5.2</v>
      </c>
      <c r="SD83" s="43">
        <f t="shared" si="569"/>
        <v>2</v>
      </c>
      <c r="SE83" s="8"/>
      <c r="SF83" s="47">
        <v>2</v>
      </c>
      <c r="SG83" s="48" t="s">
        <v>4</v>
      </c>
      <c r="SH83" s="49">
        <v>0</v>
      </c>
      <c r="SI83" s="8"/>
      <c r="SJ83" s="42">
        <f t="shared" si="570"/>
        <v>5.2</v>
      </c>
      <c r="SK83" s="43">
        <f t="shared" si="571"/>
        <v>2</v>
      </c>
      <c r="SL83" s="8"/>
      <c r="SM83" s="47">
        <v>2</v>
      </c>
      <c r="SN83" s="48" t="s">
        <v>4</v>
      </c>
      <c r="SO83" s="49">
        <v>0</v>
      </c>
      <c r="SP83" s="8"/>
      <c r="SQ83" s="42">
        <f t="shared" si="572"/>
        <v>5.2</v>
      </c>
      <c r="SR83" s="43">
        <f t="shared" si="573"/>
        <v>2</v>
      </c>
    </row>
    <row r="84" spans="1:512" ht="16" customHeight="1" x14ac:dyDescent="0.15">
      <c r="A84" s="51">
        <v>46202</v>
      </c>
      <c r="B84" s="46">
        <v>0.9375</v>
      </c>
      <c r="C84" t="s">
        <v>5</v>
      </c>
      <c r="D84" t="s">
        <v>33</v>
      </c>
      <c r="E84" s="2">
        <v>4</v>
      </c>
      <c r="F84" s="50" t="s">
        <v>4</v>
      </c>
      <c r="G84" s="1">
        <v>5</v>
      </c>
      <c r="H84" s="16">
        <v>5.2</v>
      </c>
      <c r="I84" s="32">
        <f t="shared" si="429"/>
        <v>-1</v>
      </c>
      <c r="J84" s="47"/>
      <c r="K84" s="48" t="s">
        <v>4</v>
      </c>
      <c r="L84" s="49"/>
      <c r="M84" s="8"/>
      <c r="N84" s="42" t="str">
        <f t="shared" si="430"/>
        <v/>
      </c>
      <c r="O84" s="43">
        <f t="shared" si="431"/>
        <v>0</v>
      </c>
      <c r="Q84" s="47">
        <v>2</v>
      </c>
      <c r="R84" s="48" t="s">
        <v>4</v>
      </c>
      <c r="S84" s="49">
        <v>1</v>
      </c>
      <c r="T84" s="8"/>
      <c r="U84" s="42">
        <f t="shared" si="432"/>
        <v>0</v>
      </c>
      <c r="V84" s="43">
        <f t="shared" si="433"/>
        <v>1</v>
      </c>
      <c r="W84" s="8"/>
      <c r="X84" s="47"/>
      <c r="Y84" s="48" t="s">
        <v>4</v>
      </c>
      <c r="Z84" s="49"/>
      <c r="AA84" s="8"/>
      <c r="AB84" s="42" t="str">
        <f t="shared" si="434"/>
        <v/>
      </c>
      <c r="AC84" s="43">
        <f t="shared" si="435"/>
        <v>0</v>
      </c>
      <c r="AD84" s="8"/>
      <c r="AE84" s="47">
        <v>2</v>
      </c>
      <c r="AF84" s="48" t="s">
        <v>4</v>
      </c>
      <c r="AG84" s="49">
        <v>1</v>
      </c>
      <c r="AH84" s="8"/>
      <c r="AI84" s="42">
        <f t="shared" si="436"/>
        <v>0</v>
      </c>
      <c r="AJ84" s="43">
        <f t="shared" si="437"/>
        <v>1</v>
      </c>
      <c r="AK84" s="8"/>
      <c r="AL84" s="47">
        <v>2</v>
      </c>
      <c r="AM84" s="48" t="s">
        <v>4</v>
      </c>
      <c r="AN84" s="49">
        <v>0</v>
      </c>
      <c r="AO84" s="8"/>
      <c r="AP84" s="42">
        <f t="shared" si="438"/>
        <v>0</v>
      </c>
      <c r="AQ84" s="43">
        <f t="shared" si="439"/>
        <v>2</v>
      </c>
      <c r="AR84" s="8"/>
      <c r="AS84" s="47">
        <v>3</v>
      </c>
      <c r="AT84" s="48" t="s">
        <v>4</v>
      </c>
      <c r="AU84" s="49">
        <v>1</v>
      </c>
      <c r="AV84" s="8"/>
      <c r="AW84" s="42">
        <f t="shared" si="440"/>
        <v>0</v>
      </c>
      <c r="AX84" s="43">
        <f t="shared" si="441"/>
        <v>2</v>
      </c>
      <c r="AY84" s="8"/>
      <c r="AZ84" s="47">
        <v>2</v>
      </c>
      <c r="BA84" s="48" t="s">
        <v>4</v>
      </c>
      <c r="BB84" s="49">
        <v>1</v>
      </c>
      <c r="BC84" s="8"/>
      <c r="BD84" s="42">
        <f t="shared" si="442"/>
        <v>0</v>
      </c>
      <c r="BE84" s="43">
        <f t="shared" si="443"/>
        <v>1</v>
      </c>
      <c r="BF84" s="8"/>
      <c r="BG84" s="47">
        <v>2</v>
      </c>
      <c r="BH84" s="48" t="s">
        <v>4</v>
      </c>
      <c r="BI84" s="49">
        <v>1</v>
      </c>
      <c r="BJ84" s="8"/>
      <c r="BK84" s="42">
        <f t="shared" si="444"/>
        <v>0</v>
      </c>
      <c r="BL84" s="43">
        <f t="shared" si="445"/>
        <v>1</v>
      </c>
      <c r="BM84" s="8"/>
      <c r="BN84" s="47">
        <v>3</v>
      </c>
      <c r="BO84" s="48" t="s">
        <v>4</v>
      </c>
      <c r="BP84" s="49">
        <v>2</v>
      </c>
      <c r="BQ84" s="8"/>
      <c r="BR84" s="42">
        <f t="shared" si="446"/>
        <v>0</v>
      </c>
      <c r="BS84" s="43">
        <f t="shared" si="447"/>
        <v>1</v>
      </c>
      <c r="BT84" s="8"/>
      <c r="BU84" s="47">
        <v>2</v>
      </c>
      <c r="BV84" s="48" t="s">
        <v>4</v>
      </c>
      <c r="BW84" s="49">
        <v>0</v>
      </c>
      <c r="BX84" s="8"/>
      <c r="BY84" s="42">
        <f t="shared" si="448"/>
        <v>0</v>
      </c>
      <c r="BZ84" s="43">
        <f t="shared" si="449"/>
        <v>2</v>
      </c>
      <c r="CA84" s="8"/>
      <c r="CB84" s="47"/>
      <c r="CC84" s="48" t="s">
        <v>4</v>
      </c>
      <c r="CD84" s="49"/>
      <c r="CE84" s="8"/>
      <c r="CF84" s="42" t="str">
        <f t="shared" si="450"/>
        <v/>
      </c>
      <c r="CG84" s="43">
        <f t="shared" si="451"/>
        <v>0</v>
      </c>
      <c r="CH84" s="8"/>
      <c r="CI84" s="47">
        <v>2</v>
      </c>
      <c r="CJ84" s="48" t="s">
        <v>4</v>
      </c>
      <c r="CK84" s="49">
        <v>1</v>
      </c>
      <c r="CL84" s="8"/>
      <c r="CM84" s="42">
        <f t="shared" si="452"/>
        <v>0</v>
      </c>
      <c r="CN84" s="43">
        <f t="shared" si="453"/>
        <v>1</v>
      </c>
      <c r="CO84" s="8"/>
      <c r="CP84" s="47">
        <v>2</v>
      </c>
      <c r="CQ84" s="48" t="s">
        <v>4</v>
      </c>
      <c r="CR84" s="49">
        <v>1</v>
      </c>
      <c r="CS84" s="8"/>
      <c r="CT84" s="42">
        <f t="shared" si="454"/>
        <v>0</v>
      </c>
      <c r="CU84" s="43">
        <f t="shared" si="455"/>
        <v>1</v>
      </c>
      <c r="CV84" s="8"/>
      <c r="CW84" s="47">
        <v>2</v>
      </c>
      <c r="CX84" s="48" t="s">
        <v>4</v>
      </c>
      <c r="CY84" s="49">
        <v>1</v>
      </c>
      <c r="CZ84" s="8"/>
      <c r="DA84" s="42">
        <f t="shared" si="456"/>
        <v>0</v>
      </c>
      <c r="DB84" s="43">
        <f t="shared" si="457"/>
        <v>1</v>
      </c>
      <c r="DC84" s="8"/>
      <c r="DD84" s="47">
        <v>2</v>
      </c>
      <c r="DE84" s="48" t="s">
        <v>4</v>
      </c>
      <c r="DF84" s="49">
        <v>1</v>
      </c>
      <c r="DG84" s="8"/>
      <c r="DH84" s="42">
        <f t="shared" si="458"/>
        <v>0</v>
      </c>
      <c r="DI84" s="43">
        <f t="shared" si="459"/>
        <v>1</v>
      </c>
      <c r="DJ84" s="8"/>
      <c r="DK84" s="47">
        <v>2</v>
      </c>
      <c r="DL84" s="48" t="s">
        <v>4</v>
      </c>
      <c r="DM84" s="49">
        <v>0</v>
      </c>
      <c r="DN84" s="8"/>
      <c r="DO84" s="42">
        <f t="shared" si="460"/>
        <v>0</v>
      </c>
      <c r="DP84" s="43">
        <f t="shared" si="461"/>
        <v>2</v>
      </c>
      <c r="DQ84" s="8"/>
      <c r="DR84" s="47">
        <v>3</v>
      </c>
      <c r="DS84" s="48" t="s">
        <v>4</v>
      </c>
      <c r="DT84" s="49">
        <v>0</v>
      </c>
      <c r="DU84" s="8"/>
      <c r="DV84" s="42">
        <f t="shared" si="462"/>
        <v>0</v>
      </c>
      <c r="DW84" s="43">
        <f t="shared" si="463"/>
        <v>3</v>
      </c>
      <c r="DX84" s="8"/>
      <c r="DY84" s="47">
        <v>2</v>
      </c>
      <c r="DZ84" s="48" t="s">
        <v>4</v>
      </c>
      <c r="EA84" s="49">
        <v>1</v>
      </c>
      <c r="EB84" s="8"/>
      <c r="EC84" s="42">
        <f t="shared" si="464"/>
        <v>0</v>
      </c>
      <c r="ED84" s="43">
        <f t="shared" si="465"/>
        <v>1</v>
      </c>
      <c r="EE84" s="8"/>
      <c r="EF84" s="47">
        <v>2</v>
      </c>
      <c r="EG84" s="48" t="s">
        <v>4</v>
      </c>
      <c r="EH84" s="49">
        <v>1</v>
      </c>
      <c r="EI84" s="8"/>
      <c r="EJ84" s="42">
        <f t="shared" si="466"/>
        <v>0</v>
      </c>
      <c r="EK84" s="43">
        <f t="shared" si="467"/>
        <v>1</v>
      </c>
      <c r="EL84" s="8"/>
      <c r="EM84" s="47">
        <v>4</v>
      </c>
      <c r="EN84" s="48" t="s">
        <v>4</v>
      </c>
      <c r="EO84" s="49">
        <v>1</v>
      </c>
      <c r="EP84" s="8"/>
      <c r="EQ84" s="42">
        <f t="shared" si="468"/>
        <v>0</v>
      </c>
      <c r="ER84" s="43">
        <f t="shared" si="469"/>
        <v>3</v>
      </c>
      <c r="ES84" s="8"/>
      <c r="ET84" s="47">
        <v>3</v>
      </c>
      <c r="EU84" s="48" t="s">
        <v>4</v>
      </c>
      <c r="EV84" s="49">
        <v>0</v>
      </c>
      <c r="EW84" s="8"/>
      <c r="EX84" s="42">
        <f t="shared" si="470"/>
        <v>0</v>
      </c>
      <c r="EY84" s="43">
        <f t="shared" si="471"/>
        <v>3</v>
      </c>
      <c r="EZ84" s="8"/>
      <c r="FA84" s="47">
        <v>2</v>
      </c>
      <c r="FB84" s="48" t="s">
        <v>4</v>
      </c>
      <c r="FC84" s="49">
        <v>0</v>
      </c>
      <c r="FD84" s="8"/>
      <c r="FE84" s="42">
        <f t="shared" si="472"/>
        <v>0</v>
      </c>
      <c r="FF84" s="43">
        <f t="shared" si="473"/>
        <v>2</v>
      </c>
      <c r="FG84" s="8"/>
      <c r="FH84" s="47">
        <v>2</v>
      </c>
      <c r="FI84" s="48" t="s">
        <v>4</v>
      </c>
      <c r="FJ84" s="49">
        <v>0</v>
      </c>
      <c r="FK84" s="8"/>
      <c r="FL84" s="42">
        <f t="shared" si="474"/>
        <v>0</v>
      </c>
      <c r="FM84" s="43">
        <f t="shared" si="475"/>
        <v>2</v>
      </c>
      <c r="FN84" s="8"/>
      <c r="FO84" s="47">
        <v>3</v>
      </c>
      <c r="FP84" s="48" t="s">
        <v>4</v>
      </c>
      <c r="FQ84" s="49">
        <v>1</v>
      </c>
      <c r="FR84" s="8"/>
      <c r="FS84" s="42">
        <f t="shared" si="476"/>
        <v>0</v>
      </c>
      <c r="FT84" s="43">
        <f t="shared" si="477"/>
        <v>2</v>
      </c>
      <c r="FU84" s="8"/>
      <c r="FV84" s="47">
        <v>2</v>
      </c>
      <c r="FW84" s="48" t="s">
        <v>4</v>
      </c>
      <c r="FX84" s="49">
        <v>1</v>
      </c>
      <c r="FY84" s="8"/>
      <c r="FZ84" s="42">
        <f t="shared" si="478"/>
        <v>0</v>
      </c>
      <c r="GA84" s="43">
        <f t="shared" si="479"/>
        <v>1</v>
      </c>
      <c r="GB84" s="8"/>
      <c r="GC84" s="47">
        <v>3</v>
      </c>
      <c r="GD84" s="48" t="s">
        <v>4</v>
      </c>
      <c r="GE84" s="49">
        <v>0</v>
      </c>
      <c r="GF84" s="8"/>
      <c r="GG84" s="42">
        <f t="shared" si="480"/>
        <v>0</v>
      </c>
      <c r="GH84" s="43">
        <f t="shared" si="481"/>
        <v>3</v>
      </c>
      <c r="GI84" s="8"/>
      <c r="GJ84" s="47">
        <v>3</v>
      </c>
      <c r="GK84" s="48" t="s">
        <v>4</v>
      </c>
      <c r="GL84" s="49">
        <v>1</v>
      </c>
      <c r="GM84" s="8"/>
      <c r="GN84" s="42">
        <f t="shared" si="482"/>
        <v>0</v>
      </c>
      <c r="GO84" s="43">
        <f t="shared" si="483"/>
        <v>2</v>
      </c>
      <c r="GP84" s="8"/>
      <c r="GQ84" s="47">
        <v>2</v>
      </c>
      <c r="GR84" s="48" t="s">
        <v>4</v>
      </c>
      <c r="GS84" s="49">
        <v>0</v>
      </c>
      <c r="GT84" s="8"/>
      <c r="GU84" s="42">
        <f t="shared" si="484"/>
        <v>0</v>
      </c>
      <c r="GV84" s="43">
        <f t="shared" si="485"/>
        <v>2</v>
      </c>
      <c r="GW84" s="8"/>
      <c r="GX84" s="47">
        <v>2</v>
      </c>
      <c r="GY84" s="48" t="s">
        <v>4</v>
      </c>
      <c r="GZ84" s="49">
        <v>0</v>
      </c>
      <c r="HA84" s="8"/>
      <c r="HB84" s="42">
        <f t="shared" si="486"/>
        <v>0</v>
      </c>
      <c r="HC84" s="43">
        <f t="shared" si="487"/>
        <v>2</v>
      </c>
      <c r="HD84" s="8"/>
      <c r="HE84" s="47">
        <v>2</v>
      </c>
      <c r="HF84" s="48" t="s">
        <v>4</v>
      </c>
      <c r="HG84" s="49">
        <v>0</v>
      </c>
      <c r="HH84" s="8"/>
      <c r="HI84" s="42">
        <f t="shared" si="488"/>
        <v>0</v>
      </c>
      <c r="HJ84" s="43">
        <f t="shared" si="489"/>
        <v>2</v>
      </c>
      <c r="HK84" s="8"/>
      <c r="HL84" s="47">
        <v>2</v>
      </c>
      <c r="HM84" s="48" t="s">
        <v>4</v>
      </c>
      <c r="HN84" s="49">
        <v>0</v>
      </c>
      <c r="HO84" s="8"/>
      <c r="HP84" s="42">
        <f t="shared" si="490"/>
        <v>0</v>
      </c>
      <c r="HQ84" s="43">
        <f t="shared" si="491"/>
        <v>2</v>
      </c>
      <c r="HR84" s="8"/>
      <c r="HS84" s="47">
        <v>2</v>
      </c>
      <c r="HT84" s="48" t="s">
        <v>4</v>
      </c>
      <c r="HU84" s="49">
        <v>1</v>
      </c>
      <c r="HV84" s="8"/>
      <c r="HW84" s="42">
        <f t="shared" si="492"/>
        <v>0</v>
      </c>
      <c r="HX84" s="43">
        <f t="shared" si="493"/>
        <v>1</v>
      </c>
      <c r="HY84" s="8"/>
      <c r="HZ84" s="47">
        <v>3</v>
      </c>
      <c r="IA84" s="48" t="s">
        <v>4</v>
      </c>
      <c r="IB84" s="49">
        <v>1</v>
      </c>
      <c r="IC84" s="8"/>
      <c r="ID84" s="42">
        <f t="shared" si="494"/>
        <v>0</v>
      </c>
      <c r="IE84" s="43">
        <f t="shared" si="495"/>
        <v>2</v>
      </c>
      <c r="IF84" s="8"/>
      <c r="IG84" s="47">
        <v>2</v>
      </c>
      <c r="IH84" s="48" t="s">
        <v>4</v>
      </c>
      <c r="II84" s="49">
        <v>0</v>
      </c>
      <c r="IJ84" s="8"/>
      <c r="IK84" s="42">
        <f t="shared" si="496"/>
        <v>0</v>
      </c>
      <c r="IL84" s="43">
        <f t="shared" si="497"/>
        <v>2</v>
      </c>
      <c r="IM84" s="8"/>
      <c r="IN84" s="47">
        <v>2</v>
      </c>
      <c r="IO84" s="48" t="s">
        <v>4</v>
      </c>
      <c r="IP84" s="49">
        <v>0</v>
      </c>
      <c r="IQ84" s="8"/>
      <c r="IR84" s="42">
        <f t="shared" si="498"/>
        <v>0</v>
      </c>
      <c r="IS84" s="43">
        <f t="shared" si="499"/>
        <v>2</v>
      </c>
      <c r="IT84" s="8"/>
      <c r="IU84" s="47">
        <v>2</v>
      </c>
      <c r="IV84" s="48" t="s">
        <v>4</v>
      </c>
      <c r="IW84" s="49">
        <v>0</v>
      </c>
      <c r="IX84" s="8"/>
      <c r="IY84" s="42">
        <f t="shared" si="500"/>
        <v>0</v>
      </c>
      <c r="IZ84" s="43">
        <f t="shared" si="501"/>
        <v>2</v>
      </c>
      <c r="JA84" s="8"/>
      <c r="JB84" s="47">
        <v>2</v>
      </c>
      <c r="JC84" s="48" t="s">
        <v>4</v>
      </c>
      <c r="JD84" s="49">
        <v>1</v>
      </c>
      <c r="JE84" s="8"/>
      <c r="JF84" s="42">
        <f t="shared" si="502"/>
        <v>0</v>
      </c>
      <c r="JG84" s="43">
        <f t="shared" si="503"/>
        <v>1</v>
      </c>
      <c r="JH84" s="8"/>
      <c r="JI84" s="47">
        <v>1</v>
      </c>
      <c r="JJ84" s="48" t="s">
        <v>4</v>
      </c>
      <c r="JK84" s="49">
        <v>0</v>
      </c>
      <c r="JL84" s="8"/>
      <c r="JM84" s="42">
        <f t="shared" si="504"/>
        <v>0</v>
      </c>
      <c r="JN84" s="43">
        <f t="shared" si="505"/>
        <v>1</v>
      </c>
      <c r="JO84" s="8"/>
      <c r="JP84" s="47">
        <v>2</v>
      </c>
      <c r="JQ84" s="48" t="s">
        <v>4</v>
      </c>
      <c r="JR84" s="49">
        <v>0</v>
      </c>
      <c r="JS84" s="8"/>
      <c r="JT84" s="42">
        <f t="shared" si="506"/>
        <v>0</v>
      </c>
      <c r="JU84" s="43">
        <f t="shared" si="507"/>
        <v>2</v>
      </c>
      <c r="JV84" s="8"/>
      <c r="JW84" s="47">
        <v>3</v>
      </c>
      <c r="JX84" s="48" t="s">
        <v>4</v>
      </c>
      <c r="JY84" s="49">
        <v>0</v>
      </c>
      <c r="JZ84" s="8"/>
      <c r="KA84" s="42">
        <f t="shared" si="508"/>
        <v>0</v>
      </c>
      <c r="KB84" s="43">
        <f t="shared" si="509"/>
        <v>3</v>
      </c>
      <c r="KC84" s="8"/>
      <c r="KD84" s="47">
        <v>2</v>
      </c>
      <c r="KE84" s="48" t="s">
        <v>4</v>
      </c>
      <c r="KF84" s="49">
        <v>1</v>
      </c>
      <c r="KG84" s="8"/>
      <c r="KH84" s="42">
        <f t="shared" si="510"/>
        <v>0</v>
      </c>
      <c r="KI84" s="43">
        <f t="shared" si="511"/>
        <v>1</v>
      </c>
      <c r="KJ84" s="8"/>
      <c r="KK84" s="47">
        <v>2</v>
      </c>
      <c r="KL84" s="48" t="s">
        <v>4</v>
      </c>
      <c r="KM84" s="49">
        <v>1</v>
      </c>
      <c r="KN84" s="8"/>
      <c r="KO84" s="42">
        <f t="shared" si="512"/>
        <v>0</v>
      </c>
      <c r="KP84" s="43">
        <f t="shared" si="513"/>
        <v>1</v>
      </c>
      <c r="KQ84" s="8"/>
      <c r="KR84" s="47">
        <v>1</v>
      </c>
      <c r="KS84" s="48" t="s">
        <v>4</v>
      </c>
      <c r="KT84" s="49">
        <v>0</v>
      </c>
      <c r="KU84" s="8"/>
      <c r="KV84" s="42">
        <f t="shared" si="514"/>
        <v>0</v>
      </c>
      <c r="KW84" s="43">
        <f t="shared" si="515"/>
        <v>1</v>
      </c>
      <c r="KX84" s="8"/>
      <c r="KY84" s="47">
        <v>2</v>
      </c>
      <c r="KZ84" s="48" t="s">
        <v>4</v>
      </c>
      <c r="LA84" s="49">
        <v>1</v>
      </c>
      <c r="LB84" s="8"/>
      <c r="LC84" s="42">
        <f t="shared" si="516"/>
        <v>0</v>
      </c>
      <c r="LD84" s="43">
        <f t="shared" si="517"/>
        <v>1</v>
      </c>
      <c r="LE84" s="8"/>
      <c r="LF84" s="47">
        <v>2</v>
      </c>
      <c r="LG84" s="48" t="s">
        <v>4</v>
      </c>
      <c r="LH84" s="49">
        <v>0</v>
      </c>
      <c r="LI84" s="8"/>
      <c r="LJ84" s="42">
        <f t="shared" si="518"/>
        <v>0</v>
      </c>
      <c r="LK84" s="43">
        <f t="shared" si="519"/>
        <v>2</v>
      </c>
      <c r="LL84" s="8"/>
      <c r="LM84" s="47">
        <v>2</v>
      </c>
      <c r="LN84" s="48" t="s">
        <v>4</v>
      </c>
      <c r="LO84" s="49">
        <v>0</v>
      </c>
      <c r="LP84" s="8"/>
      <c r="LQ84" s="42">
        <f t="shared" si="520"/>
        <v>0</v>
      </c>
      <c r="LR84" s="43">
        <f t="shared" si="521"/>
        <v>2</v>
      </c>
      <c r="LS84" s="8"/>
      <c r="LT84" s="47">
        <v>2</v>
      </c>
      <c r="LU84" s="48" t="s">
        <v>4</v>
      </c>
      <c r="LV84" s="49">
        <v>0</v>
      </c>
      <c r="LW84" s="8"/>
      <c r="LX84" s="42">
        <f t="shared" si="522"/>
        <v>0</v>
      </c>
      <c r="LY84" s="43">
        <f t="shared" si="523"/>
        <v>2</v>
      </c>
      <c r="LZ84" s="8"/>
      <c r="MA84" s="47">
        <v>4</v>
      </c>
      <c r="MB84" s="48" t="s">
        <v>4</v>
      </c>
      <c r="MC84" s="49">
        <v>0</v>
      </c>
      <c r="MD84" s="8"/>
      <c r="ME84" s="42">
        <f t="shared" si="524"/>
        <v>0</v>
      </c>
      <c r="MF84" s="43">
        <f t="shared" si="525"/>
        <v>4</v>
      </c>
      <c r="MG84" s="8"/>
      <c r="MH84" s="47">
        <v>2</v>
      </c>
      <c r="MI84" s="48" t="s">
        <v>4</v>
      </c>
      <c r="MJ84" s="49">
        <v>1</v>
      </c>
      <c r="MK84" s="8"/>
      <c r="ML84" s="42">
        <f t="shared" si="526"/>
        <v>0</v>
      </c>
      <c r="MM84" s="43">
        <f t="shared" si="527"/>
        <v>1</v>
      </c>
      <c r="MN84" s="8"/>
      <c r="MO84" s="47">
        <v>2</v>
      </c>
      <c r="MP84" s="48" t="s">
        <v>4</v>
      </c>
      <c r="MQ84" s="49">
        <v>1</v>
      </c>
      <c r="MR84" s="8"/>
      <c r="MS84" s="42">
        <f t="shared" si="528"/>
        <v>0</v>
      </c>
      <c r="MT84" s="43">
        <f t="shared" si="529"/>
        <v>1</v>
      </c>
      <c r="MU84" s="8"/>
      <c r="MV84" s="47">
        <v>4</v>
      </c>
      <c r="MW84" s="48" t="s">
        <v>4</v>
      </c>
      <c r="MX84" s="49">
        <v>3</v>
      </c>
      <c r="MY84" s="8"/>
      <c r="MZ84" s="42">
        <f t="shared" si="530"/>
        <v>0</v>
      </c>
      <c r="NA84" s="43">
        <f t="shared" si="531"/>
        <v>1</v>
      </c>
      <c r="NB84" s="8"/>
      <c r="NC84" s="47">
        <v>1</v>
      </c>
      <c r="ND84" s="48" t="s">
        <v>4</v>
      </c>
      <c r="NE84" s="49">
        <v>0</v>
      </c>
      <c r="NF84" s="8"/>
      <c r="NG84" s="42">
        <f t="shared" si="532"/>
        <v>0</v>
      </c>
      <c r="NH84" s="43">
        <f t="shared" si="533"/>
        <v>1</v>
      </c>
      <c r="NI84" s="8"/>
      <c r="NJ84" s="47">
        <v>6</v>
      </c>
      <c r="NK84" s="48"/>
      <c r="NL84" s="49">
        <v>8</v>
      </c>
      <c r="NM84" s="8"/>
      <c r="NN84" s="42">
        <f t="shared" si="534"/>
        <v>5.2</v>
      </c>
      <c r="NO84" s="43">
        <f t="shared" si="535"/>
        <v>-2</v>
      </c>
      <c r="NP84" s="8"/>
      <c r="NQ84" s="47">
        <v>5</v>
      </c>
      <c r="NR84" s="48" t="s">
        <v>4</v>
      </c>
      <c r="NS84" s="49">
        <v>3</v>
      </c>
      <c r="NT84" s="8"/>
      <c r="NU84" s="42">
        <f t="shared" si="536"/>
        <v>0</v>
      </c>
      <c r="NV84" s="43">
        <f t="shared" si="537"/>
        <v>2</v>
      </c>
      <c r="NW84" s="8"/>
      <c r="NX84" s="47">
        <v>4</v>
      </c>
      <c r="NY84" s="48" t="s">
        <v>4</v>
      </c>
      <c r="NZ84" s="49">
        <v>1</v>
      </c>
      <c r="OA84" s="8"/>
      <c r="OB84" s="42">
        <f t="shared" si="538"/>
        <v>0</v>
      </c>
      <c r="OC84" s="43">
        <f t="shared" si="539"/>
        <v>3</v>
      </c>
      <c r="OD84" s="8"/>
      <c r="OE84" s="47">
        <v>3</v>
      </c>
      <c r="OF84" s="48" t="s">
        <v>4</v>
      </c>
      <c r="OG84" s="49">
        <v>1</v>
      </c>
      <c r="OH84" s="8"/>
      <c r="OI84" s="42">
        <f t="shared" si="540"/>
        <v>0</v>
      </c>
      <c r="OJ84" s="43">
        <f t="shared" si="541"/>
        <v>2</v>
      </c>
      <c r="OK84" s="8"/>
      <c r="OL84" s="47">
        <v>3</v>
      </c>
      <c r="OM84" s="48" t="s">
        <v>4</v>
      </c>
      <c r="ON84" s="49">
        <v>1</v>
      </c>
      <c r="OO84" s="8"/>
      <c r="OP84" s="42">
        <f t="shared" si="542"/>
        <v>0</v>
      </c>
      <c r="OQ84" s="43">
        <f t="shared" si="543"/>
        <v>2</v>
      </c>
      <c r="OR84" s="8"/>
      <c r="OS84" s="47">
        <v>3</v>
      </c>
      <c r="OT84" s="48" t="s">
        <v>4</v>
      </c>
      <c r="OU84" s="49">
        <v>1</v>
      </c>
      <c r="OV84" s="8"/>
      <c r="OW84" s="42">
        <f t="shared" si="544"/>
        <v>0</v>
      </c>
      <c r="OX84" s="43">
        <f t="shared" si="545"/>
        <v>2</v>
      </c>
      <c r="OY84" s="8"/>
      <c r="OZ84" s="47">
        <v>2</v>
      </c>
      <c r="PA84" s="48" t="s">
        <v>4</v>
      </c>
      <c r="PB84" s="49">
        <v>0</v>
      </c>
      <c r="PC84" s="8"/>
      <c r="PD84" s="42">
        <f t="shared" si="546"/>
        <v>0</v>
      </c>
      <c r="PE84" s="43">
        <f t="shared" si="547"/>
        <v>2</v>
      </c>
      <c r="PF84" s="8"/>
      <c r="PG84" s="47">
        <v>3</v>
      </c>
      <c r="PH84" s="48" t="s">
        <v>4</v>
      </c>
      <c r="PI84" s="49">
        <v>1</v>
      </c>
      <c r="PJ84" s="8"/>
      <c r="PK84" s="42">
        <f t="shared" si="548"/>
        <v>0</v>
      </c>
      <c r="PL84" s="43">
        <f t="shared" si="549"/>
        <v>2</v>
      </c>
      <c r="PM84" s="8"/>
      <c r="PN84" s="47">
        <v>2</v>
      </c>
      <c r="PO84" s="48" t="s">
        <v>4</v>
      </c>
      <c r="PP84" s="49">
        <v>0</v>
      </c>
      <c r="PQ84" s="8"/>
      <c r="PR84" s="42">
        <f t="shared" si="550"/>
        <v>0</v>
      </c>
      <c r="PS84" s="43">
        <f t="shared" si="551"/>
        <v>2</v>
      </c>
      <c r="PT84" s="8"/>
      <c r="PU84" s="47">
        <v>4</v>
      </c>
      <c r="PV84" s="48" t="s">
        <v>4</v>
      </c>
      <c r="PW84" s="49">
        <v>2</v>
      </c>
      <c r="PX84" s="8"/>
      <c r="PY84" s="42">
        <f t="shared" si="552"/>
        <v>0</v>
      </c>
      <c r="PZ84" s="43">
        <f t="shared" si="553"/>
        <v>2</v>
      </c>
      <c r="QA84" s="8"/>
      <c r="QB84" s="47">
        <v>3</v>
      </c>
      <c r="QC84" s="48" t="s">
        <v>4</v>
      </c>
      <c r="QD84" s="49">
        <v>1</v>
      </c>
      <c r="QE84" s="8"/>
      <c r="QF84" s="42">
        <f t="shared" si="554"/>
        <v>0</v>
      </c>
      <c r="QG84" s="43">
        <f t="shared" si="555"/>
        <v>2</v>
      </c>
      <c r="QH84" s="8"/>
      <c r="QI84" s="47">
        <v>3</v>
      </c>
      <c r="QJ84" s="48" t="s">
        <v>4</v>
      </c>
      <c r="QK84" s="49">
        <v>1</v>
      </c>
      <c r="QL84" s="8"/>
      <c r="QM84" s="42">
        <f t="shared" si="556"/>
        <v>0</v>
      </c>
      <c r="QN84" s="43">
        <f t="shared" si="557"/>
        <v>2</v>
      </c>
      <c r="QO84" s="8"/>
      <c r="QP84" s="47">
        <v>2</v>
      </c>
      <c r="QQ84" s="48" t="s">
        <v>4</v>
      </c>
      <c r="QR84" s="49">
        <v>1</v>
      </c>
      <c r="QS84" s="8"/>
      <c r="QT84" s="42">
        <f t="shared" si="558"/>
        <v>0</v>
      </c>
      <c r="QU84" s="43">
        <f t="shared" si="559"/>
        <v>1</v>
      </c>
      <c r="QV84" s="8"/>
      <c r="QW84" s="47">
        <v>5</v>
      </c>
      <c r="QX84" s="48" t="s">
        <v>4</v>
      </c>
      <c r="QY84" s="49">
        <v>4</v>
      </c>
      <c r="QZ84" s="8"/>
      <c r="RA84" s="42">
        <f t="shared" si="560"/>
        <v>0</v>
      </c>
      <c r="RB84" s="43">
        <f t="shared" si="561"/>
        <v>1</v>
      </c>
      <c r="RC84" s="8"/>
      <c r="RD84" s="47"/>
      <c r="RE84" s="48" t="s">
        <v>4</v>
      </c>
      <c r="RF84" s="49"/>
      <c r="RG84" s="8"/>
      <c r="RH84" s="42" t="str">
        <f t="shared" si="562"/>
        <v/>
      </c>
      <c r="RI84" s="43">
        <f t="shared" si="563"/>
        <v>0</v>
      </c>
      <c r="RJ84" s="8"/>
      <c r="RK84" s="47">
        <v>3</v>
      </c>
      <c r="RL84" s="48" t="s">
        <v>4</v>
      </c>
      <c r="RM84" s="49">
        <v>1</v>
      </c>
      <c r="RN84" s="8"/>
      <c r="RO84" s="42">
        <f t="shared" si="564"/>
        <v>0</v>
      </c>
      <c r="RP84" s="43">
        <f t="shared" si="565"/>
        <v>2</v>
      </c>
      <c r="RQ84" s="8"/>
      <c r="RR84" s="47">
        <v>3</v>
      </c>
      <c r="RS84" s="48" t="s">
        <v>4</v>
      </c>
      <c r="RT84" s="49">
        <v>1</v>
      </c>
      <c r="RU84" s="8"/>
      <c r="RV84" s="42">
        <f t="shared" si="566"/>
        <v>0</v>
      </c>
      <c r="RW84" s="43">
        <f t="shared" si="567"/>
        <v>2</v>
      </c>
      <c r="RX84" s="8"/>
      <c r="RY84" s="47">
        <v>2</v>
      </c>
      <c r="RZ84" s="48" t="s">
        <v>4</v>
      </c>
      <c r="SA84" s="49">
        <v>1</v>
      </c>
      <c r="SB84" s="8"/>
      <c r="SC84" s="42">
        <f t="shared" si="568"/>
        <v>0</v>
      </c>
      <c r="SD84" s="43">
        <f t="shared" si="569"/>
        <v>1</v>
      </c>
      <c r="SE84" s="8"/>
      <c r="SF84" s="47">
        <v>2</v>
      </c>
      <c r="SG84" s="48" t="s">
        <v>4</v>
      </c>
      <c r="SH84" s="49">
        <v>1</v>
      </c>
      <c r="SI84" s="8"/>
      <c r="SJ84" s="42">
        <f t="shared" si="570"/>
        <v>0</v>
      </c>
      <c r="SK84" s="43">
        <f t="shared" si="571"/>
        <v>1</v>
      </c>
      <c r="SL84" s="8"/>
      <c r="SM84" s="47">
        <v>5</v>
      </c>
      <c r="SN84" s="48" t="s">
        <v>4</v>
      </c>
      <c r="SO84" s="49">
        <v>4</v>
      </c>
      <c r="SP84" s="8"/>
      <c r="SQ84" s="42">
        <f t="shared" si="572"/>
        <v>0</v>
      </c>
      <c r="SR84" s="43">
        <f t="shared" si="573"/>
        <v>1</v>
      </c>
    </row>
    <row r="85" spans="1:512" ht="16" customHeight="1" x14ac:dyDescent="0.15">
      <c r="A85" s="51">
        <v>46203</v>
      </c>
      <c r="B85" s="46">
        <v>0.125</v>
      </c>
      <c r="C85" s="82" t="s">
        <v>23</v>
      </c>
      <c r="D85" s="82" t="s">
        <v>36</v>
      </c>
      <c r="E85" s="2">
        <v>3</v>
      </c>
      <c r="F85" s="50" t="s">
        <v>4</v>
      </c>
      <c r="G85" s="1">
        <v>4</v>
      </c>
      <c r="H85" s="16">
        <v>5.6</v>
      </c>
      <c r="I85" s="32">
        <f t="shared" si="429"/>
        <v>-1</v>
      </c>
      <c r="J85" s="47"/>
      <c r="K85" s="48" t="s">
        <v>4</v>
      </c>
      <c r="L85" s="49"/>
      <c r="M85" s="8"/>
      <c r="N85" s="42" t="str">
        <f t="shared" si="430"/>
        <v/>
      </c>
      <c r="O85" s="43">
        <f t="shared" si="431"/>
        <v>0</v>
      </c>
      <c r="Q85" s="47">
        <v>2</v>
      </c>
      <c r="R85" s="48" t="s">
        <v>4</v>
      </c>
      <c r="S85" s="49">
        <v>3</v>
      </c>
      <c r="T85" s="8"/>
      <c r="U85" s="42">
        <f t="shared" si="432"/>
        <v>5.6</v>
      </c>
      <c r="V85" s="43">
        <f t="shared" si="433"/>
        <v>-1</v>
      </c>
      <c r="W85" s="8"/>
      <c r="X85" s="47"/>
      <c r="Y85" s="48" t="s">
        <v>4</v>
      </c>
      <c r="Z85" s="49"/>
      <c r="AA85" s="8"/>
      <c r="AB85" s="42" t="str">
        <f t="shared" si="434"/>
        <v/>
      </c>
      <c r="AC85" s="43">
        <f t="shared" si="435"/>
        <v>0</v>
      </c>
      <c r="AD85" s="8"/>
      <c r="AE85" s="47">
        <v>2</v>
      </c>
      <c r="AF85" s="48" t="s">
        <v>4</v>
      </c>
      <c r="AG85" s="49">
        <v>0</v>
      </c>
      <c r="AH85" s="8"/>
      <c r="AI85" s="42">
        <f t="shared" si="436"/>
        <v>0</v>
      </c>
      <c r="AJ85" s="43">
        <f t="shared" si="437"/>
        <v>2</v>
      </c>
      <c r="AK85" s="8"/>
      <c r="AL85" s="47">
        <v>2</v>
      </c>
      <c r="AM85" s="48" t="s">
        <v>4</v>
      </c>
      <c r="AN85" s="49">
        <v>1</v>
      </c>
      <c r="AO85" s="8"/>
      <c r="AP85" s="42">
        <f t="shared" si="438"/>
        <v>0</v>
      </c>
      <c r="AQ85" s="43">
        <f t="shared" si="439"/>
        <v>1</v>
      </c>
      <c r="AR85" s="8"/>
      <c r="AS85" s="47">
        <v>3</v>
      </c>
      <c r="AT85" s="48" t="s">
        <v>4</v>
      </c>
      <c r="AU85" s="49">
        <v>2</v>
      </c>
      <c r="AV85" s="8"/>
      <c r="AW85" s="42">
        <f t="shared" si="440"/>
        <v>0</v>
      </c>
      <c r="AX85" s="43">
        <f t="shared" si="441"/>
        <v>1</v>
      </c>
      <c r="AY85" s="8"/>
      <c r="AZ85" s="47">
        <v>2</v>
      </c>
      <c r="BA85" s="48" t="s">
        <v>4</v>
      </c>
      <c r="BB85" s="49">
        <v>3</v>
      </c>
      <c r="BC85" s="8"/>
      <c r="BD85" s="42">
        <f t="shared" si="442"/>
        <v>5.6</v>
      </c>
      <c r="BE85" s="43">
        <f t="shared" si="443"/>
        <v>-1</v>
      </c>
      <c r="BF85" s="8"/>
      <c r="BG85" s="47">
        <v>3</v>
      </c>
      <c r="BH85" s="48" t="s">
        <v>4</v>
      </c>
      <c r="BI85" s="49">
        <v>0</v>
      </c>
      <c r="BJ85" s="8"/>
      <c r="BK85" s="42">
        <f t="shared" si="444"/>
        <v>0</v>
      </c>
      <c r="BL85" s="43">
        <f t="shared" si="445"/>
        <v>3</v>
      </c>
      <c r="BM85" s="8"/>
      <c r="BN85" s="47">
        <v>1</v>
      </c>
      <c r="BO85" s="48" t="s">
        <v>4</v>
      </c>
      <c r="BP85" s="49">
        <v>2</v>
      </c>
      <c r="BQ85" s="8"/>
      <c r="BR85" s="42">
        <f t="shared" si="446"/>
        <v>5.6</v>
      </c>
      <c r="BS85" s="43">
        <f t="shared" si="447"/>
        <v>-1</v>
      </c>
      <c r="BT85" s="8"/>
      <c r="BU85" s="47">
        <v>1</v>
      </c>
      <c r="BV85" s="48" t="s">
        <v>4</v>
      </c>
      <c r="BW85" s="49">
        <v>0</v>
      </c>
      <c r="BX85" s="8"/>
      <c r="BY85" s="42">
        <f t="shared" si="448"/>
        <v>0</v>
      </c>
      <c r="BZ85" s="43">
        <f t="shared" si="449"/>
        <v>1</v>
      </c>
      <c r="CA85" s="8"/>
      <c r="CB85" s="47"/>
      <c r="CC85" s="48" t="s">
        <v>4</v>
      </c>
      <c r="CD85" s="49"/>
      <c r="CE85" s="8"/>
      <c r="CF85" s="42" t="str">
        <f t="shared" si="450"/>
        <v/>
      </c>
      <c r="CG85" s="43">
        <f t="shared" si="451"/>
        <v>0</v>
      </c>
      <c r="CH85" s="8"/>
      <c r="CI85" s="47">
        <v>2</v>
      </c>
      <c r="CJ85" s="48" t="s">
        <v>4</v>
      </c>
      <c r="CK85" s="49">
        <v>1</v>
      </c>
      <c r="CL85" s="8"/>
      <c r="CM85" s="42">
        <f t="shared" si="452"/>
        <v>0</v>
      </c>
      <c r="CN85" s="43">
        <f t="shared" si="453"/>
        <v>1</v>
      </c>
      <c r="CO85" s="8"/>
      <c r="CP85" s="47">
        <v>2</v>
      </c>
      <c r="CQ85" s="48" t="s">
        <v>4</v>
      </c>
      <c r="CR85" s="49">
        <v>1</v>
      </c>
      <c r="CS85" s="8"/>
      <c r="CT85" s="42">
        <f t="shared" si="454"/>
        <v>0</v>
      </c>
      <c r="CU85" s="43">
        <f t="shared" si="455"/>
        <v>1</v>
      </c>
      <c r="CV85" s="8"/>
      <c r="CW85" s="47">
        <v>5</v>
      </c>
      <c r="CX85" s="48" t="s">
        <v>4</v>
      </c>
      <c r="CY85" s="49">
        <v>4</v>
      </c>
      <c r="CZ85" s="8"/>
      <c r="DA85" s="42">
        <f t="shared" si="456"/>
        <v>0</v>
      </c>
      <c r="DB85" s="43">
        <f t="shared" si="457"/>
        <v>1</v>
      </c>
      <c r="DC85" s="8"/>
      <c r="DD85" s="47">
        <v>0</v>
      </c>
      <c r="DE85" s="48" t="s">
        <v>4</v>
      </c>
      <c r="DF85" s="49">
        <v>2</v>
      </c>
      <c r="DG85" s="8"/>
      <c r="DH85" s="42">
        <f t="shared" si="458"/>
        <v>5.6</v>
      </c>
      <c r="DI85" s="43">
        <f t="shared" si="459"/>
        <v>-2</v>
      </c>
      <c r="DJ85" s="8"/>
      <c r="DK85" s="47">
        <v>0</v>
      </c>
      <c r="DL85" s="48" t="s">
        <v>4</v>
      </c>
      <c r="DM85" s="49">
        <v>1</v>
      </c>
      <c r="DN85" s="8"/>
      <c r="DO85" s="42">
        <f t="shared" si="460"/>
        <v>5.6</v>
      </c>
      <c r="DP85" s="43">
        <f t="shared" si="461"/>
        <v>-1</v>
      </c>
      <c r="DQ85" s="8"/>
      <c r="DR85" s="47">
        <v>2</v>
      </c>
      <c r="DS85" s="48" t="s">
        <v>4</v>
      </c>
      <c r="DT85" s="49">
        <v>1</v>
      </c>
      <c r="DU85" s="8"/>
      <c r="DV85" s="42">
        <f t="shared" si="462"/>
        <v>0</v>
      </c>
      <c r="DW85" s="43">
        <f t="shared" si="463"/>
        <v>1</v>
      </c>
      <c r="DX85" s="8"/>
      <c r="DY85" s="47">
        <v>4</v>
      </c>
      <c r="DZ85" s="48" t="s">
        <v>4</v>
      </c>
      <c r="EA85" s="49">
        <v>5</v>
      </c>
      <c r="EB85" s="8"/>
      <c r="EC85" s="42">
        <f t="shared" si="464"/>
        <v>5.6</v>
      </c>
      <c r="ED85" s="43">
        <f t="shared" si="465"/>
        <v>-1</v>
      </c>
      <c r="EE85" s="8"/>
      <c r="EF85" s="47">
        <v>2</v>
      </c>
      <c r="EG85" s="48" t="s">
        <v>4</v>
      </c>
      <c r="EH85" s="49">
        <v>0</v>
      </c>
      <c r="EI85" s="8"/>
      <c r="EJ85" s="42">
        <f t="shared" si="466"/>
        <v>0</v>
      </c>
      <c r="EK85" s="43">
        <f t="shared" si="467"/>
        <v>2</v>
      </c>
      <c r="EL85" s="8"/>
      <c r="EM85" s="47">
        <v>6</v>
      </c>
      <c r="EN85" s="48" t="s">
        <v>4</v>
      </c>
      <c r="EO85" s="49">
        <v>5</v>
      </c>
      <c r="EP85" s="8"/>
      <c r="EQ85" s="42">
        <f t="shared" si="468"/>
        <v>0</v>
      </c>
      <c r="ER85" s="43">
        <f t="shared" si="469"/>
        <v>1</v>
      </c>
      <c r="ES85" s="8"/>
      <c r="ET85" s="47">
        <v>1</v>
      </c>
      <c r="EU85" s="48" t="s">
        <v>4</v>
      </c>
      <c r="EV85" s="49">
        <v>2</v>
      </c>
      <c r="EW85" s="8"/>
      <c r="EX85" s="42">
        <f t="shared" si="470"/>
        <v>5.6</v>
      </c>
      <c r="EY85" s="43">
        <f t="shared" si="471"/>
        <v>-1</v>
      </c>
      <c r="EZ85" s="8"/>
      <c r="FA85" s="47">
        <v>3</v>
      </c>
      <c r="FB85" s="48" t="s">
        <v>4</v>
      </c>
      <c r="FC85" s="49">
        <v>2</v>
      </c>
      <c r="FD85" s="8"/>
      <c r="FE85" s="42">
        <f t="shared" si="472"/>
        <v>0</v>
      </c>
      <c r="FF85" s="43">
        <f t="shared" si="473"/>
        <v>1</v>
      </c>
      <c r="FG85" s="8"/>
      <c r="FH85" s="47">
        <v>0</v>
      </c>
      <c r="FI85" s="48" t="s">
        <v>4</v>
      </c>
      <c r="FJ85" s="49">
        <v>1</v>
      </c>
      <c r="FK85" s="8"/>
      <c r="FL85" s="42">
        <f t="shared" si="474"/>
        <v>5.6</v>
      </c>
      <c r="FM85" s="43">
        <f t="shared" si="475"/>
        <v>-1</v>
      </c>
      <c r="FN85" s="8"/>
      <c r="FO85" s="47">
        <v>2</v>
      </c>
      <c r="FP85" s="48" t="s">
        <v>4</v>
      </c>
      <c r="FQ85" s="49">
        <v>0</v>
      </c>
      <c r="FR85" s="8"/>
      <c r="FS85" s="42">
        <f t="shared" si="476"/>
        <v>0</v>
      </c>
      <c r="FT85" s="43">
        <f t="shared" si="477"/>
        <v>2</v>
      </c>
      <c r="FU85" s="8"/>
      <c r="FV85" s="47">
        <v>3</v>
      </c>
      <c r="FW85" s="48" t="s">
        <v>4</v>
      </c>
      <c r="FX85" s="49">
        <v>0</v>
      </c>
      <c r="FY85" s="8"/>
      <c r="FZ85" s="42">
        <f t="shared" si="478"/>
        <v>0</v>
      </c>
      <c r="GA85" s="43">
        <f t="shared" si="479"/>
        <v>3</v>
      </c>
      <c r="GB85" s="8"/>
      <c r="GC85" s="47">
        <v>2</v>
      </c>
      <c r="GD85" s="48" t="s">
        <v>4</v>
      </c>
      <c r="GE85" s="49">
        <v>1</v>
      </c>
      <c r="GF85" s="8"/>
      <c r="GG85" s="42">
        <f t="shared" si="480"/>
        <v>0</v>
      </c>
      <c r="GH85" s="43">
        <f t="shared" si="481"/>
        <v>1</v>
      </c>
      <c r="GI85" s="8"/>
      <c r="GJ85" s="47">
        <v>4</v>
      </c>
      <c r="GK85" s="48" t="s">
        <v>4</v>
      </c>
      <c r="GL85" s="49">
        <v>1</v>
      </c>
      <c r="GM85" s="8"/>
      <c r="GN85" s="42">
        <f t="shared" si="482"/>
        <v>0</v>
      </c>
      <c r="GO85" s="43">
        <f t="shared" si="483"/>
        <v>3</v>
      </c>
      <c r="GP85" s="8"/>
      <c r="GQ85" s="47">
        <v>5</v>
      </c>
      <c r="GR85" s="48" t="s">
        <v>4</v>
      </c>
      <c r="GS85" s="49">
        <v>7</v>
      </c>
      <c r="GT85" s="8"/>
      <c r="GU85" s="42">
        <f t="shared" si="484"/>
        <v>5.6</v>
      </c>
      <c r="GV85" s="43">
        <f t="shared" si="485"/>
        <v>-2</v>
      </c>
      <c r="GW85" s="8"/>
      <c r="GX85" s="47">
        <v>6</v>
      </c>
      <c r="GY85" s="48" t="s">
        <v>4</v>
      </c>
      <c r="GZ85" s="49">
        <v>5</v>
      </c>
      <c r="HA85" s="8"/>
      <c r="HB85" s="42">
        <f t="shared" si="486"/>
        <v>0</v>
      </c>
      <c r="HC85" s="43">
        <f t="shared" si="487"/>
        <v>1</v>
      </c>
      <c r="HD85" s="8"/>
      <c r="HE85" s="47">
        <v>2</v>
      </c>
      <c r="HF85" s="48" t="s">
        <v>4</v>
      </c>
      <c r="HG85" s="49">
        <v>1</v>
      </c>
      <c r="HH85" s="8"/>
      <c r="HI85" s="42">
        <f t="shared" si="488"/>
        <v>0</v>
      </c>
      <c r="HJ85" s="43">
        <f t="shared" si="489"/>
        <v>1</v>
      </c>
      <c r="HK85" s="8"/>
      <c r="HL85" s="47">
        <v>6</v>
      </c>
      <c r="HM85" s="48" t="s">
        <v>4</v>
      </c>
      <c r="HN85" s="49">
        <v>5</v>
      </c>
      <c r="HO85" s="8"/>
      <c r="HP85" s="42">
        <f t="shared" si="490"/>
        <v>0</v>
      </c>
      <c r="HQ85" s="43">
        <f t="shared" si="491"/>
        <v>1</v>
      </c>
      <c r="HR85" s="8"/>
      <c r="HS85" s="47">
        <v>2</v>
      </c>
      <c r="HT85" s="48" t="s">
        <v>4</v>
      </c>
      <c r="HU85" s="49">
        <v>1</v>
      </c>
      <c r="HV85" s="8"/>
      <c r="HW85" s="42">
        <f t="shared" si="492"/>
        <v>0</v>
      </c>
      <c r="HX85" s="43">
        <f t="shared" si="493"/>
        <v>1</v>
      </c>
      <c r="HY85" s="8"/>
      <c r="HZ85" s="47">
        <v>2</v>
      </c>
      <c r="IA85" s="48" t="s">
        <v>4</v>
      </c>
      <c r="IB85" s="49">
        <v>1</v>
      </c>
      <c r="IC85" s="8"/>
      <c r="ID85" s="42">
        <f t="shared" si="494"/>
        <v>0</v>
      </c>
      <c r="IE85" s="43">
        <f t="shared" si="495"/>
        <v>1</v>
      </c>
      <c r="IF85" s="8"/>
      <c r="IG85" s="47">
        <v>3</v>
      </c>
      <c r="IH85" s="48" t="s">
        <v>4</v>
      </c>
      <c r="II85" s="49">
        <v>1</v>
      </c>
      <c r="IJ85" s="8"/>
      <c r="IK85" s="42">
        <f t="shared" si="496"/>
        <v>0</v>
      </c>
      <c r="IL85" s="43">
        <f t="shared" si="497"/>
        <v>2</v>
      </c>
      <c r="IM85" s="8"/>
      <c r="IN85" s="47">
        <v>1</v>
      </c>
      <c r="IO85" s="48" t="s">
        <v>4</v>
      </c>
      <c r="IP85" s="49">
        <v>3</v>
      </c>
      <c r="IQ85" s="8"/>
      <c r="IR85" s="42">
        <f t="shared" si="498"/>
        <v>5.6</v>
      </c>
      <c r="IS85" s="43">
        <f t="shared" si="499"/>
        <v>-2</v>
      </c>
      <c r="IT85" s="8"/>
      <c r="IU85" s="47">
        <v>2</v>
      </c>
      <c r="IV85" s="48" t="s">
        <v>4</v>
      </c>
      <c r="IW85" s="49">
        <v>0</v>
      </c>
      <c r="IX85" s="8"/>
      <c r="IY85" s="42">
        <f t="shared" si="500"/>
        <v>0</v>
      </c>
      <c r="IZ85" s="43">
        <f t="shared" si="501"/>
        <v>2</v>
      </c>
      <c r="JA85" s="8"/>
      <c r="JB85" s="47">
        <v>2</v>
      </c>
      <c r="JC85" s="48" t="s">
        <v>4</v>
      </c>
      <c r="JD85" s="49">
        <v>1</v>
      </c>
      <c r="JE85" s="8"/>
      <c r="JF85" s="42">
        <f t="shared" si="502"/>
        <v>0</v>
      </c>
      <c r="JG85" s="43">
        <f t="shared" si="503"/>
        <v>1</v>
      </c>
      <c r="JH85" s="8"/>
      <c r="JI85" s="47">
        <v>2</v>
      </c>
      <c r="JJ85" s="48" t="s">
        <v>4</v>
      </c>
      <c r="JK85" s="49">
        <v>1</v>
      </c>
      <c r="JL85" s="8"/>
      <c r="JM85" s="42">
        <f t="shared" si="504"/>
        <v>0</v>
      </c>
      <c r="JN85" s="43">
        <f t="shared" si="505"/>
        <v>1</v>
      </c>
      <c r="JO85" s="8"/>
      <c r="JP85" s="47">
        <v>1</v>
      </c>
      <c r="JQ85" s="48" t="s">
        <v>4</v>
      </c>
      <c r="JR85" s="49">
        <v>2</v>
      </c>
      <c r="JS85" s="8"/>
      <c r="JT85" s="42">
        <f t="shared" si="506"/>
        <v>5.6</v>
      </c>
      <c r="JU85" s="43">
        <f t="shared" si="507"/>
        <v>-1</v>
      </c>
      <c r="JV85" s="8"/>
      <c r="JW85" s="47">
        <v>2</v>
      </c>
      <c r="JX85" s="48" t="s">
        <v>4</v>
      </c>
      <c r="JY85" s="49">
        <v>1</v>
      </c>
      <c r="JZ85" s="8"/>
      <c r="KA85" s="42">
        <f t="shared" si="508"/>
        <v>0</v>
      </c>
      <c r="KB85" s="43">
        <f t="shared" si="509"/>
        <v>1</v>
      </c>
      <c r="KC85" s="8"/>
      <c r="KD85" s="47">
        <v>6</v>
      </c>
      <c r="KE85" s="48" t="s">
        <v>4</v>
      </c>
      <c r="KF85" s="49">
        <v>5</v>
      </c>
      <c r="KG85" s="8"/>
      <c r="KH85" s="42">
        <f t="shared" si="510"/>
        <v>0</v>
      </c>
      <c r="KI85" s="43">
        <f t="shared" si="511"/>
        <v>1</v>
      </c>
      <c r="KJ85" s="8"/>
      <c r="KK85" s="47">
        <v>2</v>
      </c>
      <c r="KL85" s="48" t="s">
        <v>4</v>
      </c>
      <c r="KM85" s="49">
        <v>1</v>
      </c>
      <c r="KN85" s="8"/>
      <c r="KO85" s="42">
        <f t="shared" si="512"/>
        <v>0</v>
      </c>
      <c r="KP85" s="43">
        <f t="shared" si="513"/>
        <v>1</v>
      </c>
      <c r="KQ85" s="8"/>
      <c r="KR85" s="47">
        <v>2</v>
      </c>
      <c r="KS85" s="48" t="s">
        <v>4</v>
      </c>
      <c r="KT85" s="49">
        <v>1</v>
      </c>
      <c r="KU85" s="8"/>
      <c r="KV85" s="42">
        <f t="shared" si="514"/>
        <v>0</v>
      </c>
      <c r="KW85" s="43">
        <f t="shared" si="515"/>
        <v>1</v>
      </c>
      <c r="KX85" s="8"/>
      <c r="KY85" s="47">
        <v>2</v>
      </c>
      <c r="KZ85" s="48" t="s">
        <v>4</v>
      </c>
      <c r="LA85" s="49">
        <v>1</v>
      </c>
      <c r="LB85" s="8"/>
      <c r="LC85" s="42">
        <f t="shared" si="516"/>
        <v>0</v>
      </c>
      <c r="LD85" s="43">
        <f t="shared" si="517"/>
        <v>1</v>
      </c>
      <c r="LE85" s="8"/>
      <c r="LF85" s="47">
        <v>2</v>
      </c>
      <c r="LG85" s="48" t="s">
        <v>4</v>
      </c>
      <c r="LH85" s="49">
        <v>1</v>
      </c>
      <c r="LI85" s="8"/>
      <c r="LJ85" s="42">
        <f t="shared" si="518"/>
        <v>0</v>
      </c>
      <c r="LK85" s="43">
        <f t="shared" si="519"/>
        <v>1</v>
      </c>
      <c r="LL85" s="8"/>
      <c r="LM85" s="47">
        <v>7</v>
      </c>
      <c r="LN85" s="48" t="s">
        <v>4</v>
      </c>
      <c r="LO85" s="49">
        <v>6</v>
      </c>
      <c r="LP85" s="8"/>
      <c r="LQ85" s="42">
        <f t="shared" si="520"/>
        <v>0</v>
      </c>
      <c r="LR85" s="43">
        <f t="shared" si="521"/>
        <v>1</v>
      </c>
      <c r="LS85" s="8"/>
      <c r="LT85" s="47">
        <v>1</v>
      </c>
      <c r="LU85" s="48" t="s">
        <v>4</v>
      </c>
      <c r="LV85" s="49">
        <v>2</v>
      </c>
      <c r="LW85" s="8"/>
      <c r="LX85" s="42">
        <f t="shared" si="522"/>
        <v>5.6</v>
      </c>
      <c r="LY85" s="43">
        <f t="shared" si="523"/>
        <v>-1</v>
      </c>
      <c r="LZ85" s="8"/>
      <c r="MA85" s="47">
        <v>1</v>
      </c>
      <c r="MB85" s="48" t="s">
        <v>4</v>
      </c>
      <c r="MC85" s="49">
        <v>2</v>
      </c>
      <c r="MD85" s="8"/>
      <c r="ME85" s="42">
        <f t="shared" si="524"/>
        <v>5.6</v>
      </c>
      <c r="MF85" s="43">
        <f t="shared" si="525"/>
        <v>-1</v>
      </c>
      <c r="MG85" s="8"/>
      <c r="MH85" s="47">
        <v>5</v>
      </c>
      <c r="MI85" s="48" t="s">
        <v>4</v>
      </c>
      <c r="MJ85" s="49">
        <v>7</v>
      </c>
      <c r="MK85" s="8"/>
      <c r="ML85" s="42">
        <f t="shared" si="526"/>
        <v>5.6</v>
      </c>
      <c r="MM85" s="43">
        <f t="shared" si="527"/>
        <v>-2</v>
      </c>
      <c r="MN85" s="8"/>
      <c r="MO85" s="47">
        <v>1</v>
      </c>
      <c r="MP85" s="48" t="s">
        <v>4</v>
      </c>
      <c r="MQ85" s="49">
        <v>0</v>
      </c>
      <c r="MR85" s="8"/>
      <c r="MS85" s="42">
        <f t="shared" si="528"/>
        <v>0</v>
      </c>
      <c r="MT85" s="43">
        <f t="shared" si="529"/>
        <v>1</v>
      </c>
      <c r="MU85" s="8"/>
      <c r="MV85" s="47">
        <v>1</v>
      </c>
      <c r="MW85" s="48" t="s">
        <v>4</v>
      </c>
      <c r="MX85" s="49">
        <v>0</v>
      </c>
      <c r="MY85" s="8"/>
      <c r="MZ85" s="42">
        <f t="shared" si="530"/>
        <v>0</v>
      </c>
      <c r="NA85" s="43">
        <f t="shared" si="531"/>
        <v>1</v>
      </c>
      <c r="NB85" s="8"/>
      <c r="NC85" s="47">
        <v>4</v>
      </c>
      <c r="ND85" s="48" t="s">
        <v>4</v>
      </c>
      <c r="NE85" s="49">
        <v>5</v>
      </c>
      <c r="NF85" s="8"/>
      <c r="NG85" s="42">
        <f t="shared" si="532"/>
        <v>5.6</v>
      </c>
      <c r="NH85" s="43">
        <f t="shared" si="533"/>
        <v>-1</v>
      </c>
      <c r="NI85" s="8"/>
      <c r="NJ85" s="47">
        <v>3</v>
      </c>
      <c r="NK85" s="48" t="s">
        <v>4</v>
      </c>
      <c r="NL85" s="49">
        <v>1</v>
      </c>
      <c r="NM85" s="8"/>
      <c r="NN85" s="42">
        <f t="shared" si="534"/>
        <v>0</v>
      </c>
      <c r="NO85" s="43">
        <f t="shared" si="535"/>
        <v>2</v>
      </c>
      <c r="NP85" s="8"/>
      <c r="NQ85" s="47">
        <v>3</v>
      </c>
      <c r="NR85" s="48" t="s">
        <v>4</v>
      </c>
      <c r="NS85" s="49">
        <v>1</v>
      </c>
      <c r="NT85" s="8"/>
      <c r="NU85" s="42">
        <f t="shared" si="536"/>
        <v>0</v>
      </c>
      <c r="NV85" s="43">
        <f t="shared" si="537"/>
        <v>2</v>
      </c>
      <c r="NW85" s="8"/>
      <c r="NX85" s="47">
        <v>2</v>
      </c>
      <c r="NY85" s="48" t="s">
        <v>4</v>
      </c>
      <c r="NZ85" s="49">
        <v>1</v>
      </c>
      <c r="OA85" s="8"/>
      <c r="OB85" s="42">
        <f t="shared" si="538"/>
        <v>0</v>
      </c>
      <c r="OC85" s="43">
        <f t="shared" si="539"/>
        <v>1</v>
      </c>
      <c r="OD85" s="8"/>
      <c r="OE85" s="47">
        <v>2</v>
      </c>
      <c r="OF85" s="48" t="s">
        <v>4</v>
      </c>
      <c r="OG85" s="49">
        <v>1</v>
      </c>
      <c r="OH85" s="8"/>
      <c r="OI85" s="42">
        <f t="shared" si="540"/>
        <v>0</v>
      </c>
      <c r="OJ85" s="43">
        <f t="shared" si="541"/>
        <v>1</v>
      </c>
      <c r="OK85" s="8"/>
      <c r="OL85" s="47">
        <v>2</v>
      </c>
      <c r="OM85" s="48" t="s">
        <v>4</v>
      </c>
      <c r="ON85" s="49">
        <v>1</v>
      </c>
      <c r="OO85" s="8"/>
      <c r="OP85" s="42">
        <f t="shared" si="542"/>
        <v>0</v>
      </c>
      <c r="OQ85" s="43">
        <f t="shared" si="543"/>
        <v>1</v>
      </c>
      <c r="OR85" s="8"/>
      <c r="OS85" s="47">
        <v>2</v>
      </c>
      <c r="OT85" s="48" t="s">
        <v>4</v>
      </c>
      <c r="OU85" s="49">
        <v>1</v>
      </c>
      <c r="OV85" s="8"/>
      <c r="OW85" s="42">
        <f t="shared" si="544"/>
        <v>0</v>
      </c>
      <c r="OX85" s="43">
        <f t="shared" si="545"/>
        <v>1</v>
      </c>
      <c r="OY85" s="8"/>
      <c r="OZ85" s="47">
        <v>3</v>
      </c>
      <c r="PA85" s="48" t="s">
        <v>4</v>
      </c>
      <c r="PB85" s="49">
        <v>2</v>
      </c>
      <c r="PC85" s="8"/>
      <c r="PD85" s="42">
        <f t="shared" si="546"/>
        <v>0</v>
      </c>
      <c r="PE85" s="43">
        <f t="shared" si="547"/>
        <v>1</v>
      </c>
      <c r="PF85" s="8"/>
      <c r="PG85" s="47">
        <v>2</v>
      </c>
      <c r="PH85" s="48" t="s">
        <v>4</v>
      </c>
      <c r="PI85" s="49">
        <v>1</v>
      </c>
      <c r="PJ85" s="8"/>
      <c r="PK85" s="42">
        <f t="shared" si="548"/>
        <v>0</v>
      </c>
      <c r="PL85" s="43">
        <f t="shared" si="549"/>
        <v>1</v>
      </c>
      <c r="PM85" s="8"/>
      <c r="PN85" s="47">
        <v>2</v>
      </c>
      <c r="PO85" s="48" t="s">
        <v>4</v>
      </c>
      <c r="PP85" s="49">
        <v>1</v>
      </c>
      <c r="PQ85" s="8"/>
      <c r="PR85" s="42">
        <f t="shared" si="550"/>
        <v>0</v>
      </c>
      <c r="PS85" s="43">
        <f t="shared" si="551"/>
        <v>1</v>
      </c>
      <c r="PT85" s="8"/>
      <c r="PU85" s="47">
        <v>3</v>
      </c>
      <c r="PV85" s="48" t="s">
        <v>4</v>
      </c>
      <c r="PW85" s="49">
        <v>2</v>
      </c>
      <c r="PX85" s="8"/>
      <c r="PY85" s="42">
        <f t="shared" si="552"/>
        <v>0</v>
      </c>
      <c r="PZ85" s="43">
        <f t="shared" si="553"/>
        <v>1</v>
      </c>
      <c r="QA85" s="8"/>
      <c r="QB85" s="47">
        <v>2</v>
      </c>
      <c r="QC85" s="48" t="s">
        <v>4</v>
      </c>
      <c r="QD85" s="49">
        <v>0</v>
      </c>
      <c r="QE85" s="8"/>
      <c r="QF85" s="42">
        <f t="shared" si="554"/>
        <v>0</v>
      </c>
      <c r="QG85" s="43">
        <f t="shared" si="555"/>
        <v>2</v>
      </c>
      <c r="QH85" s="8"/>
      <c r="QI85" s="47">
        <v>5</v>
      </c>
      <c r="QJ85" s="48" t="s">
        <v>4</v>
      </c>
      <c r="QK85" s="49">
        <v>6</v>
      </c>
      <c r="QL85" s="8"/>
      <c r="QM85" s="42">
        <f t="shared" si="556"/>
        <v>5.6</v>
      </c>
      <c r="QN85" s="43">
        <f t="shared" si="557"/>
        <v>-1</v>
      </c>
      <c r="QO85" s="8"/>
      <c r="QP85" s="47">
        <v>0</v>
      </c>
      <c r="QQ85" s="48" t="s">
        <v>4</v>
      </c>
      <c r="QR85" s="49">
        <v>1</v>
      </c>
      <c r="QS85" s="8"/>
      <c r="QT85" s="42">
        <f t="shared" si="558"/>
        <v>5.6</v>
      </c>
      <c r="QU85" s="43">
        <f t="shared" si="559"/>
        <v>-1</v>
      </c>
      <c r="QV85" s="8"/>
      <c r="QW85" s="47">
        <v>1</v>
      </c>
      <c r="QX85" s="48" t="s">
        <v>4</v>
      </c>
      <c r="QY85" s="49">
        <v>0</v>
      </c>
      <c r="QZ85" s="8"/>
      <c r="RA85" s="42">
        <f t="shared" si="560"/>
        <v>0</v>
      </c>
      <c r="RB85" s="43">
        <f t="shared" si="561"/>
        <v>1</v>
      </c>
      <c r="RC85" s="8"/>
      <c r="RD85" s="47"/>
      <c r="RE85" s="48" t="s">
        <v>4</v>
      </c>
      <c r="RF85" s="49"/>
      <c r="RG85" s="8"/>
      <c r="RH85" s="42" t="str">
        <f t="shared" si="562"/>
        <v/>
      </c>
      <c r="RI85" s="43">
        <f t="shared" si="563"/>
        <v>0</v>
      </c>
      <c r="RJ85" s="8"/>
      <c r="RK85" s="47">
        <v>5</v>
      </c>
      <c r="RL85" s="48" t="s">
        <v>4</v>
      </c>
      <c r="RM85" s="49">
        <v>3</v>
      </c>
      <c r="RN85" s="8"/>
      <c r="RO85" s="42">
        <f t="shared" si="564"/>
        <v>0</v>
      </c>
      <c r="RP85" s="43">
        <f t="shared" si="565"/>
        <v>2</v>
      </c>
      <c r="RQ85" s="8"/>
      <c r="RR85" s="47">
        <v>1</v>
      </c>
      <c r="RS85" s="48" t="s">
        <v>4</v>
      </c>
      <c r="RT85" s="49">
        <v>2</v>
      </c>
      <c r="RU85" s="8"/>
      <c r="RV85" s="42">
        <f t="shared" si="566"/>
        <v>5.6</v>
      </c>
      <c r="RW85" s="43">
        <f t="shared" si="567"/>
        <v>-1</v>
      </c>
      <c r="RX85" s="8"/>
      <c r="RY85" s="47">
        <v>3</v>
      </c>
      <c r="RZ85" s="48" t="s">
        <v>4</v>
      </c>
      <c r="SA85" s="49">
        <v>0</v>
      </c>
      <c r="SB85" s="8"/>
      <c r="SC85" s="42">
        <f t="shared" si="568"/>
        <v>0</v>
      </c>
      <c r="SD85" s="43">
        <f t="shared" si="569"/>
        <v>3</v>
      </c>
      <c r="SE85" s="8"/>
      <c r="SF85" s="47">
        <v>1</v>
      </c>
      <c r="SG85" s="48" t="s">
        <v>4</v>
      </c>
      <c r="SH85" s="49">
        <v>2</v>
      </c>
      <c r="SI85" s="8"/>
      <c r="SJ85" s="42">
        <f t="shared" si="570"/>
        <v>5.6</v>
      </c>
      <c r="SK85" s="43">
        <f t="shared" si="571"/>
        <v>-1</v>
      </c>
      <c r="SL85" s="8"/>
      <c r="SM85" s="47">
        <v>2</v>
      </c>
      <c r="SN85" s="48" t="s">
        <v>4</v>
      </c>
      <c r="SO85" s="49">
        <v>1</v>
      </c>
      <c r="SP85" s="8"/>
      <c r="SQ85" s="42">
        <f t="shared" si="572"/>
        <v>0</v>
      </c>
      <c r="SR85" s="43">
        <f t="shared" si="573"/>
        <v>1</v>
      </c>
    </row>
    <row r="86" spans="1:512" ht="16" customHeight="1" x14ac:dyDescent="0.15">
      <c r="A86" s="51">
        <v>46203</v>
      </c>
      <c r="B86" s="46">
        <v>0.79166666666666663</v>
      </c>
      <c r="C86" s="82" t="s">
        <v>41</v>
      </c>
      <c r="D86" s="83" t="s">
        <v>53</v>
      </c>
      <c r="E86" s="2">
        <v>1</v>
      </c>
      <c r="F86" s="50" t="s">
        <v>4</v>
      </c>
      <c r="G86" s="1">
        <v>2</v>
      </c>
      <c r="H86" s="16">
        <v>5.6</v>
      </c>
      <c r="I86" s="32">
        <f t="shared" si="429"/>
        <v>-1</v>
      </c>
      <c r="J86" s="47"/>
      <c r="K86" s="48" t="s">
        <v>4</v>
      </c>
      <c r="L86" s="49"/>
      <c r="M86" s="8"/>
      <c r="N86" s="42" t="str">
        <f t="shared" si="430"/>
        <v/>
      </c>
      <c r="O86" s="43">
        <f t="shared" si="431"/>
        <v>0</v>
      </c>
      <c r="Q86" s="47">
        <v>2</v>
      </c>
      <c r="R86" s="48" t="s">
        <v>4</v>
      </c>
      <c r="S86" s="49">
        <v>3</v>
      </c>
      <c r="T86" s="8"/>
      <c r="U86" s="42">
        <f t="shared" si="432"/>
        <v>5.6</v>
      </c>
      <c r="V86" s="43">
        <f t="shared" si="433"/>
        <v>-1</v>
      </c>
      <c r="W86" s="8"/>
      <c r="X86" s="47"/>
      <c r="Y86" s="48" t="s">
        <v>4</v>
      </c>
      <c r="Z86" s="49"/>
      <c r="AA86" s="8"/>
      <c r="AB86" s="42" t="str">
        <f t="shared" si="434"/>
        <v/>
      </c>
      <c r="AC86" s="43">
        <f t="shared" si="435"/>
        <v>0</v>
      </c>
      <c r="AD86" s="8"/>
      <c r="AE86" s="47">
        <v>3</v>
      </c>
      <c r="AF86" s="48" t="s">
        <v>4</v>
      </c>
      <c r="AG86" s="49">
        <v>1</v>
      </c>
      <c r="AH86" s="8"/>
      <c r="AI86" s="42">
        <f t="shared" si="436"/>
        <v>0</v>
      </c>
      <c r="AJ86" s="43">
        <f t="shared" si="437"/>
        <v>2</v>
      </c>
      <c r="AK86" s="8"/>
      <c r="AL86" s="47">
        <v>1</v>
      </c>
      <c r="AM86" s="48" t="s">
        <v>4</v>
      </c>
      <c r="AN86" s="49">
        <v>2</v>
      </c>
      <c r="AO86" s="8"/>
      <c r="AP86" s="42">
        <f t="shared" si="438"/>
        <v>8.3999999999999986</v>
      </c>
      <c r="AQ86" s="43">
        <f t="shared" si="439"/>
        <v>-1</v>
      </c>
      <c r="AR86" s="8"/>
      <c r="AS86" s="47">
        <v>2</v>
      </c>
      <c r="AT86" s="48" t="s">
        <v>4</v>
      </c>
      <c r="AU86" s="49">
        <v>1</v>
      </c>
      <c r="AV86" s="8"/>
      <c r="AW86" s="42">
        <f t="shared" si="440"/>
        <v>0</v>
      </c>
      <c r="AX86" s="43">
        <f t="shared" si="441"/>
        <v>1</v>
      </c>
      <c r="AY86" s="8"/>
      <c r="AZ86" s="47">
        <v>1</v>
      </c>
      <c r="BA86" s="48" t="s">
        <v>4</v>
      </c>
      <c r="BB86" s="49">
        <v>2</v>
      </c>
      <c r="BC86" s="8"/>
      <c r="BD86" s="42">
        <f t="shared" si="442"/>
        <v>8.3999999999999986</v>
      </c>
      <c r="BE86" s="43">
        <f t="shared" si="443"/>
        <v>-1</v>
      </c>
      <c r="BF86" s="8"/>
      <c r="BG86" s="47">
        <v>0</v>
      </c>
      <c r="BH86" s="48" t="s">
        <v>4</v>
      </c>
      <c r="BI86" s="49">
        <v>2</v>
      </c>
      <c r="BJ86" s="8"/>
      <c r="BK86" s="42">
        <f t="shared" si="444"/>
        <v>5.6</v>
      </c>
      <c r="BL86" s="43">
        <f t="shared" si="445"/>
        <v>-2</v>
      </c>
      <c r="BM86" s="8"/>
      <c r="BN86" s="47">
        <v>2</v>
      </c>
      <c r="BO86" s="48" t="s">
        <v>4</v>
      </c>
      <c r="BP86" s="49">
        <v>1</v>
      </c>
      <c r="BQ86" s="8"/>
      <c r="BR86" s="42">
        <f t="shared" si="446"/>
        <v>0</v>
      </c>
      <c r="BS86" s="43">
        <f t="shared" si="447"/>
        <v>1</v>
      </c>
      <c r="BT86" s="8"/>
      <c r="BU86" s="47">
        <v>2</v>
      </c>
      <c r="BV86" s="48" t="s">
        <v>4</v>
      </c>
      <c r="BW86" s="49">
        <v>0</v>
      </c>
      <c r="BX86" s="8"/>
      <c r="BY86" s="42">
        <f t="shared" si="448"/>
        <v>0</v>
      </c>
      <c r="BZ86" s="43">
        <f t="shared" si="449"/>
        <v>2</v>
      </c>
      <c r="CA86" s="8"/>
      <c r="CB86" s="47"/>
      <c r="CC86" s="48" t="s">
        <v>4</v>
      </c>
      <c r="CD86" s="49"/>
      <c r="CE86" s="8"/>
      <c r="CF86" s="42" t="str">
        <f t="shared" si="450"/>
        <v/>
      </c>
      <c r="CG86" s="43">
        <f t="shared" si="451"/>
        <v>0</v>
      </c>
      <c r="CH86" s="8"/>
      <c r="CI86" s="47">
        <v>1</v>
      </c>
      <c r="CJ86" s="48" t="s">
        <v>4</v>
      </c>
      <c r="CK86" s="49">
        <v>2</v>
      </c>
      <c r="CL86" s="8"/>
      <c r="CM86" s="42">
        <f t="shared" si="452"/>
        <v>8.3999999999999986</v>
      </c>
      <c r="CN86" s="43">
        <f t="shared" si="453"/>
        <v>-1</v>
      </c>
      <c r="CO86" s="8"/>
      <c r="CP86" s="47">
        <v>1</v>
      </c>
      <c r="CQ86" s="48" t="s">
        <v>4</v>
      </c>
      <c r="CR86" s="49">
        <v>2</v>
      </c>
      <c r="CS86" s="8"/>
      <c r="CT86" s="42">
        <f t="shared" si="454"/>
        <v>8.3999999999999986</v>
      </c>
      <c r="CU86" s="43">
        <f t="shared" si="455"/>
        <v>-1</v>
      </c>
      <c r="CV86" s="8"/>
      <c r="CW86" s="47">
        <v>5</v>
      </c>
      <c r="CX86" s="48" t="s">
        <v>4</v>
      </c>
      <c r="CY86" s="49">
        <v>6</v>
      </c>
      <c r="CZ86" s="8"/>
      <c r="DA86" s="42">
        <f t="shared" si="456"/>
        <v>5.6</v>
      </c>
      <c r="DB86" s="43">
        <f t="shared" si="457"/>
        <v>-1</v>
      </c>
      <c r="DC86" s="8"/>
      <c r="DD86" s="47">
        <v>2</v>
      </c>
      <c r="DE86" s="48" t="s">
        <v>4</v>
      </c>
      <c r="DF86" s="49">
        <v>1</v>
      </c>
      <c r="DG86" s="8"/>
      <c r="DH86" s="42">
        <f t="shared" si="458"/>
        <v>0</v>
      </c>
      <c r="DI86" s="43">
        <f t="shared" si="459"/>
        <v>1</v>
      </c>
      <c r="DJ86" s="8"/>
      <c r="DK86" s="47">
        <v>1</v>
      </c>
      <c r="DL86" s="48" t="s">
        <v>4</v>
      </c>
      <c r="DM86" s="49">
        <v>0</v>
      </c>
      <c r="DN86" s="8"/>
      <c r="DO86" s="42">
        <f t="shared" si="460"/>
        <v>0</v>
      </c>
      <c r="DP86" s="43">
        <f t="shared" si="461"/>
        <v>1</v>
      </c>
      <c r="DQ86" s="8"/>
      <c r="DR86" s="47">
        <v>1</v>
      </c>
      <c r="DS86" s="48" t="s">
        <v>4</v>
      </c>
      <c r="DT86" s="49">
        <v>3</v>
      </c>
      <c r="DU86" s="8"/>
      <c r="DV86" s="42">
        <f t="shared" si="462"/>
        <v>5.6</v>
      </c>
      <c r="DW86" s="43">
        <f t="shared" si="463"/>
        <v>-2</v>
      </c>
      <c r="DX86" s="8"/>
      <c r="DY86" s="47">
        <v>1</v>
      </c>
      <c r="DZ86" s="48" t="s">
        <v>4</v>
      </c>
      <c r="EA86" s="49">
        <v>2</v>
      </c>
      <c r="EB86" s="8"/>
      <c r="EC86" s="42">
        <f t="shared" si="464"/>
        <v>8.3999999999999986</v>
      </c>
      <c r="ED86" s="43">
        <f t="shared" si="465"/>
        <v>-1</v>
      </c>
      <c r="EE86" s="8"/>
      <c r="EF86" s="47">
        <v>1</v>
      </c>
      <c r="EG86" s="48" t="s">
        <v>4</v>
      </c>
      <c r="EH86" s="49">
        <v>2</v>
      </c>
      <c r="EI86" s="8"/>
      <c r="EJ86" s="42">
        <f t="shared" si="466"/>
        <v>8.3999999999999986</v>
      </c>
      <c r="EK86" s="43">
        <f t="shared" si="467"/>
        <v>-1</v>
      </c>
      <c r="EL86" s="8"/>
      <c r="EM86" s="47">
        <v>2</v>
      </c>
      <c r="EN86" s="48" t="s">
        <v>4</v>
      </c>
      <c r="EO86" s="49">
        <v>3</v>
      </c>
      <c r="EP86" s="8"/>
      <c r="EQ86" s="42">
        <f t="shared" si="468"/>
        <v>5.6</v>
      </c>
      <c r="ER86" s="43">
        <f t="shared" si="469"/>
        <v>-1</v>
      </c>
      <c r="ES86" s="8"/>
      <c r="ET86" s="47">
        <v>1</v>
      </c>
      <c r="EU86" s="48" t="s">
        <v>4</v>
      </c>
      <c r="EV86" s="49">
        <v>2</v>
      </c>
      <c r="EW86" s="8"/>
      <c r="EX86" s="42">
        <f t="shared" si="470"/>
        <v>8.3999999999999986</v>
      </c>
      <c r="EY86" s="43">
        <f t="shared" si="471"/>
        <v>-1</v>
      </c>
      <c r="EZ86" s="8"/>
      <c r="FA86" s="47">
        <v>4</v>
      </c>
      <c r="FB86" s="48" t="s">
        <v>4</v>
      </c>
      <c r="FC86" s="49">
        <v>5</v>
      </c>
      <c r="FD86" s="8"/>
      <c r="FE86" s="42">
        <f t="shared" si="472"/>
        <v>5.6</v>
      </c>
      <c r="FF86" s="43">
        <f t="shared" si="473"/>
        <v>-1</v>
      </c>
      <c r="FG86" s="8"/>
      <c r="FH86" s="47">
        <v>2</v>
      </c>
      <c r="FI86" s="48" t="s">
        <v>4</v>
      </c>
      <c r="FJ86" s="49">
        <v>3</v>
      </c>
      <c r="FK86" s="8"/>
      <c r="FL86" s="42">
        <f t="shared" si="474"/>
        <v>5.6</v>
      </c>
      <c r="FM86" s="43">
        <f t="shared" si="475"/>
        <v>-1</v>
      </c>
      <c r="FN86" s="8"/>
      <c r="FO86" s="47">
        <v>0</v>
      </c>
      <c r="FP86" s="48" t="s">
        <v>4</v>
      </c>
      <c r="FQ86" s="49">
        <v>2</v>
      </c>
      <c r="FR86" s="8"/>
      <c r="FS86" s="42">
        <f t="shared" si="476"/>
        <v>5.6</v>
      </c>
      <c r="FT86" s="43">
        <f t="shared" si="477"/>
        <v>-2</v>
      </c>
      <c r="FU86" s="8"/>
      <c r="FV86" s="47">
        <v>1</v>
      </c>
      <c r="FW86" s="48" t="s">
        <v>4</v>
      </c>
      <c r="FX86" s="49">
        <v>3</v>
      </c>
      <c r="FY86" s="8"/>
      <c r="FZ86" s="42">
        <f t="shared" si="478"/>
        <v>5.6</v>
      </c>
      <c r="GA86" s="43">
        <f t="shared" si="479"/>
        <v>-2</v>
      </c>
      <c r="GB86" s="8"/>
      <c r="GC86" s="47">
        <v>1</v>
      </c>
      <c r="GD86" s="48" t="s">
        <v>4</v>
      </c>
      <c r="GE86" s="49">
        <v>2</v>
      </c>
      <c r="GF86" s="8"/>
      <c r="GG86" s="42">
        <f t="shared" si="480"/>
        <v>8.3999999999999986</v>
      </c>
      <c r="GH86" s="43">
        <f t="shared" si="481"/>
        <v>-1</v>
      </c>
      <c r="GI86" s="8"/>
      <c r="GJ86" s="47">
        <v>2</v>
      </c>
      <c r="GK86" s="48" t="s">
        <v>4</v>
      </c>
      <c r="GL86" s="49">
        <v>1</v>
      </c>
      <c r="GM86" s="8"/>
      <c r="GN86" s="42">
        <f t="shared" si="482"/>
        <v>0</v>
      </c>
      <c r="GO86" s="43">
        <f t="shared" si="483"/>
        <v>1</v>
      </c>
      <c r="GP86" s="8"/>
      <c r="GQ86" s="47">
        <v>1</v>
      </c>
      <c r="GR86" s="48" t="s">
        <v>4</v>
      </c>
      <c r="GS86" s="49">
        <v>2</v>
      </c>
      <c r="GT86" s="8"/>
      <c r="GU86" s="42">
        <f t="shared" si="484"/>
        <v>8.3999999999999986</v>
      </c>
      <c r="GV86" s="43">
        <f t="shared" si="485"/>
        <v>-1</v>
      </c>
      <c r="GW86" s="8"/>
      <c r="GX86" s="47">
        <v>5</v>
      </c>
      <c r="GY86" s="48" t="s">
        <v>4</v>
      </c>
      <c r="GZ86" s="49">
        <v>6</v>
      </c>
      <c r="HA86" s="8"/>
      <c r="HB86" s="42">
        <f t="shared" si="486"/>
        <v>5.6</v>
      </c>
      <c r="HC86" s="43">
        <f t="shared" si="487"/>
        <v>-1</v>
      </c>
      <c r="HD86" s="8"/>
      <c r="HE86" s="47">
        <v>2</v>
      </c>
      <c r="HF86" s="48" t="s">
        <v>4</v>
      </c>
      <c r="HG86" s="49">
        <v>3</v>
      </c>
      <c r="HH86" s="8"/>
      <c r="HI86" s="42">
        <f t="shared" si="488"/>
        <v>5.6</v>
      </c>
      <c r="HJ86" s="43">
        <f t="shared" si="489"/>
        <v>-1</v>
      </c>
      <c r="HK86" s="8"/>
      <c r="HL86" s="47">
        <v>1</v>
      </c>
      <c r="HM86" s="48" t="s">
        <v>4</v>
      </c>
      <c r="HN86" s="49">
        <v>2</v>
      </c>
      <c r="HO86" s="8"/>
      <c r="HP86" s="42">
        <f t="shared" si="490"/>
        <v>8.3999999999999986</v>
      </c>
      <c r="HQ86" s="43">
        <f t="shared" si="491"/>
        <v>-1</v>
      </c>
      <c r="HR86" s="8"/>
      <c r="HS86" s="47">
        <v>1</v>
      </c>
      <c r="HT86" s="48" t="s">
        <v>4</v>
      </c>
      <c r="HU86" s="49">
        <v>2</v>
      </c>
      <c r="HV86" s="8"/>
      <c r="HW86" s="42">
        <f t="shared" si="492"/>
        <v>8.3999999999999986</v>
      </c>
      <c r="HX86" s="43">
        <f t="shared" si="493"/>
        <v>-1</v>
      </c>
      <c r="HY86" s="8"/>
      <c r="HZ86" s="47">
        <v>2</v>
      </c>
      <c r="IA86" s="48" t="s">
        <v>4</v>
      </c>
      <c r="IB86" s="49">
        <v>3</v>
      </c>
      <c r="IC86" s="8"/>
      <c r="ID86" s="42">
        <f t="shared" si="494"/>
        <v>5.6</v>
      </c>
      <c r="IE86" s="43">
        <f t="shared" si="495"/>
        <v>-1</v>
      </c>
      <c r="IF86" s="8"/>
      <c r="IG86" s="47">
        <v>0</v>
      </c>
      <c r="IH86" s="48" t="s">
        <v>4</v>
      </c>
      <c r="II86" s="49">
        <v>3</v>
      </c>
      <c r="IJ86" s="8"/>
      <c r="IK86" s="42">
        <f t="shared" si="496"/>
        <v>5.6</v>
      </c>
      <c r="IL86" s="43">
        <f t="shared" si="497"/>
        <v>-3</v>
      </c>
      <c r="IM86" s="8"/>
      <c r="IN86" s="47">
        <v>1</v>
      </c>
      <c r="IO86" s="48" t="s">
        <v>4</v>
      </c>
      <c r="IP86" s="49">
        <v>3</v>
      </c>
      <c r="IQ86" s="8"/>
      <c r="IR86" s="42">
        <f t="shared" si="498"/>
        <v>5.6</v>
      </c>
      <c r="IS86" s="43">
        <f t="shared" si="499"/>
        <v>-2</v>
      </c>
      <c r="IT86" s="8"/>
      <c r="IU86" s="47">
        <v>0</v>
      </c>
      <c r="IV86" s="48" t="s">
        <v>4</v>
      </c>
      <c r="IW86" s="49">
        <v>2</v>
      </c>
      <c r="IX86" s="8"/>
      <c r="IY86" s="42">
        <f t="shared" si="500"/>
        <v>5.6</v>
      </c>
      <c r="IZ86" s="43">
        <f t="shared" si="501"/>
        <v>-2</v>
      </c>
      <c r="JA86" s="8"/>
      <c r="JB86" s="47">
        <v>1</v>
      </c>
      <c r="JC86" s="48" t="s">
        <v>4</v>
      </c>
      <c r="JD86" s="49">
        <v>2</v>
      </c>
      <c r="JE86" s="8"/>
      <c r="JF86" s="42">
        <f t="shared" si="502"/>
        <v>8.3999999999999986</v>
      </c>
      <c r="JG86" s="43">
        <f t="shared" si="503"/>
        <v>-1</v>
      </c>
      <c r="JH86" s="8"/>
      <c r="JI86" s="47">
        <v>0</v>
      </c>
      <c r="JJ86" s="48" t="s">
        <v>4</v>
      </c>
      <c r="JK86" s="49">
        <v>2</v>
      </c>
      <c r="JL86" s="8"/>
      <c r="JM86" s="42">
        <f t="shared" si="504"/>
        <v>5.6</v>
      </c>
      <c r="JN86" s="43">
        <f t="shared" si="505"/>
        <v>-2</v>
      </c>
      <c r="JO86" s="8"/>
      <c r="JP86" s="47">
        <v>2</v>
      </c>
      <c r="JQ86" s="48" t="s">
        <v>4</v>
      </c>
      <c r="JR86" s="49">
        <v>1</v>
      </c>
      <c r="JS86" s="8"/>
      <c r="JT86" s="42">
        <f t="shared" si="506"/>
        <v>0</v>
      </c>
      <c r="JU86" s="43">
        <f t="shared" si="507"/>
        <v>1</v>
      </c>
      <c r="JV86" s="8"/>
      <c r="JW86" s="47">
        <v>3</v>
      </c>
      <c r="JX86" s="48" t="s">
        <v>4</v>
      </c>
      <c r="JY86" s="49">
        <v>2</v>
      </c>
      <c r="JZ86" s="8"/>
      <c r="KA86" s="42">
        <f t="shared" si="508"/>
        <v>0</v>
      </c>
      <c r="KB86" s="43">
        <f t="shared" si="509"/>
        <v>1</v>
      </c>
      <c r="KC86" s="8"/>
      <c r="KD86" s="47">
        <v>3</v>
      </c>
      <c r="KE86" s="48" t="s">
        <v>4</v>
      </c>
      <c r="KF86" s="49">
        <v>1</v>
      </c>
      <c r="KG86" s="8"/>
      <c r="KH86" s="42">
        <f t="shared" si="510"/>
        <v>0</v>
      </c>
      <c r="KI86" s="43">
        <f t="shared" si="511"/>
        <v>2</v>
      </c>
      <c r="KJ86" s="8"/>
      <c r="KK86" s="47">
        <v>0</v>
      </c>
      <c r="KL86" s="48" t="s">
        <v>4</v>
      </c>
      <c r="KM86" s="49">
        <v>2</v>
      </c>
      <c r="KN86" s="8"/>
      <c r="KO86" s="42">
        <f t="shared" si="512"/>
        <v>5.6</v>
      </c>
      <c r="KP86" s="43">
        <f t="shared" si="513"/>
        <v>-2</v>
      </c>
      <c r="KQ86" s="8"/>
      <c r="KR86" s="47">
        <v>1</v>
      </c>
      <c r="KS86" s="48" t="s">
        <v>4</v>
      </c>
      <c r="KT86" s="49">
        <v>3</v>
      </c>
      <c r="KU86" s="8"/>
      <c r="KV86" s="42">
        <f t="shared" si="514"/>
        <v>5.6</v>
      </c>
      <c r="KW86" s="43">
        <f t="shared" si="515"/>
        <v>-2</v>
      </c>
      <c r="KX86" s="8"/>
      <c r="KY86" s="47">
        <v>1</v>
      </c>
      <c r="KZ86" s="48" t="s">
        <v>4</v>
      </c>
      <c r="LA86" s="49">
        <v>2</v>
      </c>
      <c r="LB86" s="8"/>
      <c r="LC86" s="42">
        <f t="shared" si="516"/>
        <v>8.3999999999999986</v>
      </c>
      <c r="LD86" s="43">
        <f t="shared" si="517"/>
        <v>-1</v>
      </c>
      <c r="LE86" s="8"/>
      <c r="LF86" s="47">
        <v>1</v>
      </c>
      <c r="LG86" s="48" t="s">
        <v>4</v>
      </c>
      <c r="LH86" s="49">
        <v>2</v>
      </c>
      <c r="LI86" s="8"/>
      <c r="LJ86" s="42">
        <f t="shared" si="518"/>
        <v>8.3999999999999986</v>
      </c>
      <c r="LK86" s="43">
        <f t="shared" si="519"/>
        <v>-1</v>
      </c>
      <c r="LL86" s="8"/>
      <c r="LM86" s="47">
        <v>1</v>
      </c>
      <c r="LN86" s="48" t="s">
        <v>4</v>
      </c>
      <c r="LO86" s="49">
        <v>3</v>
      </c>
      <c r="LP86" s="8"/>
      <c r="LQ86" s="42">
        <f t="shared" si="520"/>
        <v>5.6</v>
      </c>
      <c r="LR86" s="43">
        <f t="shared" si="521"/>
        <v>-2</v>
      </c>
      <c r="LS86" s="8"/>
      <c r="LT86" s="47">
        <v>1</v>
      </c>
      <c r="LU86" s="48" t="s">
        <v>4</v>
      </c>
      <c r="LV86" s="49">
        <v>2</v>
      </c>
      <c r="LW86" s="8"/>
      <c r="LX86" s="42">
        <f t="shared" si="522"/>
        <v>8.3999999999999986</v>
      </c>
      <c r="LY86" s="43">
        <f t="shared" si="523"/>
        <v>-1</v>
      </c>
      <c r="LZ86" s="8"/>
      <c r="MA86" s="47">
        <v>3</v>
      </c>
      <c r="MB86" s="48" t="s">
        <v>4</v>
      </c>
      <c r="MC86" s="49">
        <v>5</v>
      </c>
      <c r="MD86" s="8"/>
      <c r="ME86" s="42">
        <f t="shared" si="524"/>
        <v>5.6</v>
      </c>
      <c r="MF86" s="43">
        <f t="shared" si="525"/>
        <v>-2</v>
      </c>
      <c r="MG86" s="8"/>
      <c r="MH86" s="47">
        <v>1</v>
      </c>
      <c r="MI86" s="48" t="s">
        <v>4</v>
      </c>
      <c r="MJ86" s="49">
        <v>2</v>
      </c>
      <c r="MK86" s="8"/>
      <c r="ML86" s="42">
        <f t="shared" si="526"/>
        <v>8.3999999999999986</v>
      </c>
      <c r="MM86" s="43">
        <f t="shared" si="527"/>
        <v>-1</v>
      </c>
      <c r="MN86" s="8"/>
      <c r="MO86" s="47">
        <v>0</v>
      </c>
      <c r="MP86" s="48" t="s">
        <v>4</v>
      </c>
      <c r="MQ86" s="49">
        <v>2</v>
      </c>
      <c r="MR86" s="8"/>
      <c r="MS86" s="42">
        <f t="shared" si="528"/>
        <v>5.6</v>
      </c>
      <c r="MT86" s="43">
        <f t="shared" si="529"/>
        <v>-2</v>
      </c>
      <c r="MU86" s="8"/>
      <c r="MV86" s="47">
        <v>0</v>
      </c>
      <c r="MW86" s="48" t="s">
        <v>4</v>
      </c>
      <c r="MX86" s="49">
        <v>4</v>
      </c>
      <c r="MY86" s="8"/>
      <c r="MZ86" s="42">
        <f t="shared" si="530"/>
        <v>5.6</v>
      </c>
      <c r="NA86" s="43">
        <f t="shared" si="531"/>
        <v>-4</v>
      </c>
      <c r="NB86" s="8"/>
      <c r="NC86" s="47">
        <v>7</v>
      </c>
      <c r="ND86" s="48" t="s">
        <v>4</v>
      </c>
      <c r="NE86" s="49">
        <v>6</v>
      </c>
      <c r="NF86" s="8"/>
      <c r="NG86" s="42">
        <f t="shared" si="532"/>
        <v>0</v>
      </c>
      <c r="NH86" s="43">
        <f t="shared" si="533"/>
        <v>1</v>
      </c>
      <c r="NI86" s="8"/>
      <c r="NJ86" s="47">
        <v>0</v>
      </c>
      <c r="NK86" s="48" t="s">
        <v>4</v>
      </c>
      <c r="NL86" s="49">
        <v>3</v>
      </c>
      <c r="NM86" s="8"/>
      <c r="NN86" s="42">
        <f t="shared" si="534"/>
        <v>5.6</v>
      </c>
      <c r="NO86" s="43">
        <f t="shared" si="535"/>
        <v>-3</v>
      </c>
      <c r="NP86" s="8"/>
      <c r="NQ86" s="47">
        <v>1</v>
      </c>
      <c r="NR86" s="48" t="s">
        <v>4</v>
      </c>
      <c r="NS86" s="49">
        <v>4</v>
      </c>
      <c r="NT86" s="8"/>
      <c r="NU86" s="42">
        <f t="shared" si="536"/>
        <v>5.6</v>
      </c>
      <c r="NV86" s="43">
        <f t="shared" si="537"/>
        <v>-3</v>
      </c>
      <c r="NW86" s="8"/>
      <c r="NX86" s="47">
        <v>1</v>
      </c>
      <c r="NY86" s="48" t="s">
        <v>4</v>
      </c>
      <c r="NZ86" s="49">
        <v>2</v>
      </c>
      <c r="OA86" s="8"/>
      <c r="OB86" s="42">
        <f t="shared" si="538"/>
        <v>8.3999999999999986</v>
      </c>
      <c r="OC86" s="43">
        <f t="shared" si="539"/>
        <v>-1</v>
      </c>
      <c r="OD86" s="8"/>
      <c r="OE86" s="47">
        <v>6</v>
      </c>
      <c r="OF86" s="48" t="s">
        <v>4</v>
      </c>
      <c r="OG86" s="49">
        <v>7</v>
      </c>
      <c r="OH86" s="8"/>
      <c r="OI86" s="42">
        <f t="shared" si="540"/>
        <v>5.6</v>
      </c>
      <c r="OJ86" s="43">
        <f t="shared" si="541"/>
        <v>-1</v>
      </c>
      <c r="OK86" s="8"/>
      <c r="OL86" s="47">
        <v>1</v>
      </c>
      <c r="OM86" s="48" t="s">
        <v>4</v>
      </c>
      <c r="ON86" s="49">
        <v>2</v>
      </c>
      <c r="OO86" s="8"/>
      <c r="OP86" s="42">
        <f t="shared" si="542"/>
        <v>8.3999999999999986</v>
      </c>
      <c r="OQ86" s="43">
        <f t="shared" si="543"/>
        <v>-1</v>
      </c>
      <c r="OR86" s="8"/>
      <c r="OS86" s="47">
        <v>1</v>
      </c>
      <c r="OT86" s="48" t="s">
        <v>4</v>
      </c>
      <c r="OU86" s="49">
        <v>2</v>
      </c>
      <c r="OV86" s="8"/>
      <c r="OW86" s="42">
        <f t="shared" si="544"/>
        <v>8.3999999999999986</v>
      </c>
      <c r="OX86" s="43">
        <f t="shared" si="545"/>
        <v>-1</v>
      </c>
      <c r="OY86" s="8"/>
      <c r="OZ86" s="47">
        <v>1</v>
      </c>
      <c r="PA86" s="48" t="s">
        <v>4</v>
      </c>
      <c r="PB86" s="49">
        <v>2</v>
      </c>
      <c r="PC86" s="8"/>
      <c r="PD86" s="42">
        <f t="shared" si="546"/>
        <v>8.3999999999999986</v>
      </c>
      <c r="PE86" s="43">
        <f t="shared" si="547"/>
        <v>-1</v>
      </c>
      <c r="PF86" s="8"/>
      <c r="PG86" s="47">
        <v>2</v>
      </c>
      <c r="PH86" s="48" t="s">
        <v>4</v>
      </c>
      <c r="PI86" s="49">
        <v>4</v>
      </c>
      <c r="PJ86" s="8"/>
      <c r="PK86" s="42">
        <f t="shared" si="548"/>
        <v>5.6</v>
      </c>
      <c r="PL86" s="43">
        <f t="shared" si="549"/>
        <v>-2</v>
      </c>
      <c r="PM86" s="8"/>
      <c r="PN86" s="47">
        <v>1</v>
      </c>
      <c r="PO86" s="48" t="s">
        <v>4</v>
      </c>
      <c r="PP86" s="49">
        <v>2</v>
      </c>
      <c r="PQ86" s="8"/>
      <c r="PR86" s="42">
        <f t="shared" si="550"/>
        <v>8.3999999999999986</v>
      </c>
      <c r="PS86" s="43">
        <f t="shared" si="551"/>
        <v>-1</v>
      </c>
      <c r="PT86" s="8"/>
      <c r="PU86" s="47">
        <v>1</v>
      </c>
      <c r="PV86" s="48" t="s">
        <v>4</v>
      </c>
      <c r="PW86" s="49">
        <v>3</v>
      </c>
      <c r="PX86" s="8"/>
      <c r="PY86" s="42">
        <f t="shared" si="552"/>
        <v>5.6</v>
      </c>
      <c r="PZ86" s="43">
        <f t="shared" si="553"/>
        <v>-2</v>
      </c>
      <c r="QA86" s="8"/>
      <c r="QB86" s="47">
        <v>1</v>
      </c>
      <c r="QC86" s="48" t="s">
        <v>4</v>
      </c>
      <c r="QD86" s="49">
        <v>1</v>
      </c>
      <c r="QE86" s="8"/>
      <c r="QF86" s="42">
        <f t="shared" si="554"/>
        <v>0</v>
      </c>
      <c r="QG86" s="43">
        <f t="shared" si="555"/>
        <v>0</v>
      </c>
      <c r="QH86" s="8"/>
      <c r="QI86" s="47">
        <v>1</v>
      </c>
      <c r="QJ86" s="48" t="s">
        <v>4</v>
      </c>
      <c r="QK86" s="49">
        <v>3</v>
      </c>
      <c r="QL86" s="8"/>
      <c r="QM86" s="42">
        <f t="shared" si="556"/>
        <v>5.6</v>
      </c>
      <c r="QN86" s="43">
        <f t="shared" si="557"/>
        <v>-2</v>
      </c>
      <c r="QO86" s="8"/>
      <c r="QP86" s="47">
        <v>2</v>
      </c>
      <c r="QQ86" s="48" t="s">
        <v>4</v>
      </c>
      <c r="QR86" s="49">
        <v>0</v>
      </c>
      <c r="QS86" s="8"/>
      <c r="QT86" s="42">
        <f t="shared" si="558"/>
        <v>0</v>
      </c>
      <c r="QU86" s="43">
        <f t="shared" si="559"/>
        <v>2</v>
      </c>
      <c r="QV86" s="8"/>
      <c r="QW86" s="47">
        <v>1</v>
      </c>
      <c r="QX86" s="48" t="s">
        <v>4</v>
      </c>
      <c r="QY86" s="49">
        <v>0</v>
      </c>
      <c r="QZ86" s="8"/>
      <c r="RA86" s="42">
        <f t="shared" si="560"/>
        <v>0</v>
      </c>
      <c r="RB86" s="43">
        <f t="shared" si="561"/>
        <v>1</v>
      </c>
      <c r="RC86" s="8"/>
      <c r="RD86" s="47"/>
      <c r="RE86" s="48" t="s">
        <v>4</v>
      </c>
      <c r="RF86" s="49"/>
      <c r="RG86" s="8"/>
      <c r="RH86" s="42" t="str">
        <f t="shared" si="562"/>
        <v/>
      </c>
      <c r="RI86" s="43">
        <f t="shared" si="563"/>
        <v>0</v>
      </c>
      <c r="RJ86" s="8"/>
      <c r="RK86" s="47">
        <v>2</v>
      </c>
      <c r="RL86" s="48" t="s">
        <v>4</v>
      </c>
      <c r="RM86" s="49">
        <v>1</v>
      </c>
      <c r="RN86" s="8"/>
      <c r="RO86" s="42">
        <f t="shared" si="564"/>
        <v>0</v>
      </c>
      <c r="RP86" s="43">
        <f t="shared" si="565"/>
        <v>1</v>
      </c>
      <c r="RQ86" s="8"/>
      <c r="RR86" s="47">
        <v>1</v>
      </c>
      <c r="RS86" s="48" t="s">
        <v>4</v>
      </c>
      <c r="RT86" s="49">
        <v>2</v>
      </c>
      <c r="RU86" s="8"/>
      <c r="RV86" s="42">
        <f t="shared" si="566"/>
        <v>8.3999999999999986</v>
      </c>
      <c r="RW86" s="43">
        <f t="shared" si="567"/>
        <v>-1</v>
      </c>
      <c r="RX86" s="8"/>
      <c r="RY86" s="47">
        <v>1</v>
      </c>
      <c r="RZ86" s="48" t="s">
        <v>4</v>
      </c>
      <c r="SA86" s="49">
        <v>2</v>
      </c>
      <c r="SB86" s="8"/>
      <c r="SC86" s="42">
        <f t="shared" si="568"/>
        <v>8.3999999999999986</v>
      </c>
      <c r="SD86" s="43">
        <f t="shared" si="569"/>
        <v>-1</v>
      </c>
      <c r="SE86" s="8"/>
      <c r="SF86" s="47">
        <v>1</v>
      </c>
      <c r="SG86" s="48" t="s">
        <v>4</v>
      </c>
      <c r="SH86" s="49">
        <v>2</v>
      </c>
      <c r="SI86" s="8"/>
      <c r="SJ86" s="42">
        <f t="shared" si="570"/>
        <v>8.3999999999999986</v>
      </c>
      <c r="SK86" s="43">
        <f t="shared" si="571"/>
        <v>-1</v>
      </c>
      <c r="SL86" s="8"/>
      <c r="SM86" s="47">
        <v>3</v>
      </c>
      <c r="SN86" s="48" t="s">
        <v>4</v>
      </c>
      <c r="SO86" s="49">
        <v>0</v>
      </c>
      <c r="SP86" s="8"/>
      <c r="SQ86" s="42">
        <f t="shared" si="572"/>
        <v>0</v>
      </c>
      <c r="SR86" s="43">
        <f t="shared" si="573"/>
        <v>3</v>
      </c>
    </row>
    <row r="87" spans="1:512" ht="16" customHeight="1" x14ac:dyDescent="0.15">
      <c r="A87" s="51">
        <v>46203</v>
      </c>
      <c r="B87" s="46">
        <v>0.95833333333333337</v>
      </c>
      <c r="C87" s="82" t="s">
        <v>10</v>
      </c>
      <c r="D87" s="82" t="s">
        <v>43</v>
      </c>
      <c r="E87" s="2">
        <v>3</v>
      </c>
      <c r="F87" s="50" t="s">
        <v>4</v>
      </c>
      <c r="G87" s="1">
        <v>0</v>
      </c>
      <c r="H87" s="16">
        <v>5.6</v>
      </c>
      <c r="I87" s="32">
        <f t="shared" si="429"/>
        <v>3</v>
      </c>
      <c r="J87" s="47"/>
      <c r="K87" s="48" t="s">
        <v>4</v>
      </c>
      <c r="L87" s="49"/>
      <c r="M87" s="8"/>
      <c r="N87" s="42" t="str">
        <f t="shared" si="430"/>
        <v/>
      </c>
      <c r="O87" s="43">
        <f t="shared" si="431"/>
        <v>0</v>
      </c>
      <c r="Q87" s="47">
        <v>2</v>
      </c>
      <c r="R87" s="48" t="s">
        <v>4</v>
      </c>
      <c r="S87" s="49">
        <v>0</v>
      </c>
      <c r="T87" s="8"/>
      <c r="U87" s="42">
        <f t="shared" si="432"/>
        <v>5.6</v>
      </c>
      <c r="V87" s="43">
        <f t="shared" si="433"/>
        <v>2</v>
      </c>
      <c r="W87" s="8"/>
      <c r="X87" s="47"/>
      <c r="Y87" s="48" t="s">
        <v>4</v>
      </c>
      <c r="Z87" s="49"/>
      <c r="AA87" s="8"/>
      <c r="AB87" s="42" t="str">
        <f t="shared" si="434"/>
        <v/>
      </c>
      <c r="AC87" s="43">
        <f t="shared" si="435"/>
        <v>0</v>
      </c>
      <c r="AD87" s="8"/>
      <c r="AE87" s="47">
        <v>2</v>
      </c>
      <c r="AF87" s="48" t="s">
        <v>4</v>
      </c>
      <c r="AG87" s="49">
        <v>0</v>
      </c>
      <c r="AH87" s="8"/>
      <c r="AI87" s="42">
        <f t="shared" si="436"/>
        <v>5.6</v>
      </c>
      <c r="AJ87" s="43">
        <f t="shared" si="437"/>
        <v>2</v>
      </c>
      <c r="AK87" s="8"/>
      <c r="AL87" s="47">
        <v>2</v>
      </c>
      <c r="AM87" s="48" t="s">
        <v>4</v>
      </c>
      <c r="AN87" s="49">
        <v>1</v>
      </c>
      <c r="AO87" s="8"/>
      <c r="AP87" s="42">
        <f t="shared" si="438"/>
        <v>5.6</v>
      </c>
      <c r="AQ87" s="43">
        <f t="shared" si="439"/>
        <v>1</v>
      </c>
      <c r="AR87" s="8"/>
      <c r="AS87" s="47">
        <v>4</v>
      </c>
      <c r="AT87" s="48" t="s">
        <v>4</v>
      </c>
      <c r="AU87" s="49">
        <v>1</v>
      </c>
      <c r="AV87" s="8"/>
      <c r="AW87" s="42">
        <f t="shared" si="440"/>
        <v>5.6</v>
      </c>
      <c r="AX87" s="43">
        <f t="shared" si="441"/>
        <v>3</v>
      </c>
      <c r="AY87" s="8"/>
      <c r="AZ87" s="47">
        <v>3</v>
      </c>
      <c r="BA87" s="48" t="s">
        <v>4</v>
      </c>
      <c r="BB87" s="49">
        <v>0</v>
      </c>
      <c r="BC87" s="8"/>
      <c r="BD87" s="42">
        <f t="shared" si="442"/>
        <v>8.3999999999999986</v>
      </c>
      <c r="BE87" s="43">
        <f t="shared" si="443"/>
        <v>3</v>
      </c>
      <c r="BF87" s="8"/>
      <c r="BG87" s="47">
        <v>3</v>
      </c>
      <c r="BH87" s="48" t="s">
        <v>4</v>
      </c>
      <c r="BI87" s="49">
        <v>1</v>
      </c>
      <c r="BJ87" s="8"/>
      <c r="BK87" s="42">
        <f t="shared" si="444"/>
        <v>5.6</v>
      </c>
      <c r="BL87" s="43">
        <f t="shared" si="445"/>
        <v>2</v>
      </c>
      <c r="BM87" s="8"/>
      <c r="BN87" s="47">
        <v>3</v>
      </c>
      <c r="BO87" s="48" t="s">
        <v>4</v>
      </c>
      <c r="BP87" s="49">
        <v>0</v>
      </c>
      <c r="BQ87" s="8"/>
      <c r="BR87" s="42">
        <f t="shared" si="446"/>
        <v>8.3999999999999986</v>
      </c>
      <c r="BS87" s="43">
        <f t="shared" si="447"/>
        <v>3</v>
      </c>
      <c r="BT87" s="8"/>
      <c r="BU87" s="47">
        <v>3</v>
      </c>
      <c r="BV87" s="48" t="s">
        <v>4</v>
      </c>
      <c r="BW87" s="49">
        <v>0</v>
      </c>
      <c r="BX87" s="8"/>
      <c r="BY87" s="42">
        <f t="shared" si="448"/>
        <v>8.3999999999999986</v>
      </c>
      <c r="BZ87" s="43">
        <f t="shared" si="449"/>
        <v>3</v>
      </c>
      <c r="CA87" s="8"/>
      <c r="CB87" s="47"/>
      <c r="CC87" s="48" t="s">
        <v>4</v>
      </c>
      <c r="CD87" s="49"/>
      <c r="CE87" s="8"/>
      <c r="CF87" s="42" t="str">
        <f t="shared" si="450"/>
        <v/>
      </c>
      <c r="CG87" s="43">
        <f t="shared" si="451"/>
        <v>0</v>
      </c>
      <c r="CH87" s="8"/>
      <c r="CI87" s="47">
        <v>2</v>
      </c>
      <c r="CJ87" s="48" t="s">
        <v>4</v>
      </c>
      <c r="CK87" s="49">
        <v>0</v>
      </c>
      <c r="CL87" s="8"/>
      <c r="CM87" s="42">
        <f t="shared" si="452"/>
        <v>5.6</v>
      </c>
      <c r="CN87" s="43">
        <f t="shared" si="453"/>
        <v>2</v>
      </c>
      <c r="CO87" s="8"/>
      <c r="CP87" s="47">
        <v>3</v>
      </c>
      <c r="CQ87" s="48" t="s">
        <v>4</v>
      </c>
      <c r="CR87" s="49">
        <v>0</v>
      </c>
      <c r="CS87" s="8"/>
      <c r="CT87" s="42">
        <f t="shared" si="454"/>
        <v>8.3999999999999986</v>
      </c>
      <c r="CU87" s="43">
        <f t="shared" si="455"/>
        <v>3</v>
      </c>
      <c r="CV87" s="8"/>
      <c r="CW87" s="47">
        <v>3</v>
      </c>
      <c r="CX87" s="48" t="s">
        <v>4</v>
      </c>
      <c r="CY87" s="49">
        <v>0</v>
      </c>
      <c r="CZ87" s="8"/>
      <c r="DA87" s="42">
        <f t="shared" si="456"/>
        <v>8.3999999999999986</v>
      </c>
      <c r="DB87" s="43">
        <f t="shared" si="457"/>
        <v>3</v>
      </c>
      <c r="DC87" s="8"/>
      <c r="DD87" s="47">
        <v>2</v>
      </c>
      <c r="DE87" s="48" t="s">
        <v>4</v>
      </c>
      <c r="DF87" s="49">
        <v>0</v>
      </c>
      <c r="DG87" s="8"/>
      <c r="DH87" s="42">
        <f t="shared" si="458"/>
        <v>5.6</v>
      </c>
      <c r="DI87" s="43">
        <f t="shared" si="459"/>
        <v>2</v>
      </c>
      <c r="DJ87" s="8"/>
      <c r="DK87" s="47">
        <v>2</v>
      </c>
      <c r="DL87" s="48" t="s">
        <v>4</v>
      </c>
      <c r="DM87" s="49">
        <v>0</v>
      </c>
      <c r="DN87" s="8"/>
      <c r="DO87" s="42">
        <f t="shared" si="460"/>
        <v>5.6</v>
      </c>
      <c r="DP87" s="43">
        <f t="shared" si="461"/>
        <v>2</v>
      </c>
      <c r="DQ87" s="8"/>
      <c r="DR87" s="47">
        <v>3</v>
      </c>
      <c r="DS87" s="48" t="s">
        <v>4</v>
      </c>
      <c r="DT87" s="49">
        <v>1</v>
      </c>
      <c r="DU87" s="8"/>
      <c r="DV87" s="42">
        <f t="shared" si="462"/>
        <v>5.6</v>
      </c>
      <c r="DW87" s="43">
        <f t="shared" si="463"/>
        <v>2</v>
      </c>
      <c r="DX87" s="8"/>
      <c r="DY87" s="47">
        <v>3</v>
      </c>
      <c r="DZ87" s="48" t="s">
        <v>4</v>
      </c>
      <c r="EA87" s="49">
        <v>0</v>
      </c>
      <c r="EB87" s="8"/>
      <c r="EC87" s="42">
        <f t="shared" si="464"/>
        <v>8.3999999999999986</v>
      </c>
      <c r="ED87" s="43">
        <f t="shared" si="465"/>
        <v>3</v>
      </c>
      <c r="EE87" s="8"/>
      <c r="EF87" s="47">
        <v>3</v>
      </c>
      <c r="EG87" s="48" t="s">
        <v>4</v>
      </c>
      <c r="EH87" s="49">
        <v>1</v>
      </c>
      <c r="EI87" s="8"/>
      <c r="EJ87" s="42">
        <f t="shared" si="466"/>
        <v>5.6</v>
      </c>
      <c r="EK87" s="43">
        <f t="shared" si="467"/>
        <v>2</v>
      </c>
      <c r="EL87" s="8"/>
      <c r="EM87" s="47">
        <v>5</v>
      </c>
      <c r="EN87" s="48" t="s">
        <v>4</v>
      </c>
      <c r="EO87" s="49">
        <v>0</v>
      </c>
      <c r="EP87" s="8"/>
      <c r="EQ87" s="42">
        <f t="shared" si="468"/>
        <v>5.6</v>
      </c>
      <c r="ER87" s="43">
        <f t="shared" si="469"/>
        <v>5</v>
      </c>
      <c r="ES87" s="8"/>
      <c r="ET87" s="47">
        <v>3</v>
      </c>
      <c r="EU87" s="48" t="s">
        <v>4</v>
      </c>
      <c r="EV87" s="49">
        <v>1</v>
      </c>
      <c r="EW87" s="8"/>
      <c r="EX87" s="42">
        <f t="shared" si="470"/>
        <v>5.6</v>
      </c>
      <c r="EY87" s="43">
        <f t="shared" si="471"/>
        <v>2</v>
      </c>
      <c r="EZ87" s="8"/>
      <c r="FA87" s="47">
        <v>4</v>
      </c>
      <c r="FB87" s="48" t="s">
        <v>4</v>
      </c>
      <c r="FC87" s="49">
        <v>2</v>
      </c>
      <c r="FD87" s="8"/>
      <c r="FE87" s="42">
        <f t="shared" si="472"/>
        <v>5.6</v>
      </c>
      <c r="FF87" s="43">
        <f t="shared" si="473"/>
        <v>2</v>
      </c>
      <c r="FG87" s="8"/>
      <c r="FH87" s="47">
        <v>3</v>
      </c>
      <c r="FI87" s="48" t="s">
        <v>4</v>
      </c>
      <c r="FJ87" s="49">
        <v>0</v>
      </c>
      <c r="FK87" s="8"/>
      <c r="FL87" s="42">
        <f t="shared" si="474"/>
        <v>8.3999999999999986</v>
      </c>
      <c r="FM87" s="43">
        <f t="shared" si="475"/>
        <v>3</v>
      </c>
      <c r="FN87" s="8"/>
      <c r="FO87" s="47">
        <v>3</v>
      </c>
      <c r="FP87" s="48" t="s">
        <v>4</v>
      </c>
      <c r="FQ87" s="49">
        <v>2</v>
      </c>
      <c r="FR87" s="8"/>
      <c r="FS87" s="42">
        <f t="shared" si="476"/>
        <v>5.6</v>
      </c>
      <c r="FT87" s="43">
        <f t="shared" si="477"/>
        <v>1</v>
      </c>
      <c r="FU87" s="8"/>
      <c r="FV87" s="47">
        <v>4</v>
      </c>
      <c r="FW87" s="48" t="s">
        <v>4</v>
      </c>
      <c r="FX87" s="49">
        <v>2</v>
      </c>
      <c r="FY87" s="8"/>
      <c r="FZ87" s="42">
        <f t="shared" si="478"/>
        <v>5.6</v>
      </c>
      <c r="GA87" s="43">
        <f t="shared" si="479"/>
        <v>2</v>
      </c>
      <c r="GB87" s="8"/>
      <c r="GC87" s="47">
        <v>2</v>
      </c>
      <c r="GD87" s="48" t="s">
        <v>4</v>
      </c>
      <c r="GE87" s="49">
        <v>1</v>
      </c>
      <c r="GF87" s="8"/>
      <c r="GG87" s="42">
        <f t="shared" si="480"/>
        <v>5.6</v>
      </c>
      <c r="GH87" s="43">
        <f t="shared" si="481"/>
        <v>1</v>
      </c>
      <c r="GI87" s="8"/>
      <c r="GJ87" s="47">
        <v>3</v>
      </c>
      <c r="GK87" s="48" t="s">
        <v>4</v>
      </c>
      <c r="GL87" s="49">
        <v>2</v>
      </c>
      <c r="GM87" s="8"/>
      <c r="GN87" s="42">
        <f t="shared" si="482"/>
        <v>5.6</v>
      </c>
      <c r="GO87" s="43">
        <f t="shared" si="483"/>
        <v>1</v>
      </c>
      <c r="GP87" s="8"/>
      <c r="GQ87" s="47">
        <v>3</v>
      </c>
      <c r="GR87" s="48" t="s">
        <v>4</v>
      </c>
      <c r="GS87" s="49">
        <v>0</v>
      </c>
      <c r="GT87" s="8"/>
      <c r="GU87" s="42">
        <f t="shared" si="484"/>
        <v>8.3999999999999986</v>
      </c>
      <c r="GV87" s="43">
        <f t="shared" si="485"/>
        <v>3</v>
      </c>
      <c r="GW87" s="8"/>
      <c r="GX87" s="47">
        <v>4</v>
      </c>
      <c r="GY87" s="48" t="s">
        <v>4</v>
      </c>
      <c r="GZ87" s="49">
        <v>1</v>
      </c>
      <c r="HA87" s="8"/>
      <c r="HB87" s="42">
        <f t="shared" si="486"/>
        <v>5.6</v>
      </c>
      <c r="HC87" s="43">
        <f t="shared" si="487"/>
        <v>3</v>
      </c>
      <c r="HD87" s="8"/>
      <c r="HE87" s="47">
        <v>3</v>
      </c>
      <c r="HF87" s="48" t="s">
        <v>4</v>
      </c>
      <c r="HG87" s="49">
        <v>1</v>
      </c>
      <c r="HH87" s="8"/>
      <c r="HI87" s="42">
        <f t="shared" si="488"/>
        <v>5.6</v>
      </c>
      <c r="HJ87" s="43">
        <f t="shared" si="489"/>
        <v>2</v>
      </c>
      <c r="HK87" s="8"/>
      <c r="HL87" s="47">
        <v>3</v>
      </c>
      <c r="HM87" s="48" t="s">
        <v>4</v>
      </c>
      <c r="HN87" s="49">
        <v>0</v>
      </c>
      <c r="HO87" s="8"/>
      <c r="HP87" s="42">
        <f t="shared" si="490"/>
        <v>8.3999999999999986</v>
      </c>
      <c r="HQ87" s="43">
        <f t="shared" si="491"/>
        <v>3</v>
      </c>
      <c r="HR87" s="8"/>
      <c r="HS87" s="47">
        <v>3</v>
      </c>
      <c r="HT87" s="48" t="s">
        <v>4</v>
      </c>
      <c r="HU87" s="49">
        <v>1</v>
      </c>
      <c r="HV87" s="8"/>
      <c r="HW87" s="42">
        <f t="shared" si="492"/>
        <v>5.6</v>
      </c>
      <c r="HX87" s="43">
        <f t="shared" si="493"/>
        <v>2</v>
      </c>
      <c r="HY87" s="8"/>
      <c r="HZ87" s="47">
        <v>4</v>
      </c>
      <c r="IA87" s="48" t="s">
        <v>4</v>
      </c>
      <c r="IB87" s="49">
        <v>1</v>
      </c>
      <c r="IC87" s="8"/>
      <c r="ID87" s="42">
        <f t="shared" si="494"/>
        <v>5.6</v>
      </c>
      <c r="IE87" s="43">
        <f t="shared" si="495"/>
        <v>3</v>
      </c>
      <c r="IF87" s="8"/>
      <c r="IG87" s="47">
        <v>3</v>
      </c>
      <c r="IH87" s="48" t="s">
        <v>4</v>
      </c>
      <c r="II87" s="49">
        <v>2</v>
      </c>
      <c r="IJ87" s="8"/>
      <c r="IK87" s="42">
        <f t="shared" si="496"/>
        <v>5.6</v>
      </c>
      <c r="IL87" s="43">
        <f t="shared" si="497"/>
        <v>1</v>
      </c>
      <c r="IM87" s="8"/>
      <c r="IN87" s="47">
        <v>4</v>
      </c>
      <c r="IO87" s="48" t="s">
        <v>4</v>
      </c>
      <c r="IP87" s="49">
        <v>0</v>
      </c>
      <c r="IQ87" s="8"/>
      <c r="IR87" s="42">
        <f t="shared" si="498"/>
        <v>5.6</v>
      </c>
      <c r="IS87" s="43">
        <f t="shared" si="499"/>
        <v>4</v>
      </c>
      <c r="IT87" s="8"/>
      <c r="IU87" s="47">
        <v>2</v>
      </c>
      <c r="IV87" s="48" t="s">
        <v>4</v>
      </c>
      <c r="IW87" s="49">
        <v>0</v>
      </c>
      <c r="IX87" s="8"/>
      <c r="IY87" s="42">
        <f t="shared" si="500"/>
        <v>5.6</v>
      </c>
      <c r="IZ87" s="43">
        <f t="shared" si="501"/>
        <v>2</v>
      </c>
      <c r="JA87" s="8"/>
      <c r="JB87" s="47">
        <v>3</v>
      </c>
      <c r="JC87" s="48" t="s">
        <v>4</v>
      </c>
      <c r="JD87" s="49">
        <v>2</v>
      </c>
      <c r="JE87" s="8"/>
      <c r="JF87" s="42">
        <f t="shared" si="502"/>
        <v>5.6</v>
      </c>
      <c r="JG87" s="43">
        <f t="shared" si="503"/>
        <v>1</v>
      </c>
      <c r="JH87" s="8"/>
      <c r="JI87" s="47">
        <v>3</v>
      </c>
      <c r="JJ87" s="48" t="s">
        <v>4</v>
      </c>
      <c r="JK87" s="49">
        <v>0</v>
      </c>
      <c r="JL87" s="8"/>
      <c r="JM87" s="42">
        <f t="shared" si="504"/>
        <v>8.3999999999999986</v>
      </c>
      <c r="JN87" s="43">
        <f t="shared" si="505"/>
        <v>3</v>
      </c>
      <c r="JO87" s="8"/>
      <c r="JP87" s="47">
        <v>4</v>
      </c>
      <c r="JQ87" s="48" t="s">
        <v>4</v>
      </c>
      <c r="JR87" s="49">
        <v>1</v>
      </c>
      <c r="JS87" s="8"/>
      <c r="JT87" s="42">
        <f t="shared" si="506"/>
        <v>5.6</v>
      </c>
      <c r="JU87" s="43">
        <f t="shared" si="507"/>
        <v>3</v>
      </c>
      <c r="JV87" s="8"/>
      <c r="JW87" s="47">
        <v>3</v>
      </c>
      <c r="JX87" s="48" t="s">
        <v>4</v>
      </c>
      <c r="JY87" s="49">
        <v>0</v>
      </c>
      <c r="JZ87" s="8"/>
      <c r="KA87" s="42">
        <f t="shared" si="508"/>
        <v>8.3999999999999986</v>
      </c>
      <c r="KB87" s="43">
        <f t="shared" si="509"/>
        <v>3</v>
      </c>
      <c r="KC87" s="8"/>
      <c r="KD87" s="47">
        <v>4</v>
      </c>
      <c r="KE87" s="48" t="s">
        <v>4</v>
      </c>
      <c r="KF87" s="49">
        <v>1</v>
      </c>
      <c r="KG87" s="8"/>
      <c r="KH87" s="42">
        <f t="shared" si="510"/>
        <v>5.6</v>
      </c>
      <c r="KI87" s="43">
        <f t="shared" si="511"/>
        <v>3</v>
      </c>
      <c r="KJ87" s="8"/>
      <c r="KK87" s="47">
        <v>2</v>
      </c>
      <c r="KL87" s="48" t="s">
        <v>4</v>
      </c>
      <c r="KM87" s="49">
        <v>0</v>
      </c>
      <c r="KN87" s="8"/>
      <c r="KO87" s="42">
        <f t="shared" si="512"/>
        <v>5.6</v>
      </c>
      <c r="KP87" s="43">
        <f t="shared" si="513"/>
        <v>2</v>
      </c>
      <c r="KQ87" s="8"/>
      <c r="KR87" s="47">
        <v>3</v>
      </c>
      <c r="KS87" s="48" t="s">
        <v>4</v>
      </c>
      <c r="KT87" s="49">
        <v>0</v>
      </c>
      <c r="KU87" s="8"/>
      <c r="KV87" s="42">
        <f t="shared" si="514"/>
        <v>8.3999999999999986</v>
      </c>
      <c r="KW87" s="43">
        <f t="shared" si="515"/>
        <v>3</v>
      </c>
      <c r="KX87" s="8"/>
      <c r="KY87" s="47">
        <v>2</v>
      </c>
      <c r="KZ87" s="48" t="s">
        <v>4</v>
      </c>
      <c r="LA87" s="49">
        <v>1</v>
      </c>
      <c r="LB87" s="8"/>
      <c r="LC87" s="42">
        <f t="shared" si="516"/>
        <v>5.6</v>
      </c>
      <c r="LD87" s="43">
        <f t="shared" si="517"/>
        <v>1</v>
      </c>
      <c r="LE87" s="8"/>
      <c r="LF87" s="47">
        <v>3</v>
      </c>
      <c r="LG87" s="48" t="s">
        <v>4</v>
      </c>
      <c r="LH87" s="49">
        <v>0</v>
      </c>
      <c r="LI87" s="8"/>
      <c r="LJ87" s="42">
        <f t="shared" si="518"/>
        <v>8.3999999999999986</v>
      </c>
      <c r="LK87" s="43">
        <f t="shared" si="519"/>
        <v>3</v>
      </c>
      <c r="LL87" s="8"/>
      <c r="LM87" s="47">
        <v>3</v>
      </c>
      <c r="LN87" s="48" t="s">
        <v>4</v>
      </c>
      <c r="LO87" s="49">
        <v>0</v>
      </c>
      <c r="LP87" s="8"/>
      <c r="LQ87" s="42">
        <f t="shared" si="520"/>
        <v>8.3999999999999986</v>
      </c>
      <c r="LR87" s="43">
        <f t="shared" si="521"/>
        <v>3</v>
      </c>
      <c r="LS87" s="8"/>
      <c r="LT87" s="47">
        <v>2</v>
      </c>
      <c r="LU87" s="48" t="s">
        <v>4</v>
      </c>
      <c r="LV87" s="49">
        <v>0</v>
      </c>
      <c r="LW87" s="8"/>
      <c r="LX87" s="42">
        <f t="shared" si="522"/>
        <v>5.6</v>
      </c>
      <c r="LY87" s="43">
        <f t="shared" si="523"/>
        <v>2</v>
      </c>
      <c r="LZ87" s="8"/>
      <c r="MA87" s="47">
        <v>3</v>
      </c>
      <c r="MB87" s="48" t="s">
        <v>4</v>
      </c>
      <c r="MC87" s="49">
        <v>0</v>
      </c>
      <c r="MD87" s="8"/>
      <c r="ME87" s="42">
        <f t="shared" si="524"/>
        <v>8.3999999999999986</v>
      </c>
      <c r="MF87" s="43">
        <f t="shared" si="525"/>
        <v>3</v>
      </c>
      <c r="MG87" s="8"/>
      <c r="MH87" s="47">
        <v>4</v>
      </c>
      <c r="MI87" s="48" t="s">
        <v>4</v>
      </c>
      <c r="MJ87" s="49">
        <v>0</v>
      </c>
      <c r="MK87" s="8"/>
      <c r="ML87" s="42">
        <f t="shared" si="526"/>
        <v>5.6</v>
      </c>
      <c r="MM87" s="43">
        <f t="shared" si="527"/>
        <v>4</v>
      </c>
      <c r="MN87" s="8"/>
      <c r="MO87" s="47">
        <v>2</v>
      </c>
      <c r="MP87" s="48" t="s">
        <v>4</v>
      </c>
      <c r="MQ87" s="49">
        <v>0</v>
      </c>
      <c r="MR87" s="8"/>
      <c r="MS87" s="42">
        <f t="shared" si="528"/>
        <v>5.6</v>
      </c>
      <c r="MT87" s="43">
        <f t="shared" si="529"/>
        <v>2</v>
      </c>
      <c r="MU87" s="8"/>
      <c r="MV87" s="47">
        <v>3</v>
      </c>
      <c r="MW87" s="48" t="s">
        <v>4</v>
      </c>
      <c r="MX87" s="49">
        <v>1</v>
      </c>
      <c r="MY87" s="8"/>
      <c r="MZ87" s="42">
        <f t="shared" si="530"/>
        <v>5.6</v>
      </c>
      <c r="NA87" s="43">
        <f t="shared" si="531"/>
        <v>2</v>
      </c>
      <c r="NB87" s="8"/>
      <c r="NC87" s="47">
        <v>4</v>
      </c>
      <c r="ND87" s="48" t="s">
        <v>4</v>
      </c>
      <c r="NE87" s="49">
        <v>1</v>
      </c>
      <c r="NF87" s="8"/>
      <c r="NG87" s="42">
        <f t="shared" si="532"/>
        <v>5.6</v>
      </c>
      <c r="NH87" s="43">
        <f t="shared" si="533"/>
        <v>3</v>
      </c>
      <c r="NI87" s="8"/>
      <c r="NJ87" s="47">
        <v>2</v>
      </c>
      <c r="NK87" s="48" t="s">
        <v>4</v>
      </c>
      <c r="NL87" s="49">
        <v>1</v>
      </c>
      <c r="NM87" s="8"/>
      <c r="NN87" s="42">
        <f t="shared" si="534"/>
        <v>5.6</v>
      </c>
      <c r="NO87" s="43">
        <f t="shared" si="535"/>
        <v>1</v>
      </c>
      <c r="NP87" s="8"/>
      <c r="NQ87" s="47">
        <v>4</v>
      </c>
      <c r="NR87" s="48" t="s">
        <v>4</v>
      </c>
      <c r="NS87" s="49">
        <v>1</v>
      </c>
      <c r="NT87" s="8"/>
      <c r="NU87" s="42">
        <f t="shared" si="536"/>
        <v>5.6</v>
      </c>
      <c r="NV87" s="43">
        <f t="shared" si="537"/>
        <v>3</v>
      </c>
      <c r="NW87" s="8"/>
      <c r="NX87" s="47">
        <v>3</v>
      </c>
      <c r="NY87" s="48" t="s">
        <v>4</v>
      </c>
      <c r="NZ87" s="49">
        <v>0</v>
      </c>
      <c r="OA87" s="8"/>
      <c r="OB87" s="42">
        <f t="shared" si="538"/>
        <v>8.3999999999999986</v>
      </c>
      <c r="OC87" s="43">
        <f t="shared" si="539"/>
        <v>3</v>
      </c>
      <c r="OD87" s="8"/>
      <c r="OE87" s="47">
        <v>3</v>
      </c>
      <c r="OF87" s="48" t="s">
        <v>4</v>
      </c>
      <c r="OG87" s="49">
        <v>1</v>
      </c>
      <c r="OH87" s="8"/>
      <c r="OI87" s="42">
        <f t="shared" si="540"/>
        <v>5.6</v>
      </c>
      <c r="OJ87" s="43">
        <f t="shared" si="541"/>
        <v>2</v>
      </c>
      <c r="OK87" s="8"/>
      <c r="OL87" s="47">
        <v>4</v>
      </c>
      <c r="OM87" s="48" t="s">
        <v>4</v>
      </c>
      <c r="ON87" s="49">
        <v>0</v>
      </c>
      <c r="OO87" s="8"/>
      <c r="OP87" s="42">
        <f t="shared" si="542"/>
        <v>5.6</v>
      </c>
      <c r="OQ87" s="43">
        <f t="shared" si="543"/>
        <v>4</v>
      </c>
      <c r="OR87" s="8"/>
      <c r="OS87" s="47">
        <v>3</v>
      </c>
      <c r="OT87" s="48" t="s">
        <v>4</v>
      </c>
      <c r="OU87" s="49">
        <v>0</v>
      </c>
      <c r="OV87" s="8"/>
      <c r="OW87" s="42">
        <f t="shared" si="544"/>
        <v>8.3999999999999986</v>
      </c>
      <c r="OX87" s="43">
        <f t="shared" si="545"/>
        <v>3</v>
      </c>
      <c r="OY87" s="8"/>
      <c r="OZ87" s="47">
        <v>3</v>
      </c>
      <c r="PA87" s="48" t="s">
        <v>4</v>
      </c>
      <c r="PB87" s="49">
        <v>0</v>
      </c>
      <c r="PC87" s="8"/>
      <c r="PD87" s="42">
        <f t="shared" si="546"/>
        <v>8.3999999999999986</v>
      </c>
      <c r="PE87" s="43">
        <f t="shared" si="547"/>
        <v>3</v>
      </c>
      <c r="PF87" s="8"/>
      <c r="PG87" s="47">
        <v>3</v>
      </c>
      <c r="PH87" s="48" t="s">
        <v>4</v>
      </c>
      <c r="PI87" s="49">
        <v>1</v>
      </c>
      <c r="PJ87" s="8"/>
      <c r="PK87" s="42">
        <f t="shared" si="548"/>
        <v>5.6</v>
      </c>
      <c r="PL87" s="43">
        <f t="shared" si="549"/>
        <v>2</v>
      </c>
      <c r="PM87" s="8"/>
      <c r="PN87" s="47">
        <v>3</v>
      </c>
      <c r="PO87" s="48" t="s">
        <v>4</v>
      </c>
      <c r="PP87" s="49">
        <v>1</v>
      </c>
      <c r="PQ87" s="8"/>
      <c r="PR87" s="42">
        <f t="shared" si="550"/>
        <v>5.6</v>
      </c>
      <c r="PS87" s="43">
        <f t="shared" si="551"/>
        <v>2</v>
      </c>
      <c r="PT87" s="8"/>
      <c r="PU87" s="47">
        <v>2</v>
      </c>
      <c r="PV87" s="48" t="s">
        <v>4</v>
      </c>
      <c r="PW87" s="49">
        <v>0</v>
      </c>
      <c r="PX87" s="8"/>
      <c r="PY87" s="42">
        <f t="shared" si="552"/>
        <v>5.6</v>
      </c>
      <c r="PZ87" s="43">
        <f t="shared" si="553"/>
        <v>2</v>
      </c>
      <c r="QA87" s="8"/>
      <c r="QB87" s="47">
        <v>2</v>
      </c>
      <c r="QC87" s="48" t="s">
        <v>4</v>
      </c>
      <c r="QD87" s="49">
        <v>1</v>
      </c>
      <c r="QE87" s="8"/>
      <c r="QF87" s="42">
        <f t="shared" si="554"/>
        <v>5.6</v>
      </c>
      <c r="QG87" s="43">
        <f t="shared" si="555"/>
        <v>1</v>
      </c>
      <c r="QH87" s="8"/>
      <c r="QI87" s="47">
        <v>4</v>
      </c>
      <c r="QJ87" s="48" t="s">
        <v>4</v>
      </c>
      <c r="QK87" s="49">
        <v>0</v>
      </c>
      <c r="QL87" s="8"/>
      <c r="QM87" s="42">
        <f t="shared" si="556"/>
        <v>5.6</v>
      </c>
      <c r="QN87" s="43">
        <f t="shared" si="557"/>
        <v>4</v>
      </c>
      <c r="QO87" s="8"/>
      <c r="QP87" s="47">
        <v>4</v>
      </c>
      <c r="QQ87" s="48" t="s">
        <v>4</v>
      </c>
      <c r="QR87" s="49">
        <v>6</v>
      </c>
      <c r="QS87" s="8"/>
      <c r="QT87" s="42">
        <f t="shared" si="558"/>
        <v>0</v>
      </c>
      <c r="QU87" s="43">
        <f t="shared" si="559"/>
        <v>-2</v>
      </c>
      <c r="QV87" s="8"/>
      <c r="QW87" s="47">
        <v>1</v>
      </c>
      <c r="QX87" s="48" t="s">
        <v>4</v>
      </c>
      <c r="QY87" s="49">
        <v>0</v>
      </c>
      <c r="QZ87" s="8"/>
      <c r="RA87" s="42">
        <f t="shared" si="560"/>
        <v>5.6</v>
      </c>
      <c r="RB87" s="43">
        <f t="shared" si="561"/>
        <v>1</v>
      </c>
      <c r="RC87" s="8"/>
      <c r="RD87" s="47"/>
      <c r="RE87" s="48" t="s">
        <v>4</v>
      </c>
      <c r="RF87" s="49"/>
      <c r="RG87" s="8"/>
      <c r="RH87" s="42" t="str">
        <f t="shared" si="562"/>
        <v/>
      </c>
      <c r="RI87" s="43">
        <f t="shared" si="563"/>
        <v>0</v>
      </c>
      <c r="RJ87" s="8"/>
      <c r="RK87" s="47">
        <v>3</v>
      </c>
      <c r="RL87" s="48" t="s">
        <v>4</v>
      </c>
      <c r="RM87" s="49">
        <v>0</v>
      </c>
      <c r="RN87" s="8"/>
      <c r="RO87" s="42">
        <f t="shared" si="564"/>
        <v>8.3999999999999986</v>
      </c>
      <c r="RP87" s="43">
        <f t="shared" si="565"/>
        <v>3</v>
      </c>
      <c r="RQ87" s="8"/>
      <c r="RR87" s="47">
        <v>2</v>
      </c>
      <c r="RS87" s="48" t="s">
        <v>4</v>
      </c>
      <c r="RT87" s="49">
        <v>0</v>
      </c>
      <c r="RU87" s="8"/>
      <c r="RV87" s="42">
        <f t="shared" si="566"/>
        <v>5.6</v>
      </c>
      <c r="RW87" s="43">
        <f t="shared" si="567"/>
        <v>2</v>
      </c>
      <c r="RX87" s="8"/>
      <c r="RY87" s="47">
        <v>2</v>
      </c>
      <c r="RZ87" s="48" t="s">
        <v>4</v>
      </c>
      <c r="SA87" s="49">
        <v>1</v>
      </c>
      <c r="SB87" s="8"/>
      <c r="SC87" s="42">
        <f t="shared" si="568"/>
        <v>5.6</v>
      </c>
      <c r="SD87" s="43">
        <f t="shared" si="569"/>
        <v>1</v>
      </c>
      <c r="SE87" s="8"/>
      <c r="SF87" s="47">
        <v>2</v>
      </c>
      <c r="SG87" s="48" t="s">
        <v>4</v>
      </c>
      <c r="SH87" s="49">
        <v>0</v>
      </c>
      <c r="SI87" s="8"/>
      <c r="SJ87" s="42">
        <f t="shared" si="570"/>
        <v>5.6</v>
      </c>
      <c r="SK87" s="43">
        <f t="shared" si="571"/>
        <v>2</v>
      </c>
      <c r="SL87" s="8"/>
      <c r="SM87" s="47">
        <v>2</v>
      </c>
      <c r="SN87" s="48" t="s">
        <v>4</v>
      </c>
      <c r="SO87" s="49">
        <v>1</v>
      </c>
      <c r="SP87" s="8"/>
      <c r="SQ87" s="42">
        <f t="shared" si="572"/>
        <v>5.6</v>
      </c>
      <c r="SR87" s="43">
        <f t="shared" si="573"/>
        <v>1</v>
      </c>
    </row>
    <row r="88" spans="1:512" ht="16" customHeight="1" x14ac:dyDescent="0.15">
      <c r="A88" s="51">
        <v>46204</v>
      </c>
      <c r="B88" s="46">
        <v>0.125</v>
      </c>
      <c r="C88" s="82" t="s">
        <v>626</v>
      </c>
      <c r="D88" s="82" t="s">
        <v>42</v>
      </c>
      <c r="E88" s="2">
        <v>2</v>
      </c>
      <c r="F88" s="50" t="s">
        <v>4</v>
      </c>
      <c r="G88" s="1">
        <v>0</v>
      </c>
      <c r="H88" s="16">
        <v>6</v>
      </c>
      <c r="I88" s="32">
        <f t="shared" si="429"/>
        <v>2</v>
      </c>
      <c r="J88" s="47"/>
      <c r="K88" s="48" t="s">
        <v>4</v>
      </c>
      <c r="L88" s="49"/>
      <c r="M88" s="8"/>
      <c r="N88" s="42" t="str">
        <f t="shared" si="430"/>
        <v/>
      </c>
      <c r="O88" s="43">
        <f t="shared" si="431"/>
        <v>0</v>
      </c>
      <c r="Q88" s="47">
        <v>2</v>
      </c>
      <c r="R88" s="48" t="s">
        <v>4</v>
      </c>
      <c r="S88" s="49">
        <v>0</v>
      </c>
      <c r="T88" s="8"/>
      <c r="U88" s="42">
        <f t="shared" si="432"/>
        <v>9</v>
      </c>
      <c r="V88" s="43">
        <f t="shared" si="433"/>
        <v>2</v>
      </c>
      <c r="W88" s="8"/>
      <c r="X88" s="47"/>
      <c r="Y88" s="48" t="s">
        <v>4</v>
      </c>
      <c r="Z88" s="49"/>
      <c r="AA88" s="8"/>
      <c r="AB88" s="42" t="str">
        <f t="shared" si="434"/>
        <v/>
      </c>
      <c r="AC88" s="43">
        <f t="shared" si="435"/>
        <v>0</v>
      </c>
      <c r="AD88" s="8"/>
      <c r="AE88" s="47">
        <v>3</v>
      </c>
      <c r="AF88" s="48" t="s">
        <v>4</v>
      </c>
      <c r="AG88" s="49">
        <v>3</v>
      </c>
      <c r="AH88" s="8"/>
      <c r="AI88" s="42">
        <f t="shared" si="436"/>
        <v>0</v>
      </c>
      <c r="AJ88" s="43">
        <f t="shared" si="437"/>
        <v>0</v>
      </c>
      <c r="AK88" s="8"/>
      <c r="AL88" s="47">
        <v>2</v>
      </c>
      <c r="AM88" s="48" t="s">
        <v>4</v>
      </c>
      <c r="AN88" s="49">
        <v>1</v>
      </c>
      <c r="AO88" s="8"/>
      <c r="AP88" s="42">
        <f t="shared" si="438"/>
        <v>6</v>
      </c>
      <c r="AQ88" s="43">
        <f t="shared" si="439"/>
        <v>1</v>
      </c>
      <c r="AR88" s="8"/>
      <c r="AS88" s="47">
        <v>1</v>
      </c>
      <c r="AT88" s="48" t="s">
        <v>4</v>
      </c>
      <c r="AU88" s="49">
        <v>0</v>
      </c>
      <c r="AV88" s="8"/>
      <c r="AW88" s="42">
        <f t="shared" si="440"/>
        <v>6</v>
      </c>
      <c r="AX88" s="43">
        <f t="shared" si="441"/>
        <v>1</v>
      </c>
      <c r="AY88" s="8"/>
      <c r="AZ88" s="47">
        <v>1</v>
      </c>
      <c r="BA88" s="48" t="s">
        <v>4</v>
      </c>
      <c r="BB88" s="49">
        <v>0</v>
      </c>
      <c r="BC88" s="8"/>
      <c r="BD88" s="42">
        <f t="shared" si="442"/>
        <v>6</v>
      </c>
      <c r="BE88" s="43">
        <f t="shared" si="443"/>
        <v>1</v>
      </c>
      <c r="BF88" s="8"/>
      <c r="BG88" s="47">
        <v>4</v>
      </c>
      <c r="BH88" s="48" t="s">
        <v>4</v>
      </c>
      <c r="BI88" s="49">
        <v>1</v>
      </c>
      <c r="BJ88" s="8"/>
      <c r="BK88" s="42">
        <f t="shared" si="444"/>
        <v>6</v>
      </c>
      <c r="BL88" s="43">
        <f t="shared" si="445"/>
        <v>3</v>
      </c>
      <c r="BM88" s="8"/>
      <c r="BN88" s="47">
        <v>2</v>
      </c>
      <c r="BO88" s="48" t="s">
        <v>4</v>
      </c>
      <c r="BP88" s="49">
        <v>1</v>
      </c>
      <c r="BQ88" s="8"/>
      <c r="BR88" s="42">
        <f t="shared" si="446"/>
        <v>6</v>
      </c>
      <c r="BS88" s="43">
        <f t="shared" si="447"/>
        <v>1</v>
      </c>
      <c r="BT88" s="8"/>
      <c r="BU88" s="47">
        <v>1</v>
      </c>
      <c r="BV88" s="48" t="s">
        <v>4</v>
      </c>
      <c r="BW88" s="49">
        <v>0</v>
      </c>
      <c r="BX88" s="8"/>
      <c r="BY88" s="42">
        <f t="shared" si="448"/>
        <v>6</v>
      </c>
      <c r="BZ88" s="43">
        <f t="shared" si="449"/>
        <v>1</v>
      </c>
      <c r="CA88" s="8"/>
      <c r="CB88" s="47"/>
      <c r="CC88" s="48" t="s">
        <v>4</v>
      </c>
      <c r="CD88" s="49"/>
      <c r="CE88" s="8"/>
      <c r="CF88" s="42" t="str">
        <f t="shared" si="450"/>
        <v/>
      </c>
      <c r="CG88" s="43">
        <f t="shared" si="451"/>
        <v>0</v>
      </c>
      <c r="CH88" s="8"/>
      <c r="CI88" s="47">
        <v>2</v>
      </c>
      <c r="CJ88" s="48" t="s">
        <v>4</v>
      </c>
      <c r="CK88" s="49">
        <v>0</v>
      </c>
      <c r="CL88" s="8"/>
      <c r="CM88" s="42">
        <f t="shared" si="452"/>
        <v>9</v>
      </c>
      <c r="CN88" s="43">
        <f t="shared" si="453"/>
        <v>2</v>
      </c>
      <c r="CO88" s="8"/>
      <c r="CP88" s="47">
        <v>1</v>
      </c>
      <c r="CQ88" s="48" t="s">
        <v>4</v>
      </c>
      <c r="CR88" s="49">
        <v>0</v>
      </c>
      <c r="CS88" s="8"/>
      <c r="CT88" s="42">
        <f t="shared" si="454"/>
        <v>6</v>
      </c>
      <c r="CU88" s="43">
        <f t="shared" si="455"/>
        <v>1</v>
      </c>
      <c r="CV88" s="8"/>
      <c r="CW88" s="47">
        <v>2</v>
      </c>
      <c r="CX88" s="48" t="s">
        <v>4</v>
      </c>
      <c r="CY88" s="49">
        <v>1</v>
      </c>
      <c r="CZ88" s="8"/>
      <c r="DA88" s="42">
        <f t="shared" si="456"/>
        <v>6</v>
      </c>
      <c r="DB88" s="43">
        <f t="shared" si="457"/>
        <v>1</v>
      </c>
      <c r="DC88" s="8"/>
      <c r="DD88" s="47">
        <v>2</v>
      </c>
      <c r="DE88" s="48" t="s">
        <v>4</v>
      </c>
      <c r="DF88" s="49">
        <v>1</v>
      </c>
      <c r="DG88" s="8"/>
      <c r="DH88" s="42">
        <f t="shared" si="458"/>
        <v>6</v>
      </c>
      <c r="DI88" s="43">
        <f t="shared" si="459"/>
        <v>1</v>
      </c>
      <c r="DJ88" s="8"/>
      <c r="DK88" s="47">
        <v>1</v>
      </c>
      <c r="DL88" s="48" t="s">
        <v>4</v>
      </c>
      <c r="DM88" s="49">
        <v>0</v>
      </c>
      <c r="DN88" s="8"/>
      <c r="DO88" s="42">
        <f t="shared" si="460"/>
        <v>6</v>
      </c>
      <c r="DP88" s="43">
        <f t="shared" si="461"/>
        <v>1</v>
      </c>
      <c r="DQ88" s="8"/>
      <c r="DR88" s="47">
        <v>2</v>
      </c>
      <c r="DS88" s="48" t="s">
        <v>4</v>
      </c>
      <c r="DT88" s="49">
        <v>0</v>
      </c>
      <c r="DU88" s="8"/>
      <c r="DV88" s="42">
        <f t="shared" si="462"/>
        <v>9</v>
      </c>
      <c r="DW88" s="43">
        <f t="shared" si="463"/>
        <v>2</v>
      </c>
      <c r="DX88" s="8"/>
      <c r="DY88" s="47">
        <v>2</v>
      </c>
      <c r="DZ88" s="48" t="s">
        <v>4</v>
      </c>
      <c r="EA88" s="49">
        <v>1</v>
      </c>
      <c r="EB88" s="8"/>
      <c r="EC88" s="42">
        <f t="shared" si="464"/>
        <v>6</v>
      </c>
      <c r="ED88" s="43">
        <f t="shared" si="465"/>
        <v>1</v>
      </c>
      <c r="EE88" s="8"/>
      <c r="EF88" s="47">
        <v>2</v>
      </c>
      <c r="EG88" s="48" t="s">
        <v>4</v>
      </c>
      <c r="EH88" s="49">
        <v>0</v>
      </c>
      <c r="EI88" s="8"/>
      <c r="EJ88" s="42">
        <f t="shared" si="466"/>
        <v>9</v>
      </c>
      <c r="EK88" s="43">
        <f t="shared" si="467"/>
        <v>2</v>
      </c>
      <c r="EL88" s="8"/>
      <c r="EM88" s="47">
        <v>1</v>
      </c>
      <c r="EN88" s="48" t="s">
        <v>4</v>
      </c>
      <c r="EO88" s="49">
        <v>0</v>
      </c>
      <c r="EP88" s="8"/>
      <c r="EQ88" s="42">
        <f t="shared" si="468"/>
        <v>6</v>
      </c>
      <c r="ER88" s="43">
        <f t="shared" si="469"/>
        <v>1</v>
      </c>
      <c r="ES88" s="8"/>
      <c r="ET88" s="47">
        <v>2</v>
      </c>
      <c r="EU88" s="48" t="s">
        <v>4</v>
      </c>
      <c r="EV88" s="49">
        <v>3</v>
      </c>
      <c r="EW88" s="8"/>
      <c r="EX88" s="42">
        <f t="shared" si="470"/>
        <v>0</v>
      </c>
      <c r="EY88" s="43">
        <f t="shared" si="471"/>
        <v>-1</v>
      </c>
      <c r="EZ88" s="8"/>
      <c r="FA88" s="47">
        <v>1</v>
      </c>
      <c r="FB88" s="48" t="s">
        <v>4</v>
      </c>
      <c r="FC88" s="49">
        <v>2</v>
      </c>
      <c r="FD88" s="8"/>
      <c r="FE88" s="42">
        <f t="shared" si="472"/>
        <v>0</v>
      </c>
      <c r="FF88" s="43">
        <f t="shared" si="473"/>
        <v>-1</v>
      </c>
      <c r="FG88" s="8"/>
      <c r="FH88" s="47">
        <v>2</v>
      </c>
      <c r="FI88" s="48" t="s">
        <v>4</v>
      </c>
      <c r="FJ88" s="49">
        <v>0</v>
      </c>
      <c r="FK88" s="8"/>
      <c r="FL88" s="42">
        <f t="shared" si="474"/>
        <v>9</v>
      </c>
      <c r="FM88" s="43">
        <f t="shared" si="475"/>
        <v>2</v>
      </c>
      <c r="FN88" s="8"/>
      <c r="FO88" s="47">
        <v>0</v>
      </c>
      <c r="FP88" s="48" t="s">
        <v>4</v>
      </c>
      <c r="FQ88" s="49">
        <v>1</v>
      </c>
      <c r="FR88" s="8"/>
      <c r="FS88" s="42">
        <f t="shared" si="476"/>
        <v>0</v>
      </c>
      <c r="FT88" s="43">
        <f t="shared" si="477"/>
        <v>-1</v>
      </c>
      <c r="FU88" s="8"/>
      <c r="FV88" s="47">
        <v>2</v>
      </c>
      <c r="FW88" s="48" t="s">
        <v>4</v>
      </c>
      <c r="FX88" s="49">
        <v>0</v>
      </c>
      <c r="FY88" s="8"/>
      <c r="FZ88" s="42">
        <f t="shared" si="478"/>
        <v>9</v>
      </c>
      <c r="GA88" s="43">
        <f t="shared" si="479"/>
        <v>2</v>
      </c>
      <c r="GB88" s="8"/>
      <c r="GC88" s="47">
        <v>1</v>
      </c>
      <c r="GD88" s="48" t="s">
        <v>4</v>
      </c>
      <c r="GE88" s="49">
        <v>2</v>
      </c>
      <c r="GF88" s="8"/>
      <c r="GG88" s="42">
        <f t="shared" si="480"/>
        <v>0</v>
      </c>
      <c r="GH88" s="43">
        <f t="shared" si="481"/>
        <v>-1</v>
      </c>
      <c r="GI88" s="8"/>
      <c r="GJ88" s="47">
        <v>3</v>
      </c>
      <c r="GK88" s="48" t="s">
        <v>4</v>
      </c>
      <c r="GL88" s="49">
        <v>1</v>
      </c>
      <c r="GM88" s="8"/>
      <c r="GN88" s="42">
        <f t="shared" si="482"/>
        <v>6</v>
      </c>
      <c r="GO88" s="43">
        <f t="shared" si="483"/>
        <v>2</v>
      </c>
      <c r="GP88" s="8"/>
      <c r="GQ88" s="47">
        <v>6</v>
      </c>
      <c r="GR88" s="48" t="s">
        <v>4</v>
      </c>
      <c r="GS88" s="49">
        <v>5</v>
      </c>
      <c r="GT88" s="8"/>
      <c r="GU88" s="42">
        <f t="shared" si="484"/>
        <v>6</v>
      </c>
      <c r="GV88" s="43">
        <f t="shared" si="485"/>
        <v>1</v>
      </c>
      <c r="GW88" s="8"/>
      <c r="GX88" s="47">
        <v>0</v>
      </c>
      <c r="GY88" s="48" t="s">
        <v>4</v>
      </c>
      <c r="GZ88" s="49">
        <v>1</v>
      </c>
      <c r="HA88" s="8"/>
      <c r="HB88" s="42">
        <f t="shared" si="486"/>
        <v>0</v>
      </c>
      <c r="HC88" s="43">
        <f t="shared" si="487"/>
        <v>-1</v>
      </c>
      <c r="HD88" s="8"/>
      <c r="HE88" s="47">
        <v>2</v>
      </c>
      <c r="HF88" s="48" t="s">
        <v>4</v>
      </c>
      <c r="HG88" s="49">
        <v>0</v>
      </c>
      <c r="HH88" s="8"/>
      <c r="HI88" s="42">
        <f t="shared" si="488"/>
        <v>9</v>
      </c>
      <c r="HJ88" s="43">
        <f t="shared" si="489"/>
        <v>2</v>
      </c>
      <c r="HK88" s="8"/>
      <c r="HL88" s="47">
        <v>2</v>
      </c>
      <c r="HM88" s="48" t="s">
        <v>4</v>
      </c>
      <c r="HN88" s="49">
        <v>1</v>
      </c>
      <c r="HO88" s="8"/>
      <c r="HP88" s="42">
        <f t="shared" si="490"/>
        <v>6</v>
      </c>
      <c r="HQ88" s="43">
        <f t="shared" si="491"/>
        <v>1</v>
      </c>
      <c r="HR88" s="8"/>
      <c r="HS88" s="47">
        <v>2</v>
      </c>
      <c r="HT88" s="48" t="s">
        <v>4</v>
      </c>
      <c r="HU88" s="49">
        <v>1</v>
      </c>
      <c r="HV88" s="8"/>
      <c r="HW88" s="42">
        <f t="shared" si="492"/>
        <v>6</v>
      </c>
      <c r="HX88" s="43">
        <f t="shared" si="493"/>
        <v>1</v>
      </c>
      <c r="HY88" s="8"/>
      <c r="HZ88" s="47">
        <v>2</v>
      </c>
      <c r="IA88" s="48" t="s">
        <v>4</v>
      </c>
      <c r="IB88" s="49">
        <v>1</v>
      </c>
      <c r="IC88" s="8"/>
      <c r="ID88" s="42">
        <f t="shared" si="494"/>
        <v>6</v>
      </c>
      <c r="IE88" s="43">
        <f t="shared" si="495"/>
        <v>1</v>
      </c>
      <c r="IF88" s="8"/>
      <c r="IG88" s="47">
        <v>2</v>
      </c>
      <c r="IH88" s="48" t="s">
        <v>4</v>
      </c>
      <c r="II88" s="49">
        <v>0</v>
      </c>
      <c r="IJ88" s="8"/>
      <c r="IK88" s="42">
        <f t="shared" si="496"/>
        <v>9</v>
      </c>
      <c r="IL88" s="43">
        <f t="shared" si="497"/>
        <v>2</v>
      </c>
      <c r="IM88" s="8"/>
      <c r="IN88" s="47">
        <v>1</v>
      </c>
      <c r="IO88" s="48" t="s">
        <v>4</v>
      </c>
      <c r="IP88" s="49">
        <v>2</v>
      </c>
      <c r="IQ88" s="8"/>
      <c r="IR88" s="42">
        <f t="shared" si="498"/>
        <v>0</v>
      </c>
      <c r="IS88" s="43">
        <f t="shared" si="499"/>
        <v>-1</v>
      </c>
      <c r="IT88" s="8"/>
      <c r="IU88" s="47">
        <v>0</v>
      </c>
      <c r="IV88" s="48" t="s">
        <v>4</v>
      </c>
      <c r="IW88" s="49">
        <v>2</v>
      </c>
      <c r="IX88" s="8"/>
      <c r="IY88" s="42">
        <f t="shared" si="500"/>
        <v>0</v>
      </c>
      <c r="IZ88" s="43">
        <f t="shared" si="501"/>
        <v>-2</v>
      </c>
      <c r="JA88" s="8"/>
      <c r="JB88" s="47">
        <v>2</v>
      </c>
      <c r="JC88" s="48" t="s">
        <v>4</v>
      </c>
      <c r="JD88" s="49">
        <v>1</v>
      </c>
      <c r="JE88" s="8"/>
      <c r="JF88" s="42">
        <f t="shared" si="502"/>
        <v>6</v>
      </c>
      <c r="JG88" s="43">
        <f t="shared" si="503"/>
        <v>1</v>
      </c>
      <c r="JH88" s="8"/>
      <c r="JI88" s="47">
        <v>3</v>
      </c>
      <c r="JJ88" s="48" t="s">
        <v>4</v>
      </c>
      <c r="JK88" s="49">
        <v>1</v>
      </c>
      <c r="JL88" s="8"/>
      <c r="JM88" s="42">
        <f t="shared" si="504"/>
        <v>6</v>
      </c>
      <c r="JN88" s="43">
        <f t="shared" si="505"/>
        <v>2</v>
      </c>
      <c r="JO88" s="8"/>
      <c r="JP88" s="47">
        <v>1</v>
      </c>
      <c r="JQ88" s="48" t="s">
        <v>4</v>
      </c>
      <c r="JR88" s="49">
        <v>0</v>
      </c>
      <c r="JS88" s="8"/>
      <c r="JT88" s="42">
        <f t="shared" si="506"/>
        <v>6</v>
      </c>
      <c r="JU88" s="43">
        <f t="shared" si="507"/>
        <v>1</v>
      </c>
      <c r="JV88" s="8"/>
      <c r="JW88" s="47">
        <v>1</v>
      </c>
      <c r="JX88" s="48" t="s">
        <v>4</v>
      </c>
      <c r="JY88" s="49">
        <v>0</v>
      </c>
      <c r="JZ88" s="8"/>
      <c r="KA88" s="42">
        <f t="shared" si="508"/>
        <v>6</v>
      </c>
      <c r="KB88" s="43">
        <f t="shared" si="509"/>
        <v>1</v>
      </c>
      <c r="KC88" s="8"/>
      <c r="KD88" s="47">
        <v>2</v>
      </c>
      <c r="KE88" s="48" t="s">
        <v>4</v>
      </c>
      <c r="KF88" s="49">
        <v>1</v>
      </c>
      <c r="KG88" s="8"/>
      <c r="KH88" s="42">
        <f t="shared" si="510"/>
        <v>6</v>
      </c>
      <c r="KI88" s="43">
        <f t="shared" si="511"/>
        <v>1</v>
      </c>
      <c r="KJ88" s="8"/>
      <c r="KK88" s="47">
        <v>2</v>
      </c>
      <c r="KL88" s="48" t="s">
        <v>4</v>
      </c>
      <c r="KM88" s="49">
        <v>1</v>
      </c>
      <c r="KN88" s="8"/>
      <c r="KO88" s="42">
        <f t="shared" si="512"/>
        <v>6</v>
      </c>
      <c r="KP88" s="43">
        <f t="shared" si="513"/>
        <v>1</v>
      </c>
      <c r="KQ88" s="8"/>
      <c r="KR88" s="47">
        <v>2</v>
      </c>
      <c r="KS88" s="48" t="s">
        <v>4</v>
      </c>
      <c r="KT88" s="49">
        <v>1</v>
      </c>
      <c r="KU88" s="8"/>
      <c r="KV88" s="42">
        <f t="shared" si="514"/>
        <v>6</v>
      </c>
      <c r="KW88" s="43">
        <f t="shared" si="515"/>
        <v>1</v>
      </c>
      <c r="KX88" s="8"/>
      <c r="KY88" s="47">
        <v>1</v>
      </c>
      <c r="KZ88" s="48" t="s">
        <v>4</v>
      </c>
      <c r="LA88" s="49">
        <v>2</v>
      </c>
      <c r="LB88" s="8"/>
      <c r="LC88" s="42">
        <f t="shared" si="516"/>
        <v>0</v>
      </c>
      <c r="LD88" s="43">
        <f t="shared" si="517"/>
        <v>-1</v>
      </c>
      <c r="LE88" s="8"/>
      <c r="LF88" s="47">
        <v>2</v>
      </c>
      <c r="LG88" s="48" t="s">
        <v>4</v>
      </c>
      <c r="LH88" s="49">
        <v>1</v>
      </c>
      <c r="LI88" s="8"/>
      <c r="LJ88" s="42">
        <f t="shared" si="518"/>
        <v>6</v>
      </c>
      <c r="LK88" s="43">
        <f t="shared" si="519"/>
        <v>1</v>
      </c>
      <c r="LL88" s="8"/>
      <c r="LM88" s="47">
        <v>6</v>
      </c>
      <c r="LN88" s="48" t="s">
        <v>4</v>
      </c>
      <c r="LO88" s="49">
        <v>5</v>
      </c>
      <c r="LP88" s="8"/>
      <c r="LQ88" s="42">
        <f t="shared" si="520"/>
        <v>6</v>
      </c>
      <c r="LR88" s="43">
        <f t="shared" si="521"/>
        <v>1</v>
      </c>
      <c r="LS88" s="8"/>
      <c r="LT88" s="47">
        <v>2</v>
      </c>
      <c r="LU88" s="48" t="s">
        <v>4</v>
      </c>
      <c r="LV88" s="49">
        <v>1</v>
      </c>
      <c r="LW88" s="8"/>
      <c r="LX88" s="42">
        <f t="shared" si="522"/>
        <v>6</v>
      </c>
      <c r="LY88" s="43">
        <f t="shared" si="523"/>
        <v>1</v>
      </c>
      <c r="LZ88" s="8"/>
      <c r="MA88" s="47">
        <v>2</v>
      </c>
      <c r="MB88" s="48" t="s">
        <v>4</v>
      </c>
      <c r="MC88" s="49">
        <v>0</v>
      </c>
      <c r="MD88" s="8"/>
      <c r="ME88" s="42">
        <f t="shared" si="524"/>
        <v>9</v>
      </c>
      <c r="MF88" s="43">
        <f t="shared" si="525"/>
        <v>2</v>
      </c>
      <c r="MG88" s="8"/>
      <c r="MH88" s="47">
        <v>0</v>
      </c>
      <c r="MI88" s="48" t="s">
        <v>4</v>
      </c>
      <c r="MJ88" s="49">
        <v>2</v>
      </c>
      <c r="MK88" s="8"/>
      <c r="ML88" s="42">
        <f t="shared" si="526"/>
        <v>0</v>
      </c>
      <c r="MM88" s="43">
        <f t="shared" si="527"/>
        <v>-2</v>
      </c>
      <c r="MN88" s="8"/>
      <c r="MO88" s="47">
        <v>2</v>
      </c>
      <c r="MP88" s="48" t="s">
        <v>4</v>
      </c>
      <c r="MQ88" s="49">
        <v>1</v>
      </c>
      <c r="MR88" s="8"/>
      <c r="MS88" s="42">
        <f t="shared" si="528"/>
        <v>6</v>
      </c>
      <c r="MT88" s="43">
        <f t="shared" si="529"/>
        <v>1</v>
      </c>
      <c r="MU88" s="8"/>
      <c r="MV88" s="47">
        <v>2</v>
      </c>
      <c r="MW88" s="48" t="s">
        <v>4</v>
      </c>
      <c r="MX88" s="49">
        <v>1</v>
      </c>
      <c r="MY88" s="8"/>
      <c r="MZ88" s="42">
        <f t="shared" si="530"/>
        <v>6</v>
      </c>
      <c r="NA88" s="43">
        <f t="shared" si="531"/>
        <v>1</v>
      </c>
      <c r="NB88" s="8"/>
      <c r="NC88" s="47">
        <v>3</v>
      </c>
      <c r="ND88" s="48" t="s">
        <v>4</v>
      </c>
      <c r="NE88" s="49">
        <v>0</v>
      </c>
      <c r="NF88" s="8"/>
      <c r="NG88" s="42">
        <f t="shared" si="532"/>
        <v>6</v>
      </c>
      <c r="NH88" s="43">
        <f t="shared" si="533"/>
        <v>3</v>
      </c>
      <c r="NI88" s="8"/>
      <c r="NJ88" s="47">
        <v>1</v>
      </c>
      <c r="NK88" s="48" t="s">
        <v>4</v>
      </c>
      <c r="NL88" s="49">
        <v>2</v>
      </c>
      <c r="NM88" s="8"/>
      <c r="NN88" s="42">
        <f t="shared" si="534"/>
        <v>0</v>
      </c>
      <c r="NO88" s="43">
        <f t="shared" si="535"/>
        <v>-1</v>
      </c>
      <c r="NP88" s="8"/>
      <c r="NQ88" s="47">
        <v>2</v>
      </c>
      <c r="NR88" s="48" t="s">
        <v>4</v>
      </c>
      <c r="NS88" s="49">
        <v>0</v>
      </c>
      <c r="NT88" s="8"/>
      <c r="NU88" s="42">
        <f t="shared" si="536"/>
        <v>9</v>
      </c>
      <c r="NV88" s="43">
        <f t="shared" si="537"/>
        <v>2</v>
      </c>
      <c r="NW88" s="8"/>
      <c r="NX88" s="47">
        <v>5</v>
      </c>
      <c r="NY88" s="48" t="s">
        <v>4</v>
      </c>
      <c r="NZ88" s="49">
        <v>6</v>
      </c>
      <c r="OA88" s="8"/>
      <c r="OB88" s="42">
        <f t="shared" si="538"/>
        <v>0</v>
      </c>
      <c r="OC88" s="43">
        <f t="shared" si="539"/>
        <v>-1</v>
      </c>
      <c r="OD88" s="8"/>
      <c r="OE88" s="47">
        <v>1</v>
      </c>
      <c r="OF88" s="48" t="s">
        <v>4</v>
      </c>
      <c r="OG88" s="49">
        <v>2</v>
      </c>
      <c r="OH88" s="8"/>
      <c r="OI88" s="42">
        <f t="shared" si="540"/>
        <v>0</v>
      </c>
      <c r="OJ88" s="43">
        <f t="shared" si="541"/>
        <v>-1</v>
      </c>
      <c r="OK88" s="8"/>
      <c r="OL88" s="47">
        <v>3</v>
      </c>
      <c r="OM88" s="48" t="s">
        <v>4</v>
      </c>
      <c r="ON88" s="49">
        <v>1</v>
      </c>
      <c r="OO88" s="8"/>
      <c r="OP88" s="42">
        <f t="shared" si="542"/>
        <v>6</v>
      </c>
      <c r="OQ88" s="43">
        <f t="shared" si="543"/>
        <v>2</v>
      </c>
      <c r="OR88" s="8"/>
      <c r="OS88" s="47">
        <v>2</v>
      </c>
      <c r="OT88" s="48" t="s">
        <v>4</v>
      </c>
      <c r="OU88" s="49">
        <v>1</v>
      </c>
      <c r="OV88" s="8"/>
      <c r="OW88" s="42">
        <f t="shared" si="544"/>
        <v>6</v>
      </c>
      <c r="OX88" s="43">
        <f t="shared" si="545"/>
        <v>1</v>
      </c>
      <c r="OY88" s="8"/>
      <c r="OZ88" s="47">
        <v>1</v>
      </c>
      <c r="PA88" s="48" t="s">
        <v>4</v>
      </c>
      <c r="PB88" s="49">
        <v>2</v>
      </c>
      <c r="PC88" s="8"/>
      <c r="PD88" s="42">
        <f t="shared" si="546"/>
        <v>0</v>
      </c>
      <c r="PE88" s="43">
        <f t="shared" si="547"/>
        <v>-1</v>
      </c>
      <c r="PF88" s="8"/>
      <c r="PG88" s="47">
        <v>2</v>
      </c>
      <c r="PH88" s="48" t="s">
        <v>4</v>
      </c>
      <c r="PI88" s="49">
        <v>0</v>
      </c>
      <c r="PJ88" s="8"/>
      <c r="PK88" s="42">
        <f t="shared" si="548"/>
        <v>9</v>
      </c>
      <c r="PL88" s="43">
        <f t="shared" si="549"/>
        <v>2</v>
      </c>
      <c r="PM88" s="8"/>
      <c r="PN88" s="47">
        <v>2</v>
      </c>
      <c r="PO88" s="48" t="s">
        <v>4</v>
      </c>
      <c r="PP88" s="49">
        <v>0</v>
      </c>
      <c r="PQ88" s="8"/>
      <c r="PR88" s="42">
        <f t="shared" si="550"/>
        <v>9</v>
      </c>
      <c r="PS88" s="43">
        <f t="shared" si="551"/>
        <v>2</v>
      </c>
      <c r="PT88" s="8"/>
      <c r="PU88" s="47">
        <v>2</v>
      </c>
      <c r="PV88" s="48" t="s">
        <v>4</v>
      </c>
      <c r="PW88" s="49">
        <v>0</v>
      </c>
      <c r="PX88" s="8"/>
      <c r="PY88" s="42">
        <f t="shared" si="552"/>
        <v>9</v>
      </c>
      <c r="PZ88" s="43">
        <f t="shared" si="553"/>
        <v>2</v>
      </c>
      <c r="QA88" s="8"/>
      <c r="QB88" s="47">
        <v>1</v>
      </c>
      <c r="QC88" s="48" t="s">
        <v>4</v>
      </c>
      <c r="QD88" s="49">
        <v>2</v>
      </c>
      <c r="QE88" s="8"/>
      <c r="QF88" s="42">
        <f t="shared" si="554"/>
        <v>0</v>
      </c>
      <c r="QG88" s="43">
        <f t="shared" si="555"/>
        <v>-1</v>
      </c>
      <c r="QH88" s="8"/>
      <c r="QI88" s="47">
        <v>2</v>
      </c>
      <c r="QJ88" s="48" t="s">
        <v>4</v>
      </c>
      <c r="QK88" s="49">
        <v>1</v>
      </c>
      <c r="QL88" s="8"/>
      <c r="QM88" s="42">
        <f t="shared" si="556"/>
        <v>6</v>
      </c>
      <c r="QN88" s="43">
        <f t="shared" si="557"/>
        <v>1</v>
      </c>
      <c r="QO88" s="8"/>
      <c r="QP88" s="47">
        <v>2</v>
      </c>
      <c r="QQ88" s="48" t="s">
        <v>4</v>
      </c>
      <c r="QR88" s="49">
        <v>0</v>
      </c>
      <c r="QS88" s="8"/>
      <c r="QT88" s="42">
        <f t="shared" si="558"/>
        <v>9</v>
      </c>
      <c r="QU88" s="43">
        <f t="shared" si="559"/>
        <v>2</v>
      </c>
      <c r="QV88" s="8"/>
      <c r="QW88" s="47">
        <v>1</v>
      </c>
      <c r="QX88" s="48" t="s">
        <v>4</v>
      </c>
      <c r="QY88" s="49">
        <v>2</v>
      </c>
      <c r="QZ88" s="8"/>
      <c r="RA88" s="42">
        <f t="shared" si="560"/>
        <v>0</v>
      </c>
      <c r="RB88" s="43">
        <f t="shared" si="561"/>
        <v>-1</v>
      </c>
      <c r="RC88" s="8"/>
      <c r="RD88" s="47"/>
      <c r="RE88" s="48" t="s">
        <v>4</v>
      </c>
      <c r="RF88" s="49"/>
      <c r="RG88" s="8"/>
      <c r="RH88" s="42" t="str">
        <f t="shared" si="562"/>
        <v/>
      </c>
      <c r="RI88" s="43">
        <f t="shared" si="563"/>
        <v>0</v>
      </c>
      <c r="RJ88" s="8"/>
      <c r="RK88" s="47">
        <v>2</v>
      </c>
      <c r="RL88" s="48" t="s">
        <v>4</v>
      </c>
      <c r="RM88" s="49">
        <v>1</v>
      </c>
      <c r="RN88" s="8"/>
      <c r="RO88" s="42">
        <f t="shared" si="564"/>
        <v>6</v>
      </c>
      <c r="RP88" s="43">
        <f t="shared" si="565"/>
        <v>1</v>
      </c>
      <c r="RQ88" s="8"/>
      <c r="RR88" s="47">
        <v>2</v>
      </c>
      <c r="RS88" s="48" t="s">
        <v>4</v>
      </c>
      <c r="RT88" s="49">
        <v>1</v>
      </c>
      <c r="RU88" s="8"/>
      <c r="RV88" s="42">
        <f t="shared" si="566"/>
        <v>6</v>
      </c>
      <c r="RW88" s="43">
        <f t="shared" si="567"/>
        <v>1</v>
      </c>
      <c r="RX88" s="8"/>
      <c r="RY88" s="47">
        <v>3</v>
      </c>
      <c r="RZ88" s="48" t="s">
        <v>4</v>
      </c>
      <c r="SA88" s="49">
        <v>4</v>
      </c>
      <c r="SB88" s="8"/>
      <c r="SC88" s="42">
        <f t="shared" si="568"/>
        <v>0</v>
      </c>
      <c r="SD88" s="43">
        <f t="shared" si="569"/>
        <v>-1</v>
      </c>
      <c r="SE88" s="8"/>
      <c r="SF88" s="47">
        <v>1</v>
      </c>
      <c r="SG88" s="48" t="s">
        <v>4</v>
      </c>
      <c r="SH88" s="49">
        <v>2</v>
      </c>
      <c r="SI88" s="8"/>
      <c r="SJ88" s="42">
        <f t="shared" si="570"/>
        <v>0</v>
      </c>
      <c r="SK88" s="43">
        <f t="shared" si="571"/>
        <v>-1</v>
      </c>
      <c r="SL88" s="8"/>
      <c r="SM88" s="47">
        <v>3</v>
      </c>
      <c r="SN88" s="48" t="s">
        <v>4</v>
      </c>
      <c r="SO88" s="49">
        <v>0</v>
      </c>
      <c r="SP88" s="8"/>
      <c r="SQ88" s="42">
        <f t="shared" si="572"/>
        <v>6</v>
      </c>
      <c r="SR88" s="43">
        <f t="shared" si="573"/>
        <v>3</v>
      </c>
    </row>
    <row r="89" spans="1:512" ht="16" customHeight="1" x14ac:dyDescent="0.15">
      <c r="A89" s="51">
        <v>46204</v>
      </c>
      <c r="B89" s="46">
        <v>0.75</v>
      </c>
      <c r="C89" s="82" t="s">
        <v>8</v>
      </c>
      <c r="D89" s="83" t="s">
        <v>57</v>
      </c>
      <c r="E89" s="2">
        <v>2</v>
      </c>
      <c r="F89" s="50" t="s">
        <v>4</v>
      </c>
      <c r="G89" s="1">
        <v>1</v>
      </c>
      <c r="H89" s="16">
        <v>6</v>
      </c>
      <c r="I89" s="32">
        <f t="shared" si="429"/>
        <v>1</v>
      </c>
      <c r="J89" s="47"/>
      <c r="K89" s="48" t="s">
        <v>4</v>
      </c>
      <c r="L89" s="49"/>
      <c r="M89" s="8"/>
      <c r="N89" s="42" t="str">
        <f t="shared" si="430"/>
        <v/>
      </c>
      <c r="O89" s="43">
        <f t="shared" si="431"/>
        <v>0</v>
      </c>
      <c r="Q89" s="47">
        <v>2</v>
      </c>
      <c r="R89" s="48" t="s">
        <v>4</v>
      </c>
      <c r="S89" s="49">
        <v>0</v>
      </c>
      <c r="T89" s="8"/>
      <c r="U89" s="42">
        <f t="shared" si="432"/>
        <v>6</v>
      </c>
      <c r="V89" s="43">
        <f t="shared" si="433"/>
        <v>2</v>
      </c>
      <c r="W89" s="8"/>
      <c r="X89" s="47"/>
      <c r="Y89" s="48" t="s">
        <v>4</v>
      </c>
      <c r="Z89" s="49"/>
      <c r="AA89" s="8"/>
      <c r="AB89" s="42" t="str">
        <f t="shared" si="434"/>
        <v/>
      </c>
      <c r="AC89" s="43">
        <f t="shared" si="435"/>
        <v>0</v>
      </c>
      <c r="AD89" s="8"/>
      <c r="AE89" s="47">
        <v>2</v>
      </c>
      <c r="AF89" s="48" t="s">
        <v>4</v>
      </c>
      <c r="AG89" s="49">
        <v>0</v>
      </c>
      <c r="AH89" s="8"/>
      <c r="AI89" s="42">
        <f t="shared" si="436"/>
        <v>6</v>
      </c>
      <c r="AJ89" s="43">
        <f t="shared" si="437"/>
        <v>2</v>
      </c>
      <c r="AK89" s="8"/>
      <c r="AL89" s="47">
        <v>3</v>
      </c>
      <c r="AM89" s="48" t="s">
        <v>4</v>
      </c>
      <c r="AN89" s="49">
        <v>0</v>
      </c>
      <c r="AO89" s="8"/>
      <c r="AP89" s="42">
        <f t="shared" si="438"/>
        <v>6</v>
      </c>
      <c r="AQ89" s="43">
        <f t="shared" si="439"/>
        <v>3</v>
      </c>
      <c r="AR89" s="8"/>
      <c r="AS89" s="47">
        <v>3</v>
      </c>
      <c r="AT89" s="48" t="s">
        <v>4</v>
      </c>
      <c r="AU89" s="49">
        <v>1</v>
      </c>
      <c r="AV89" s="8"/>
      <c r="AW89" s="42">
        <f t="shared" si="440"/>
        <v>6</v>
      </c>
      <c r="AX89" s="43">
        <f t="shared" si="441"/>
        <v>2</v>
      </c>
      <c r="AY89" s="8"/>
      <c r="AZ89" s="47">
        <v>2</v>
      </c>
      <c r="BA89" s="48" t="s">
        <v>4</v>
      </c>
      <c r="BB89" s="49">
        <v>1</v>
      </c>
      <c r="BC89" s="8"/>
      <c r="BD89" s="42">
        <f t="shared" si="442"/>
        <v>9</v>
      </c>
      <c r="BE89" s="43">
        <f t="shared" si="443"/>
        <v>1</v>
      </c>
      <c r="BF89" s="8"/>
      <c r="BG89" s="47">
        <v>3</v>
      </c>
      <c r="BH89" s="48" t="s">
        <v>4</v>
      </c>
      <c r="BI89" s="49">
        <v>1</v>
      </c>
      <c r="BJ89" s="8"/>
      <c r="BK89" s="42">
        <f t="shared" si="444"/>
        <v>6</v>
      </c>
      <c r="BL89" s="43">
        <f t="shared" si="445"/>
        <v>2</v>
      </c>
      <c r="BM89" s="8"/>
      <c r="BN89" s="47">
        <v>3</v>
      </c>
      <c r="BO89" s="48" t="s">
        <v>4</v>
      </c>
      <c r="BP89" s="49">
        <v>1</v>
      </c>
      <c r="BQ89" s="8"/>
      <c r="BR89" s="42">
        <f t="shared" si="446"/>
        <v>6</v>
      </c>
      <c r="BS89" s="43">
        <f t="shared" si="447"/>
        <v>2</v>
      </c>
      <c r="BT89" s="8"/>
      <c r="BU89" s="47">
        <v>3</v>
      </c>
      <c r="BV89" s="48" t="s">
        <v>4</v>
      </c>
      <c r="BW89" s="49">
        <v>0</v>
      </c>
      <c r="BX89" s="8"/>
      <c r="BY89" s="42">
        <f t="shared" si="448"/>
        <v>6</v>
      </c>
      <c r="BZ89" s="43">
        <f t="shared" si="449"/>
        <v>3</v>
      </c>
      <c r="CA89" s="8"/>
      <c r="CB89" s="47"/>
      <c r="CC89" s="48" t="s">
        <v>4</v>
      </c>
      <c r="CD89" s="49"/>
      <c r="CE89" s="8"/>
      <c r="CF89" s="42" t="str">
        <f t="shared" si="450"/>
        <v/>
      </c>
      <c r="CG89" s="43">
        <f t="shared" si="451"/>
        <v>0</v>
      </c>
      <c r="CH89" s="8"/>
      <c r="CI89" s="47">
        <v>3</v>
      </c>
      <c r="CJ89" s="48" t="s">
        <v>4</v>
      </c>
      <c r="CK89" s="49">
        <v>1</v>
      </c>
      <c r="CL89" s="8"/>
      <c r="CM89" s="42">
        <f t="shared" si="452"/>
        <v>6</v>
      </c>
      <c r="CN89" s="43">
        <f t="shared" si="453"/>
        <v>2</v>
      </c>
      <c r="CO89" s="8"/>
      <c r="CP89" s="47">
        <v>2</v>
      </c>
      <c r="CQ89" s="48" t="s">
        <v>4</v>
      </c>
      <c r="CR89" s="49">
        <v>0</v>
      </c>
      <c r="CS89" s="8"/>
      <c r="CT89" s="42">
        <f t="shared" si="454"/>
        <v>6</v>
      </c>
      <c r="CU89" s="43">
        <f t="shared" si="455"/>
        <v>2</v>
      </c>
      <c r="CV89" s="8"/>
      <c r="CW89" s="47">
        <v>2</v>
      </c>
      <c r="CX89" s="48" t="s">
        <v>4</v>
      </c>
      <c r="CY89" s="49">
        <v>0</v>
      </c>
      <c r="CZ89" s="8"/>
      <c r="DA89" s="42">
        <f t="shared" si="456"/>
        <v>6</v>
      </c>
      <c r="DB89" s="43">
        <f t="shared" si="457"/>
        <v>2</v>
      </c>
      <c r="DC89" s="8"/>
      <c r="DD89" s="47">
        <v>1</v>
      </c>
      <c r="DE89" s="48" t="s">
        <v>4</v>
      </c>
      <c r="DF89" s="49">
        <v>0</v>
      </c>
      <c r="DG89" s="8"/>
      <c r="DH89" s="42">
        <f t="shared" si="458"/>
        <v>6</v>
      </c>
      <c r="DI89" s="43">
        <f t="shared" si="459"/>
        <v>1</v>
      </c>
      <c r="DJ89" s="8"/>
      <c r="DK89" s="47">
        <v>1</v>
      </c>
      <c r="DL89" s="48" t="s">
        <v>4</v>
      </c>
      <c r="DM89" s="49">
        <v>0</v>
      </c>
      <c r="DN89" s="8"/>
      <c r="DO89" s="42">
        <f t="shared" si="460"/>
        <v>6</v>
      </c>
      <c r="DP89" s="43">
        <f t="shared" si="461"/>
        <v>1</v>
      </c>
      <c r="DQ89" s="8"/>
      <c r="DR89" s="47">
        <v>4</v>
      </c>
      <c r="DS89" s="48" t="s">
        <v>4</v>
      </c>
      <c r="DT89" s="49">
        <v>0</v>
      </c>
      <c r="DU89" s="8"/>
      <c r="DV89" s="42">
        <f t="shared" si="462"/>
        <v>6</v>
      </c>
      <c r="DW89" s="43">
        <f t="shared" si="463"/>
        <v>4</v>
      </c>
      <c r="DX89" s="8"/>
      <c r="DY89" s="47">
        <v>2</v>
      </c>
      <c r="DZ89" s="48" t="s">
        <v>4</v>
      </c>
      <c r="EA89" s="49">
        <v>0</v>
      </c>
      <c r="EB89" s="8"/>
      <c r="EC89" s="42">
        <f t="shared" si="464"/>
        <v>6</v>
      </c>
      <c r="ED89" s="43">
        <f t="shared" si="465"/>
        <v>2</v>
      </c>
      <c r="EE89" s="8"/>
      <c r="EF89" s="47">
        <v>3</v>
      </c>
      <c r="EG89" s="48" t="s">
        <v>4</v>
      </c>
      <c r="EH89" s="49">
        <v>1</v>
      </c>
      <c r="EI89" s="8"/>
      <c r="EJ89" s="42">
        <f t="shared" si="466"/>
        <v>6</v>
      </c>
      <c r="EK89" s="43">
        <f t="shared" si="467"/>
        <v>2</v>
      </c>
      <c r="EL89" s="8"/>
      <c r="EM89" s="47">
        <v>2</v>
      </c>
      <c r="EN89" s="48" t="s">
        <v>4</v>
      </c>
      <c r="EO89" s="49">
        <v>1</v>
      </c>
      <c r="EP89" s="8"/>
      <c r="EQ89" s="42">
        <f t="shared" si="468"/>
        <v>9</v>
      </c>
      <c r="ER89" s="43">
        <f t="shared" si="469"/>
        <v>1</v>
      </c>
      <c r="ES89" s="8"/>
      <c r="ET89" s="47">
        <v>4</v>
      </c>
      <c r="EU89" s="48" t="s">
        <v>4</v>
      </c>
      <c r="EV89" s="49">
        <v>1</v>
      </c>
      <c r="EW89" s="8"/>
      <c r="EX89" s="42">
        <f t="shared" si="470"/>
        <v>6</v>
      </c>
      <c r="EY89" s="43">
        <f t="shared" si="471"/>
        <v>3</v>
      </c>
      <c r="EZ89" s="8"/>
      <c r="FA89" s="47">
        <v>3</v>
      </c>
      <c r="FB89" s="48" t="s">
        <v>4</v>
      </c>
      <c r="FC89" s="49">
        <v>0</v>
      </c>
      <c r="FD89" s="8"/>
      <c r="FE89" s="42">
        <f t="shared" si="472"/>
        <v>6</v>
      </c>
      <c r="FF89" s="43">
        <f t="shared" si="473"/>
        <v>3</v>
      </c>
      <c r="FG89" s="8"/>
      <c r="FH89" s="47">
        <v>2</v>
      </c>
      <c r="FI89" s="48" t="s">
        <v>4</v>
      </c>
      <c r="FJ89" s="49">
        <v>1</v>
      </c>
      <c r="FK89" s="8"/>
      <c r="FL89" s="42">
        <f t="shared" si="474"/>
        <v>9</v>
      </c>
      <c r="FM89" s="43">
        <f t="shared" si="475"/>
        <v>1</v>
      </c>
      <c r="FN89" s="8"/>
      <c r="FO89" s="47">
        <v>1</v>
      </c>
      <c r="FP89" s="48" t="s">
        <v>4</v>
      </c>
      <c r="FQ89" s="49">
        <v>0</v>
      </c>
      <c r="FR89" s="8"/>
      <c r="FS89" s="42">
        <f t="shared" si="476"/>
        <v>6</v>
      </c>
      <c r="FT89" s="43">
        <f t="shared" si="477"/>
        <v>1</v>
      </c>
      <c r="FU89" s="8"/>
      <c r="FV89" s="47">
        <v>1</v>
      </c>
      <c r="FW89" s="48" t="s">
        <v>4</v>
      </c>
      <c r="FX89" s="49">
        <v>0</v>
      </c>
      <c r="FY89" s="8"/>
      <c r="FZ89" s="42">
        <f t="shared" si="478"/>
        <v>6</v>
      </c>
      <c r="GA89" s="43">
        <f t="shared" si="479"/>
        <v>1</v>
      </c>
      <c r="GB89" s="8"/>
      <c r="GC89" s="47">
        <v>2</v>
      </c>
      <c r="GD89" s="48" t="s">
        <v>4</v>
      </c>
      <c r="GE89" s="49">
        <v>0</v>
      </c>
      <c r="GF89" s="8"/>
      <c r="GG89" s="42">
        <f t="shared" si="480"/>
        <v>6</v>
      </c>
      <c r="GH89" s="43">
        <f t="shared" si="481"/>
        <v>2</v>
      </c>
      <c r="GI89" s="8"/>
      <c r="GJ89" s="47">
        <v>3</v>
      </c>
      <c r="GK89" s="48" t="s">
        <v>4</v>
      </c>
      <c r="GL89" s="49">
        <v>1</v>
      </c>
      <c r="GM89" s="8"/>
      <c r="GN89" s="42">
        <f t="shared" si="482"/>
        <v>6</v>
      </c>
      <c r="GO89" s="43">
        <f t="shared" si="483"/>
        <v>2</v>
      </c>
      <c r="GP89" s="8"/>
      <c r="GQ89" s="47">
        <v>4</v>
      </c>
      <c r="GR89" s="48" t="s">
        <v>4</v>
      </c>
      <c r="GS89" s="49">
        <v>0</v>
      </c>
      <c r="GT89" s="8"/>
      <c r="GU89" s="42">
        <f t="shared" si="484"/>
        <v>6</v>
      </c>
      <c r="GV89" s="43">
        <f t="shared" si="485"/>
        <v>4</v>
      </c>
      <c r="GW89" s="8"/>
      <c r="GX89" s="47">
        <v>3</v>
      </c>
      <c r="GY89" s="48" t="s">
        <v>4</v>
      </c>
      <c r="GZ89" s="49">
        <v>0</v>
      </c>
      <c r="HA89" s="8"/>
      <c r="HB89" s="42">
        <f t="shared" si="486"/>
        <v>6</v>
      </c>
      <c r="HC89" s="43">
        <f t="shared" si="487"/>
        <v>3</v>
      </c>
      <c r="HD89" s="8"/>
      <c r="HE89" s="47">
        <v>3</v>
      </c>
      <c r="HF89" s="48" t="s">
        <v>4</v>
      </c>
      <c r="HG89" s="49">
        <v>0</v>
      </c>
      <c r="HH89" s="8"/>
      <c r="HI89" s="42">
        <f t="shared" si="488"/>
        <v>6</v>
      </c>
      <c r="HJ89" s="43">
        <f t="shared" si="489"/>
        <v>3</v>
      </c>
      <c r="HK89" s="8"/>
      <c r="HL89" s="47">
        <v>3</v>
      </c>
      <c r="HM89" s="48" t="s">
        <v>4</v>
      </c>
      <c r="HN89" s="49">
        <v>0</v>
      </c>
      <c r="HO89" s="8"/>
      <c r="HP89" s="42">
        <f t="shared" si="490"/>
        <v>6</v>
      </c>
      <c r="HQ89" s="43">
        <f t="shared" si="491"/>
        <v>3</v>
      </c>
      <c r="HR89" s="8"/>
      <c r="HS89" s="47">
        <v>2</v>
      </c>
      <c r="HT89" s="48" t="s">
        <v>4</v>
      </c>
      <c r="HU89" s="49">
        <v>0</v>
      </c>
      <c r="HV89" s="8"/>
      <c r="HW89" s="42">
        <f t="shared" si="492"/>
        <v>6</v>
      </c>
      <c r="HX89" s="43">
        <f t="shared" si="493"/>
        <v>2</v>
      </c>
      <c r="HY89" s="8"/>
      <c r="HZ89" s="47">
        <v>2</v>
      </c>
      <c r="IA89" s="48" t="s">
        <v>4</v>
      </c>
      <c r="IB89" s="49">
        <v>1</v>
      </c>
      <c r="IC89" s="8"/>
      <c r="ID89" s="42">
        <f t="shared" si="494"/>
        <v>9</v>
      </c>
      <c r="IE89" s="43">
        <f t="shared" si="495"/>
        <v>1</v>
      </c>
      <c r="IF89" s="8"/>
      <c r="IG89" s="47">
        <v>3</v>
      </c>
      <c r="IH89" s="48" t="s">
        <v>4</v>
      </c>
      <c r="II89" s="49">
        <v>0</v>
      </c>
      <c r="IJ89" s="8"/>
      <c r="IK89" s="42">
        <f t="shared" si="496"/>
        <v>6</v>
      </c>
      <c r="IL89" s="43">
        <f t="shared" si="497"/>
        <v>3</v>
      </c>
      <c r="IM89" s="8"/>
      <c r="IN89" s="47">
        <v>3</v>
      </c>
      <c r="IO89" s="48" t="s">
        <v>4</v>
      </c>
      <c r="IP89" s="49">
        <v>0</v>
      </c>
      <c r="IQ89" s="8"/>
      <c r="IR89" s="42">
        <f t="shared" si="498"/>
        <v>6</v>
      </c>
      <c r="IS89" s="43">
        <f t="shared" si="499"/>
        <v>3</v>
      </c>
      <c r="IT89" s="8"/>
      <c r="IU89" s="47">
        <v>2</v>
      </c>
      <c r="IV89" s="48" t="s">
        <v>4</v>
      </c>
      <c r="IW89" s="49">
        <v>0</v>
      </c>
      <c r="IX89" s="8"/>
      <c r="IY89" s="42">
        <f t="shared" si="500"/>
        <v>6</v>
      </c>
      <c r="IZ89" s="43">
        <f t="shared" si="501"/>
        <v>2</v>
      </c>
      <c r="JA89" s="8"/>
      <c r="JB89" s="47">
        <v>3</v>
      </c>
      <c r="JC89" s="48" t="s">
        <v>4</v>
      </c>
      <c r="JD89" s="49">
        <v>2</v>
      </c>
      <c r="JE89" s="8"/>
      <c r="JF89" s="42">
        <f t="shared" si="502"/>
        <v>6</v>
      </c>
      <c r="JG89" s="43">
        <f t="shared" si="503"/>
        <v>1</v>
      </c>
      <c r="JH89" s="8"/>
      <c r="JI89" s="47">
        <v>4</v>
      </c>
      <c r="JJ89" s="48" t="s">
        <v>4</v>
      </c>
      <c r="JK89" s="49">
        <v>1</v>
      </c>
      <c r="JL89" s="8"/>
      <c r="JM89" s="42">
        <f t="shared" si="504"/>
        <v>6</v>
      </c>
      <c r="JN89" s="43">
        <f t="shared" si="505"/>
        <v>3</v>
      </c>
      <c r="JO89" s="8"/>
      <c r="JP89" s="47">
        <v>4</v>
      </c>
      <c r="JQ89" s="48" t="s">
        <v>4</v>
      </c>
      <c r="JR89" s="49">
        <v>2</v>
      </c>
      <c r="JS89" s="8"/>
      <c r="JT89" s="42">
        <f t="shared" si="506"/>
        <v>6</v>
      </c>
      <c r="JU89" s="43">
        <f t="shared" si="507"/>
        <v>2</v>
      </c>
      <c r="JV89" s="8"/>
      <c r="JW89" s="47">
        <v>4</v>
      </c>
      <c r="JX89" s="48" t="s">
        <v>4</v>
      </c>
      <c r="JY89" s="49">
        <v>0</v>
      </c>
      <c r="JZ89" s="8"/>
      <c r="KA89" s="42">
        <f t="shared" si="508"/>
        <v>6</v>
      </c>
      <c r="KB89" s="43">
        <f t="shared" si="509"/>
        <v>4</v>
      </c>
      <c r="KC89" s="8"/>
      <c r="KD89" s="47">
        <v>6</v>
      </c>
      <c r="KE89" s="48" t="s">
        <v>4</v>
      </c>
      <c r="KF89" s="49">
        <v>5</v>
      </c>
      <c r="KG89" s="8"/>
      <c r="KH89" s="42">
        <f t="shared" si="510"/>
        <v>6</v>
      </c>
      <c r="KI89" s="43">
        <f t="shared" si="511"/>
        <v>1</v>
      </c>
      <c r="KJ89" s="8"/>
      <c r="KK89" s="47">
        <v>2</v>
      </c>
      <c r="KL89" s="48" t="s">
        <v>4</v>
      </c>
      <c r="KM89" s="49">
        <v>1</v>
      </c>
      <c r="KN89" s="8"/>
      <c r="KO89" s="42">
        <f t="shared" si="512"/>
        <v>9</v>
      </c>
      <c r="KP89" s="43">
        <f t="shared" si="513"/>
        <v>1</v>
      </c>
      <c r="KQ89" s="8"/>
      <c r="KR89" s="47">
        <v>4</v>
      </c>
      <c r="KS89" s="48" t="s">
        <v>4</v>
      </c>
      <c r="KT89" s="49">
        <v>0</v>
      </c>
      <c r="KU89" s="8"/>
      <c r="KV89" s="42">
        <f t="shared" si="514"/>
        <v>6</v>
      </c>
      <c r="KW89" s="43">
        <f t="shared" si="515"/>
        <v>4</v>
      </c>
      <c r="KX89" s="8"/>
      <c r="KY89" s="47">
        <v>2</v>
      </c>
      <c r="KZ89" s="48" t="s">
        <v>4</v>
      </c>
      <c r="LA89" s="49">
        <v>1</v>
      </c>
      <c r="LB89" s="8"/>
      <c r="LC89" s="42">
        <f t="shared" si="516"/>
        <v>9</v>
      </c>
      <c r="LD89" s="43">
        <f t="shared" si="517"/>
        <v>1</v>
      </c>
      <c r="LE89" s="8"/>
      <c r="LF89" s="47">
        <v>2</v>
      </c>
      <c r="LG89" s="48" t="s">
        <v>4</v>
      </c>
      <c r="LH89" s="49">
        <v>0</v>
      </c>
      <c r="LI89" s="8"/>
      <c r="LJ89" s="42">
        <f t="shared" si="518"/>
        <v>6</v>
      </c>
      <c r="LK89" s="43">
        <f t="shared" si="519"/>
        <v>2</v>
      </c>
      <c r="LL89" s="8"/>
      <c r="LM89" s="47">
        <v>3</v>
      </c>
      <c r="LN89" s="48" t="s">
        <v>4</v>
      </c>
      <c r="LO89" s="49">
        <v>0</v>
      </c>
      <c r="LP89" s="8"/>
      <c r="LQ89" s="42">
        <f t="shared" si="520"/>
        <v>6</v>
      </c>
      <c r="LR89" s="43">
        <f t="shared" si="521"/>
        <v>3</v>
      </c>
      <c r="LS89" s="8"/>
      <c r="LT89" s="47">
        <v>3</v>
      </c>
      <c r="LU89" s="48" t="s">
        <v>4</v>
      </c>
      <c r="LV89" s="49">
        <v>0</v>
      </c>
      <c r="LW89" s="8"/>
      <c r="LX89" s="42">
        <f t="shared" si="522"/>
        <v>6</v>
      </c>
      <c r="LY89" s="43">
        <f t="shared" si="523"/>
        <v>3</v>
      </c>
      <c r="LZ89" s="8"/>
      <c r="MA89" s="47">
        <v>4</v>
      </c>
      <c r="MB89" s="48" t="s">
        <v>4</v>
      </c>
      <c r="MC89" s="49">
        <v>1</v>
      </c>
      <c r="MD89" s="8"/>
      <c r="ME89" s="42">
        <f t="shared" si="524"/>
        <v>6</v>
      </c>
      <c r="MF89" s="43">
        <f t="shared" si="525"/>
        <v>3</v>
      </c>
      <c r="MG89" s="8"/>
      <c r="MH89" s="47">
        <v>3</v>
      </c>
      <c r="MI89" s="48" t="s">
        <v>4</v>
      </c>
      <c r="MJ89" s="49">
        <v>0</v>
      </c>
      <c r="MK89" s="8"/>
      <c r="ML89" s="42">
        <f t="shared" si="526"/>
        <v>6</v>
      </c>
      <c r="MM89" s="43">
        <f t="shared" si="527"/>
        <v>3</v>
      </c>
      <c r="MN89" s="8"/>
      <c r="MO89" s="47">
        <v>3</v>
      </c>
      <c r="MP89" s="48" t="s">
        <v>4</v>
      </c>
      <c r="MQ89" s="49">
        <v>0</v>
      </c>
      <c r="MR89" s="8"/>
      <c r="MS89" s="42">
        <f t="shared" si="528"/>
        <v>6</v>
      </c>
      <c r="MT89" s="43">
        <f t="shared" si="529"/>
        <v>3</v>
      </c>
      <c r="MU89" s="8"/>
      <c r="MV89" s="47">
        <v>3</v>
      </c>
      <c r="MW89" s="48" t="s">
        <v>4</v>
      </c>
      <c r="MX89" s="49">
        <v>1</v>
      </c>
      <c r="MY89" s="8"/>
      <c r="MZ89" s="42">
        <f t="shared" si="530"/>
        <v>6</v>
      </c>
      <c r="NA89" s="43">
        <f t="shared" si="531"/>
        <v>2</v>
      </c>
      <c r="NB89" s="8"/>
      <c r="NC89" s="47">
        <v>2</v>
      </c>
      <c r="ND89" s="48" t="s">
        <v>4</v>
      </c>
      <c r="NE89" s="49">
        <v>1</v>
      </c>
      <c r="NF89" s="8"/>
      <c r="NG89" s="42">
        <f t="shared" si="532"/>
        <v>9</v>
      </c>
      <c r="NH89" s="43">
        <f t="shared" si="533"/>
        <v>1</v>
      </c>
      <c r="NI89" s="8"/>
      <c r="NJ89" s="47">
        <v>2</v>
      </c>
      <c r="NK89" s="48" t="s">
        <v>4</v>
      </c>
      <c r="NL89" s="49">
        <v>1</v>
      </c>
      <c r="NM89" s="8"/>
      <c r="NN89" s="42">
        <f t="shared" si="534"/>
        <v>9</v>
      </c>
      <c r="NO89" s="43">
        <f t="shared" si="535"/>
        <v>1</v>
      </c>
      <c r="NP89" s="8"/>
      <c r="NQ89" s="47">
        <v>3</v>
      </c>
      <c r="NR89" s="48" t="s">
        <v>4</v>
      </c>
      <c r="NS89" s="49">
        <v>0</v>
      </c>
      <c r="NT89" s="8"/>
      <c r="NU89" s="42">
        <f t="shared" si="536"/>
        <v>6</v>
      </c>
      <c r="NV89" s="43">
        <f t="shared" si="537"/>
        <v>3</v>
      </c>
      <c r="NW89" s="8"/>
      <c r="NX89" s="47">
        <v>2</v>
      </c>
      <c r="NY89" s="48" t="s">
        <v>4</v>
      </c>
      <c r="NZ89" s="49">
        <v>0</v>
      </c>
      <c r="OA89" s="8"/>
      <c r="OB89" s="42">
        <f t="shared" si="538"/>
        <v>6</v>
      </c>
      <c r="OC89" s="43">
        <f t="shared" si="539"/>
        <v>2</v>
      </c>
      <c r="OD89" s="8"/>
      <c r="OE89" s="47">
        <v>3</v>
      </c>
      <c r="OF89" s="48" t="s">
        <v>4</v>
      </c>
      <c r="OG89" s="49">
        <v>0</v>
      </c>
      <c r="OH89" s="8"/>
      <c r="OI89" s="42">
        <f t="shared" si="540"/>
        <v>6</v>
      </c>
      <c r="OJ89" s="43">
        <f t="shared" si="541"/>
        <v>3</v>
      </c>
      <c r="OK89" s="8"/>
      <c r="OL89" s="47">
        <v>3</v>
      </c>
      <c r="OM89" s="48" t="s">
        <v>4</v>
      </c>
      <c r="ON89" s="49">
        <v>0</v>
      </c>
      <c r="OO89" s="8"/>
      <c r="OP89" s="42">
        <f t="shared" si="542"/>
        <v>6</v>
      </c>
      <c r="OQ89" s="43">
        <f t="shared" si="543"/>
        <v>3</v>
      </c>
      <c r="OR89" s="8"/>
      <c r="OS89" s="47">
        <v>2</v>
      </c>
      <c r="OT89" s="48" t="s">
        <v>4</v>
      </c>
      <c r="OU89" s="49">
        <v>0</v>
      </c>
      <c r="OV89" s="8"/>
      <c r="OW89" s="42">
        <f t="shared" si="544"/>
        <v>6</v>
      </c>
      <c r="OX89" s="43">
        <f t="shared" si="545"/>
        <v>2</v>
      </c>
      <c r="OY89" s="8"/>
      <c r="OZ89" s="47">
        <v>3</v>
      </c>
      <c r="PA89" s="48" t="s">
        <v>4</v>
      </c>
      <c r="PB89" s="49">
        <v>0</v>
      </c>
      <c r="PC89" s="8"/>
      <c r="PD89" s="42">
        <f t="shared" si="546"/>
        <v>6</v>
      </c>
      <c r="PE89" s="43">
        <f t="shared" si="547"/>
        <v>3</v>
      </c>
      <c r="PF89" s="8"/>
      <c r="PG89" s="47">
        <v>2</v>
      </c>
      <c r="PH89" s="48" t="s">
        <v>4</v>
      </c>
      <c r="PI89" s="49">
        <v>0</v>
      </c>
      <c r="PJ89" s="8"/>
      <c r="PK89" s="42">
        <f t="shared" si="548"/>
        <v>6</v>
      </c>
      <c r="PL89" s="43">
        <f t="shared" si="549"/>
        <v>2</v>
      </c>
      <c r="PM89" s="8"/>
      <c r="PN89" s="47">
        <v>2</v>
      </c>
      <c r="PO89" s="48" t="s">
        <v>4</v>
      </c>
      <c r="PP89" s="49">
        <v>0</v>
      </c>
      <c r="PQ89" s="8"/>
      <c r="PR89" s="42">
        <f t="shared" si="550"/>
        <v>6</v>
      </c>
      <c r="PS89" s="43">
        <f t="shared" si="551"/>
        <v>2</v>
      </c>
      <c r="PT89" s="8"/>
      <c r="PU89" s="47">
        <v>3</v>
      </c>
      <c r="PV89" s="48" t="s">
        <v>4</v>
      </c>
      <c r="PW89" s="49">
        <v>0</v>
      </c>
      <c r="PX89" s="8"/>
      <c r="PY89" s="42">
        <f t="shared" si="552"/>
        <v>6</v>
      </c>
      <c r="PZ89" s="43">
        <f t="shared" si="553"/>
        <v>3</v>
      </c>
      <c r="QA89" s="8"/>
      <c r="QB89" s="47">
        <v>2</v>
      </c>
      <c r="QC89" s="48" t="s">
        <v>4</v>
      </c>
      <c r="QD89" s="49">
        <v>0</v>
      </c>
      <c r="QE89" s="8"/>
      <c r="QF89" s="42">
        <f t="shared" si="554"/>
        <v>6</v>
      </c>
      <c r="QG89" s="43">
        <f t="shared" si="555"/>
        <v>2</v>
      </c>
      <c r="QH89" s="8"/>
      <c r="QI89" s="47">
        <v>5</v>
      </c>
      <c r="QJ89" s="48" t="s">
        <v>4</v>
      </c>
      <c r="QK89" s="49">
        <v>1</v>
      </c>
      <c r="QL89" s="8"/>
      <c r="QM89" s="42">
        <f t="shared" si="556"/>
        <v>6</v>
      </c>
      <c r="QN89" s="43">
        <f t="shared" si="557"/>
        <v>4</v>
      </c>
      <c r="QO89" s="8"/>
      <c r="QP89" s="47">
        <v>3</v>
      </c>
      <c r="QQ89" s="48" t="s">
        <v>4</v>
      </c>
      <c r="QR89" s="49">
        <v>0</v>
      </c>
      <c r="QS89" s="8"/>
      <c r="QT89" s="42">
        <f t="shared" si="558"/>
        <v>6</v>
      </c>
      <c r="QU89" s="43">
        <f t="shared" si="559"/>
        <v>3</v>
      </c>
      <c r="QV89" s="8"/>
      <c r="QW89" s="47">
        <v>2</v>
      </c>
      <c r="QX89" s="48" t="s">
        <v>4</v>
      </c>
      <c r="QY89" s="49">
        <v>0</v>
      </c>
      <c r="QZ89" s="8"/>
      <c r="RA89" s="42">
        <f t="shared" si="560"/>
        <v>6</v>
      </c>
      <c r="RB89" s="43">
        <f t="shared" si="561"/>
        <v>2</v>
      </c>
      <c r="RC89" s="8"/>
      <c r="RD89" s="47"/>
      <c r="RE89" s="48" t="s">
        <v>4</v>
      </c>
      <c r="RF89" s="49"/>
      <c r="RG89" s="8"/>
      <c r="RH89" s="42" t="str">
        <f t="shared" si="562"/>
        <v/>
      </c>
      <c r="RI89" s="43">
        <f t="shared" si="563"/>
        <v>0</v>
      </c>
      <c r="RJ89" s="8"/>
      <c r="RK89" s="47">
        <v>3</v>
      </c>
      <c r="RL89" s="48" t="s">
        <v>4</v>
      </c>
      <c r="RM89" s="49">
        <v>0</v>
      </c>
      <c r="RN89" s="8"/>
      <c r="RO89" s="42">
        <f t="shared" si="564"/>
        <v>6</v>
      </c>
      <c r="RP89" s="43">
        <f t="shared" si="565"/>
        <v>3</v>
      </c>
      <c r="RQ89" s="8"/>
      <c r="RR89" s="47">
        <v>2</v>
      </c>
      <c r="RS89" s="48" t="s">
        <v>4</v>
      </c>
      <c r="RT89" s="49">
        <v>0</v>
      </c>
      <c r="RU89" s="8"/>
      <c r="RV89" s="42">
        <f t="shared" si="566"/>
        <v>6</v>
      </c>
      <c r="RW89" s="43">
        <f t="shared" si="567"/>
        <v>2</v>
      </c>
      <c r="RX89" s="8"/>
      <c r="RY89" s="47">
        <v>2</v>
      </c>
      <c r="RZ89" s="48" t="s">
        <v>4</v>
      </c>
      <c r="SA89" s="49">
        <v>1</v>
      </c>
      <c r="SB89" s="8"/>
      <c r="SC89" s="42">
        <f t="shared" si="568"/>
        <v>9</v>
      </c>
      <c r="SD89" s="43">
        <f t="shared" si="569"/>
        <v>1</v>
      </c>
      <c r="SE89" s="8"/>
      <c r="SF89" s="47">
        <v>6</v>
      </c>
      <c r="SG89" s="48" t="s">
        <v>4</v>
      </c>
      <c r="SH89" s="49">
        <v>7</v>
      </c>
      <c r="SI89" s="8"/>
      <c r="SJ89" s="42">
        <f t="shared" si="570"/>
        <v>0</v>
      </c>
      <c r="SK89" s="43">
        <f t="shared" si="571"/>
        <v>-1</v>
      </c>
      <c r="SL89" s="8"/>
      <c r="SM89" s="47">
        <v>1</v>
      </c>
      <c r="SN89" s="48" t="s">
        <v>4</v>
      </c>
      <c r="SO89" s="49">
        <v>2</v>
      </c>
      <c r="SP89" s="8"/>
      <c r="SQ89" s="42">
        <f t="shared" si="572"/>
        <v>0</v>
      </c>
      <c r="SR89" s="43">
        <f t="shared" si="573"/>
        <v>-1</v>
      </c>
    </row>
    <row r="90" spans="1:512" ht="16" customHeight="1" x14ac:dyDescent="0.15">
      <c r="A90" s="51">
        <v>46204</v>
      </c>
      <c r="B90" s="46">
        <v>0.91666666666666663</v>
      </c>
      <c r="C90" s="82" t="s">
        <v>11</v>
      </c>
      <c r="D90" s="83" t="s">
        <v>51</v>
      </c>
      <c r="E90" s="2">
        <v>3</v>
      </c>
      <c r="F90" s="50" t="s">
        <v>4</v>
      </c>
      <c r="G90" s="1">
        <v>2</v>
      </c>
      <c r="H90" s="16">
        <v>6</v>
      </c>
      <c r="I90" s="32">
        <f t="shared" si="429"/>
        <v>1</v>
      </c>
      <c r="J90" s="47"/>
      <c r="K90" s="48" t="s">
        <v>4</v>
      </c>
      <c r="L90" s="49"/>
      <c r="M90" s="8"/>
      <c r="N90" s="42" t="str">
        <f t="shared" si="430"/>
        <v/>
      </c>
      <c r="O90" s="43">
        <f t="shared" si="431"/>
        <v>0</v>
      </c>
      <c r="Q90" s="47">
        <v>3</v>
      </c>
      <c r="R90" s="48" t="s">
        <v>4</v>
      </c>
      <c r="S90" s="49">
        <v>1</v>
      </c>
      <c r="T90" s="8"/>
      <c r="U90" s="42">
        <f t="shared" si="432"/>
        <v>6</v>
      </c>
      <c r="V90" s="43">
        <f t="shared" si="433"/>
        <v>2</v>
      </c>
      <c r="W90" s="8"/>
      <c r="X90" s="47"/>
      <c r="Y90" s="48" t="s">
        <v>4</v>
      </c>
      <c r="Z90" s="49"/>
      <c r="AA90" s="8"/>
      <c r="AB90" s="42" t="str">
        <f t="shared" si="434"/>
        <v/>
      </c>
      <c r="AC90" s="43">
        <f t="shared" si="435"/>
        <v>0</v>
      </c>
      <c r="AD90" s="8"/>
      <c r="AE90" s="47">
        <v>1</v>
      </c>
      <c r="AF90" s="48" t="s">
        <v>4</v>
      </c>
      <c r="AG90" s="49">
        <v>3</v>
      </c>
      <c r="AH90" s="8"/>
      <c r="AI90" s="42">
        <f t="shared" si="436"/>
        <v>0</v>
      </c>
      <c r="AJ90" s="43">
        <f t="shared" si="437"/>
        <v>-2</v>
      </c>
      <c r="AK90" s="8"/>
      <c r="AL90" s="47">
        <v>2</v>
      </c>
      <c r="AM90" s="48" t="s">
        <v>4</v>
      </c>
      <c r="AN90" s="49">
        <v>1</v>
      </c>
      <c r="AO90" s="8"/>
      <c r="AP90" s="42">
        <f t="shared" si="438"/>
        <v>6</v>
      </c>
      <c r="AQ90" s="43">
        <f t="shared" si="439"/>
        <v>1</v>
      </c>
      <c r="AR90" s="8"/>
      <c r="AS90" s="47">
        <v>0</v>
      </c>
      <c r="AT90" s="48" t="s">
        <v>4</v>
      </c>
      <c r="AU90" s="49">
        <v>1</v>
      </c>
      <c r="AV90" s="8"/>
      <c r="AW90" s="42">
        <f t="shared" si="440"/>
        <v>0</v>
      </c>
      <c r="AX90" s="43">
        <f t="shared" si="441"/>
        <v>-1</v>
      </c>
      <c r="AY90" s="8"/>
      <c r="AZ90" s="47">
        <v>1</v>
      </c>
      <c r="BA90" s="48" t="s">
        <v>4</v>
      </c>
      <c r="BB90" s="49">
        <v>2</v>
      </c>
      <c r="BC90" s="8"/>
      <c r="BD90" s="42">
        <f t="shared" si="442"/>
        <v>0</v>
      </c>
      <c r="BE90" s="43">
        <f t="shared" si="443"/>
        <v>-1</v>
      </c>
      <c r="BF90" s="8"/>
      <c r="BG90" s="47">
        <v>0</v>
      </c>
      <c r="BH90" s="48" t="s">
        <v>4</v>
      </c>
      <c r="BI90" s="49">
        <v>2</v>
      </c>
      <c r="BJ90" s="8"/>
      <c r="BK90" s="42">
        <f t="shared" si="444"/>
        <v>0</v>
      </c>
      <c r="BL90" s="43">
        <f t="shared" si="445"/>
        <v>-2</v>
      </c>
      <c r="BM90" s="8"/>
      <c r="BN90" s="47">
        <v>1</v>
      </c>
      <c r="BO90" s="48" t="s">
        <v>4</v>
      </c>
      <c r="BP90" s="49">
        <v>3</v>
      </c>
      <c r="BQ90" s="8"/>
      <c r="BR90" s="42">
        <f t="shared" si="446"/>
        <v>0</v>
      </c>
      <c r="BS90" s="43">
        <f t="shared" si="447"/>
        <v>-2</v>
      </c>
      <c r="BT90" s="8"/>
      <c r="BU90" s="47">
        <v>0</v>
      </c>
      <c r="BV90" s="48" t="s">
        <v>4</v>
      </c>
      <c r="BW90" s="49">
        <v>1</v>
      </c>
      <c r="BX90" s="8"/>
      <c r="BY90" s="42">
        <f t="shared" si="448"/>
        <v>0</v>
      </c>
      <c r="BZ90" s="43">
        <f t="shared" si="449"/>
        <v>-1</v>
      </c>
      <c r="CA90" s="8"/>
      <c r="CB90" s="47"/>
      <c r="CC90" s="48" t="s">
        <v>4</v>
      </c>
      <c r="CD90" s="49"/>
      <c r="CE90" s="8"/>
      <c r="CF90" s="42" t="str">
        <f t="shared" si="450"/>
        <v/>
      </c>
      <c r="CG90" s="43">
        <f t="shared" si="451"/>
        <v>0</v>
      </c>
      <c r="CH90" s="8"/>
      <c r="CI90" s="47">
        <v>2</v>
      </c>
      <c r="CJ90" s="48" t="s">
        <v>4</v>
      </c>
      <c r="CK90" s="49">
        <v>4</v>
      </c>
      <c r="CL90" s="8"/>
      <c r="CM90" s="42">
        <f t="shared" si="452"/>
        <v>0</v>
      </c>
      <c r="CN90" s="43">
        <f t="shared" si="453"/>
        <v>-2</v>
      </c>
      <c r="CO90" s="8"/>
      <c r="CP90" s="47">
        <v>1</v>
      </c>
      <c r="CQ90" s="48" t="s">
        <v>4</v>
      </c>
      <c r="CR90" s="49">
        <v>0</v>
      </c>
      <c r="CS90" s="8"/>
      <c r="CT90" s="42">
        <f t="shared" si="454"/>
        <v>6</v>
      </c>
      <c r="CU90" s="43">
        <f t="shared" si="455"/>
        <v>1</v>
      </c>
      <c r="CV90" s="8"/>
      <c r="CW90" s="47">
        <v>4</v>
      </c>
      <c r="CX90" s="48" t="s">
        <v>4</v>
      </c>
      <c r="CY90" s="49">
        <v>3</v>
      </c>
      <c r="CZ90" s="8"/>
      <c r="DA90" s="42">
        <f t="shared" si="456"/>
        <v>6</v>
      </c>
      <c r="DB90" s="43">
        <f t="shared" si="457"/>
        <v>1</v>
      </c>
      <c r="DC90" s="8"/>
      <c r="DD90" s="47">
        <v>0</v>
      </c>
      <c r="DE90" s="48" t="s">
        <v>4</v>
      </c>
      <c r="DF90" s="49">
        <v>2</v>
      </c>
      <c r="DG90" s="8"/>
      <c r="DH90" s="42">
        <f t="shared" si="458"/>
        <v>0</v>
      </c>
      <c r="DI90" s="43">
        <f t="shared" si="459"/>
        <v>-2</v>
      </c>
      <c r="DJ90" s="8"/>
      <c r="DK90" s="47">
        <v>1</v>
      </c>
      <c r="DL90" s="48" t="s">
        <v>4</v>
      </c>
      <c r="DM90" s="49">
        <v>0</v>
      </c>
      <c r="DN90" s="8"/>
      <c r="DO90" s="42">
        <f t="shared" si="460"/>
        <v>6</v>
      </c>
      <c r="DP90" s="43">
        <f t="shared" si="461"/>
        <v>1</v>
      </c>
      <c r="DQ90" s="8"/>
      <c r="DR90" s="47">
        <v>1</v>
      </c>
      <c r="DS90" s="48" t="s">
        <v>4</v>
      </c>
      <c r="DT90" s="49">
        <v>0</v>
      </c>
      <c r="DU90" s="8"/>
      <c r="DV90" s="42">
        <f t="shared" si="462"/>
        <v>6</v>
      </c>
      <c r="DW90" s="43">
        <f t="shared" si="463"/>
        <v>1</v>
      </c>
      <c r="DX90" s="8"/>
      <c r="DY90" s="47">
        <v>3</v>
      </c>
      <c r="DZ90" s="48" t="s">
        <v>4</v>
      </c>
      <c r="EA90" s="49">
        <v>2</v>
      </c>
      <c r="EB90" s="8"/>
      <c r="EC90" s="42">
        <f t="shared" si="464"/>
        <v>9</v>
      </c>
      <c r="ED90" s="43">
        <f t="shared" si="465"/>
        <v>1</v>
      </c>
      <c r="EE90" s="8"/>
      <c r="EF90" s="47">
        <v>1</v>
      </c>
      <c r="EG90" s="48" t="s">
        <v>4</v>
      </c>
      <c r="EH90" s="49">
        <v>2</v>
      </c>
      <c r="EI90" s="8"/>
      <c r="EJ90" s="42">
        <f t="shared" si="466"/>
        <v>0</v>
      </c>
      <c r="EK90" s="43">
        <f t="shared" si="467"/>
        <v>-1</v>
      </c>
      <c r="EL90" s="8"/>
      <c r="EM90" s="47">
        <v>1</v>
      </c>
      <c r="EN90" s="48" t="s">
        <v>4</v>
      </c>
      <c r="EO90" s="49">
        <v>2</v>
      </c>
      <c r="EP90" s="8"/>
      <c r="EQ90" s="42">
        <f t="shared" si="468"/>
        <v>0</v>
      </c>
      <c r="ER90" s="43">
        <f t="shared" si="469"/>
        <v>-1</v>
      </c>
      <c r="ES90" s="8"/>
      <c r="ET90" s="47">
        <v>2</v>
      </c>
      <c r="EU90" s="48" t="s">
        <v>4</v>
      </c>
      <c r="EV90" s="49">
        <v>3</v>
      </c>
      <c r="EW90" s="8"/>
      <c r="EX90" s="42">
        <f t="shared" si="470"/>
        <v>0</v>
      </c>
      <c r="EY90" s="43">
        <f t="shared" si="471"/>
        <v>-1</v>
      </c>
      <c r="EZ90" s="8"/>
      <c r="FA90" s="47">
        <v>2</v>
      </c>
      <c r="FB90" s="48" t="s">
        <v>4</v>
      </c>
      <c r="FC90" s="49">
        <v>0</v>
      </c>
      <c r="FD90" s="8"/>
      <c r="FE90" s="42">
        <f t="shared" si="472"/>
        <v>6</v>
      </c>
      <c r="FF90" s="43">
        <f t="shared" si="473"/>
        <v>2</v>
      </c>
      <c r="FG90" s="8"/>
      <c r="FH90" s="47">
        <v>1</v>
      </c>
      <c r="FI90" s="48" t="s">
        <v>4</v>
      </c>
      <c r="FJ90" s="49">
        <v>2</v>
      </c>
      <c r="FK90" s="8"/>
      <c r="FL90" s="42">
        <f t="shared" si="474"/>
        <v>0</v>
      </c>
      <c r="FM90" s="43">
        <f t="shared" si="475"/>
        <v>-1</v>
      </c>
      <c r="FN90" s="8"/>
      <c r="FO90" s="47">
        <v>2</v>
      </c>
      <c r="FP90" s="48" t="s">
        <v>4</v>
      </c>
      <c r="FQ90" s="49">
        <v>1</v>
      </c>
      <c r="FR90" s="8"/>
      <c r="FS90" s="42">
        <f t="shared" si="476"/>
        <v>6</v>
      </c>
      <c r="FT90" s="43">
        <f t="shared" si="477"/>
        <v>1</v>
      </c>
      <c r="FU90" s="8"/>
      <c r="FV90" s="47">
        <v>1</v>
      </c>
      <c r="FW90" s="48" t="s">
        <v>4</v>
      </c>
      <c r="FX90" s="49">
        <v>3</v>
      </c>
      <c r="FY90" s="8"/>
      <c r="FZ90" s="42">
        <f t="shared" si="478"/>
        <v>0</v>
      </c>
      <c r="GA90" s="43">
        <f t="shared" si="479"/>
        <v>-2</v>
      </c>
      <c r="GB90" s="8"/>
      <c r="GC90" s="47">
        <v>2</v>
      </c>
      <c r="GD90" s="48" t="s">
        <v>4</v>
      </c>
      <c r="GE90" s="49">
        <v>1</v>
      </c>
      <c r="GF90" s="8"/>
      <c r="GG90" s="42">
        <f t="shared" si="480"/>
        <v>6</v>
      </c>
      <c r="GH90" s="43">
        <f t="shared" si="481"/>
        <v>1</v>
      </c>
      <c r="GI90" s="8"/>
      <c r="GJ90" s="47">
        <v>3</v>
      </c>
      <c r="GK90" s="48" t="s">
        <v>4</v>
      </c>
      <c r="GL90" s="49">
        <v>1</v>
      </c>
      <c r="GM90" s="8"/>
      <c r="GN90" s="42">
        <f t="shared" si="482"/>
        <v>6</v>
      </c>
      <c r="GO90" s="43">
        <f t="shared" si="483"/>
        <v>2</v>
      </c>
      <c r="GP90" s="8"/>
      <c r="GQ90" s="47">
        <v>2</v>
      </c>
      <c r="GR90" s="48" t="s">
        <v>4</v>
      </c>
      <c r="GS90" s="49">
        <v>1</v>
      </c>
      <c r="GT90" s="8"/>
      <c r="GU90" s="42">
        <f t="shared" si="484"/>
        <v>6</v>
      </c>
      <c r="GV90" s="43">
        <f t="shared" si="485"/>
        <v>1</v>
      </c>
      <c r="GW90" s="8"/>
      <c r="GX90" s="47">
        <v>5</v>
      </c>
      <c r="GY90" s="48" t="s">
        <v>4</v>
      </c>
      <c r="GZ90" s="49">
        <v>4</v>
      </c>
      <c r="HA90" s="8"/>
      <c r="HB90" s="42">
        <f t="shared" si="486"/>
        <v>6</v>
      </c>
      <c r="HC90" s="43">
        <f t="shared" si="487"/>
        <v>1</v>
      </c>
      <c r="HD90" s="8"/>
      <c r="HE90" s="47">
        <v>2</v>
      </c>
      <c r="HF90" s="48" t="s">
        <v>4</v>
      </c>
      <c r="HG90" s="49">
        <v>1</v>
      </c>
      <c r="HH90" s="8"/>
      <c r="HI90" s="42">
        <f t="shared" si="488"/>
        <v>6</v>
      </c>
      <c r="HJ90" s="43">
        <f t="shared" si="489"/>
        <v>1</v>
      </c>
      <c r="HK90" s="8"/>
      <c r="HL90" s="47">
        <v>5</v>
      </c>
      <c r="HM90" s="48" t="s">
        <v>4</v>
      </c>
      <c r="HN90" s="49">
        <v>4</v>
      </c>
      <c r="HO90" s="8"/>
      <c r="HP90" s="42">
        <f t="shared" si="490"/>
        <v>6</v>
      </c>
      <c r="HQ90" s="43">
        <f t="shared" si="491"/>
        <v>1</v>
      </c>
      <c r="HR90" s="8"/>
      <c r="HS90" s="47">
        <v>1</v>
      </c>
      <c r="HT90" s="48" t="s">
        <v>4</v>
      </c>
      <c r="HU90" s="49">
        <v>0</v>
      </c>
      <c r="HV90" s="8"/>
      <c r="HW90" s="42">
        <f t="shared" si="492"/>
        <v>6</v>
      </c>
      <c r="HX90" s="43">
        <f t="shared" si="493"/>
        <v>1</v>
      </c>
      <c r="HY90" s="8"/>
      <c r="HZ90" s="47">
        <v>1</v>
      </c>
      <c r="IA90" s="48" t="s">
        <v>4</v>
      </c>
      <c r="IB90" s="49">
        <v>2</v>
      </c>
      <c r="IC90" s="8"/>
      <c r="ID90" s="42">
        <f t="shared" si="494"/>
        <v>0</v>
      </c>
      <c r="IE90" s="43">
        <f t="shared" si="495"/>
        <v>-1</v>
      </c>
      <c r="IF90" s="8"/>
      <c r="IG90" s="47">
        <v>2</v>
      </c>
      <c r="IH90" s="48" t="s">
        <v>4</v>
      </c>
      <c r="II90" s="49">
        <v>1</v>
      </c>
      <c r="IJ90" s="8"/>
      <c r="IK90" s="42">
        <f t="shared" si="496"/>
        <v>6</v>
      </c>
      <c r="IL90" s="43">
        <f t="shared" si="497"/>
        <v>1</v>
      </c>
      <c r="IM90" s="8"/>
      <c r="IN90" s="47">
        <v>4</v>
      </c>
      <c r="IO90" s="48" t="s">
        <v>4</v>
      </c>
      <c r="IP90" s="49">
        <v>5</v>
      </c>
      <c r="IQ90" s="8"/>
      <c r="IR90" s="42">
        <f t="shared" si="498"/>
        <v>0</v>
      </c>
      <c r="IS90" s="43">
        <f t="shared" si="499"/>
        <v>-1</v>
      </c>
      <c r="IT90" s="8"/>
      <c r="IU90" s="47">
        <v>2</v>
      </c>
      <c r="IV90" s="48" t="s">
        <v>4</v>
      </c>
      <c r="IW90" s="49">
        <v>0</v>
      </c>
      <c r="IX90" s="8"/>
      <c r="IY90" s="42">
        <f t="shared" si="500"/>
        <v>6</v>
      </c>
      <c r="IZ90" s="43">
        <f t="shared" si="501"/>
        <v>2</v>
      </c>
      <c r="JA90" s="8"/>
      <c r="JB90" s="47">
        <v>1</v>
      </c>
      <c r="JC90" s="48" t="s">
        <v>4</v>
      </c>
      <c r="JD90" s="49">
        <v>0</v>
      </c>
      <c r="JE90" s="8"/>
      <c r="JF90" s="42">
        <f t="shared" si="502"/>
        <v>6</v>
      </c>
      <c r="JG90" s="43">
        <f t="shared" si="503"/>
        <v>1</v>
      </c>
      <c r="JH90" s="8"/>
      <c r="JI90" s="47">
        <v>3</v>
      </c>
      <c r="JJ90" s="48" t="s">
        <v>4</v>
      </c>
      <c r="JK90" s="49">
        <v>2</v>
      </c>
      <c r="JL90" s="8"/>
      <c r="JM90" s="42">
        <f t="shared" si="504"/>
        <v>9</v>
      </c>
      <c r="JN90" s="43">
        <f t="shared" si="505"/>
        <v>1</v>
      </c>
      <c r="JO90" s="8"/>
      <c r="JP90" s="47">
        <v>1</v>
      </c>
      <c r="JQ90" s="48" t="s">
        <v>4</v>
      </c>
      <c r="JR90" s="49">
        <v>2</v>
      </c>
      <c r="JS90" s="8"/>
      <c r="JT90" s="42">
        <f t="shared" si="506"/>
        <v>0</v>
      </c>
      <c r="JU90" s="43">
        <f t="shared" si="507"/>
        <v>-1</v>
      </c>
      <c r="JV90" s="8"/>
      <c r="JW90" s="47">
        <v>1</v>
      </c>
      <c r="JX90" s="48" t="s">
        <v>4</v>
      </c>
      <c r="JY90" s="49">
        <v>0</v>
      </c>
      <c r="JZ90" s="8"/>
      <c r="KA90" s="42">
        <f t="shared" si="508"/>
        <v>6</v>
      </c>
      <c r="KB90" s="43">
        <f t="shared" si="509"/>
        <v>1</v>
      </c>
      <c r="KC90" s="8"/>
      <c r="KD90" s="47">
        <v>2</v>
      </c>
      <c r="KE90" s="48" t="s">
        <v>4</v>
      </c>
      <c r="KF90" s="49">
        <v>1</v>
      </c>
      <c r="KG90" s="8"/>
      <c r="KH90" s="42">
        <f t="shared" si="510"/>
        <v>6</v>
      </c>
      <c r="KI90" s="43">
        <f t="shared" si="511"/>
        <v>1</v>
      </c>
      <c r="KJ90" s="8"/>
      <c r="KK90" s="47">
        <v>1</v>
      </c>
      <c r="KL90" s="48" t="s">
        <v>4</v>
      </c>
      <c r="KM90" s="49">
        <v>0</v>
      </c>
      <c r="KN90" s="8"/>
      <c r="KO90" s="42">
        <f t="shared" si="512"/>
        <v>6</v>
      </c>
      <c r="KP90" s="43">
        <f t="shared" si="513"/>
        <v>1</v>
      </c>
      <c r="KQ90" s="8"/>
      <c r="KR90" s="47">
        <v>3</v>
      </c>
      <c r="KS90" s="48" t="s">
        <v>4</v>
      </c>
      <c r="KT90" s="49">
        <v>1</v>
      </c>
      <c r="KU90" s="8"/>
      <c r="KV90" s="42">
        <f t="shared" si="514"/>
        <v>6</v>
      </c>
      <c r="KW90" s="43">
        <f t="shared" si="515"/>
        <v>2</v>
      </c>
      <c r="KX90" s="8"/>
      <c r="KY90" s="47">
        <v>2</v>
      </c>
      <c r="KZ90" s="48" t="s">
        <v>4</v>
      </c>
      <c r="LA90" s="49">
        <v>1</v>
      </c>
      <c r="LB90" s="8"/>
      <c r="LC90" s="42">
        <f t="shared" si="516"/>
        <v>6</v>
      </c>
      <c r="LD90" s="43">
        <f t="shared" si="517"/>
        <v>1</v>
      </c>
      <c r="LE90" s="8"/>
      <c r="LF90" s="47">
        <v>0</v>
      </c>
      <c r="LG90" s="48" t="s">
        <v>4</v>
      </c>
      <c r="LH90" s="49">
        <v>1</v>
      </c>
      <c r="LI90" s="8"/>
      <c r="LJ90" s="42">
        <f t="shared" si="518"/>
        <v>0</v>
      </c>
      <c r="LK90" s="43">
        <f t="shared" si="519"/>
        <v>-1</v>
      </c>
      <c r="LL90" s="8"/>
      <c r="LM90" s="47">
        <v>3</v>
      </c>
      <c r="LN90" s="48" t="s">
        <v>4</v>
      </c>
      <c r="LO90" s="49">
        <v>1</v>
      </c>
      <c r="LP90" s="8"/>
      <c r="LQ90" s="42">
        <f t="shared" si="520"/>
        <v>6</v>
      </c>
      <c r="LR90" s="43">
        <f t="shared" si="521"/>
        <v>2</v>
      </c>
      <c r="LS90" s="8"/>
      <c r="LT90" s="47">
        <v>1</v>
      </c>
      <c r="LU90" s="48" t="s">
        <v>4</v>
      </c>
      <c r="LV90" s="49">
        <v>2</v>
      </c>
      <c r="LW90" s="8"/>
      <c r="LX90" s="42">
        <f t="shared" si="522"/>
        <v>0</v>
      </c>
      <c r="LY90" s="43">
        <f t="shared" si="523"/>
        <v>-1</v>
      </c>
      <c r="LZ90" s="8"/>
      <c r="MA90" s="47">
        <v>1</v>
      </c>
      <c r="MB90" s="48" t="s">
        <v>4</v>
      </c>
      <c r="MC90" s="49">
        <v>2</v>
      </c>
      <c r="MD90" s="8"/>
      <c r="ME90" s="42">
        <f t="shared" si="524"/>
        <v>0</v>
      </c>
      <c r="MF90" s="43">
        <f t="shared" si="525"/>
        <v>-1</v>
      </c>
      <c r="MG90" s="8"/>
      <c r="MH90" s="47">
        <v>2</v>
      </c>
      <c r="MI90" s="48" t="s">
        <v>4</v>
      </c>
      <c r="MJ90" s="49">
        <v>1</v>
      </c>
      <c r="MK90" s="8"/>
      <c r="ML90" s="42">
        <f t="shared" si="526"/>
        <v>6</v>
      </c>
      <c r="MM90" s="43">
        <f t="shared" si="527"/>
        <v>1</v>
      </c>
      <c r="MN90" s="8"/>
      <c r="MO90" s="47">
        <v>2</v>
      </c>
      <c r="MP90" s="48" t="s">
        <v>4</v>
      </c>
      <c r="MQ90" s="49">
        <v>0</v>
      </c>
      <c r="MR90" s="8"/>
      <c r="MS90" s="42">
        <f t="shared" si="528"/>
        <v>6</v>
      </c>
      <c r="MT90" s="43">
        <f t="shared" si="529"/>
        <v>2</v>
      </c>
      <c r="MU90" s="8"/>
      <c r="MV90" s="47">
        <v>2</v>
      </c>
      <c r="MW90" s="48" t="s">
        <v>4</v>
      </c>
      <c r="MX90" s="49">
        <v>1</v>
      </c>
      <c r="MY90" s="8"/>
      <c r="MZ90" s="42">
        <f t="shared" si="530"/>
        <v>6</v>
      </c>
      <c r="NA90" s="43">
        <f t="shared" si="531"/>
        <v>1</v>
      </c>
      <c r="NB90" s="8"/>
      <c r="NC90" s="47">
        <v>2</v>
      </c>
      <c r="ND90" s="48" t="s">
        <v>4</v>
      </c>
      <c r="NE90" s="49">
        <v>0</v>
      </c>
      <c r="NF90" s="8"/>
      <c r="NG90" s="42">
        <f t="shared" si="532"/>
        <v>6</v>
      </c>
      <c r="NH90" s="43">
        <f t="shared" si="533"/>
        <v>2</v>
      </c>
      <c r="NI90" s="8"/>
      <c r="NJ90" s="47">
        <v>3</v>
      </c>
      <c r="NK90" s="48" t="s">
        <v>4</v>
      </c>
      <c r="NL90" s="49">
        <v>1</v>
      </c>
      <c r="NM90" s="8"/>
      <c r="NN90" s="42">
        <f t="shared" si="534"/>
        <v>6</v>
      </c>
      <c r="NO90" s="43">
        <f t="shared" si="535"/>
        <v>2</v>
      </c>
      <c r="NP90" s="8"/>
      <c r="NQ90" s="47">
        <v>1</v>
      </c>
      <c r="NR90" s="48" t="s">
        <v>4</v>
      </c>
      <c r="NS90" s="49">
        <v>0</v>
      </c>
      <c r="NT90" s="8"/>
      <c r="NU90" s="42">
        <f t="shared" si="536"/>
        <v>6</v>
      </c>
      <c r="NV90" s="43">
        <f t="shared" si="537"/>
        <v>1</v>
      </c>
      <c r="NW90" s="8"/>
      <c r="NX90" s="47">
        <v>5</v>
      </c>
      <c r="NY90" s="48" t="s">
        <v>4</v>
      </c>
      <c r="NZ90" s="49">
        <v>3</v>
      </c>
      <c r="OA90" s="8"/>
      <c r="OB90" s="42">
        <f t="shared" si="538"/>
        <v>6</v>
      </c>
      <c r="OC90" s="43">
        <f t="shared" si="539"/>
        <v>2</v>
      </c>
      <c r="OD90" s="8"/>
      <c r="OE90" s="47">
        <v>3</v>
      </c>
      <c r="OF90" s="48" t="s">
        <v>4</v>
      </c>
      <c r="OG90" s="49">
        <v>1</v>
      </c>
      <c r="OH90" s="8"/>
      <c r="OI90" s="42">
        <f t="shared" si="540"/>
        <v>6</v>
      </c>
      <c r="OJ90" s="43">
        <f t="shared" si="541"/>
        <v>2</v>
      </c>
      <c r="OK90" s="8"/>
      <c r="OL90" s="47">
        <v>2</v>
      </c>
      <c r="OM90" s="48" t="s">
        <v>4</v>
      </c>
      <c r="ON90" s="49">
        <v>1</v>
      </c>
      <c r="OO90" s="8"/>
      <c r="OP90" s="42">
        <f t="shared" si="542"/>
        <v>6</v>
      </c>
      <c r="OQ90" s="43">
        <f t="shared" si="543"/>
        <v>1</v>
      </c>
      <c r="OR90" s="8"/>
      <c r="OS90" s="47">
        <v>4</v>
      </c>
      <c r="OT90" s="48" t="s">
        <v>4</v>
      </c>
      <c r="OU90" s="49">
        <v>0</v>
      </c>
      <c r="OV90" s="8"/>
      <c r="OW90" s="42">
        <f t="shared" si="544"/>
        <v>6</v>
      </c>
      <c r="OX90" s="43">
        <f t="shared" si="545"/>
        <v>4</v>
      </c>
      <c r="OY90" s="8"/>
      <c r="OZ90" s="47">
        <v>1</v>
      </c>
      <c r="PA90" s="48" t="s">
        <v>4</v>
      </c>
      <c r="PB90" s="49">
        <v>2</v>
      </c>
      <c r="PC90" s="8"/>
      <c r="PD90" s="42">
        <f t="shared" si="546"/>
        <v>0</v>
      </c>
      <c r="PE90" s="43">
        <f t="shared" si="547"/>
        <v>-1</v>
      </c>
      <c r="PF90" s="8"/>
      <c r="PG90" s="47">
        <v>1</v>
      </c>
      <c r="PH90" s="48" t="s">
        <v>4</v>
      </c>
      <c r="PI90" s="49">
        <v>2</v>
      </c>
      <c r="PJ90" s="8"/>
      <c r="PK90" s="42">
        <f t="shared" si="548"/>
        <v>0</v>
      </c>
      <c r="PL90" s="43">
        <f t="shared" si="549"/>
        <v>-1</v>
      </c>
      <c r="PM90" s="8"/>
      <c r="PN90" s="47">
        <v>2</v>
      </c>
      <c r="PO90" s="48" t="s">
        <v>4</v>
      </c>
      <c r="PP90" s="49">
        <v>1</v>
      </c>
      <c r="PQ90" s="8"/>
      <c r="PR90" s="42">
        <f t="shared" si="550"/>
        <v>6</v>
      </c>
      <c r="PS90" s="43">
        <f t="shared" si="551"/>
        <v>1</v>
      </c>
      <c r="PT90" s="8"/>
      <c r="PU90" s="47">
        <v>1</v>
      </c>
      <c r="PV90" s="48" t="s">
        <v>4</v>
      </c>
      <c r="PW90" s="49">
        <v>2</v>
      </c>
      <c r="PX90" s="8"/>
      <c r="PY90" s="42">
        <f t="shared" si="552"/>
        <v>0</v>
      </c>
      <c r="PZ90" s="43">
        <f t="shared" si="553"/>
        <v>-1</v>
      </c>
      <c r="QA90" s="8"/>
      <c r="QB90" s="47">
        <v>2</v>
      </c>
      <c r="QC90" s="48" t="s">
        <v>4</v>
      </c>
      <c r="QD90" s="49">
        <v>1</v>
      </c>
      <c r="QE90" s="8"/>
      <c r="QF90" s="42">
        <f t="shared" si="554"/>
        <v>6</v>
      </c>
      <c r="QG90" s="43">
        <f t="shared" si="555"/>
        <v>1</v>
      </c>
      <c r="QH90" s="8"/>
      <c r="QI90" s="47">
        <v>1</v>
      </c>
      <c r="QJ90" s="48" t="s">
        <v>4</v>
      </c>
      <c r="QK90" s="49">
        <v>0</v>
      </c>
      <c r="QL90" s="8"/>
      <c r="QM90" s="42">
        <f t="shared" si="556"/>
        <v>6</v>
      </c>
      <c r="QN90" s="43">
        <f t="shared" si="557"/>
        <v>1</v>
      </c>
      <c r="QO90" s="8"/>
      <c r="QP90" s="47">
        <v>1</v>
      </c>
      <c r="QQ90" s="48" t="s">
        <v>4</v>
      </c>
      <c r="QR90" s="49">
        <v>3</v>
      </c>
      <c r="QS90" s="8"/>
      <c r="QT90" s="42">
        <f t="shared" si="558"/>
        <v>0</v>
      </c>
      <c r="QU90" s="43">
        <f t="shared" si="559"/>
        <v>-2</v>
      </c>
      <c r="QV90" s="8"/>
      <c r="QW90" s="47">
        <v>1</v>
      </c>
      <c r="QX90" s="48" t="s">
        <v>4</v>
      </c>
      <c r="QY90" s="49">
        <v>0</v>
      </c>
      <c r="QZ90" s="8"/>
      <c r="RA90" s="42">
        <f t="shared" si="560"/>
        <v>6</v>
      </c>
      <c r="RB90" s="43">
        <f t="shared" si="561"/>
        <v>1</v>
      </c>
      <c r="RC90" s="8"/>
      <c r="RD90" s="47"/>
      <c r="RE90" s="48" t="s">
        <v>4</v>
      </c>
      <c r="RF90" s="49"/>
      <c r="RG90" s="8"/>
      <c r="RH90" s="42" t="str">
        <f t="shared" si="562"/>
        <v/>
      </c>
      <c r="RI90" s="43">
        <f t="shared" si="563"/>
        <v>0</v>
      </c>
      <c r="RJ90" s="8"/>
      <c r="RK90" s="47">
        <v>2</v>
      </c>
      <c r="RL90" s="48" t="s">
        <v>4</v>
      </c>
      <c r="RM90" s="49">
        <v>1</v>
      </c>
      <c r="RN90" s="8"/>
      <c r="RO90" s="42">
        <f t="shared" si="564"/>
        <v>6</v>
      </c>
      <c r="RP90" s="43">
        <f t="shared" si="565"/>
        <v>1</v>
      </c>
      <c r="RQ90" s="8"/>
      <c r="RR90" s="47">
        <v>1</v>
      </c>
      <c r="RS90" s="48" t="s">
        <v>4</v>
      </c>
      <c r="RT90" s="49">
        <v>2</v>
      </c>
      <c r="RU90" s="8"/>
      <c r="RV90" s="42">
        <f t="shared" si="566"/>
        <v>0</v>
      </c>
      <c r="RW90" s="43">
        <f t="shared" si="567"/>
        <v>-1</v>
      </c>
      <c r="RX90" s="8"/>
      <c r="RY90" s="47">
        <v>1</v>
      </c>
      <c r="RZ90" s="48" t="s">
        <v>4</v>
      </c>
      <c r="SA90" s="49">
        <v>4</v>
      </c>
      <c r="SB90" s="8"/>
      <c r="SC90" s="42">
        <f t="shared" si="568"/>
        <v>0</v>
      </c>
      <c r="SD90" s="43">
        <f t="shared" si="569"/>
        <v>-3</v>
      </c>
      <c r="SE90" s="8"/>
      <c r="SF90" s="47">
        <v>1</v>
      </c>
      <c r="SG90" s="48" t="s">
        <v>4</v>
      </c>
      <c r="SH90" s="49">
        <v>3</v>
      </c>
      <c r="SI90" s="8"/>
      <c r="SJ90" s="42">
        <f t="shared" si="570"/>
        <v>0</v>
      </c>
      <c r="SK90" s="43">
        <f t="shared" si="571"/>
        <v>-2</v>
      </c>
      <c r="SL90" s="8"/>
      <c r="SM90" s="47">
        <v>1</v>
      </c>
      <c r="SN90" s="48" t="s">
        <v>4</v>
      </c>
      <c r="SO90" s="49">
        <v>3</v>
      </c>
      <c r="SP90" s="8"/>
      <c r="SQ90" s="42">
        <f t="shared" si="572"/>
        <v>0</v>
      </c>
      <c r="SR90" s="43">
        <f t="shared" si="573"/>
        <v>-2</v>
      </c>
    </row>
    <row r="91" spans="1:512" ht="16" customHeight="1" x14ac:dyDescent="0.15">
      <c r="A91" s="51">
        <v>46205</v>
      </c>
      <c r="B91" s="46">
        <v>8.3333333333333329E-2</v>
      </c>
      <c r="C91" s="82" t="s">
        <v>32</v>
      </c>
      <c r="D91" s="82" t="s">
        <v>627</v>
      </c>
      <c r="E91" s="2">
        <v>2</v>
      </c>
      <c r="F91" s="50" t="s">
        <v>4</v>
      </c>
      <c r="G91" s="1">
        <v>0</v>
      </c>
      <c r="H91" s="45">
        <v>0.2</v>
      </c>
      <c r="I91" s="32">
        <f t="shared" si="429"/>
        <v>2</v>
      </c>
      <c r="J91" s="47"/>
      <c r="K91" s="48" t="s">
        <v>4</v>
      </c>
      <c r="L91" s="49"/>
      <c r="M91" s="8"/>
      <c r="N91" s="42" t="str">
        <f t="shared" si="430"/>
        <v/>
      </c>
      <c r="O91" s="43">
        <f t="shared" si="431"/>
        <v>0</v>
      </c>
      <c r="Q91" s="47">
        <v>0</v>
      </c>
      <c r="R91" s="48" t="s">
        <v>4</v>
      </c>
      <c r="S91" s="49">
        <v>10</v>
      </c>
      <c r="T91" s="8"/>
      <c r="U91" s="42">
        <f t="shared" si="432"/>
        <v>0</v>
      </c>
      <c r="V91" s="43">
        <f t="shared" si="433"/>
        <v>-10</v>
      </c>
      <c r="W91" s="8"/>
      <c r="X91" s="47"/>
      <c r="Y91" s="48" t="s">
        <v>4</v>
      </c>
      <c r="Z91" s="49"/>
      <c r="AA91" s="8"/>
      <c r="AB91" s="42" t="str">
        <f t="shared" si="434"/>
        <v/>
      </c>
      <c r="AC91" s="43">
        <f t="shared" si="435"/>
        <v>0</v>
      </c>
      <c r="AD91" s="8"/>
      <c r="AE91" s="47">
        <v>1</v>
      </c>
      <c r="AF91" s="48" t="s">
        <v>4</v>
      </c>
      <c r="AG91" s="49">
        <v>2</v>
      </c>
      <c r="AH91" s="8"/>
      <c r="AI91" s="42">
        <f t="shared" si="436"/>
        <v>0</v>
      </c>
      <c r="AJ91" s="43">
        <f t="shared" si="437"/>
        <v>-1</v>
      </c>
      <c r="AK91" s="8"/>
      <c r="AL91" s="47">
        <v>2</v>
      </c>
      <c r="AM91" s="48" t="s">
        <v>4</v>
      </c>
      <c r="AN91" s="49">
        <v>0</v>
      </c>
      <c r="AO91" s="8"/>
      <c r="AP91" s="42">
        <f t="shared" si="438"/>
        <v>0.30000000000000004</v>
      </c>
      <c r="AQ91" s="43">
        <f t="shared" si="439"/>
        <v>2</v>
      </c>
      <c r="AR91" s="8"/>
      <c r="AS91" s="47">
        <v>0</v>
      </c>
      <c r="AT91" s="48" t="s">
        <v>4</v>
      </c>
      <c r="AU91" s="49">
        <v>1</v>
      </c>
      <c r="AV91" s="8"/>
      <c r="AW91" s="42">
        <f t="shared" si="440"/>
        <v>0</v>
      </c>
      <c r="AX91" s="43">
        <f t="shared" si="441"/>
        <v>-1</v>
      </c>
      <c r="AY91" s="8"/>
      <c r="AZ91" s="47">
        <v>2</v>
      </c>
      <c r="BA91" s="48" t="s">
        <v>4</v>
      </c>
      <c r="BB91" s="49">
        <v>1</v>
      </c>
      <c r="BC91" s="8"/>
      <c r="BD91" s="42">
        <f t="shared" si="442"/>
        <v>0.2</v>
      </c>
      <c r="BE91" s="43">
        <f t="shared" si="443"/>
        <v>1</v>
      </c>
      <c r="BF91" s="8"/>
      <c r="BG91" s="47">
        <v>1</v>
      </c>
      <c r="BH91" s="48" t="s">
        <v>4</v>
      </c>
      <c r="BI91" s="49">
        <v>0</v>
      </c>
      <c r="BJ91" s="8"/>
      <c r="BK91" s="42">
        <f t="shared" si="444"/>
        <v>0.2</v>
      </c>
      <c r="BL91" s="43">
        <f t="shared" si="445"/>
        <v>1</v>
      </c>
      <c r="BM91" s="8"/>
      <c r="BN91" s="47">
        <v>2</v>
      </c>
      <c r="BO91" s="48" t="s">
        <v>4</v>
      </c>
      <c r="BP91" s="49">
        <v>0</v>
      </c>
      <c r="BQ91" s="8"/>
      <c r="BR91" s="42">
        <f t="shared" si="446"/>
        <v>0.30000000000000004</v>
      </c>
      <c r="BS91" s="43">
        <f t="shared" si="447"/>
        <v>2</v>
      </c>
      <c r="BT91" s="8"/>
      <c r="BU91" s="47">
        <v>0</v>
      </c>
      <c r="BV91" s="48" t="s">
        <v>4</v>
      </c>
      <c r="BW91" s="49">
        <v>2</v>
      </c>
      <c r="BX91" s="8"/>
      <c r="BY91" s="42">
        <f t="shared" si="448"/>
        <v>0</v>
      </c>
      <c r="BZ91" s="43">
        <f t="shared" si="449"/>
        <v>-2</v>
      </c>
      <c r="CA91" s="8"/>
      <c r="CB91" s="47"/>
      <c r="CC91" s="48" t="s">
        <v>4</v>
      </c>
      <c r="CD91" s="49"/>
      <c r="CE91" s="8"/>
      <c r="CF91" s="42" t="str">
        <f t="shared" si="450"/>
        <v/>
      </c>
      <c r="CG91" s="43">
        <f t="shared" si="451"/>
        <v>0</v>
      </c>
      <c r="CH91" s="8"/>
      <c r="CI91" s="47">
        <v>2</v>
      </c>
      <c r="CJ91" s="48" t="s">
        <v>4</v>
      </c>
      <c r="CK91" s="49">
        <v>0</v>
      </c>
      <c r="CL91" s="8"/>
      <c r="CM91" s="42">
        <f t="shared" si="452"/>
        <v>0.30000000000000004</v>
      </c>
      <c r="CN91" s="43">
        <f t="shared" si="453"/>
        <v>2</v>
      </c>
      <c r="CO91" s="8"/>
      <c r="CP91" s="47">
        <v>6</v>
      </c>
      <c r="CQ91" s="48" t="s">
        <v>4</v>
      </c>
      <c r="CR91" s="49">
        <v>7</v>
      </c>
      <c r="CS91" s="8"/>
      <c r="CT91" s="42">
        <f t="shared" si="454"/>
        <v>0</v>
      </c>
      <c r="CU91" s="43">
        <f t="shared" si="455"/>
        <v>-1</v>
      </c>
      <c r="CV91" s="8"/>
      <c r="CW91" s="47">
        <v>2</v>
      </c>
      <c r="CX91" s="48" t="s">
        <v>4</v>
      </c>
      <c r="CY91" s="49">
        <v>0</v>
      </c>
      <c r="CZ91" s="8"/>
      <c r="DA91" s="42">
        <f t="shared" si="456"/>
        <v>0.30000000000000004</v>
      </c>
      <c r="DB91" s="43">
        <f t="shared" si="457"/>
        <v>2</v>
      </c>
      <c r="DC91" s="8"/>
      <c r="DD91" s="47">
        <v>0</v>
      </c>
      <c r="DE91" s="48" t="s">
        <v>4</v>
      </c>
      <c r="DF91" s="49">
        <v>2</v>
      </c>
      <c r="DG91" s="8"/>
      <c r="DH91" s="42">
        <f t="shared" si="458"/>
        <v>0</v>
      </c>
      <c r="DI91" s="43">
        <f t="shared" si="459"/>
        <v>-2</v>
      </c>
      <c r="DJ91" s="8"/>
      <c r="DK91" s="47">
        <v>0</v>
      </c>
      <c r="DL91" s="48" t="s">
        <v>4</v>
      </c>
      <c r="DM91" s="49">
        <v>1</v>
      </c>
      <c r="DN91" s="8"/>
      <c r="DO91" s="42">
        <f t="shared" si="460"/>
        <v>0</v>
      </c>
      <c r="DP91" s="43">
        <f t="shared" si="461"/>
        <v>-1</v>
      </c>
      <c r="DQ91" s="8"/>
      <c r="DR91" s="47">
        <v>4</v>
      </c>
      <c r="DS91" s="48" t="s">
        <v>4</v>
      </c>
      <c r="DT91" s="49">
        <v>3</v>
      </c>
      <c r="DU91" s="8"/>
      <c r="DV91" s="42">
        <f t="shared" si="462"/>
        <v>0.2</v>
      </c>
      <c r="DW91" s="43">
        <f t="shared" si="463"/>
        <v>1</v>
      </c>
      <c r="DX91" s="8"/>
      <c r="DY91" s="47">
        <v>0</v>
      </c>
      <c r="DZ91" s="48" t="s">
        <v>4</v>
      </c>
      <c r="EA91" s="49">
        <v>3</v>
      </c>
      <c r="EB91" s="8"/>
      <c r="EC91" s="42">
        <f t="shared" si="464"/>
        <v>0</v>
      </c>
      <c r="ED91" s="43">
        <f t="shared" si="465"/>
        <v>-3</v>
      </c>
      <c r="EE91" s="8"/>
      <c r="EF91" s="47">
        <v>2</v>
      </c>
      <c r="EG91" s="48" t="s">
        <v>4</v>
      </c>
      <c r="EH91" s="49">
        <v>0</v>
      </c>
      <c r="EI91" s="8"/>
      <c r="EJ91" s="42">
        <f t="shared" si="466"/>
        <v>0.30000000000000004</v>
      </c>
      <c r="EK91" s="43">
        <f t="shared" si="467"/>
        <v>2</v>
      </c>
      <c r="EL91" s="8"/>
      <c r="EM91" s="47">
        <v>2</v>
      </c>
      <c r="EN91" s="48" t="s">
        <v>4</v>
      </c>
      <c r="EO91" s="49">
        <v>1</v>
      </c>
      <c r="EP91" s="8"/>
      <c r="EQ91" s="42">
        <f t="shared" si="468"/>
        <v>0.2</v>
      </c>
      <c r="ER91" s="43">
        <f t="shared" si="469"/>
        <v>1</v>
      </c>
      <c r="ES91" s="8"/>
      <c r="ET91" s="47">
        <v>3</v>
      </c>
      <c r="EU91" s="48" t="s">
        <v>4</v>
      </c>
      <c r="EV91" s="49">
        <v>1</v>
      </c>
      <c r="EW91" s="8"/>
      <c r="EX91" s="42">
        <f t="shared" si="470"/>
        <v>0.2</v>
      </c>
      <c r="EY91" s="43">
        <f t="shared" si="471"/>
        <v>2</v>
      </c>
      <c r="EZ91" s="8"/>
      <c r="FA91" s="47">
        <v>1</v>
      </c>
      <c r="FB91" s="48" t="s">
        <v>4</v>
      </c>
      <c r="FC91" s="49">
        <v>2</v>
      </c>
      <c r="FD91" s="8"/>
      <c r="FE91" s="42">
        <f t="shared" si="472"/>
        <v>0</v>
      </c>
      <c r="FF91" s="43">
        <f t="shared" si="473"/>
        <v>-1</v>
      </c>
      <c r="FG91" s="8"/>
      <c r="FH91" s="47">
        <v>2</v>
      </c>
      <c r="FI91" s="48" t="s">
        <v>4</v>
      </c>
      <c r="FJ91" s="49">
        <v>0</v>
      </c>
      <c r="FK91" s="8"/>
      <c r="FL91" s="42">
        <f t="shared" si="474"/>
        <v>0.30000000000000004</v>
      </c>
      <c r="FM91" s="43">
        <f t="shared" si="475"/>
        <v>2</v>
      </c>
      <c r="FN91" s="8"/>
      <c r="FO91" s="47">
        <v>2</v>
      </c>
      <c r="FP91" s="48" t="s">
        <v>4</v>
      </c>
      <c r="FQ91" s="49">
        <v>1</v>
      </c>
      <c r="FR91" s="8"/>
      <c r="FS91" s="42">
        <f t="shared" si="476"/>
        <v>0.2</v>
      </c>
      <c r="FT91" s="43">
        <f t="shared" si="477"/>
        <v>1</v>
      </c>
      <c r="FU91" s="8"/>
      <c r="FV91" s="47">
        <v>3</v>
      </c>
      <c r="FW91" s="48" t="s">
        <v>4</v>
      </c>
      <c r="FX91" s="49">
        <v>0</v>
      </c>
      <c r="FY91" s="8"/>
      <c r="FZ91" s="42">
        <f t="shared" si="478"/>
        <v>0.2</v>
      </c>
      <c r="GA91" s="43">
        <f t="shared" si="479"/>
        <v>3</v>
      </c>
      <c r="GB91" s="8"/>
      <c r="GC91" s="47">
        <v>0</v>
      </c>
      <c r="GD91" s="48" t="s">
        <v>4</v>
      </c>
      <c r="GE91" s="49">
        <v>1</v>
      </c>
      <c r="GF91" s="8"/>
      <c r="GG91" s="42">
        <f t="shared" si="480"/>
        <v>0</v>
      </c>
      <c r="GH91" s="43">
        <f t="shared" si="481"/>
        <v>-1</v>
      </c>
      <c r="GI91" s="8"/>
      <c r="GJ91" s="47">
        <v>1</v>
      </c>
      <c r="GK91" s="48" t="s">
        <v>4</v>
      </c>
      <c r="GL91" s="49">
        <v>2</v>
      </c>
      <c r="GM91" s="8"/>
      <c r="GN91" s="42">
        <f t="shared" si="482"/>
        <v>0</v>
      </c>
      <c r="GO91" s="43">
        <f t="shared" si="483"/>
        <v>-1</v>
      </c>
      <c r="GP91" s="8"/>
      <c r="GQ91" s="47">
        <v>5</v>
      </c>
      <c r="GR91" s="48" t="s">
        <v>4</v>
      </c>
      <c r="GS91" s="49">
        <v>3</v>
      </c>
      <c r="GT91" s="8"/>
      <c r="GU91" s="42">
        <f t="shared" si="484"/>
        <v>0.2</v>
      </c>
      <c r="GV91" s="43">
        <f t="shared" si="485"/>
        <v>2</v>
      </c>
      <c r="GW91" s="8"/>
      <c r="GX91" s="47">
        <v>2</v>
      </c>
      <c r="GY91" s="48" t="s">
        <v>4</v>
      </c>
      <c r="GZ91" s="49">
        <v>0</v>
      </c>
      <c r="HA91" s="8"/>
      <c r="HB91" s="42">
        <f t="shared" si="486"/>
        <v>0.30000000000000004</v>
      </c>
      <c r="HC91" s="43">
        <f t="shared" si="487"/>
        <v>2</v>
      </c>
      <c r="HD91" s="8"/>
      <c r="HE91" s="47">
        <v>2</v>
      </c>
      <c r="HF91" s="48" t="s">
        <v>4</v>
      </c>
      <c r="HG91" s="49">
        <v>0</v>
      </c>
      <c r="HH91" s="8"/>
      <c r="HI91" s="42">
        <f t="shared" si="488"/>
        <v>0.30000000000000004</v>
      </c>
      <c r="HJ91" s="43">
        <f t="shared" si="489"/>
        <v>2</v>
      </c>
      <c r="HK91" s="8"/>
      <c r="HL91" s="47">
        <v>0</v>
      </c>
      <c r="HM91" s="48" t="s">
        <v>4</v>
      </c>
      <c r="HN91" s="49">
        <v>5</v>
      </c>
      <c r="HO91" s="8"/>
      <c r="HP91" s="42">
        <f t="shared" si="490"/>
        <v>0</v>
      </c>
      <c r="HQ91" s="43">
        <f t="shared" si="491"/>
        <v>-5</v>
      </c>
      <c r="HR91" s="8"/>
      <c r="HS91" s="47">
        <v>2</v>
      </c>
      <c r="HT91" s="48" t="s">
        <v>4</v>
      </c>
      <c r="HU91" s="49">
        <v>0</v>
      </c>
      <c r="HV91" s="8"/>
      <c r="HW91" s="42">
        <f t="shared" si="492"/>
        <v>0.30000000000000004</v>
      </c>
      <c r="HX91" s="43">
        <f t="shared" si="493"/>
        <v>2</v>
      </c>
      <c r="HY91" s="8"/>
      <c r="HZ91" s="47">
        <v>67</v>
      </c>
      <c r="IA91" s="48" t="s">
        <v>4</v>
      </c>
      <c r="IB91" s="49">
        <v>1</v>
      </c>
      <c r="IC91" s="8"/>
      <c r="ID91" s="42">
        <f t="shared" si="494"/>
        <v>0.2</v>
      </c>
      <c r="IE91" s="43">
        <f t="shared" si="495"/>
        <v>66</v>
      </c>
      <c r="IF91" s="8"/>
      <c r="IG91" s="47">
        <v>0</v>
      </c>
      <c r="IH91" s="48" t="s">
        <v>4</v>
      </c>
      <c r="II91" s="49">
        <v>3</v>
      </c>
      <c r="IJ91" s="8"/>
      <c r="IK91" s="42">
        <f t="shared" si="496"/>
        <v>0</v>
      </c>
      <c r="IL91" s="43">
        <f t="shared" si="497"/>
        <v>-3</v>
      </c>
      <c r="IM91" s="8"/>
      <c r="IN91" s="47">
        <v>2</v>
      </c>
      <c r="IO91" s="48" t="s">
        <v>4</v>
      </c>
      <c r="IP91" s="49">
        <v>1</v>
      </c>
      <c r="IQ91" s="8"/>
      <c r="IR91" s="42">
        <f t="shared" si="498"/>
        <v>0.2</v>
      </c>
      <c r="IS91" s="43">
        <f t="shared" si="499"/>
        <v>1</v>
      </c>
      <c r="IT91" s="8"/>
      <c r="IU91" s="47">
        <v>0</v>
      </c>
      <c r="IV91" s="48" t="s">
        <v>4</v>
      </c>
      <c r="IW91" s="49">
        <v>2</v>
      </c>
      <c r="IX91" s="8"/>
      <c r="IY91" s="42">
        <f t="shared" si="500"/>
        <v>0</v>
      </c>
      <c r="IZ91" s="43">
        <f t="shared" si="501"/>
        <v>-2</v>
      </c>
      <c r="JA91" s="8"/>
      <c r="JB91" s="47">
        <v>7</v>
      </c>
      <c r="JC91" s="48" t="s">
        <v>4</v>
      </c>
      <c r="JD91" s="49">
        <v>6</v>
      </c>
      <c r="JE91" s="8"/>
      <c r="JF91" s="42">
        <f t="shared" si="502"/>
        <v>0.2</v>
      </c>
      <c r="JG91" s="43">
        <f t="shared" si="503"/>
        <v>1</v>
      </c>
      <c r="JH91" s="8"/>
      <c r="JI91" s="47">
        <v>1</v>
      </c>
      <c r="JJ91" s="48" t="s">
        <v>4</v>
      </c>
      <c r="JK91" s="49">
        <v>2</v>
      </c>
      <c r="JL91" s="8"/>
      <c r="JM91" s="42">
        <f t="shared" si="504"/>
        <v>0</v>
      </c>
      <c r="JN91" s="43">
        <f t="shared" si="505"/>
        <v>-1</v>
      </c>
      <c r="JO91" s="8"/>
      <c r="JP91" s="47">
        <v>2</v>
      </c>
      <c r="JQ91" s="48" t="s">
        <v>4</v>
      </c>
      <c r="JR91" s="49">
        <v>0</v>
      </c>
      <c r="JS91" s="8"/>
      <c r="JT91" s="42">
        <f t="shared" si="506"/>
        <v>0.30000000000000004</v>
      </c>
      <c r="JU91" s="43">
        <f t="shared" si="507"/>
        <v>2</v>
      </c>
      <c r="JV91" s="8"/>
      <c r="JW91" s="47">
        <v>3</v>
      </c>
      <c r="JX91" s="48" t="s">
        <v>4</v>
      </c>
      <c r="JY91" s="49">
        <v>1</v>
      </c>
      <c r="JZ91" s="8"/>
      <c r="KA91" s="42">
        <f t="shared" si="508"/>
        <v>0.2</v>
      </c>
      <c r="KB91" s="43">
        <f t="shared" si="509"/>
        <v>2</v>
      </c>
      <c r="KC91" s="8"/>
      <c r="KD91" s="47">
        <v>3</v>
      </c>
      <c r="KE91" s="48" t="s">
        <v>4</v>
      </c>
      <c r="KF91" s="49">
        <v>1</v>
      </c>
      <c r="KG91" s="8"/>
      <c r="KH91" s="42">
        <f t="shared" si="510"/>
        <v>0.2</v>
      </c>
      <c r="KI91" s="43">
        <f t="shared" si="511"/>
        <v>2</v>
      </c>
      <c r="KJ91" s="8"/>
      <c r="KK91" s="47">
        <v>2</v>
      </c>
      <c r="KL91" s="48" t="s">
        <v>4</v>
      </c>
      <c r="KM91" s="49">
        <v>0</v>
      </c>
      <c r="KN91" s="8"/>
      <c r="KO91" s="42">
        <f t="shared" si="512"/>
        <v>0.30000000000000004</v>
      </c>
      <c r="KP91" s="43">
        <f t="shared" si="513"/>
        <v>2</v>
      </c>
      <c r="KQ91" s="8"/>
      <c r="KR91" s="47">
        <v>3</v>
      </c>
      <c r="KS91" s="48" t="s">
        <v>4</v>
      </c>
      <c r="KT91" s="49">
        <v>0</v>
      </c>
      <c r="KU91" s="8"/>
      <c r="KV91" s="42">
        <f t="shared" si="514"/>
        <v>0.2</v>
      </c>
      <c r="KW91" s="43">
        <f t="shared" si="515"/>
        <v>3</v>
      </c>
      <c r="KX91" s="8"/>
      <c r="KY91" s="47">
        <v>1</v>
      </c>
      <c r="KZ91" s="48" t="s">
        <v>4</v>
      </c>
      <c r="LA91" s="49">
        <v>2</v>
      </c>
      <c r="LB91" s="8"/>
      <c r="LC91" s="42">
        <f t="shared" si="516"/>
        <v>0</v>
      </c>
      <c r="LD91" s="43">
        <f t="shared" si="517"/>
        <v>-1</v>
      </c>
      <c r="LE91" s="8"/>
      <c r="LF91" s="47">
        <v>3</v>
      </c>
      <c r="LG91" s="48" t="s">
        <v>4</v>
      </c>
      <c r="LH91" s="49">
        <v>1</v>
      </c>
      <c r="LI91" s="8"/>
      <c r="LJ91" s="42">
        <f t="shared" si="518"/>
        <v>0.2</v>
      </c>
      <c r="LK91" s="43">
        <f t="shared" si="519"/>
        <v>2</v>
      </c>
      <c r="LL91" s="8"/>
      <c r="LM91" s="47">
        <v>3</v>
      </c>
      <c r="LN91" s="48" t="s">
        <v>4</v>
      </c>
      <c r="LO91" s="49">
        <v>2</v>
      </c>
      <c r="LP91" s="8"/>
      <c r="LQ91" s="42">
        <f t="shared" si="520"/>
        <v>0.2</v>
      </c>
      <c r="LR91" s="43">
        <f t="shared" si="521"/>
        <v>1</v>
      </c>
      <c r="LS91" s="8"/>
      <c r="LT91" s="47">
        <v>2</v>
      </c>
      <c r="LU91" s="48" t="s">
        <v>4</v>
      </c>
      <c r="LV91" s="49">
        <v>1</v>
      </c>
      <c r="LW91" s="8"/>
      <c r="LX91" s="42">
        <f t="shared" si="522"/>
        <v>0.2</v>
      </c>
      <c r="LY91" s="43">
        <f t="shared" si="523"/>
        <v>1</v>
      </c>
      <c r="LZ91" s="8"/>
      <c r="MA91" s="47">
        <v>3</v>
      </c>
      <c r="MB91" s="48" t="s">
        <v>4</v>
      </c>
      <c r="MC91" s="49">
        <v>0</v>
      </c>
      <c r="MD91" s="8"/>
      <c r="ME91" s="42">
        <f t="shared" si="524"/>
        <v>0.2</v>
      </c>
      <c r="MF91" s="43">
        <f t="shared" si="525"/>
        <v>3</v>
      </c>
      <c r="MG91" s="8"/>
      <c r="MH91" s="47">
        <v>2</v>
      </c>
      <c r="MI91" s="48" t="s">
        <v>4</v>
      </c>
      <c r="MJ91" s="49">
        <v>0</v>
      </c>
      <c r="MK91" s="8"/>
      <c r="ML91" s="42">
        <f t="shared" si="526"/>
        <v>0.30000000000000004</v>
      </c>
      <c r="MM91" s="43">
        <f t="shared" si="527"/>
        <v>2</v>
      </c>
      <c r="MN91" s="8"/>
      <c r="MO91" s="47">
        <v>2</v>
      </c>
      <c r="MP91" s="48" t="s">
        <v>4</v>
      </c>
      <c r="MQ91" s="49">
        <v>1</v>
      </c>
      <c r="MR91" s="8"/>
      <c r="MS91" s="42">
        <f t="shared" si="528"/>
        <v>0.2</v>
      </c>
      <c r="MT91" s="43">
        <f t="shared" si="529"/>
        <v>1</v>
      </c>
      <c r="MU91" s="8"/>
      <c r="MV91" s="47">
        <v>4</v>
      </c>
      <c r="MW91" s="48" t="s">
        <v>4</v>
      </c>
      <c r="MX91" s="49">
        <v>1</v>
      </c>
      <c r="MY91" s="8"/>
      <c r="MZ91" s="42">
        <f t="shared" si="530"/>
        <v>0.2</v>
      </c>
      <c r="NA91" s="43">
        <f t="shared" si="531"/>
        <v>3</v>
      </c>
      <c r="NB91" s="8"/>
      <c r="NC91" s="47">
        <v>3</v>
      </c>
      <c r="ND91" s="48" t="s">
        <v>4</v>
      </c>
      <c r="NE91" s="49">
        <v>1</v>
      </c>
      <c r="NF91" s="8"/>
      <c r="NG91" s="42">
        <f t="shared" si="532"/>
        <v>0.2</v>
      </c>
      <c r="NH91" s="43">
        <f t="shared" si="533"/>
        <v>2</v>
      </c>
      <c r="NI91" s="8"/>
      <c r="NJ91" s="47">
        <v>2</v>
      </c>
      <c r="NK91" s="48" t="s">
        <v>4</v>
      </c>
      <c r="NL91" s="49">
        <v>0</v>
      </c>
      <c r="NM91" s="8"/>
      <c r="NN91" s="42">
        <f t="shared" si="534"/>
        <v>0.30000000000000004</v>
      </c>
      <c r="NO91" s="43">
        <f t="shared" si="535"/>
        <v>2</v>
      </c>
      <c r="NP91" s="8"/>
      <c r="NQ91" s="47">
        <v>0</v>
      </c>
      <c r="NR91" s="48" t="s">
        <v>4</v>
      </c>
      <c r="NS91" s="49">
        <v>2</v>
      </c>
      <c r="NT91" s="8"/>
      <c r="NU91" s="42">
        <f t="shared" si="536"/>
        <v>0</v>
      </c>
      <c r="NV91" s="43">
        <f t="shared" si="537"/>
        <v>-2</v>
      </c>
      <c r="NW91" s="8"/>
      <c r="NX91" s="47">
        <v>2</v>
      </c>
      <c r="NY91" s="48" t="s">
        <v>4</v>
      </c>
      <c r="NZ91" s="49">
        <v>1</v>
      </c>
      <c r="OA91" s="8"/>
      <c r="OB91" s="42">
        <f t="shared" si="538"/>
        <v>0.2</v>
      </c>
      <c r="OC91" s="43">
        <f t="shared" si="539"/>
        <v>1</v>
      </c>
      <c r="OD91" s="8"/>
      <c r="OE91" s="47">
        <v>3</v>
      </c>
      <c r="OF91" s="48" t="s">
        <v>4</v>
      </c>
      <c r="OG91" s="49">
        <v>2</v>
      </c>
      <c r="OH91" s="8"/>
      <c r="OI91" s="42">
        <f t="shared" si="540"/>
        <v>0.2</v>
      </c>
      <c r="OJ91" s="43">
        <f t="shared" si="541"/>
        <v>1</v>
      </c>
      <c r="OK91" s="8"/>
      <c r="OL91" s="47">
        <v>3</v>
      </c>
      <c r="OM91" s="48" t="s">
        <v>4</v>
      </c>
      <c r="ON91" s="49">
        <v>0</v>
      </c>
      <c r="OO91" s="8"/>
      <c r="OP91" s="42">
        <f t="shared" si="542"/>
        <v>0.2</v>
      </c>
      <c r="OQ91" s="43">
        <f t="shared" si="543"/>
        <v>3</v>
      </c>
      <c r="OR91" s="8"/>
      <c r="OS91" s="47">
        <v>2</v>
      </c>
      <c r="OT91" s="48" t="s">
        <v>4</v>
      </c>
      <c r="OU91" s="49">
        <v>1</v>
      </c>
      <c r="OV91" s="8"/>
      <c r="OW91" s="42">
        <f t="shared" si="544"/>
        <v>0.2</v>
      </c>
      <c r="OX91" s="43">
        <f t="shared" si="545"/>
        <v>1</v>
      </c>
      <c r="OY91" s="8"/>
      <c r="OZ91" s="47">
        <v>1</v>
      </c>
      <c r="PA91" s="48" t="s">
        <v>4</v>
      </c>
      <c r="PB91" s="49">
        <v>0</v>
      </c>
      <c r="PC91" s="8"/>
      <c r="PD91" s="42">
        <f t="shared" si="546"/>
        <v>0.2</v>
      </c>
      <c r="PE91" s="43">
        <f t="shared" si="547"/>
        <v>1</v>
      </c>
      <c r="PF91" s="8"/>
      <c r="PG91" s="47">
        <v>2</v>
      </c>
      <c r="PH91" s="48" t="s">
        <v>4</v>
      </c>
      <c r="PI91" s="49">
        <v>0</v>
      </c>
      <c r="PJ91" s="8"/>
      <c r="PK91" s="42">
        <f t="shared" si="548"/>
        <v>0.30000000000000004</v>
      </c>
      <c r="PL91" s="43">
        <f t="shared" si="549"/>
        <v>2</v>
      </c>
      <c r="PM91" s="8"/>
      <c r="PN91" s="47">
        <v>2</v>
      </c>
      <c r="PO91" s="48" t="s">
        <v>4</v>
      </c>
      <c r="PP91" s="49">
        <v>1</v>
      </c>
      <c r="PQ91" s="8"/>
      <c r="PR91" s="42">
        <f t="shared" si="550"/>
        <v>0.2</v>
      </c>
      <c r="PS91" s="43">
        <f t="shared" si="551"/>
        <v>1</v>
      </c>
      <c r="PT91" s="8"/>
      <c r="PU91" s="47">
        <v>4</v>
      </c>
      <c r="PV91" s="48" t="s">
        <v>4</v>
      </c>
      <c r="PW91" s="49">
        <v>5</v>
      </c>
      <c r="PX91" s="8"/>
      <c r="PY91" s="42">
        <f t="shared" si="552"/>
        <v>0</v>
      </c>
      <c r="PZ91" s="43">
        <f t="shared" si="553"/>
        <v>-1</v>
      </c>
      <c r="QA91" s="8"/>
      <c r="QB91" s="47">
        <v>2</v>
      </c>
      <c r="QC91" s="48" t="s">
        <v>4</v>
      </c>
      <c r="QD91" s="49">
        <v>0</v>
      </c>
      <c r="QE91" s="8"/>
      <c r="QF91" s="42">
        <f t="shared" si="554"/>
        <v>0.30000000000000004</v>
      </c>
      <c r="QG91" s="43">
        <f t="shared" si="555"/>
        <v>2</v>
      </c>
      <c r="QH91" s="8"/>
      <c r="QI91" s="47">
        <v>2</v>
      </c>
      <c r="QJ91" s="48" t="s">
        <v>4</v>
      </c>
      <c r="QK91" s="49">
        <v>1</v>
      </c>
      <c r="QL91" s="8"/>
      <c r="QM91" s="42">
        <f t="shared" si="556"/>
        <v>0.2</v>
      </c>
      <c r="QN91" s="43">
        <f t="shared" si="557"/>
        <v>1</v>
      </c>
      <c r="QO91" s="8"/>
      <c r="QP91" s="47">
        <v>0</v>
      </c>
      <c r="QQ91" s="48" t="s">
        <v>4</v>
      </c>
      <c r="QR91" s="49">
        <v>1</v>
      </c>
      <c r="QS91" s="8"/>
      <c r="QT91" s="42">
        <f t="shared" si="558"/>
        <v>0</v>
      </c>
      <c r="QU91" s="43">
        <f t="shared" si="559"/>
        <v>-1</v>
      </c>
      <c r="QV91" s="8"/>
      <c r="QW91" s="47">
        <v>1</v>
      </c>
      <c r="QX91" s="48" t="s">
        <v>4</v>
      </c>
      <c r="QY91" s="49">
        <v>0</v>
      </c>
      <c r="QZ91" s="8"/>
      <c r="RA91" s="42">
        <f t="shared" si="560"/>
        <v>0.2</v>
      </c>
      <c r="RB91" s="43">
        <f t="shared" si="561"/>
        <v>1</v>
      </c>
      <c r="RC91" s="8"/>
      <c r="RD91" s="47"/>
      <c r="RE91" s="48" t="s">
        <v>4</v>
      </c>
      <c r="RF91" s="49"/>
      <c r="RG91" s="8"/>
      <c r="RH91" s="42" t="str">
        <f t="shared" si="562"/>
        <v/>
      </c>
      <c r="RI91" s="43">
        <f t="shared" si="563"/>
        <v>0</v>
      </c>
      <c r="RJ91" s="8"/>
      <c r="RK91" s="47">
        <v>2</v>
      </c>
      <c r="RL91" s="48" t="s">
        <v>4</v>
      </c>
      <c r="RM91" s="49">
        <v>0</v>
      </c>
      <c r="RN91" s="8"/>
      <c r="RO91" s="42">
        <f t="shared" si="564"/>
        <v>0.30000000000000004</v>
      </c>
      <c r="RP91" s="43">
        <f t="shared" si="565"/>
        <v>2</v>
      </c>
      <c r="RQ91" s="8"/>
      <c r="RR91" s="47">
        <v>2</v>
      </c>
      <c r="RS91" s="48" t="s">
        <v>4</v>
      </c>
      <c r="RT91" s="49">
        <v>1</v>
      </c>
      <c r="RU91" s="8"/>
      <c r="RV91" s="42">
        <f t="shared" si="566"/>
        <v>0.2</v>
      </c>
      <c r="RW91" s="43">
        <f t="shared" si="567"/>
        <v>1</v>
      </c>
      <c r="RX91" s="8"/>
      <c r="RY91" s="47">
        <v>1</v>
      </c>
      <c r="RZ91" s="48" t="s">
        <v>4</v>
      </c>
      <c r="SA91" s="49">
        <v>2</v>
      </c>
      <c r="SB91" s="8"/>
      <c r="SC91" s="42">
        <f t="shared" si="568"/>
        <v>0</v>
      </c>
      <c r="SD91" s="43">
        <f t="shared" si="569"/>
        <v>-1</v>
      </c>
      <c r="SE91" s="8"/>
      <c r="SF91" s="47">
        <v>4</v>
      </c>
      <c r="SG91" s="48" t="s">
        <v>4</v>
      </c>
      <c r="SH91" s="49">
        <v>6</v>
      </c>
      <c r="SI91" s="8"/>
      <c r="SJ91" s="42">
        <f t="shared" si="570"/>
        <v>0</v>
      </c>
      <c r="SK91" s="43">
        <f t="shared" si="571"/>
        <v>-2</v>
      </c>
      <c r="SL91" s="8"/>
      <c r="SM91" s="47">
        <v>0</v>
      </c>
      <c r="SN91" s="48" t="s">
        <v>4</v>
      </c>
      <c r="SO91" s="49">
        <v>1</v>
      </c>
      <c r="SP91" s="8"/>
      <c r="SQ91" s="42">
        <f t="shared" si="572"/>
        <v>0</v>
      </c>
      <c r="SR91" s="43">
        <f t="shared" si="573"/>
        <v>-1</v>
      </c>
    </row>
    <row r="92" spans="1:512" ht="16" customHeight="1" x14ac:dyDescent="0.15">
      <c r="A92" s="51">
        <v>46205</v>
      </c>
      <c r="B92" s="46">
        <v>0.875</v>
      </c>
      <c r="C92" s="82" t="s">
        <v>3</v>
      </c>
      <c r="D92" s="83" t="s">
        <v>24</v>
      </c>
      <c r="E92" s="2">
        <v>3</v>
      </c>
      <c r="F92" s="50" t="s">
        <v>4</v>
      </c>
      <c r="G92" s="1">
        <v>0</v>
      </c>
      <c r="H92" s="16">
        <v>6.4</v>
      </c>
      <c r="I92" s="32">
        <f t="shared" si="429"/>
        <v>3</v>
      </c>
      <c r="J92" s="47"/>
      <c r="K92" s="48" t="s">
        <v>4</v>
      </c>
      <c r="L92" s="49"/>
      <c r="M92" s="8"/>
      <c r="N92" s="42" t="str">
        <f t="shared" si="430"/>
        <v/>
      </c>
      <c r="O92" s="43">
        <f t="shared" si="431"/>
        <v>0</v>
      </c>
      <c r="Q92" s="47">
        <v>3</v>
      </c>
      <c r="R92" s="48" t="s">
        <v>4</v>
      </c>
      <c r="S92" s="49">
        <v>1</v>
      </c>
      <c r="T92" s="8"/>
      <c r="U92" s="42">
        <f t="shared" si="432"/>
        <v>6.4</v>
      </c>
      <c r="V92" s="43">
        <f t="shared" si="433"/>
        <v>2</v>
      </c>
      <c r="W92" s="8"/>
      <c r="X92" s="47"/>
      <c r="Y92" s="48" t="s">
        <v>4</v>
      </c>
      <c r="Z92" s="49"/>
      <c r="AA92" s="8"/>
      <c r="AB92" s="42" t="str">
        <f t="shared" si="434"/>
        <v/>
      </c>
      <c r="AC92" s="43">
        <f t="shared" si="435"/>
        <v>0</v>
      </c>
      <c r="AD92" s="8"/>
      <c r="AE92" s="47">
        <v>3</v>
      </c>
      <c r="AF92" s="48" t="s">
        <v>4</v>
      </c>
      <c r="AG92" s="49">
        <v>1</v>
      </c>
      <c r="AH92" s="8"/>
      <c r="AI92" s="42">
        <f t="shared" si="436"/>
        <v>6.4</v>
      </c>
      <c r="AJ92" s="43">
        <f t="shared" si="437"/>
        <v>2</v>
      </c>
      <c r="AK92" s="8"/>
      <c r="AL92" s="47">
        <v>2</v>
      </c>
      <c r="AM92" s="48" t="s">
        <v>4</v>
      </c>
      <c r="AN92" s="49">
        <v>1</v>
      </c>
      <c r="AO92" s="8"/>
      <c r="AP92" s="42">
        <f t="shared" si="438"/>
        <v>6.4</v>
      </c>
      <c r="AQ92" s="43">
        <f t="shared" si="439"/>
        <v>1</v>
      </c>
      <c r="AR92" s="8"/>
      <c r="AS92" s="47">
        <v>3</v>
      </c>
      <c r="AT92" s="48" t="s">
        <v>4</v>
      </c>
      <c r="AU92" s="49">
        <v>1</v>
      </c>
      <c r="AV92" s="8"/>
      <c r="AW92" s="42">
        <f t="shared" si="440"/>
        <v>6.4</v>
      </c>
      <c r="AX92" s="43">
        <f t="shared" si="441"/>
        <v>2</v>
      </c>
      <c r="AY92" s="8"/>
      <c r="AZ92" s="47">
        <v>2</v>
      </c>
      <c r="BA92" s="48" t="s">
        <v>4</v>
      </c>
      <c r="BB92" s="49">
        <v>1</v>
      </c>
      <c r="BC92" s="8"/>
      <c r="BD92" s="42">
        <f t="shared" si="442"/>
        <v>6.4</v>
      </c>
      <c r="BE92" s="43">
        <f t="shared" si="443"/>
        <v>1</v>
      </c>
      <c r="BF92" s="8"/>
      <c r="BG92" s="47">
        <v>1</v>
      </c>
      <c r="BH92" s="48" t="s">
        <v>4</v>
      </c>
      <c r="BI92" s="49">
        <v>2</v>
      </c>
      <c r="BJ92" s="8"/>
      <c r="BK92" s="42">
        <f t="shared" si="444"/>
        <v>0</v>
      </c>
      <c r="BL92" s="43">
        <f t="shared" si="445"/>
        <v>-1</v>
      </c>
      <c r="BM92" s="8"/>
      <c r="BN92" s="47">
        <v>2</v>
      </c>
      <c r="BO92" s="48" t="s">
        <v>4</v>
      </c>
      <c r="BP92" s="49">
        <v>1</v>
      </c>
      <c r="BQ92" s="8"/>
      <c r="BR92" s="42">
        <f t="shared" si="446"/>
        <v>6.4</v>
      </c>
      <c r="BS92" s="43">
        <f t="shared" si="447"/>
        <v>1</v>
      </c>
      <c r="BT92" s="8"/>
      <c r="BU92" s="47">
        <v>3</v>
      </c>
      <c r="BV92" s="48" t="s">
        <v>4</v>
      </c>
      <c r="BW92" s="49">
        <v>1</v>
      </c>
      <c r="BX92" s="8"/>
      <c r="BY92" s="42">
        <f t="shared" si="448"/>
        <v>6.4</v>
      </c>
      <c r="BZ92" s="43">
        <f t="shared" si="449"/>
        <v>2</v>
      </c>
      <c r="CA92" s="8"/>
      <c r="CB92" s="47"/>
      <c r="CC92" s="48" t="s">
        <v>4</v>
      </c>
      <c r="CD92" s="49"/>
      <c r="CE92" s="8"/>
      <c r="CF92" s="42" t="str">
        <f t="shared" si="450"/>
        <v/>
      </c>
      <c r="CG92" s="43">
        <f t="shared" si="451"/>
        <v>0</v>
      </c>
      <c r="CH92" s="8"/>
      <c r="CI92" s="47">
        <v>2</v>
      </c>
      <c r="CJ92" s="48" t="s">
        <v>4</v>
      </c>
      <c r="CK92" s="49">
        <v>1</v>
      </c>
      <c r="CL92" s="8"/>
      <c r="CM92" s="42">
        <f t="shared" si="452"/>
        <v>6.4</v>
      </c>
      <c r="CN92" s="43">
        <f t="shared" si="453"/>
        <v>1</v>
      </c>
      <c r="CO92" s="8"/>
      <c r="CP92" s="47">
        <v>2</v>
      </c>
      <c r="CQ92" s="48" t="s">
        <v>4</v>
      </c>
      <c r="CR92" s="49">
        <v>1</v>
      </c>
      <c r="CS92" s="8"/>
      <c r="CT92" s="42">
        <f t="shared" si="454"/>
        <v>6.4</v>
      </c>
      <c r="CU92" s="43">
        <f t="shared" si="455"/>
        <v>1</v>
      </c>
      <c r="CV92" s="8"/>
      <c r="CW92" s="47">
        <v>3</v>
      </c>
      <c r="CX92" s="48" t="s">
        <v>4</v>
      </c>
      <c r="CY92" s="49">
        <v>1</v>
      </c>
      <c r="CZ92" s="8"/>
      <c r="DA92" s="42">
        <f t="shared" si="456"/>
        <v>6.4</v>
      </c>
      <c r="DB92" s="43">
        <f t="shared" si="457"/>
        <v>2</v>
      </c>
      <c r="DC92" s="8"/>
      <c r="DD92" s="47">
        <v>2</v>
      </c>
      <c r="DE92" s="48" t="s">
        <v>4</v>
      </c>
      <c r="DF92" s="49">
        <v>1</v>
      </c>
      <c r="DG92" s="8"/>
      <c r="DH92" s="42">
        <f t="shared" si="458"/>
        <v>6.4</v>
      </c>
      <c r="DI92" s="43">
        <f t="shared" si="459"/>
        <v>1</v>
      </c>
      <c r="DJ92" s="8"/>
      <c r="DK92" s="47">
        <v>2</v>
      </c>
      <c r="DL92" s="48" t="s">
        <v>4</v>
      </c>
      <c r="DM92" s="49">
        <v>0</v>
      </c>
      <c r="DN92" s="8"/>
      <c r="DO92" s="42">
        <f t="shared" si="460"/>
        <v>6.4</v>
      </c>
      <c r="DP92" s="43">
        <f t="shared" si="461"/>
        <v>2</v>
      </c>
      <c r="DQ92" s="8"/>
      <c r="DR92" s="47">
        <v>2</v>
      </c>
      <c r="DS92" s="48" t="s">
        <v>4</v>
      </c>
      <c r="DT92" s="49">
        <v>0</v>
      </c>
      <c r="DU92" s="8"/>
      <c r="DV92" s="42">
        <f t="shared" si="462"/>
        <v>6.4</v>
      </c>
      <c r="DW92" s="43">
        <f t="shared" si="463"/>
        <v>2</v>
      </c>
      <c r="DX92" s="8"/>
      <c r="DY92" s="47">
        <v>3</v>
      </c>
      <c r="DZ92" s="48" t="s">
        <v>4</v>
      </c>
      <c r="EA92" s="49">
        <v>1</v>
      </c>
      <c r="EB92" s="8"/>
      <c r="EC92" s="42">
        <f t="shared" si="464"/>
        <v>6.4</v>
      </c>
      <c r="ED92" s="43">
        <f t="shared" si="465"/>
        <v>2</v>
      </c>
      <c r="EE92" s="8"/>
      <c r="EF92" s="47">
        <v>2</v>
      </c>
      <c r="EG92" s="48" t="s">
        <v>4</v>
      </c>
      <c r="EH92" s="49">
        <v>1</v>
      </c>
      <c r="EI92" s="8"/>
      <c r="EJ92" s="42">
        <f t="shared" si="466"/>
        <v>6.4</v>
      </c>
      <c r="EK92" s="43">
        <f t="shared" si="467"/>
        <v>1</v>
      </c>
      <c r="EL92" s="8"/>
      <c r="EM92" s="47">
        <v>3</v>
      </c>
      <c r="EN92" s="48" t="s">
        <v>4</v>
      </c>
      <c r="EO92" s="49">
        <v>1</v>
      </c>
      <c r="EP92" s="8"/>
      <c r="EQ92" s="42">
        <f t="shared" si="468"/>
        <v>6.4</v>
      </c>
      <c r="ER92" s="43">
        <f t="shared" si="469"/>
        <v>2</v>
      </c>
      <c r="ES92" s="8"/>
      <c r="ET92" s="47">
        <v>4</v>
      </c>
      <c r="EU92" s="48" t="s">
        <v>4</v>
      </c>
      <c r="EV92" s="49">
        <v>5</v>
      </c>
      <c r="EW92" s="8"/>
      <c r="EX92" s="42">
        <f t="shared" si="470"/>
        <v>0</v>
      </c>
      <c r="EY92" s="43">
        <f t="shared" si="471"/>
        <v>-1</v>
      </c>
      <c r="EZ92" s="8"/>
      <c r="FA92" s="47">
        <v>5</v>
      </c>
      <c r="FB92" s="48" t="s">
        <v>4</v>
      </c>
      <c r="FC92" s="49">
        <v>3</v>
      </c>
      <c r="FD92" s="8"/>
      <c r="FE92" s="42">
        <f t="shared" si="472"/>
        <v>6.4</v>
      </c>
      <c r="FF92" s="43">
        <f t="shared" si="473"/>
        <v>2</v>
      </c>
      <c r="FG92" s="8"/>
      <c r="FH92" s="47">
        <v>2</v>
      </c>
      <c r="FI92" s="48" t="s">
        <v>4</v>
      </c>
      <c r="FJ92" s="49">
        <v>0</v>
      </c>
      <c r="FK92" s="8"/>
      <c r="FL92" s="42">
        <f t="shared" si="474"/>
        <v>6.4</v>
      </c>
      <c r="FM92" s="43">
        <f t="shared" si="475"/>
        <v>2</v>
      </c>
      <c r="FN92" s="8"/>
      <c r="FO92" s="47">
        <v>3</v>
      </c>
      <c r="FP92" s="48" t="s">
        <v>4</v>
      </c>
      <c r="FQ92" s="49">
        <v>1</v>
      </c>
      <c r="FR92" s="8"/>
      <c r="FS92" s="42">
        <f t="shared" si="476"/>
        <v>6.4</v>
      </c>
      <c r="FT92" s="43">
        <f t="shared" si="477"/>
        <v>2</v>
      </c>
      <c r="FU92" s="8"/>
      <c r="FV92" s="47">
        <v>2</v>
      </c>
      <c r="FW92" s="48" t="s">
        <v>4</v>
      </c>
      <c r="FX92" s="49">
        <v>0</v>
      </c>
      <c r="FY92" s="8"/>
      <c r="FZ92" s="42">
        <f t="shared" si="478"/>
        <v>6.4</v>
      </c>
      <c r="GA92" s="43">
        <f t="shared" si="479"/>
        <v>2</v>
      </c>
      <c r="GB92" s="8"/>
      <c r="GC92" s="47">
        <v>2</v>
      </c>
      <c r="GD92" s="48" t="s">
        <v>4</v>
      </c>
      <c r="GE92" s="49">
        <v>1</v>
      </c>
      <c r="GF92" s="8"/>
      <c r="GG92" s="42">
        <f t="shared" si="480"/>
        <v>6.4</v>
      </c>
      <c r="GH92" s="43">
        <f t="shared" si="481"/>
        <v>1</v>
      </c>
      <c r="GI92" s="8"/>
      <c r="GJ92" s="47">
        <v>3</v>
      </c>
      <c r="GK92" s="48" t="s">
        <v>4</v>
      </c>
      <c r="GL92" s="49">
        <v>1</v>
      </c>
      <c r="GM92" s="8"/>
      <c r="GN92" s="42">
        <f t="shared" si="482"/>
        <v>6.4</v>
      </c>
      <c r="GO92" s="43">
        <f t="shared" si="483"/>
        <v>2</v>
      </c>
      <c r="GP92" s="8"/>
      <c r="GQ92" s="47">
        <v>2</v>
      </c>
      <c r="GR92" s="48" t="s">
        <v>4</v>
      </c>
      <c r="GS92" s="49">
        <v>1</v>
      </c>
      <c r="GT92" s="8"/>
      <c r="GU92" s="42">
        <f t="shared" si="484"/>
        <v>6.4</v>
      </c>
      <c r="GV92" s="43">
        <f t="shared" si="485"/>
        <v>1</v>
      </c>
      <c r="GW92" s="8"/>
      <c r="GX92" s="47">
        <v>3</v>
      </c>
      <c r="GY92" s="48" t="s">
        <v>4</v>
      </c>
      <c r="GZ92" s="49">
        <v>1</v>
      </c>
      <c r="HA92" s="8"/>
      <c r="HB92" s="42">
        <f t="shared" si="486"/>
        <v>6.4</v>
      </c>
      <c r="HC92" s="43">
        <f t="shared" si="487"/>
        <v>2</v>
      </c>
      <c r="HD92" s="8"/>
      <c r="HE92" s="47">
        <v>3</v>
      </c>
      <c r="HF92" s="48" t="s">
        <v>4</v>
      </c>
      <c r="HG92" s="49">
        <v>1</v>
      </c>
      <c r="HH92" s="8"/>
      <c r="HI92" s="42">
        <f t="shared" si="488"/>
        <v>6.4</v>
      </c>
      <c r="HJ92" s="43">
        <f t="shared" si="489"/>
        <v>2</v>
      </c>
      <c r="HK92" s="8"/>
      <c r="HL92" s="47">
        <v>3</v>
      </c>
      <c r="HM92" s="48" t="s">
        <v>4</v>
      </c>
      <c r="HN92" s="49">
        <v>1</v>
      </c>
      <c r="HO92" s="8"/>
      <c r="HP92" s="42">
        <f t="shared" si="490"/>
        <v>6.4</v>
      </c>
      <c r="HQ92" s="43">
        <f t="shared" si="491"/>
        <v>2</v>
      </c>
      <c r="HR92" s="8"/>
      <c r="HS92" s="47">
        <v>2</v>
      </c>
      <c r="HT92" s="48" t="s">
        <v>4</v>
      </c>
      <c r="HU92" s="49">
        <v>1</v>
      </c>
      <c r="HV92" s="8"/>
      <c r="HW92" s="42">
        <f t="shared" si="492"/>
        <v>6.4</v>
      </c>
      <c r="HX92" s="43">
        <f t="shared" si="493"/>
        <v>1</v>
      </c>
      <c r="HY92" s="8"/>
      <c r="HZ92" s="47">
        <v>2</v>
      </c>
      <c r="IA92" s="48" t="s">
        <v>4</v>
      </c>
      <c r="IB92" s="49">
        <v>1</v>
      </c>
      <c r="IC92" s="8"/>
      <c r="ID92" s="42">
        <f t="shared" si="494"/>
        <v>6.4</v>
      </c>
      <c r="IE92" s="43">
        <f t="shared" si="495"/>
        <v>1</v>
      </c>
      <c r="IF92" s="8"/>
      <c r="IG92" s="47">
        <v>2</v>
      </c>
      <c r="IH92" s="48" t="s">
        <v>4</v>
      </c>
      <c r="II92" s="49">
        <v>0</v>
      </c>
      <c r="IJ92" s="8"/>
      <c r="IK92" s="42">
        <f t="shared" si="496"/>
        <v>6.4</v>
      </c>
      <c r="IL92" s="43">
        <f t="shared" si="497"/>
        <v>2</v>
      </c>
      <c r="IM92" s="8"/>
      <c r="IN92" s="47">
        <v>5</v>
      </c>
      <c r="IO92" s="48" t="s">
        <v>4</v>
      </c>
      <c r="IP92" s="49">
        <v>6</v>
      </c>
      <c r="IQ92" s="8"/>
      <c r="IR92" s="42">
        <f t="shared" si="498"/>
        <v>0</v>
      </c>
      <c r="IS92" s="43">
        <f t="shared" si="499"/>
        <v>-1</v>
      </c>
      <c r="IT92" s="8"/>
      <c r="IU92" s="47">
        <v>2</v>
      </c>
      <c r="IV92" s="48" t="s">
        <v>4</v>
      </c>
      <c r="IW92" s="49">
        <v>0</v>
      </c>
      <c r="IX92" s="8"/>
      <c r="IY92" s="42">
        <f t="shared" si="500"/>
        <v>6.4</v>
      </c>
      <c r="IZ92" s="43">
        <f t="shared" si="501"/>
        <v>2</v>
      </c>
      <c r="JA92" s="8"/>
      <c r="JB92" s="47">
        <v>3</v>
      </c>
      <c r="JC92" s="48" t="s">
        <v>4</v>
      </c>
      <c r="JD92" s="49">
        <v>1</v>
      </c>
      <c r="JE92" s="8"/>
      <c r="JF92" s="42">
        <f t="shared" si="502"/>
        <v>6.4</v>
      </c>
      <c r="JG92" s="43">
        <f t="shared" si="503"/>
        <v>2</v>
      </c>
      <c r="JH92" s="8"/>
      <c r="JI92" s="47">
        <v>1</v>
      </c>
      <c r="JJ92" s="48" t="s">
        <v>4</v>
      </c>
      <c r="JK92" s="49">
        <v>0</v>
      </c>
      <c r="JL92" s="8"/>
      <c r="JM92" s="42">
        <f t="shared" si="504"/>
        <v>6.4</v>
      </c>
      <c r="JN92" s="43">
        <f t="shared" si="505"/>
        <v>1</v>
      </c>
      <c r="JO92" s="8"/>
      <c r="JP92" s="47">
        <v>3</v>
      </c>
      <c r="JQ92" s="48" t="s">
        <v>4</v>
      </c>
      <c r="JR92" s="49">
        <v>1</v>
      </c>
      <c r="JS92" s="8"/>
      <c r="JT92" s="42">
        <f t="shared" si="506"/>
        <v>6.4</v>
      </c>
      <c r="JU92" s="43">
        <f t="shared" si="507"/>
        <v>2</v>
      </c>
      <c r="JV92" s="8"/>
      <c r="JW92" s="47">
        <v>2</v>
      </c>
      <c r="JX92" s="48" t="s">
        <v>4</v>
      </c>
      <c r="JY92" s="49">
        <v>1</v>
      </c>
      <c r="JZ92" s="8"/>
      <c r="KA92" s="42">
        <f t="shared" si="508"/>
        <v>6.4</v>
      </c>
      <c r="KB92" s="43">
        <f t="shared" si="509"/>
        <v>1</v>
      </c>
      <c r="KC92" s="8"/>
      <c r="KD92" s="47">
        <v>2</v>
      </c>
      <c r="KE92" s="48" t="s">
        <v>4</v>
      </c>
      <c r="KF92" s="49">
        <v>0</v>
      </c>
      <c r="KG92" s="8"/>
      <c r="KH92" s="42">
        <f t="shared" si="510"/>
        <v>6.4</v>
      </c>
      <c r="KI92" s="43">
        <f t="shared" si="511"/>
        <v>2</v>
      </c>
      <c r="KJ92" s="8"/>
      <c r="KK92" s="47">
        <v>2</v>
      </c>
      <c r="KL92" s="48" t="s">
        <v>4</v>
      </c>
      <c r="KM92" s="49">
        <v>0</v>
      </c>
      <c r="KN92" s="8"/>
      <c r="KO92" s="42">
        <f t="shared" si="512"/>
        <v>6.4</v>
      </c>
      <c r="KP92" s="43">
        <f t="shared" si="513"/>
        <v>2</v>
      </c>
      <c r="KQ92" s="8"/>
      <c r="KR92" s="47">
        <v>2</v>
      </c>
      <c r="KS92" s="48" t="s">
        <v>4</v>
      </c>
      <c r="KT92" s="49">
        <v>0</v>
      </c>
      <c r="KU92" s="8"/>
      <c r="KV92" s="42">
        <f t="shared" si="514"/>
        <v>6.4</v>
      </c>
      <c r="KW92" s="43">
        <f t="shared" si="515"/>
        <v>2</v>
      </c>
      <c r="KX92" s="8"/>
      <c r="KY92" s="47">
        <v>2</v>
      </c>
      <c r="KZ92" s="48" t="s">
        <v>4</v>
      </c>
      <c r="LA92" s="49">
        <v>1</v>
      </c>
      <c r="LB92" s="8"/>
      <c r="LC92" s="42">
        <f t="shared" si="516"/>
        <v>6.4</v>
      </c>
      <c r="LD92" s="43">
        <f t="shared" si="517"/>
        <v>1</v>
      </c>
      <c r="LE92" s="8"/>
      <c r="LF92" s="47">
        <v>2</v>
      </c>
      <c r="LG92" s="48" t="s">
        <v>4</v>
      </c>
      <c r="LH92" s="49">
        <v>1</v>
      </c>
      <c r="LI92" s="8"/>
      <c r="LJ92" s="42">
        <f t="shared" si="518"/>
        <v>6.4</v>
      </c>
      <c r="LK92" s="43">
        <f t="shared" si="519"/>
        <v>1</v>
      </c>
      <c r="LL92" s="8"/>
      <c r="LM92" s="47">
        <v>4</v>
      </c>
      <c r="LN92" s="48" t="s">
        <v>4</v>
      </c>
      <c r="LO92" s="49">
        <v>1</v>
      </c>
      <c r="LP92" s="8"/>
      <c r="LQ92" s="42">
        <f t="shared" si="520"/>
        <v>6.4</v>
      </c>
      <c r="LR92" s="43">
        <f t="shared" si="521"/>
        <v>3</v>
      </c>
      <c r="LS92" s="8"/>
      <c r="LT92" s="47">
        <v>2</v>
      </c>
      <c r="LU92" s="48" t="s">
        <v>4</v>
      </c>
      <c r="LV92" s="49">
        <v>1</v>
      </c>
      <c r="LW92" s="8"/>
      <c r="LX92" s="42">
        <f t="shared" si="522"/>
        <v>6.4</v>
      </c>
      <c r="LY92" s="43">
        <f t="shared" si="523"/>
        <v>1</v>
      </c>
      <c r="LZ92" s="8"/>
      <c r="MA92" s="47">
        <v>2</v>
      </c>
      <c r="MB92" s="48" t="s">
        <v>4</v>
      </c>
      <c r="MC92" s="49">
        <v>0</v>
      </c>
      <c r="MD92" s="8"/>
      <c r="ME92" s="42">
        <f t="shared" si="524"/>
        <v>6.4</v>
      </c>
      <c r="MF92" s="43">
        <f t="shared" si="525"/>
        <v>2</v>
      </c>
      <c r="MG92" s="8"/>
      <c r="MH92" s="47">
        <v>3</v>
      </c>
      <c r="MI92" s="48" t="s">
        <v>4</v>
      </c>
      <c r="MJ92" s="49">
        <v>1</v>
      </c>
      <c r="MK92" s="8"/>
      <c r="ML92" s="42">
        <f t="shared" si="526"/>
        <v>6.4</v>
      </c>
      <c r="MM92" s="43">
        <f t="shared" si="527"/>
        <v>2</v>
      </c>
      <c r="MN92" s="8"/>
      <c r="MO92" s="47">
        <v>3</v>
      </c>
      <c r="MP92" s="48" t="s">
        <v>4</v>
      </c>
      <c r="MQ92" s="49">
        <v>0</v>
      </c>
      <c r="MR92" s="8"/>
      <c r="MS92" s="42">
        <f t="shared" si="528"/>
        <v>9.6000000000000014</v>
      </c>
      <c r="MT92" s="43">
        <f t="shared" si="529"/>
        <v>3</v>
      </c>
      <c r="MU92" s="8"/>
      <c r="MV92" s="47">
        <v>4</v>
      </c>
      <c r="MW92" s="48" t="s">
        <v>4</v>
      </c>
      <c r="MX92" s="49">
        <v>5</v>
      </c>
      <c r="MY92" s="8"/>
      <c r="MZ92" s="42">
        <f t="shared" si="530"/>
        <v>0</v>
      </c>
      <c r="NA92" s="43">
        <f t="shared" si="531"/>
        <v>-1</v>
      </c>
      <c r="NB92" s="8"/>
      <c r="NC92" s="47">
        <v>4</v>
      </c>
      <c r="ND92" s="48" t="s">
        <v>4</v>
      </c>
      <c r="NE92" s="49">
        <v>1</v>
      </c>
      <c r="NF92" s="8"/>
      <c r="NG92" s="42">
        <f t="shared" si="532"/>
        <v>6.4</v>
      </c>
      <c r="NH92" s="43">
        <f t="shared" si="533"/>
        <v>3</v>
      </c>
      <c r="NI92" s="8"/>
      <c r="NJ92" s="47">
        <v>3</v>
      </c>
      <c r="NK92" s="48" t="s">
        <v>4</v>
      </c>
      <c r="NL92" s="49">
        <v>2</v>
      </c>
      <c r="NM92" s="8"/>
      <c r="NN92" s="42">
        <f t="shared" si="534"/>
        <v>6.4</v>
      </c>
      <c r="NO92" s="43">
        <f t="shared" si="535"/>
        <v>1</v>
      </c>
      <c r="NP92" s="8"/>
      <c r="NQ92" s="47">
        <v>2</v>
      </c>
      <c r="NR92" s="48" t="s">
        <v>4</v>
      </c>
      <c r="NS92" s="49">
        <v>1</v>
      </c>
      <c r="NT92" s="8"/>
      <c r="NU92" s="42">
        <f t="shared" si="536"/>
        <v>6.4</v>
      </c>
      <c r="NV92" s="43">
        <f t="shared" si="537"/>
        <v>1</v>
      </c>
      <c r="NW92" s="8"/>
      <c r="NX92" s="47">
        <v>2</v>
      </c>
      <c r="NY92" s="48" t="s">
        <v>4</v>
      </c>
      <c r="NZ92" s="49">
        <v>1</v>
      </c>
      <c r="OA92" s="8"/>
      <c r="OB92" s="42">
        <f t="shared" si="538"/>
        <v>6.4</v>
      </c>
      <c r="OC92" s="43">
        <f t="shared" si="539"/>
        <v>1</v>
      </c>
      <c r="OD92" s="8"/>
      <c r="OE92" s="47">
        <v>3</v>
      </c>
      <c r="OF92" s="48" t="s">
        <v>4</v>
      </c>
      <c r="OG92" s="49">
        <v>0</v>
      </c>
      <c r="OH92" s="8"/>
      <c r="OI92" s="42">
        <f t="shared" si="540"/>
        <v>9.6000000000000014</v>
      </c>
      <c r="OJ92" s="43">
        <f t="shared" si="541"/>
        <v>3</v>
      </c>
      <c r="OK92" s="8"/>
      <c r="OL92" s="47">
        <v>3</v>
      </c>
      <c r="OM92" s="48" t="s">
        <v>4</v>
      </c>
      <c r="ON92" s="49">
        <v>1</v>
      </c>
      <c r="OO92" s="8"/>
      <c r="OP92" s="42">
        <f t="shared" si="542"/>
        <v>6.4</v>
      </c>
      <c r="OQ92" s="43">
        <f t="shared" si="543"/>
        <v>2</v>
      </c>
      <c r="OR92" s="8"/>
      <c r="OS92" s="47">
        <v>3</v>
      </c>
      <c r="OT92" s="48" t="s">
        <v>4</v>
      </c>
      <c r="OU92" s="49">
        <v>0</v>
      </c>
      <c r="OV92" s="8"/>
      <c r="OW92" s="42">
        <f t="shared" si="544"/>
        <v>9.6000000000000014</v>
      </c>
      <c r="OX92" s="43">
        <f t="shared" si="545"/>
        <v>3</v>
      </c>
      <c r="OY92" s="8"/>
      <c r="OZ92" s="47">
        <v>3</v>
      </c>
      <c r="PA92" s="48" t="s">
        <v>4</v>
      </c>
      <c r="PB92" s="49">
        <v>2</v>
      </c>
      <c r="PC92" s="8"/>
      <c r="PD92" s="42">
        <f t="shared" si="546"/>
        <v>6.4</v>
      </c>
      <c r="PE92" s="43">
        <f t="shared" si="547"/>
        <v>1</v>
      </c>
      <c r="PF92" s="8"/>
      <c r="PG92" s="47">
        <v>2</v>
      </c>
      <c r="PH92" s="48" t="s">
        <v>4</v>
      </c>
      <c r="PI92" s="49">
        <v>0</v>
      </c>
      <c r="PJ92" s="8"/>
      <c r="PK92" s="42">
        <f t="shared" si="548"/>
        <v>6.4</v>
      </c>
      <c r="PL92" s="43">
        <f t="shared" si="549"/>
        <v>2</v>
      </c>
      <c r="PM92" s="8"/>
      <c r="PN92" s="47">
        <v>2</v>
      </c>
      <c r="PO92" s="48" t="s">
        <v>4</v>
      </c>
      <c r="PP92" s="49">
        <v>0</v>
      </c>
      <c r="PQ92" s="8"/>
      <c r="PR92" s="42">
        <f t="shared" si="550"/>
        <v>6.4</v>
      </c>
      <c r="PS92" s="43">
        <f t="shared" si="551"/>
        <v>2</v>
      </c>
      <c r="PT92" s="8"/>
      <c r="PU92" s="47">
        <v>2</v>
      </c>
      <c r="PV92" s="48" t="s">
        <v>4</v>
      </c>
      <c r="PW92" s="49">
        <v>0</v>
      </c>
      <c r="PX92" s="8"/>
      <c r="PY92" s="42">
        <f t="shared" si="552"/>
        <v>6.4</v>
      </c>
      <c r="PZ92" s="43">
        <f t="shared" si="553"/>
        <v>2</v>
      </c>
      <c r="QA92" s="8"/>
      <c r="QB92" s="47">
        <v>2</v>
      </c>
      <c r="QC92" s="48" t="s">
        <v>4</v>
      </c>
      <c r="QD92" s="49">
        <v>1</v>
      </c>
      <c r="QE92" s="8"/>
      <c r="QF92" s="42">
        <f t="shared" si="554"/>
        <v>6.4</v>
      </c>
      <c r="QG92" s="43">
        <f t="shared" si="555"/>
        <v>1</v>
      </c>
      <c r="QH92" s="8"/>
      <c r="QI92" s="47">
        <v>1</v>
      </c>
      <c r="QJ92" s="48" t="s">
        <v>4</v>
      </c>
      <c r="QK92" s="49">
        <v>0</v>
      </c>
      <c r="QL92" s="8"/>
      <c r="QM92" s="42">
        <f t="shared" si="556"/>
        <v>6.4</v>
      </c>
      <c r="QN92" s="43">
        <f t="shared" si="557"/>
        <v>1</v>
      </c>
      <c r="QO92" s="8"/>
      <c r="QP92" s="47">
        <v>4</v>
      </c>
      <c r="QQ92" s="48" t="s">
        <v>4</v>
      </c>
      <c r="QR92" s="49">
        <v>1</v>
      </c>
      <c r="QS92" s="8"/>
      <c r="QT92" s="42">
        <f t="shared" si="558"/>
        <v>6.4</v>
      </c>
      <c r="QU92" s="43">
        <f t="shared" si="559"/>
        <v>3</v>
      </c>
      <c r="QV92" s="8"/>
      <c r="QW92" s="47">
        <v>2</v>
      </c>
      <c r="QX92" s="48" t="s">
        <v>4</v>
      </c>
      <c r="QY92" s="49">
        <v>0</v>
      </c>
      <c r="QZ92" s="8"/>
      <c r="RA92" s="42">
        <f t="shared" si="560"/>
        <v>6.4</v>
      </c>
      <c r="RB92" s="43">
        <f t="shared" si="561"/>
        <v>2</v>
      </c>
      <c r="RC92" s="8"/>
      <c r="RD92" s="47"/>
      <c r="RE92" s="48" t="s">
        <v>4</v>
      </c>
      <c r="RF92" s="49"/>
      <c r="RG92" s="8"/>
      <c r="RH92" s="42" t="str">
        <f t="shared" si="562"/>
        <v/>
      </c>
      <c r="RI92" s="43">
        <f t="shared" si="563"/>
        <v>0</v>
      </c>
      <c r="RJ92" s="8"/>
      <c r="RK92" s="47">
        <v>3</v>
      </c>
      <c r="RL92" s="48" t="s">
        <v>4</v>
      </c>
      <c r="RM92" s="49">
        <v>1</v>
      </c>
      <c r="RN92" s="8"/>
      <c r="RO92" s="42">
        <f t="shared" si="564"/>
        <v>6.4</v>
      </c>
      <c r="RP92" s="43">
        <f t="shared" si="565"/>
        <v>2</v>
      </c>
      <c r="RQ92" s="8"/>
      <c r="RR92" s="47">
        <v>2</v>
      </c>
      <c r="RS92" s="48" t="s">
        <v>4</v>
      </c>
      <c r="RT92" s="49">
        <v>1</v>
      </c>
      <c r="RU92" s="8"/>
      <c r="RV92" s="42">
        <f t="shared" si="566"/>
        <v>6.4</v>
      </c>
      <c r="RW92" s="43">
        <f t="shared" si="567"/>
        <v>1</v>
      </c>
      <c r="RX92" s="8"/>
      <c r="RY92" s="47">
        <v>2</v>
      </c>
      <c r="RZ92" s="48" t="s">
        <v>4</v>
      </c>
      <c r="SA92" s="49">
        <v>1</v>
      </c>
      <c r="SB92" s="8"/>
      <c r="SC92" s="42">
        <f t="shared" si="568"/>
        <v>6.4</v>
      </c>
      <c r="SD92" s="43">
        <f t="shared" si="569"/>
        <v>1</v>
      </c>
      <c r="SE92" s="8"/>
      <c r="SF92" s="47">
        <v>2</v>
      </c>
      <c r="SG92" s="48" t="s">
        <v>4</v>
      </c>
      <c r="SH92" s="49">
        <v>0</v>
      </c>
      <c r="SI92" s="8"/>
      <c r="SJ92" s="42">
        <f t="shared" si="570"/>
        <v>6.4</v>
      </c>
      <c r="SK92" s="43">
        <f t="shared" si="571"/>
        <v>2</v>
      </c>
      <c r="SL92" s="8"/>
      <c r="SM92" s="47">
        <v>2</v>
      </c>
      <c r="SN92" s="48" t="s">
        <v>4</v>
      </c>
      <c r="SO92" s="49">
        <v>0</v>
      </c>
      <c r="SP92" s="8"/>
      <c r="SQ92" s="42">
        <f t="shared" si="572"/>
        <v>6.4</v>
      </c>
      <c r="SR92" s="43">
        <f t="shared" si="573"/>
        <v>2</v>
      </c>
    </row>
    <row r="93" spans="1:512" ht="16" customHeight="1" x14ac:dyDescent="0.15">
      <c r="A93" s="51">
        <v>46206</v>
      </c>
      <c r="B93" s="46">
        <v>4.1666666666666664E-2</v>
      </c>
      <c r="C93" s="82" t="s">
        <v>9</v>
      </c>
      <c r="D93" s="82" t="s">
        <v>22</v>
      </c>
      <c r="E93" s="2">
        <v>2</v>
      </c>
      <c r="F93" s="50" t="s">
        <v>4</v>
      </c>
      <c r="G93" s="1">
        <v>1</v>
      </c>
      <c r="H93" s="16">
        <v>6.8</v>
      </c>
      <c r="I93" s="32">
        <f t="shared" si="429"/>
        <v>1</v>
      </c>
      <c r="J93" s="47"/>
      <c r="K93" s="48" t="s">
        <v>4</v>
      </c>
      <c r="L93" s="49"/>
      <c r="M93" s="8"/>
      <c r="N93" s="42" t="str">
        <f t="shared" si="430"/>
        <v/>
      </c>
      <c r="O93" s="43">
        <f t="shared" si="431"/>
        <v>0</v>
      </c>
      <c r="Q93" s="47">
        <v>1</v>
      </c>
      <c r="R93" s="48" t="s">
        <v>4</v>
      </c>
      <c r="S93" s="49">
        <v>2</v>
      </c>
      <c r="T93" s="8"/>
      <c r="U93" s="42">
        <f t="shared" si="432"/>
        <v>0</v>
      </c>
      <c r="V93" s="43">
        <f t="shared" si="433"/>
        <v>-1</v>
      </c>
      <c r="W93" s="8"/>
      <c r="X93" s="47"/>
      <c r="Y93" s="48" t="s">
        <v>4</v>
      </c>
      <c r="Z93" s="49"/>
      <c r="AA93" s="8"/>
      <c r="AB93" s="42" t="str">
        <f t="shared" si="434"/>
        <v/>
      </c>
      <c r="AC93" s="43">
        <f t="shared" si="435"/>
        <v>0</v>
      </c>
      <c r="AD93" s="8"/>
      <c r="AE93" s="47">
        <v>2</v>
      </c>
      <c r="AF93" s="48" t="s">
        <v>4</v>
      </c>
      <c r="AG93" s="49">
        <v>1</v>
      </c>
      <c r="AH93" s="8"/>
      <c r="AI93" s="42">
        <f t="shared" si="436"/>
        <v>10.199999999999999</v>
      </c>
      <c r="AJ93" s="43">
        <f t="shared" si="437"/>
        <v>1</v>
      </c>
      <c r="AK93" s="8"/>
      <c r="AL93" s="47">
        <v>2</v>
      </c>
      <c r="AM93" s="48" t="s">
        <v>4</v>
      </c>
      <c r="AN93" s="49">
        <v>1</v>
      </c>
      <c r="AO93" s="8"/>
      <c r="AP93" s="42">
        <f t="shared" si="438"/>
        <v>10.199999999999999</v>
      </c>
      <c r="AQ93" s="43">
        <f t="shared" si="439"/>
        <v>1</v>
      </c>
      <c r="AR93" s="8"/>
      <c r="AS93" s="47">
        <v>2</v>
      </c>
      <c r="AT93" s="48" t="s">
        <v>4</v>
      </c>
      <c r="AU93" s="49">
        <v>0</v>
      </c>
      <c r="AV93" s="8"/>
      <c r="AW93" s="42">
        <f t="shared" si="440"/>
        <v>6.8</v>
      </c>
      <c r="AX93" s="43">
        <f t="shared" si="441"/>
        <v>2</v>
      </c>
      <c r="AY93" s="8"/>
      <c r="AZ93" s="47">
        <v>2</v>
      </c>
      <c r="BA93" s="48" t="s">
        <v>4</v>
      </c>
      <c r="BB93" s="49">
        <v>1</v>
      </c>
      <c r="BC93" s="8"/>
      <c r="BD93" s="42">
        <f t="shared" si="442"/>
        <v>10.199999999999999</v>
      </c>
      <c r="BE93" s="43">
        <f t="shared" si="443"/>
        <v>1</v>
      </c>
      <c r="BF93" s="8"/>
      <c r="BG93" s="47">
        <v>3</v>
      </c>
      <c r="BH93" s="48" t="s">
        <v>4</v>
      </c>
      <c r="BI93" s="49">
        <v>1</v>
      </c>
      <c r="BJ93" s="8"/>
      <c r="BK93" s="42">
        <f t="shared" si="444"/>
        <v>6.8</v>
      </c>
      <c r="BL93" s="43">
        <f t="shared" si="445"/>
        <v>2</v>
      </c>
      <c r="BM93" s="8"/>
      <c r="BN93" s="47">
        <v>1</v>
      </c>
      <c r="BO93" s="48" t="s">
        <v>4</v>
      </c>
      <c r="BP93" s="49">
        <v>0</v>
      </c>
      <c r="BQ93" s="8"/>
      <c r="BR93" s="42">
        <f t="shared" si="446"/>
        <v>6.8</v>
      </c>
      <c r="BS93" s="43">
        <f t="shared" si="447"/>
        <v>1</v>
      </c>
      <c r="BT93" s="8"/>
      <c r="BU93" s="47">
        <v>2</v>
      </c>
      <c r="BV93" s="48" t="s">
        <v>4</v>
      </c>
      <c r="BW93" s="49">
        <v>0</v>
      </c>
      <c r="BX93" s="8"/>
      <c r="BY93" s="42">
        <f t="shared" si="448"/>
        <v>6.8</v>
      </c>
      <c r="BZ93" s="43">
        <f t="shared" si="449"/>
        <v>2</v>
      </c>
      <c r="CA93" s="8"/>
      <c r="CB93" s="47"/>
      <c r="CC93" s="48" t="s">
        <v>4</v>
      </c>
      <c r="CD93" s="49"/>
      <c r="CE93" s="8"/>
      <c r="CF93" s="42" t="str">
        <f t="shared" si="450"/>
        <v/>
      </c>
      <c r="CG93" s="43">
        <f t="shared" si="451"/>
        <v>0</v>
      </c>
      <c r="CH93" s="8"/>
      <c r="CI93" s="47">
        <v>3</v>
      </c>
      <c r="CJ93" s="48" t="s">
        <v>4</v>
      </c>
      <c r="CK93" s="49">
        <v>2</v>
      </c>
      <c r="CL93" s="8"/>
      <c r="CM93" s="42">
        <f t="shared" si="452"/>
        <v>6.8</v>
      </c>
      <c r="CN93" s="43">
        <f t="shared" si="453"/>
        <v>1</v>
      </c>
      <c r="CO93" s="8"/>
      <c r="CP93" s="47">
        <v>1</v>
      </c>
      <c r="CQ93" s="48" t="s">
        <v>4</v>
      </c>
      <c r="CR93" s="49">
        <v>2</v>
      </c>
      <c r="CS93" s="8"/>
      <c r="CT93" s="42">
        <f t="shared" si="454"/>
        <v>0</v>
      </c>
      <c r="CU93" s="43">
        <f t="shared" si="455"/>
        <v>-1</v>
      </c>
      <c r="CV93" s="8"/>
      <c r="CW93" s="47">
        <v>3</v>
      </c>
      <c r="CX93" s="48" t="s">
        <v>4</v>
      </c>
      <c r="CY93" s="49">
        <v>2</v>
      </c>
      <c r="CZ93" s="8"/>
      <c r="DA93" s="42">
        <f t="shared" si="456"/>
        <v>6.8</v>
      </c>
      <c r="DB93" s="43">
        <f t="shared" si="457"/>
        <v>1</v>
      </c>
      <c r="DC93" s="8"/>
      <c r="DD93" s="47">
        <v>2</v>
      </c>
      <c r="DE93" s="48" t="s">
        <v>4</v>
      </c>
      <c r="DF93" s="49">
        <v>1</v>
      </c>
      <c r="DG93" s="8"/>
      <c r="DH93" s="42">
        <f t="shared" si="458"/>
        <v>10.199999999999999</v>
      </c>
      <c r="DI93" s="43">
        <f t="shared" si="459"/>
        <v>1</v>
      </c>
      <c r="DJ93" s="8"/>
      <c r="DK93" s="47">
        <v>1</v>
      </c>
      <c r="DL93" s="48" t="s">
        <v>4</v>
      </c>
      <c r="DM93" s="49">
        <v>0</v>
      </c>
      <c r="DN93" s="8"/>
      <c r="DO93" s="42">
        <f t="shared" si="460"/>
        <v>6.8</v>
      </c>
      <c r="DP93" s="43">
        <f t="shared" si="461"/>
        <v>1</v>
      </c>
      <c r="DQ93" s="8"/>
      <c r="DR93" s="47">
        <v>3</v>
      </c>
      <c r="DS93" s="48" t="s">
        <v>4</v>
      </c>
      <c r="DT93" s="49">
        <v>1</v>
      </c>
      <c r="DU93" s="8"/>
      <c r="DV93" s="42">
        <f t="shared" si="462"/>
        <v>6.8</v>
      </c>
      <c r="DW93" s="43">
        <f t="shared" si="463"/>
        <v>2</v>
      </c>
      <c r="DX93" s="8"/>
      <c r="DY93" s="47">
        <v>2</v>
      </c>
      <c r="DZ93" s="48" t="s">
        <v>4</v>
      </c>
      <c r="EA93" s="49">
        <v>1</v>
      </c>
      <c r="EB93" s="8"/>
      <c r="EC93" s="42">
        <f t="shared" si="464"/>
        <v>10.199999999999999</v>
      </c>
      <c r="ED93" s="43">
        <f t="shared" si="465"/>
        <v>1</v>
      </c>
      <c r="EE93" s="8"/>
      <c r="EF93" s="47">
        <v>1</v>
      </c>
      <c r="EG93" s="48" t="s">
        <v>4</v>
      </c>
      <c r="EH93" s="49">
        <v>0</v>
      </c>
      <c r="EI93" s="8"/>
      <c r="EJ93" s="42">
        <f t="shared" si="466"/>
        <v>6.8</v>
      </c>
      <c r="EK93" s="43">
        <f t="shared" si="467"/>
        <v>1</v>
      </c>
      <c r="EL93" s="8"/>
      <c r="EM93" s="47">
        <v>2</v>
      </c>
      <c r="EN93" s="48" t="s">
        <v>4</v>
      </c>
      <c r="EO93" s="49">
        <v>1</v>
      </c>
      <c r="EP93" s="8"/>
      <c r="EQ93" s="42">
        <f t="shared" si="468"/>
        <v>10.199999999999999</v>
      </c>
      <c r="ER93" s="43">
        <f t="shared" si="469"/>
        <v>1</v>
      </c>
      <c r="ES93" s="8"/>
      <c r="ET93" s="47">
        <v>4</v>
      </c>
      <c r="EU93" s="48" t="s">
        <v>4</v>
      </c>
      <c r="EV93" s="49">
        <v>3</v>
      </c>
      <c r="EW93" s="8"/>
      <c r="EX93" s="42">
        <f t="shared" si="470"/>
        <v>6.8</v>
      </c>
      <c r="EY93" s="43">
        <f t="shared" si="471"/>
        <v>1</v>
      </c>
      <c r="EZ93" s="8"/>
      <c r="FA93" s="47">
        <v>1</v>
      </c>
      <c r="FB93" s="48" t="s">
        <v>4</v>
      </c>
      <c r="FC93" s="49">
        <v>0</v>
      </c>
      <c r="FD93" s="8"/>
      <c r="FE93" s="42">
        <f t="shared" si="472"/>
        <v>6.8</v>
      </c>
      <c r="FF93" s="43">
        <f t="shared" si="473"/>
        <v>1</v>
      </c>
      <c r="FG93" s="8"/>
      <c r="FH93" s="47">
        <v>1</v>
      </c>
      <c r="FI93" s="48" t="s">
        <v>4</v>
      </c>
      <c r="FJ93" s="49">
        <v>0</v>
      </c>
      <c r="FK93" s="8"/>
      <c r="FL93" s="42">
        <f t="shared" si="474"/>
        <v>6.8</v>
      </c>
      <c r="FM93" s="43">
        <f t="shared" si="475"/>
        <v>1</v>
      </c>
      <c r="FN93" s="8"/>
      <c r="FO93" s="47">
        <v>1</v>
      </c>
      <c r="FP93" s="48" t="s">
        <v>4</v>
      </c>
      <c r="FQ93" s="49">
        <v>2</v>
      </c>
      <c r="FR93" s="8"/>
      <c r="FS93" s="42">
        <f t="shared" si="476"/>
        <v>0</v>
      </c>
      <c r="FT93" s="43">
        <f t="shared" si="477"/>
        <v>-1</v>
      </c>
      <c r="FU93" s="8"/>
      <c r="FV93" s="47">
        <v>2</v>
      </c>
      <c r="FW93" s="48" t="s">
        <v>4</v>
      </c>
      <c r="FX93" s="49">
        <v>1</v>
      </c>
      <c r="FY93" s="8"/>
      <c r="FZ93" s="42">
        <f t="shared" si="478"/>
        <v>10.199999999999999</v>
      </c>
      <c r="GA93" s="43">
        <f t="shared" si="479"/>
        <v>1</v>
      </c>
      <c r="GB93" s="8"/>
      <c r="GC93" s="47">
        <v>2</v>
      </c>
      <c r="GD93" s="48" t="s">
        <v>4</v>
      </c>
      <c r="GE93" s="49">
        <v>1</v>
      </c>
      <c r="GF93" s="8"/>
      <c r="GG93" s="42">
        <f t="shared" si="480"/>
        <v>10.199999999999999</v>
      </c>
      <c r="GH93" s="43">
        <f t="shared" si="481"/>
        <v>1</v>
      </c>
      <c r="GI93" s="8"/>
      <c r="GJ93" s="47">
        <v>1</v>
      </c>
      <c r="GK93" s="48" t="s">
        <v>4</v>
      </c>
      <c r="GL93" s="49">
        <v>2</v>
      </c>
      <c r="GM93" s="8"/>
      <c r="GN93" s="42">
        <f t="shared" si="482"/>
        <v>0</v>
      </c>
      <c r="GO93" s="43">
        <f t="shared" si="483"/>
        <v>-1</v>
      </c>
      <c r="GP93" s="8"/>
      <c r="GQ93" s="47">
        <v>4</v>
      </c>
      <c r="GR93" s="48" t="s">
        <v>4</v>
      </c>
      <c r="GS93" s="49">
        <v>5</v>
      </c>
      <c r="GT93" s="8"/>
      <c r="GU93" s="42">
        <f t="shared" si="484"/>
        <v>0</v>
      </c>
      <c r="GV93" s="43">
        <f t="shared" si="485"/>
        <v>-1</v>
      </c>
      <c r="GW93" s="8"/>
      <c r="GX93" s="47">
        <v>2</v>
      </c>
      <c r="GY93" s="48" t="s">
        <v>4</v>
      </c>
      <c r="GZ93" s="49">
        <v>1</v>
      </c>
      <c r="HA93" s="8"/>
      <c r="HB93" s="42">
        <f t="shared" si="486"/>
        <v>10.199999999999999</v>
      </c>
      <c r="HC93" s="43">
        <f t="shared" si="487"/>
        <v>1</v>
      </c>
      <c r="HD93" s="8"/>
      <c r="HE93" s="47">
        <v>2</v>
      </c>
      <c r="HF93" s="48" t="s">
        <v>4</v>
      </c>
      <c r="HG93" s="49">
        <v>1</v>
      </c>
      <c r="HH93" s="8"/>
      <c r="HI93" s="42">
        <f t="shared" si="488"/>
        <v>10.199999999999999</v>
      </c>
      <c r="HJ93" s="43">
        <f t="shared" si="489"/>
        <v>1</v>
      </c>
      <c r="HK93" s="8"/>
      <c r="HL93" s="47">
        <v>2</v>
      </c>
      <c r="HM93" s="48" t="s">
        <v>4</v>
      </c>
      <c r="HN93" s="49">
        <v>1</v>
      </c>
      <c r="HO93" s="8"/>
      <c r="HP93" s="42">
        <f t="shared" si="490"/>
        <v>10.199999999999999</v>
      </c>
      <c r="HQ93" s="43">
        <f t="shared" si="491"/>
        <v>1</v>
      </c>
      <c r="HR93" s="8"/>
      <c r="HS93" s="47">
        <v>1</v>
      </c>
      <c r="HT93" s="48" t="s">
        <v>4</v>
      </c>
      <c r="HU93" s="49">
        <v>2</v>
      </c>
      <c r="HV93" s="8"/>
      <c r="HW93" s="42">
        <f t="shared" si="492"/>
        <v>0</v>
      </c>
      <c r="HX93" s="43">
        <f t="shared" si="493"/>
        <v>-1</v>
      </c>
      <c r="HY93" s="8"/>
      <c r="HZ93" s="47">
        <v>1</v>
      </c>
      <c r="IA93" s="48" t="s">
        <v>4</v>
      </c>
      <c r="IB93" s="49">
        <v>2</v>
      </c>
      <c r="IC93" s="8"/>
      <c r="ID93" s="42">
        <f t="shared" si="494"/>
        <v>0</v>
      </c>
      <c r="IE93" s="43">
        <f t="shared" si="495"/>
        <v>-1</v>
      </c>
      <c r="IF93" s="8"/>
      <c r="IG93" s="47">
        <v>2</v>
      </c>
      <c r="IH93" s="48" t="s">
        <v>4</v>
      </c>
      <c r="II93" s="49">
        <v>3</v>
      </c>
      <c r="IJ93" s="8"/>
      <c r="IK93" s="42">
        <f t="shared" si="496"/>
        <v>0</v>
      </c>
      <c r="IL93" s="43">
        <f t="shared" si="497"/>
        <v>-1</v>
      </c>
      <c r="IM93" s="8"/>
      <c r="IN93" s="47">
        <v>6</v>
      </c>
      <c r="IO93" s="48" t="s">
        <v>4</v>
      </c>
      <c r="IP93" s="49">
        <v>7</v>
      </c>
      <c r="IQ93" s="8"/>
      <c r="IR93" s="42">
        <f t="shared" si="498"/>
        <v>0</v>
      </c>
      <c r="IS93" s="43">
        <f t="shared" si="499"/>
        <v>-1</v>
      </c>
      <c r="IT93" s="8"/>
      <c r="IU93" s="47">
        <v>2</v>
      </c>
      <c r="IV93" s="48" t="s">
        <v>4</v>
      </c>
      <c r="IW93" s="49">
        <v>0</v>
      </c>
      <c r="IX93" s="8"/>
      <c r="IY93" s="42">
        <f t="shared" si="500"/>
        <v>6.8</v>
      </c>
      <c r="IZ93" s="43">
        <f t="shared" si="501"/>
        <v>2</v>
      </c>
      <c r="JA93" s="8"/>
      <c r="JB93" s="47">
        <v>2</v>
      </c>
      <c r="JC93" s="48" t="s">
        <v>4</v>
      </c>
      <c r="JD93" s="49">
        <v>0</v>
      </c>
      <c r="JE93" s="8"/>
      <c r="JF93" s="42">
        <f t="shared" si="502"/>
        <v>6.8</v>
      </c>
      <c r="JG93" s="43">
        <f t="shared" si="503"/>
        <v>2</v>
      </c>
      <c r="JH93" s="8"/>
      <c r="JI93" s="47">
        <v>2</v>
      </c>
      <c r="JJ93" s="48" t="s">
        <v>4</v>
      </c>
      <c r="JK93" s="49">
        <v>3</v>
      </c>
      <c r="JL93" s="8"/>
      <c r="JM93" s="42">
        <f t="shared" si="504"/>
        <v>0</v>
      </c>
      <c r="JN93" s="43">
        <f t="shared" si="505"/>
        <v>-1</v>
      </c>
      <c r="JO93" s="8"/>
      <c r="JP93" s="47">
        <v>1</v>
      </c>
      <c r="JQ93" s="48" t="s">
        <v>4</v>
      </c>
      <c r="JR93" s="49">
        <v>0</v>
      </c>
      <c r="JS93" s="8"/>
      <c r="JT93" s="42">
        <f t="shared" si="506"/>
        <v>6.8</v>
      </c>
      <c r="JU93" s="43">
        <f t="shared" si="507"/>
        <v>1</v>
      </c>
      <c r="JV93" s="8"/>
      <c r="JW93" s="47">
        <v>2</v>
      </c>
      <c r="JX93" s="48" t="s">
        <v>4</v>
      </c>
      <c r="JY93" s="49">
        <v>0</v>
      </c>
      <c r="JZ93" s="8"/>
      <c r="KA93" s="42">
        <f t="shared" si="508"/>
        <v>6.8</v>
      </c>
      <c r="KB93" s="43">
        <f t="shared" si="509"/>
        <v>2</v>
      </c>
      <c r="KC93" s="8"/>
      <c r="KD93" s="47">
        <v>6</v>
      </c>
      <c r="KE93" s="48" t="s">
        <v>4</v>
      </c>
      <c r="KF93" s="49">
        <v>5</v>
      </c>
      <c r="KG93" s="8"/>
      <c r="KH93" s="42">
        <f t="shared" si="510"/>
        <v>6.8</v>
      </c>
      <c r="KI93" s="43">
        <f t="shared" si="511"/>
        <v>1</v>
      </c>
      <c r="KJ93" s="8"/>
      <c r="KK93" s="47">
        <v>2</v>
      </c>
      <c r="KL93" s="48" t="s">
        <v>4</v>
      </c>
      <c r="KM93" s="49">
        <v>0</v>
      </c>
      <c r="KN93" s="8"/>
      <c r="KO93" s="42">
        <f t="shared" si="512"/>
        <v>6.8</v>
      </c>
      <c r="KP93" s="43">
        <f t="shared" si="513"/>
        <v>2</v>
      </c>
      <c r="KQ93" s="8"/>
      <c r="KR93" s="47">
        <v>0</v>
      </c>
      <c r="KS93" s="48" t="s">
        <v>4</v>
      </c>
      <c r="KT93" s="49">
        <v>1</v>
      </c>
      <c r="KU93" s="8"/>
      <c r="KV93" s="42">
        <f t="shared" si="514"/>
        <v>0</v>
      </c>
      <c r="KW93" s="43">
        <f t="shared" si="515"/>
        <v>-1</v>
      </c>
      <c r="KX93" s="8"/>
      <c r="KY93" s="47">
        <v>2</v>
      </c>
      <c r="KZ93" s="48" t="s">
        <v>4</v>
      </c>
      <c r="LA93" s="49">
        <v>1</v>
      </c>
      <c r="LB93" s="8"/>
      <c r="LC93" s="42">
        <f t="shared" si="516"/>
        <v>10.199999999999999</v>
      </c>
      <c r="LD93" s="43">
        <f t="shared" si="517"/>
        <v>1</v>
      </c>
      <c r="LE93" s="8"/>
      <c r="LF93" s="47">
        <v>1</v>
      </c>
      <c r="LG93" s="48" t="s">
        <v>4</v>
      </c>
      <c r="LH93" s="49">
        <v>0</v>
      </c>
      <c r="LI93" s="8"/>
      <c r="LJ93" s="42">
        <f t="shared" si="518"/>
        <v>6.8</v>
      </c>
      <c r="LK93" s="43">
        <f t="shared" si="519"/>
        <v>1</v>
      </c>
      <c r="LL93" s="8"/>
      <c r="LM93" s="47">
        <v>2</v>
      </c>
      <c r="LN93" s="48" t="s">
        <v>4</v>
      </c>
      <c r="LO93" s="49">
        <v>3</v>
      </c>
      <c r="LP93" s="8"/>
      <c r="LQ93" s="42">
        <f t="shared" si="520"/>
        <v>0</v>
      </c>
      <c r="LR93" s="43">
        <f t="shared" si="521"/>
        <v>-1</v>
      </c>
      <c r="LS93" s="8"/>
      <c r="LT93" s="47">
        <v>0</v>
      </c>
      <c r="LU93" s="48" t="s">
        <v>4</v>
      </c>
      <c r="LV93" s="49">
        <v>1</v>
      </c>
      <c r="LW93" s="8"/>
      <c r="LX93" s="42">
        <f t="shared" si="522"/>
        <v>0</v>
      </c>
      <c r="LY93" s="43">
        <f t="shared" si="523"/>
        <v>-1</v>
      </c>
      <c r="LZ93" s="8"/>
      <c r="MA93" s="47">
        <v>1</v>
      </c>
      <c r="MB93" s="48" t="s">
        <v>4</v>
      </c>
      <c r="MC93" s="49">
        <v>2</v>
      </c>
      <c r="MD93" s="8"/>
      <c r="ME93" s="42">
        <f t="shared" si="524"/>
        <v>0</v>
      </c>
      <c r="MF93" s="43">
        <f t="shared" si="525"/>
        <v>-1</v>
      </c>
      <c r="MG93" s="8"/>
      <c r="MH93" s="47">
        <v>1</v>
      </c>
      <c r="MI93" s="48" t="s">
        <v>4</v>
      </c>
      <c r="MJ93" s="49">
        <v>3</v>
      </c>
      <c r="MK93" s="8"/>
      <c r="ML93" s="42">
        <f t="shared" si="526"/>
        <v>0</v>
      </c>
      <c r="MM93" s="43">
        <f t="shared" si="527"/>
        <v>-2</v>
      </c>
      <c r="MN93" s="8"/>
      <c r="MO93" s="47">
        <v>1</v>
      </c>
      <c r="MP93" s="48" t="s">
        <v>4</v>
      </c>
      <c r="MQ93" s="49">
        <v>2</v>
      </c>
      <c r="MR93" s="8"/>
      <c r="MS93" s="42">
        <f t="shared" si="528"/>
        <v>0</v>
      </c>
      <c r="MT93" s="43">
        <f t="shared" si="529"/>
        <v>-1</v>
      </c>
      <c r="MU93" s="8"/>
      <c r="MV93" s="47">
        <v>1</v>
      </c>
      <c r="MW93" s="48" t="s">
        <v>4</v>
      </c>
      <c r="MX93" s="49">
        <v>3</v>
      </c>
      <c r="MY93" s="8"/>
      <c r="MZ93" s="42">
        <f t="shared" si="530"/>
        <v>0</v>
      </c>
      <c r="NA93" s="43">
        <f t="shared" si="531"/>
        <v>-2</v>
      </c>
      <c r="NB93" s="8"/>
      <c r="NC93" s="47">
        <v>8</v>
      </c>
      <c r="ND93" s="48" t="s">
        <v>4</v>
      </c>
      <c r="NE93" s="49">
        <v>7</v>
      </c>
      <c r="NF93" s="8"/>
      <c r="NG93" s="42">
        <f t="shared" si="532"/>
        <v>6.8</v>
      </c>
      <c r="NH93" s="43">
        <f t="shared" si="533"/>
        <v>1</v>
      </c>
      <c r="NI93" s="8"/>
      <c r="NJ93" s="47">
        <v>2</v>
      </c>
      <c r="NK93" s="48" t="s">
        <v>4</v>
      </c>
      <c r="NL93" s="49">
        <v>1</v>
      </c>
      <c r="NM93" s="8"/>
      <c r="NN93" s="42">
        <f t="shared" si="534"/>
        <v>10.199999999999999</v>
      </c>
      <c r="NO93" s="43">
        <f t="shared" si="535"/>
        <v>1</v>
      </c>
      <c r="NP93" s="8"/>
      <c r="NQ93" s="47">
        <v>7</v>
      </c>
      <c r="NR93" s="48" t="s">
        <v>4</v>
      </c>
      <c r="NS93" s="49">
        <v>6</v>
      </c>
      <c r="NT93" s="8"/>
      <c r="NU93" s="42">
        <f t="shared" si="536"/>
        <v>6.8</v>
      </c>
      <c r="NV93" s="43">
        <f t="shared" si="537"/>
        <v>1</v>
      </c>
      <c r="NW93" s="8"/>
      <c r="NX93" s="47">
        <v>6</v>
      </c>
      <c r="NY93" s="48" t="s">
        <v>4</v>
      </c>
      <c r="NZ93" s="49">
        <v>4</v>
      </c>
      <c r="OA93" s="8"/>
      <c r="OB93" s="42">
        <f t="shared" si="538"/>
        <v>6.8</v>
      </c>
      <c r="OC93" s="43">
        <f t="shared" si="539"/>
        <v>2</v>
      </c>
      <c r="OD93" s="8"/>
      <c r="OE93" s="47">
        <v>3</v>
      </c>
      <c r="OF93" s="48" t="s">
        <v>4</v>
      </c>
      <c r="OG93" s="49">
        <v>2</v>
      </c>
      <c r="OH93" s="8"/>
      <c r="OI93" s="42">
        <f t="shared" si="540"/>
        <v>6.8</v>
      </c>
      <c r="OJ93" s="43">
        <f t="shared" si="541"/>
        <v>1</v>
      </c>
      <c r="OK93" s="8"/>
      <c r="OL93" s="47">
        <v>2</v>
      </c>
      <c r="OM93" s="48" t="s">
        <v>4</v>
      </c>
      <c r="ON93" s="49">
        <v>1</v>
      </c>
      <c r="OO93" s="8"/>
      <c r="OP93" s="42">
        <f t="shared" si="542"/>
        <v>10.199999999999999</v>
      </c>
      <c r="OQ93" s="43">
        <f t="shared" si="543"/>
        <v>1</v>
      </c>
      <c r="OR93" s="8"/>
      <c r="OS93" s="47">
        <v>4</v>
      </c>
      <c r="OT93" s="48" t="s">
        <v>4</v>
      </c>
      <c r="OU93" s="49">
        <v>1</v>
      </c>
      <c r="OV93" s="8"/>
      <c r="OW93" s="42">
        <f t="shared" si="544"/>
        <v>6.8</v>
      </c>
      <c r="OX93" s="43">
        <f t="shared" si="545"/>
        <v>3</v>
      </c>
      <c r="OY93" s="8"/>
      <c r="OZ93" s="47">
        <v>2</v>
      </c>
      <c r="PA93" s="48" t="s">
        <v>4</v>
      </c>
      <c r="PB93" s="49">
        <v>1</v>
      </c>
      <c r="PC93" s="8"/>
      <c r="PD93" s="42">
        <f t="shared" si="546"/>
        <v>10.199999999999999</v>
      </c>
      <c r="PE93" s="43">
        <f t="shared" si="547"/>
        <v>1</v>
      </c>
      <c r="PF93" s="8"/>
      <c r="PG93" s="47">
        <v>5</v>
      </c>
      <c r="PH93" s="48" t="s">
        <v>4</v>
      </c>
      <c r="PI93" s="49">
        <v>4</v>
      </c>
      <c r="PJ93" s="8"/>
      <c r="PK93" s="42">
        <f t="shared" si="548"/>
        <v>6.8</v>
      </c>
      <c r="PL93" s="43">
        <f t="shared" si="549"/>
        <v>1</v>
      </c>
      <c r="PM93" s="8"/>
      <c r="PN93" s="47">
        <v>2</v>
      </c>
      <c r="PO93" s="48" t="s">
        <v>4</v>
      </c>
      <c r="PP93" s="49">
        <v>1</v>
      </c>
      <c r="PQ93" s="8"/>
      <c r="PR93" s="42">
        <f t="shared" si="550"/>
        <v>10.199999999999999</v>
      </c>
      <c r="PS93" s="43">
        <f t="shared" si="551"/>
        <v>1</v>
      </c>
      <c r="PT93" s="8"/>
      <c r="PU93" s="47">
        <v>6</v>
      </c>
      <c r="PV93" s="48" t="s">
        <v>4</v>
      </c>
      <c r="PW93" s="49">
        <v>5</v>
      </c>
      <c r="PX93" s="8"/>
      <c r="PY93" s="42">
        <f t="shared" si="552"/>
        <v>6.8</v>
      </c>
      <c r="PZ93" s="43">
        <f t="shared" si="553"/>
        <v>1</v>
      </c>
      <c r="QA93" s="8"/>
      <c r="QB93" s="47">
        <v>2</v>
      </c>
      <c r="QC93" s="48" t="s">
        <v>4</v>
      </c>
      <c r="QD93" s="49">
        <v>1</v>
      </c>
      <c r="QE93" s="8"/>
      <c r="QF93" s="42">
        <f t="shared" si="554"/>
        <v>10.199999999999999</v>
      </c>
      <c r="QG93" s="43">
        <f t="shared" si="555"/>
        <v>1</v>
      </c>
      <c r="QH93" s="8"/>
      <c r="QI93" s="47">
        <v>2</v>
      </c>
      <c r="QJ93" s="48" t="s">
        <v>4</v>
      </c>
      <c r="QK93" s="49">
        <v>1</v>
      </c>
      <c r="QL93" s="8"/>
      <c r="QM93" s="42">
        <f t="shared" si="556"/>
        <v>10.199999999999999</v>
      </c>
      <c r="QN93" s="43">
        <f t="shared" si="557"/>
        <v>1</v>
      </c>
      <c r="QO93" s="8"/>
      <c r="QP93" s="47">
        <v>2</v>
      </c>
      <c r="QQ93" s="48" t="s">
        <v>4</v>
      </c>
      <c r="QR93" s="49">
        <v>0</v>
      </c>
      <c r="QS93" s="8"/>
      <c r="QT93" s="42">
        <f t="shared" si="558"/>
        <v>6.8</v>
      </c>
      <c r="QU93" s="43">
        <f t="shared" si="559"/>
        <v>2</v>
      </c>
      <c r="QV93" s="8"/>
      <c r="QW93" s="47">
        <v>2</v>
      </c>
      <c r="QX93" s="48" t="s">
        <v>4</v>
      </c>
      <c r="QY93" s="49">
        <v>1</v>
      </c>
      <c r="QZ93" s="8"/>
      <c r="RA93" s="42">
        <f t="shared" si="560"/>
        <v>10.199999999999999</v>
      </c>
      <c r="RB93" s="43">
        <f t="shared" si="561"/>
        <v>1</v>
      </c>
      <c r="RC93" s="8"/>
      <c r="RD93" s="47"/>
      <c r="RE93" s="48" t="s">
        <v>4</v>
      </c>
      <c r="RF93" s="49"/>
      <c r="RG93" s="8"/>
      <c r="RH93" s="42" t="str">
        <f t="shared" si="562"/>
        <v/>
      </c>
      <c r="RI93" s="43">
        <f t="shared" si="563"/>
        <v>0</v>
      </c>
      <c r="RJ93" s="8"/>
      <c r="RK93" s="47">
        <v>6</v>
      </c>
      <c r="RL93" s="48" t="s">
        <v>4</v>
      </c>
      <c r="RM93" s="49">
        <v>5</v>
      </c>
      <c r="RN93" s="8"/>
      <c r="RO93" s="42">
        <f t="shared" si="564"/>
        <v>6.8</v>
      </c>
      <c r="RP93" s="43">
        <f t="shared" si="565"/>
        <v>1</v>
      </c>
      <c r="RQ93" s="8"/>
      <c r="RR93" s="47">
        <v>6</v>
      </c>
      <c r="RS93" s="48" t="s">
        <v>4</v>
      </c>
      <c r="RT93" s="49">
        <v>5</v>
      </c>
      <c r="RU93" s="8"/>
      <c r="RV93" s="42">
        <f t="shared" si="566"/>
        <v>6.8</v>
      </c>
      <c r="RW93" s="43">
        <f t="shared" si="567"/>
        <v>1</v>
      </c>
      <c r="RX93" s="8"/>
      <c r="RY93" s="47">
        <v>1</v>
      </c>
      <c r="RZ93" s="48" t="s">
        <v>4</v>
      </c>
      <c r="SA93" s="49">
        <v>0</v>
      </c>
      <c r="SB93" s="8"/>
      <c r="SC93" s="42">
        <f t="shared" si="568"/>
        <v>6.8</v>
      </c>
      <c r="SD93" s="43">
        <f t="shared" si="569"/>
        <v>1</v>
      </c>
      <c r="SE93" s="8"/>
      <c r="SF93" s="47">
        <v>1</v>
      </c>
      <c r="SG93" s="48" t="s">
        <v>4</v>
      </c>
      <c r="SH93" s="49">
        <v>2</v>
      </c>
      <c r="SI93" s="8"/>
      <c r="SJ93" s="42">
        <f t="shared" si="570"/>
        <v>0</v>
      </c>
      <c r="SK93" s="43">
        <f t="shared" si="571"/>
        <v>-1</v>
      </c>
      <c r="SL93" s="8"/>
      <c r="SM93" s="47">
        <v>2</v>
      </c>
      <c r="SN93" s="48" t="s">
        <v>4</v>
      </c>
      <c r="SO93" s="49">
        <v>0</v>
      </c>
      <c r="SP93" s="8"/>
      <c r="SQ93" s="42">
        <f t="shared" si="572"/>
        <v>6.8</v>
      </c>
      <c r="SR93" s="43">
        <f t="shared" si="573"/>
        <v>2</v>
      </c>
    </row>
    <row r="94" spans="1:512" ht="16" customHeight="1" x14ac:dyDescent="0.15">
      <c r="A94" s="51">
        <v>46206</v>
      </c>
      <c r="B94" s="46">
        <v>0.20833333333333334</v>
      </c>
      <c r="C94" s="82" t="s">
        <v>21</v>
      </c>
      <c r="D94" s="82" t="s">
        <v>55</v>
      </c>
      <c r="E94" s="2">
        <v>2</v>
      </c>
      <c r="F94" s="50" t="s">
        <v>4</v>
      </c>
      <c r="G94" s="1">
        <v>0</v>
      </c>
      <c r="H94" s="16">
        <v>6.8</v>
      </c>
      <c r="I94" s="32">
        <f t="shared" si="429"/>
        <v>2</v>
      </c>
      <c r="J94" s="47"/>
      <c r="K94" s="48" t="s">
        <v>4</v>
      </c>
      <c r="L94" s="49"/>
      <c r="M94" s="8"/>
      <c r="N94" s="42" t="str">
        <f t="shared" si="430"/>
        <v/>
      </c>
      <c r="O94" s="43">
        <f t="shared" si="431"/>
        <v>0</v>
      </c>
      <c r="Q94" s="47">
        <v>2</v>
      </c>
      <c r="R94" s="48" t="s">
        <v>4</v>
      </c>
      <c r="S94" s="49">
        <v>0</v>
      </c>
      <c r="T94" s="8"/>
      <c r="U94" s="42">
        <f t="shared" si="432"/>
        <v>10.199999999999999</v>
      </c>
      <c r="V94" s="43">
        <f t="shared" si="433"/>
        <v>2</v>
      </c>
      <c r="W94" s="8"/>
      <c r="X94" s="47"/>
      <c r="Y94" s="48" t="s">
        <v>4</v>
      </c>
      <c r="Z94" s="49"/>
      <c r="AA94" s="8"/>
      <c r="AB94" s="42" t="str">
        <f t="shared" si="434"/>
        <v/>
      </c>
      <c r="AC94" s="43">
        <f t="shared" si="435"/>
        <v>0</v>
      </c>
      <c r="AD94" s="8"/>
      <c r="AE94" s="47">
        <v>2</v>
      </c>
      <c r="AF94" s="48" t="s">
        <v>4</v>
      </c>
      <c r="AG94" s="49">
        <v>0</v>
      </c>
      <c r="AH94" s="8"/>
      <c r="AI94" s="42">
        <f t="shared" si="436"/>
        <v>10.199999999999999</v>
      </c>
      <c r="AJ94" s="43">
        <f t="shared" si="437"/>
        <v>2</v>
      </c>
      <c r="AK94" s="8"/>
      <c r="AL94" s="47">
        <v>2</v>
      </c>
      <c r="AM94" s="48" t="s">
        <v>4</v>
      </c>
      <c r="AN94" s="49">
        <v>0</v>
      </c>
      <c r="AO94" s="8"/>
      <c r="AP94" s="42">
        <f t="shared" si="438"/>
        <v>10.199999999999999</v>
      </c>
      <c r="AQ94" s="43">
        <f t="shared" si="439"/>
        <v>2</v>
      </c>
      <c r="AR94" s="8"/>
      <c r="AS94" s="47">
        <v>3</v>
      </c>
      <c r="AT94" s="48" t="s">
        <v>4</v>
      </c>
      <c r="AU94" s="49">
        <v>1</v>
      </c>
      <c r="AV94" s="8"/>
      <c r="AW94" s="42">
        <f t="shared" si="440"/>
        <v>6.8</v>
      </c>
      <c r="AX94" s="43">
        <f t="shared" si="441"/>
        <v>2</v>
      </c>
      <c r="AY94" s="8"/>
      <c r="AZ94" s="47">
        <v>2</v>
      </c>
      <c r="BA94" s="48" t="s">
        <v>4</v>
      </c>
      <c r="BB94" s="49">
        <v>1</v>
      </c>
      <c r="BC94" s="8"/>
      <c r="BD94" s="42">
        <f t="shared" si="442"/>
        <v>6.8</v>
      </c>
      <c r="BE94" s="43">
        <f t="shared" si="443"/>
        <v>1</v>
      </c>
      <c r="BF94" s="8"/>
      <c r="BG94" s="47">
        <v>2</v>
      </c>
      <c r="BH94" s="48" t="s">
        <v>4</v>
      </c>
      <c r="BI94" s="49">
        <v>0</v>
      </c>
      <c r="BJ94" s="8"/>
      <c r="BK94" s="42">
        <f t="shared" si="444"/>
        <v>10.199999999999999</v>
      </c>
      <c r="BL94" s="43">
        <f t="shared" si="445"/>
        <v>2</v>
      </c>
      <c r="BM94" s="8"/>
      <c r="BN94" s="47">
        <v>1</v>
      </c>
      <c r="BO94" s="48" t="s">
        <v>4</v>
      </c>
      <c r="BP94" s="49">
        <v>0</v>
      </c>
      <c r="BQ94" s="8"/>
      <c r="BR94" s="42">
        <f t="shared" si="446"/>
        <v>6.8</v>
      </c>
      <c r="BS94" s="43">
        <f t="shared" si="447"/>
        <v>1</v>
      </c>
      <c r="BT94" s="8"/>
      <c r="BU94" s="47">
        <v>1</v>
      </c>
      <c r="BV94" s="48" t="s">
        <v>4</v>
      </c>
      <c r="BW94" s="49">
        <v>0</v>
      </c>
      <c r="BX94" s="8"/>
      <c r="BY94" s="42">
        <f t="shared" si="448"/>
        <v>6.8</v>
      </c>
      <c r="BZ94" s="43">
        <f t="shared" si="449"/>
        <v>1</v>
      </c>
      <c r="CA94" s="8"/>
      <c r="CB94" s="47"/>
      <c r="CC94" s="48" t="s">
        <v>4</v>
      </c>
      <c r="CD94" s="49"/>
      <c r="CE94" s="8"/>
      <c r="CF94" s="42" t="str">
        <f t="shared" si="450"/>
        <v/>
      </c>
      <c r="CG94" s="43">
        <f t="shared" si="451"/>
        <v>0</v>
      </c>
      <c r="CH94" s="8"/>
      <c r="CI94" s="47">
        <v>1</v>
      </c>
      <c r="CJ94" s="48" t="s">
        <v>4</v>
      </c>
      <c r="CK94" s="49">
        <v>0</v>
      </c>
      <c r="CL94" s="8"/>
      <c r="CM94" s="42">
        <f t="shared" si="452"/>
        <v>6.8</v>
      </c>
      <c r="CN94" s="43">
        <f t="shared" si="453"/>
        <v>1</v>
      </c>
      <c r="CO94" s="8"/>
      <c r="CP94" s="47">
        <v>0</v>
      </c>
      <c r="CQ94" s="48" t="s">
        <v>4</v>
      </c>
      <c r="CR94" s="49">
        <v>1</v>
      </c>
      <c r="CS94" s="8"/>
      <c r="CT94" s="42">
        <f t="shared" si="454"/>
        <v>0</v>
      </c>
      <c r="CU94" s="43">
        <f t="shared" si="455"/>
        <v>-1</v>
      </c>
      <c r="CV94" s="8"/>
      <c r="CW94" s="47">
        <v>2</v>
      </c>
      <c r="CX94" s="48" t="s">
        <v>4</v>
      </c>
      <c r="CY94" s="49">
        <v>1</v>
      </c>
      <c r="CZ94" s="8"/>
      <c r="DA94" s="42">
        <f t="shared" si="456"/>
        <v>6.8</v>
      </c>
      <c r="DB94" s="43">
        <f t="shared" si="457"/>
        <v>1</v>
      </c>
      <c r="DC94" s="8"/>
      <c r="DD94" s="47">
        <v>2</v>
      </c>
      <c r="DE94" s="48" t="s">
        <v>4</v>
      </c>
      <c r="DF94" s="49">
        <v>1</v>
      </c>
      <c r="DG94" s="8"/>
      <c r="DH94" s="42">
        <f t="shared" si="458"/>
        <v>6.8</v>
      </c>
      <c r="DI94" s="43">
        <f t="shared" si="459"/>
        <v>1</v>
      </c>
      <c r="DJ94" s="8"/>
      <c r="DK94" s="47">
        <v>1</v>
      </c>
      <c r="DL94" s="48" t="s">
        <v>4</v>
      </c>
      <c r="DM94" s="49">
        <v>0</v>
      </c>
      <c r="DN94" s="8"/>
      <c r="DO94" s="42">
        <f t="shared" si="460"/>
        <v>6.8</v>
      </c>
      <c r="DP94" s="43">
        <f t="shared" si="461"/>
        <v>1</v>
      </c>
      <c r="DQ94" s="8"/>
      <c r="DR94" s="47">
        <v>2</v>
      </c>
      <c r="DS94" s="48" t="s">
        <v>4</v>
      </c>
      <c r="DT94" s="49">
        <v>0</v>
      </c>
      <c r="DU94" s="8"/>
      <c r="DV94" s="42">
        <f t="shared" si="462"/>
        <v>10.199999999999999</v>
      </c>
      <c r="DW94" s="43">
        <f t="shared" si="463"/>
        <v>2</v>
      </c>
      <c r="DX94" s="8"/>
      <c r="DY94" s="47">
        <v>3</v>
      </c>
      <c r="DZ94" s="48" t="s">
        <v>4</v>
      </c>
      <c r="EA94" s="49">
        <v>2</v>
      </c>
      <c r="EB94" s="8"/>
      <c r="EC94" s="42">
        <f t="shared" si="464"/>
        <v>6.8</v>
      </c>
      <c r="ED94" s="43">
        <f t="shared" si="465"/>
        <v>1</v>
      </c>
      <c r="EE94" s="8"/>
      <c r="EF94" s="47">
        <v>1</v>
      </c>
      <c r="EG94" s="48" t="s">
        <v>4</v>
      </c>
      <c r="EH94" s="49">
        <v>2</v>
      </c>
      <c r="EI94" s="8"/>
      <c r="EJ94" s="42">
        <f t="shared" si="466"/>
        <v>0</v>
      </c>
      <c r="EK94" s="43">
        <f t="shared" si="467"/>
        <v>-1</v>
      </c>
      <c r="EL94" s="8"/>
      <c r="EM94" s="47">
        <v>3</v>
      </c>
      <c r="EN94" s="48" t="s">
        <v>4</v>
      </c>
      <c r="EO94" s="49">
        <v>1</v>
      </c>
      <c r="EP94" s="8"/>
      <c r="EQ94" s="42">
        <f t="shared" si="468"/>
        <v>6.8</v>
      </c>
      <c r="ER94" s="43">
        <f t="shared" si="469"/>
        <v>2</v>
      </c>
      <c r="ES94" s="8"/>
      <c r="ET94" s="47">
        <v>2</v>
      </c>
      <c r="EU94" s="48" t="s">
        <v>4</v>
      </c>
      <c r="EV94" s="49">
        <v>1</v>
      </c>
      <c r="EW94" s="8"/>
      <c r="EX94" s="42">
        <f t="shared" si="470"/>
        <v>6.8</v>
      </c>
      <c r="EY94" s="43">
        <f t="shared" si="471"/>
        <v>1</v>
      </c>
      <c r="EZ94" s="8"/>
      <c r="FA94" s="47">
        <v>3</v>
      </c>
      <c r="FB94" s="48" t="s">
        <v>4</v>
      </c>
      <c r="FC94" s="49">
        <v>1</v>
      </c>
      <c r="FD94" s="8"/>
      <c r="FE94" s="42">
        <f t="shared" si="472"/>
        <v>6.8</v>
      </c>
      <c r="FF94" s="43">
        <f t="shared" si="473"/>
        <v>2</v>
      </c>
      <c r="FG94" s="8"/>
      <c r="FH94" s="47">
        <v>1</v>
      </c>
      <c r="FI94" s="48" t="s">
        <v>4</v>
      </c>
      <c r="FJ94" s="49">
        <v>0</v>
      </c>
      <c r="FK94" s="8"/>
      <c r="FL94" s="42">
        <f t="shared" si="474"/>
        <v>6.8</v>
      </c>
      <c r="FM94" s="43">
        <f t="shared" si="475"/>
        <v>1</v>
      </c>
      <c r="FN94" s="8"/>
      <c r="FO94" s="47">
        <v>3</v>
      </c>
      <c r="FP94" s="48" t="s">
        <v>4</v>
      </c>
      <c r="FQ94" s="49">
        <v>0</v>
      </c>
      <c r="FR94" s="8"/>
      <c r="FS94" s="42">
        <f t="shared" si="476"/>
        <v>6.8</v>
      </c>
      <c r="FT94" s="43">
        <f t="shared" si="477"/>
        <v>3</v>
      </c>
      <c r="FU94" s="8"/>
      <c r="FV94" s="47">
        <v>2</v>
      </c>
      <c r="FW94" s="48" t="s">
        <v>4</v>
      </c>
      <c r="FX94" s="49">
        <v>0</v>
      </c>
      <c r="FY94" s="8"/>
      <c r="FZ94" s="42">
        <f t="shared" si="478"/>
        <v>10.199999999999999</v>
      </c>
      <c r="GA94" s="43">
        <f t="shared" si="479"/>
        <v>2</v>
      </c>
      <c r="GB94" s="8"/>
      <c r="GC94" s="47">
        <v>2</v>
      </c>
      <c r="GD94" s="48" t="s">
        <v>4</v>
      </c>
      <c r="GE94" s="49">
        <v>1</v>
      </c>
      <c r="GF94" s="8"/>
      <c r="GG94" s="42">
        <f t="shared" si="480"/>
        <v>6.8</v>
      </c>
      <c r="GH94" s="43">
        <f t="shared" si="481"/>
        <v>1</v>
      </c>
      <c r="GI94" s="8"/>
      <c r="GJ94" s="47">
        <v>1</v>
      </c>
      <c r="GK94" s="48" t="s">
        <v>4</v>
      </c>
      <c r="GL94" s="49">
        <v>2</v>
      </c>
      <c r="GM94" s="8"/>
      <c r="GN94" s="42">
        <f t="shared" si="482"/>
        <v>0</v>
      </c>
      <c r="GO94" s="43">
        <f t="shared" si="483"/>
        <v>-1</v>
      </c>
      <c r="GP94" s="8"/>
      <c r="GQ94" s="47">
        <v>5</v>
      </c>
      <c r="GR94" s="48" t="s">
        <v>4</v>
      </c>
      <c r="GS94" s="49">
        <v>4</v>
      </c>
      <c r="GT94" s="8"/>
      <c r="GU94" s="42">
        <f t="shared" si="484"/>
        <v>6.8</v>
      </c>
      <c r="GV94" s="43">
        <f t="shared" si="485"/>
        <v>1</v>
      </c>
      <c r="GW94" s="8"/>
      <c r="GX94" s="47">
        <v>3</v>
      </c>
      <c r="GY94" s="48" t="s">
        <v>4</v>
      </c>
      <c r="GZ94" s="49">
        <v>2</v>
      </c>
      <c r="HA94" s="8"/>
      <c r="HB94" s="42">
        <f t="shared" si="486"/>
        <v>6.8</v>
      </c>
      <c r="HC94" s="43">
        <f t="shared" si="487"/>
        <v>1</v>
      </c>
      <c r="HD94" s="8"/>
      <c r="HE94" s="47">
        <v>1</v>
      </c>
      <c r="HF94" s="48" t="s">
        <v>4</v>
      </c>
      <c r="HG94" s="49">
        <v>0</v>
      </c>
      <c r="HH94" s="8"/>
      <c r="HI94" s="42">
        <f t="shared" si="488"/>
        <v>6.8</v>
      </c>
      <c r="HJ94" s="43">
        <f t="shared" si="489"/>
        <v>1</v>
      </c>
      <c r="HK94" s="8"/>
      <c r="HL94" s="47">
        <v>2</v>
      </c>
      <c r="HM94" s="48" t="s">
        <v>4</v>
      </c>
      <c r="HN94" s="49">
        <v>1</v>
      </c>
      <c r="HO94" s="8"/>
      <c r="HP94" s="42">
        <f t="shared" si="490"/>
        <v>6.8</v>
      </c>
      <c r="HQ94" s="43">
        <f t="shared" si="491"/>
        <v>1</v>
      </c>
      <c r="HR94" s="8"/>
      <c r="HS94" s="47">
        <v>1</v>
      </c>
      <c r="HT94" s="48" t="s">
        <v>4</v>
      </c>
      <c r="HU94" s="49">
        <v>0</v>
      </c>
      <c r="HV94" s="8"/>
      <c r="HW94" s="42">
        <f t="shared" si="492"/>
        <v>6.8</v>
      </c>
      <c r="HX94" s="43">
        <f t="shared" si="493"/>
        <v>1</v>
      </c>
      <c r="HY94" s="8"/>
      <c r="HZ94" s="47">
        <v>2</v>
      </c>
      <c r="IA94" s="48" t="s">
        <v>4</v>
      </c>
      <c r="IB94" s="49">
        <v>1</v>
      </c>
      <c r="IC94" s="8"/>
      <c r="ID94" s="42">
        <f t="shared" si="494"/>
        <v>6.8</v>
      </c>
      <c r="IE94" s="43">
        <f t="shared" si="495"/>
        <v>1</v>
      </c>
      <c r="IF94" s="8"/>
      <c r="IG94" s="47">
        <v>4</v>
      </c>
      <c r="IH94" s="48" t="s">
        <v>4</v>
      </c>
      <c r="II94" s="49">
        <v>1</v>
      </c>
      <c r="IJ94" s="8"/>
      <c r="IK94" s="42">
        <f t="shared" si="496"/>
        <v>6.8</v>
      </c>
      <c r="IL94" s="43">
        <f t="shared" si="497"/>
        <v>3</v>
      </c>
      <c r="IM94" s="8"/>
      <c r="IN94" s="47">
        <v>2</v>
      </c>
      <c r="IO94" s="48" t="s">
        <v>4</v>
      </c>
      <c r="IP94" s="49">
        <v>1</v>
      </c>
      <c r="IQ94" s="8"/>
      <c r="IR94" s="42">
        <f t="shared" si="498"/>
        <v>6.8</v>
      </c>
      <c r="IS94" s="43">
        <f t="shared" si="499"/>
        <v>1</v>
      </c>
      <c r="IT94" s="8"/>
      <c r="IU94" s="47">
        <v>2</v>
      </c>
      <c r="IV94" s="48" t="s">
        <v>4</v>
      </c>
      <c r="IW94" s="49">
        <v>0</v>
      </c>
      <c r="IX94" s="8"/>
      <c r="IY94" s="42">
        <f t="shared" si="500"/>
        <v>10.199999999999999</v>
      </c>
      <c r="IZ94" s="43">
        <f t="shared" si="501"/>
        <v>2</v>
      </c>
      <c r="JA94" s="8"/>
      <c r="JB94" s="47">
        <v>2</v>
      </c>
      <c r="JC94" s="48" t="s">
        <v>4</v>
      </c>
      <c r="JD94" s="49">
        <v>1</v>
      </c>
      <c r="JE94" s="8"/>
      <c r="JF94" s="42">
        <f t="shared" si="502"/>
        <v>6.8</v>
      </c>
      <c r="JG94" s="43">
        <f t="shared" si="503"/>
        <v>1</v>
      </c>
      <c r="JH94" s="8"/>
      <c r="JI94" s="47">
        <v>2</v>
      </c>
      <c r="JJ94" s="48" t="s">
        <v>4</v>
      </c>
      <c r="JK94" s="49">
        <v>1</v>
      </c>
      <c r="JL94" s="8"/>
      <c r="JM94" s="42">
        <f t="shared" si="504"/>
        <v>6.8</v>
      </c>
      <c r="JN94" s="43">
        <f t="shared" si="505"/>
        <v>1</v>
      </c>
      <c r="JO94" s="8"/>
      <c r="JP94" s="47">
        <v>2</v>
      </c>
      <c r="JQ94" s="48" t="s">
        <v>4</v>
      </c>
      <c r="JR94" s="49">
        <v>1</v>
      </c>
      <c r="JS94" s="8"/>
      <c r="JT94" s="42">
        <f t="shared" si="506"/>
        <v>6.8</v>
      </c>
      <c r="JU94" s="43">
        <f t="shared" si="507"/>
        <v>1</v>
      </c>
      <c r="JV94" s="8"/>
      <c r="JW94" s="47">
        <v>2</v>
      </c>
      <c r="JX94" s="48" t="s">
        <v>4</v>
      </c>
      <c r="JY94" s="49">
        <v>1</v>
      </c>
      <c r="JZ94" s="8"/>
      <c r="KA94" s="42">
        <f t="shared" si="508"/>
        <v>6.8</v>
      </c>
      <c r="KB94" s="43">
        <f t="shared" si="509"/>
        <v>1</v>
      </c>
      <c r="KC94" s="8"/>
      <c r="KD94" s="47">
        <v>3</v>
      </c>
      <c r="KE94" s="48" t="s">
        <v>4</v>
      </c>
      <c r="KF94" s="49">
        <v>0</v>
      </c>
      <c r="KG94" s="8"/>
      <c r="KH94" s="42">
        <f t="shared" si="510"/>
        <v>6.8</v>
      </c>
      <c r="KI94" s="43">
        <f t="shared" si="511"/>
        <v>3</v>
      </c>
      <c r="KJ94" s="8"/>
      <c r="KK94" s="47">
        <v>1</v>
      </c>
      <c r="KL94" s="48" t="s">
        <v>4</v>
      </c>
      <c r="KM94" s="49">
        <v>2</v>
      </c>
      <c r="KN94" s="8"/>
      <c r="KO94" s="42">
        <f t="shared" si="512"/>
        <v>0</v>
      </c>
      <c r="KP94" s="43">
        <f t="shared" si="513"/>
        <v>-1</v>
      </c>
      <c r="KQ94" s="8"/>
      <c r="KR94" s="47">
        <v>2</v>
      </c>
      <c r="KS94" s="48" t="s">
        <v>4</v>
      </c>
      <c r="KT94" s="49">
        <v>0</v>
      </c>
      <c r="KU94" s="8"/>
      <c r="KV94" s="42">
        <f t="shared" si="514"/>
        <v>10.199999999999999</v>
      </c>
      <c r="KW94" s="43">
        <f t="shared" si="515"/>
        <v>2</v>
      </c>
      <c r="KX94" s="8"/>
      <c r="KY94" s="47">
        <v>2</v>
      </c>
      <c r="KZ94" s="48" t="s">
        <v>4</v>
      </c>
      <c r="LA94" s="49">
        <v>1</v>
      </c>
      <c r="LB94" s="8"/>
      <c r="LC94" s="42">
        <f t="shared" si="516"/>
        <v>6.8</v>
      </c>
      <c r="LD94" s="43">
        <f t="shared" si="517"/>
        <v>1</v>
      </c>
      <c r="LE94" s="8"/>
      <c r="LF94" s="47">
        <v>2</v>
      </c>
      <c r="LG94" s="48" t="s">
        <v>4</v>
      </c>
      <c r="LH94" s="49">
        <v>1</v>
      </c>
      <c r="LI94" s="8"/>
      <c r="LJ94" s="42">
        <f t="shared" si="518"/>
        <v>6.8</v>
      </c>
      <c r="LK94" s="43">
        <f t="shared" si="519"/>
        <v>1</v>
      </c>
      <c r="LL94" s="8"/>
      <c r="LM94" s="47">
        <v>2</v>
      </c>
      <c r="LN94" s="48" t="s">
        <v>4</v>
      </c>
      <c r="LO94" s="49">
        <v>1</v>
      </c>
      <c r="LP94" s="8"/>
      <c r="LQ94" s="42">
        <f t="shared" si="520"/>
        <v>6.8</v>
      </c>
      <c r="LR94" s="43">
        <f t="shared" si="521"/>
        <v>1</v>
      </c>
      <c r="LS94" s="8"/>
      <c r="LT94" s="47">
        <v>2</v>
      </c>
      <c r="LU94" s="48" t="s">
        <v>4</v>
      </c>
      <c r="LV94" s="49">
        <v>1</v>
      </c>
      <c r="LW94" s="8"/>
      <c r="LX94" s="42">
        <f t="shared" si="522"/>
        <v>6.8</v>
      </c>
      <c r="LY94" s="43">
        <f t="shared" si="523"/>
        <v>1</v>
      </c>
      <c r="LZ94" s="8"/>
      <c r="MA94" s="47">
        <v>1</v>
      </c>
      <c r="MB94" s="48" t="s">
        <v>4</v>
      </c>
      <c r="MC94" s="49">
        <v>2</v>
      </c>
      <c r="MD94" s="8"/>
      <c r="ME94" s="42">
        <f t="shared" si="524"/>
        <v>0</v>
      </c>
      <c r="MF94" s="43">
        <f t="shared" si="525"/>
        <v>-1</v>
      </c>
      <c r="MG94" s="8"/>
      <c r="MH94" s="47">
        <v>6</v>
      </c>
      <c r="MI94" s="48" t="s">
        <v>4</v>
      </c>
      <c r="MJ94" s="49">
        <v>3</v>
      </c>
      <c r="MK94" s="8"/>
      <c r="ML94" s="42">
        <f t="shared" si="526"/>
        <v>6.8</v>
      </c>
      <c r="MM94" s="43">
        <f t="shared" si="527"/>
        <v>3</v>
      </c>
      <c r="MN94" s="8"/>
      <c r="MO94" s="47">
        <v>1</v>
      </c>
      <c r="MP94" s="48" t="s">
        <v>4</v>
      </c>
      <c r="MQ94" s="49">
        <v>0</v>
      </c>
      <c r="MR94" s="8"/>
      <c r="MS94" s="42">
        <f t="shared" si="528"/>
        <v>6.8</v>
      </c>
      <c r="MT94" s="43">
        <f t="shared" si="529"/>
        <v>1</v>
      </c>
      <c r="MU94" s="8"/>
      <c r="MV94" s="47">
        <v>4</v>
      </c>
      <c r="MW94" s="48" t="s">
        <v>4</v>
      </c>
      <c r="MX94" s="49">
        <v>1</v>
      </c>
      <c r="MY94" s="8"/>
      <c r="MZ94" s="42">
        <f t="shared" si="530"/>
        <v>6.8</v>
      </c>
      <c r="NA94" s="43">
        <f t="shared" si="531"/>
        <v>3</v>
      </c>
      <c r="NB94" s="8"/>
      <c r="NC94" s="47">
        <v>5</v>
      </c>
      <c r="ND94" s="48" t="s">
        <v>4</v>
      </c>
      <c r="NE94" s="49">
        <v>6</v>
      </c>
      <c r="NF94" s="8"/>
      <c r="NG94" s="42">
        <f t="shared" si="532"/>
        <v>0</v>
      </c>
      <c r="NH94" s="43">
        <f t="shared" si="533"/>
        <v>-1</v>
      </c>
      <c r="NI94" s="8"/>
      <c r="NJ94" s="47">
        <v>3</v>
      </c>
      <c r="NK94" s="48" t="s">
        <v>4</v>
      </c>
      <c r="NL94" s="49">
        <v>2</v>
      </c>
      <c r="NM94" s="8"/>
      <c r="NN94" s="42">
        <f t="shared" si="534"/>
        <v>6.8</v>
      </c>
      <c r="NO94" s="43">
        <f t="shared" si="535"/>
        <v>1</v>
      </c>
      <c r="NP94" s="8"/>
      <c r="NQ94" s="47">
        <v>1</v>
      </c>
      <c r="NR94" s="48" t="s">
        <v>4</v>
      </c>
      <c r="NS94" s="49">
        <v>0</v>
      </c>
      <c r="NT94" s="8"/>
      <c r="NU94" s="42">
        <f t="shared" si="536"/>
        <v>6.8</v>
      </c>
      <c r="NV94" s="43">
        <f t="shared" si="537"/>
        <v>1</v>
      </c>
      <c r="NW94" s="8"/>
      <c r="NX94" s="47">
        <v>3</v>
      </c>
      <c r="NY94" s="48" t="s">
        <v>4</v>
      </c>
      <c r="NZ94" s="49">
        <v>2</v>
      </c>
      <c r="OA94" s="8"/>
      <c r="OB94" s="42">
        <f t="shared" si="538"/>
        <v>6.8</v>
      </c>
      <c r="OC94" s="43">
        <f t="shared" si="539"/>
        <v>1</v>
      </c>
      <c r="OD94" s="8"/>
      <c r="OE94" s="47">
        <v>2</v>
      </c>
      <c r="OF94" s="48" t="s">
        <v>4</v>
      </c>
      <c r="OG94" s="49">
        <v>1</v>
      </c>
      <c r="OH94" s="8"/>
      <c r="OI94" s="42">
        <f t="shared" si="540"/>
        <v>6.8</v>
      </c>
      <c r="OJ94" s="43">
        <f t="shared" si="541"/>
        <v>1</v>
      </c>
      <c r="OK94" s="8"/>
      <c r="OL94" s="47">
        <v>2</v>
      </c>
      <c r="OM94" s="48" t="s">
        <v>4</v>
      </c>
      <c r="ON94" s="49">
        <v>0</v>
      </c>
      <c r="OO94" s="8"/>
      <c r="OP94" s="42">
        <f t="shared" si="542"/>
        <v>10.199999999999999</v>
      </c>
      <c r="OQ94" s="43">
        <f t="shared" si="543"/>
        <v>2</v>
      </c>
      <c r="OR94" s="8"/>
      <c r="OS94" s="47">
        <v>2</v>
      </c>
      <c r="OT94" s="48" t="s">
        <v>4</v>
      </c>
      <c r="OU94" s="49">
        <v>0</v>
      </c>
      <c r="OV94" s="8"/>
      <c r="OW94" s="42">
        <f t="shared" si="544"/>
        <v>10.199999999999999</v>
      </c>
      <c r="OX94" s="43">
        <f t="shared" si="545"/>
        <v>2</v>
      </c>
      <c r="OY94" s="8"/>
      <c r="OZ94" s="47">
        <v>4</v>
      </c>
      <c r="PA94" s="48" t="s">
        <v>4</v>
      </c>
      <c r="PB94" s="49">
        <v>3</v>
      </c>
      <c r="PC94" s="8"/>
      <c r="PD94" s="42">
        <f t="shared" si="546"/>
        <v>6.8</v>
      </c>
      <c r="PE94" s="43">
        <f t="shared" si="547"/>
        <v>1</v>
      </c>
      <c r="PF94" s="8"/>
      <c r="PG94" s="47">
        <v>1</v>
      </c>
      <c r="PH94" s="48" t="s">
        <v>4</v>
      </c>
      <c r="PI94" s="49">
        <v>2</v>
      </c>
      <c r="PJ94" s="8"/>
      <c r="PK94" s="42">
        <f t="shared" si="548"/>
        <v>0</v>
      </c>
      <c r="PL94" s="43">
        <f t="shared" si="549"/>
        <v>-1</v>
      </c>
      <c r="PM94" s="8"/>
      <c r="PN94" s="47">
        <v>2</v>
      </c>
      <c r="PO94" s="48" t="s">
        <v>4</v>
      </c>
      <c r="PP94" s="49">
        <v>1</v>
      </c>
      <c r="PQ94" s="8"/>
      <c r="PR94" s="42">
        <f t="shared" si="550"/>
        <v>6.8</v>
      </c>
      <c r="PS94" s="43">
        <f t="shared" si="551"/>
        <v>1</v>
      </c>
      <c r="PT94" s="8"/>
      <c r="PU94" s="47">
        <v>3</v>
      </c>
      <c r="PV94" s="48" t="s">
        <v>4</v>
      </c>
      <c r="PW94" s="49">
        <v>1</v>
      </c>
      <c r="PX94" s="8"/>
      <c r="PY94" s="42">
        <f t="shared" si="552"/>
        <v>6.8</v>
      </c>
      <c r="PZ94" s="43">
        <f t="shared" si="553"/>
        <v>2</v>
      </c>
      <c r="QA94" s="8"/>
      <c r="QB94" s="47">
        <v>1</v>
      </c>
      <c r="QC94" s="48" t="s">
        <v>4</v>
      </c>
      <c r="QD94" s="49">
        <v>1</v>
      </c>
      <c r="QE94" s="8"/>
      <c r="QF94" s="42">
        <f t="shared" si="554"/>
        <v>0</v>
      </c>
      <c r="QG94" s="43">
        <f t="shared" si="555"/>
        <v>0</v>
      </c>
      <c r="QH94" s="8"/>
      <c r="QI94" s="47">
        <v>3</v>
      </c>
      <c r="QJ94" s="48" t="s">
        <v>4</v>
      </c>
      <c r="QK94" s="49">
        <v>2</v>
      </c>
      <c r="QL94" s="8"/>
      <c r="QM94" s="42">
        <f t="shared" si="556"/>
        <v>6.8</v>
      </c>
      <c r="QN94" s="43">
        <f t="shared" si="557"/>
        <v>1</v>
      </c>
      <c r="QO94" s="8"/>
      <c r="QP94" s="47">
        <v>4</v>
      </c>
      <c r="QQ94" s="48" t="s">
        <v>4</v>
      </c>
      <c r="QR94" s="49">
        <v>3</v>
      </c>
      <c r="QS94" s="8"/>
      <c r="QT94" s="42">
        <f t="shared" si="558"/>
        <v>6.8</v>
      </c>
      <c r="QU94" s="43">
        <f t="shared" si="559"/>
        <v>1</v>
      </c>
      <c r="QV94" s="8"/>
      <c r="QW94" s="47">
        <v>1</v>
      </c>
      <c r="QX94" s="48" t="s">
        <v>4</v>
      </c>
      <c r="QY94" s="49">
        <v>0</v>
      </c>
      <c r="QZ94" s="8"/>
      <c r="RA94" s="42">
        <f t="shared" si="560"/>
        <v>6.8</v>
      </c>
      <c r="RB94" s="43">
        <f t="shared" si="561"/>
        <v>1</v>
      </c>
      <c r="RC94" s="8"/>
      <c r="RD94" s="47"/>
      <c r="RE94" s="48" t="s">
        <v>4</v>
      </c>
      <c r="RF94" s="49"/>
      <c r="RG94" s="8"/>
      <c r="RH94" s="42" t="str">
        <f t="shared" si="562"/>
        <v/>
      </c>
      <c r="RI94" s="43">
        <f t="shared" si="563"/>
        <v>0</v>
      </c>
      <c r="RJ94" s="8"/>
      <c r="RK94" s="47">
        <v>1</v>
      </c>
      <c r="RL94" s="48" t="s">
        <v>4</v>
      </c>
      <c r="RM94" s="49">
        <v>0</v>
      </c>
      <c r="RN94" s="8"/>
      <c r="RO94" s="42">
        <f t="shared" si="564"/>
        <v>6.8</v>
      </c>
      <c r="RP94" s="43">
        <f t="shared" si="565"/>
        <v>1</v>
      </c>
      <c r="RQ94" s="8"/>
      <c r="RR94" s="47">
        <v>1</v>
      </c>
      <c r="RS94" s="48" t="s">
        <v>4</v>
      </c>
      <c r="RT94" s="49">
        <v>0</v>
      </c>
      <c r="RU94" s="8"/>
      <c r="RV94" s="42">
        <f t="shared" si="566"/>
        <v>6.8</v>
      </c>
      <c r="RW94" s="43">
        <f t="shared" si="567"/>
        <v>1</v>
      </c>
      <c r="RX94" s="8"/>
      <c r="RY94" s="47">
        <v>0</v>
      </c>
      <c r="RZ94" s="48" t="s">
        <v>4</v>
      </c>
      <c r="SA94" s="49">
        <v>2</v>
      </c>
      <c r="SB94" s="8"/>
      <c r="SC94" s="42">
        <f t="shared" si="568"/>
        <v>0</v>
      </c>
      <c r="SD94" s="43">
        <f t="shared" si="569"/>
        <v>-2</v>
      </c>
      <c r="SE94" s="8"/>
      <c r="SF94" s="47">
        <v>1</v>
      </c>
      <c r="SG94" s="48" t="s">
        <v>4</v>
      </c>
      <c r="SH94" s="49">
        <v>2</v>
      </c>
      <c r="SI94" s="8"/>
      <c r="SJ94" s="42">
        <f t="shared" si="570"/>
        <v>0</v>
      </c>
      <c r="SK94" s="43">
        <f t="shared" si="571"/>
        <v>-1</v>
      </c>
      <c r="SL94" s="8"/>
      <c r="SM94" s="47">
        <v>0</v>
      </c>
      <c r="SN94" s="48" t="s">
        <v>4</v>
      </c>
      <c r="SO94" s="49">
        <v>2</v>
      </c>
      <c r="SP94" s="8"/>
      <c r="SQ94" s="42">
        <f t="shared" si="572"/>
        <v>0</v>
      </c>
      <c r="SR94" s="43">
        <f t="shared" si="573"/>
        <v>-2</v>
      </c>
    </row>
    <row r="95" spans="1:512" ht="16" customHeight="1" x14ac:dyDescent="0.15">
      <c r="A95" s="51">
        <v>46206</v>
      </c>
      <c r="B95" s="46">
        <v>0.83333333333333337</v>
      </c>
      <c r="C95" s="82" t="s">
        <v>38</v>
      </c>
      <c r="D95" s="83" t="s">
        <v>46</v>
      </c>
      <c r="E95" s="2">
        <v>3</v>
      </c>
      <c r="F95" s="50" t="s">
        <v>4</v>
      </c>
      <c r="G95" s="1">
        <v>5</v>
      </c>
      <c r="H95" s="16">
        <v>6.8</v>
      </c>
      <c r="I95" s="32">
        <f t="shared" si="429"/>
        <v>-2</v>
      </c>
      <c r="J95" s="47"/>
      <c r="K95" s="48" t="s">
        <v>4</v>
      </c>
      <c r="L95" s="49"/>
      <c r="M95" s="8"/>
      <c r="N95" s="42" t="str">
        <f t="shared" si="430"/>
        <v/>
      </c>
      <c r="O95" s="43">
        <f t="shared" si="431"/>
        <v>0</v>
      </c>
      <c r="Q95" s="47">
        <v>1</v>
      </c>
      <c r="R95" s="48" t="s">
        <v>4</v>
      </c>
      <c r="S95" s="49">
        <v>0</v>
      </c>
      <c r="T95" s="8"/>
      <c r="U95" s="42">
        <f t="shared" si="432"/>
        <v>0</v>
      </c>
      <c r="V95" s="43">
        <f t="shared" si="433"/>
        <v>1</v>
      </c>
      <c r="W95" s="8"/>
      <c r="X95" s="47"/>
      <c r="Y95" s="48" t="s">
        <v>4</v>
      </c>
      <c r="Z95" s="49"/>
      <c r="AA95" s="8"/>
      <c r="AB95" s="42" t="str">
        <f t="shared" si="434"/>
        <v/>
      </c>
      <c r="AC95" s="43">
        <f t="shared" si="435"/>
        <v>0</v>
      </c>
      <c r="AD95" s="8"/>
      <c r="AE95" s="47">
        <v>1</v>
      </c>
      <c r="AF95" s="48" t="s">
        <v>4</v>
      </c>
      <c r="AG95" s="49">
        <v>0</v>
      </c>
      <c r="AH95" s="8"/>
      <c r="AI95" s="42">
        <f t="shared" si="436"/>
        <v>0</v>
      </c>
      <c r="AJ95" s="43">
        <f t="shared" si="437"/>
        <v>1</v>
      </c>
      <c r="AK95" s="8"/>
      <c r="AL95" s="47">
        <v>5</v>
      </c>
      <c r="AM95" s="48" t="s">
        <v>4</v>
      </c>
      <c r="AN95" s="49">
        <v>4</v>
      </c>
      <c r="AO95" s="8"/>
      <c r="AP95" s="42">
        <f t="shared" si="438"/>
        <v>0</v>
      </c>
      <c r="AQ95" s="43">
        <f t="shared" si="439"/>
        <v>1</v>
      </c>
      <c r="AR95" s="8"/>
      <c r="AS95" s="47">
        <v>0</v>
      </c>
      <c r="AT95" s="48" t="s">
        <v>4</v>
      </c>
      <c r="AU95" s="49">
        <v>2</v>
      </c>
      <c r="AV95" s="8"/>
      <c r="AW95" s="42">
        <f t="shared" si="440"/>
        <v>6.8</v>
      </c>
      <c r="AX95" s="43">
        <f t="shared" si="441"/>
        <v>-2</v>
      </c>
      <c r="AY95" s="8"/>
      <c r="AZ95" s="47">
        <v>1</v>
      </c>
      <c r="BA95" s="48" t="s">
        <v>4</v>
      </c>
      <c r="BB95" s="49">
        <v>2</v>
      </c>
      <c r="BC95" s="8"/>
      <c r="BD95" s="42">
        <f t="shared" si="442"/>
        <v>6.8</v>
      </c>
      <c r="BE95" s="43">
        <f t="shared" si="443"/>
        <v>-1</v>
      </c>
      <c r="BF95" s="8"/>
      <c r="BG95" s="47">
        <v>3</v>
      </c>
      <c r="BH95" s="48" t="s">
        <v>4</v>
      </c>
      <c r="BI95" s="49">
        <v>1</v>
      </c>
      <c r="BJ95" s="8"/>
      <c r="BK95" s="42">
        <f t="shared" si="444"/>
        <v>0</v>
      </c>
      <c r="BL95" s="43">
        <f t="shared" si="445"/>
        <v>2</v>
      </c>
      <c r="BM95" s="8"/>
      <c r="BN95" s="47">
        <v>1</v>
      </c>
      <c r="BO95" s="48" t="s">
        <v>4</v>
      </c>
      <c r="BP95" s="49">
        <v>3</v>
      </c>
      <c r="BQ95" s="8"/>
      <c r="BR95" s="42">
        <f t="shared" si="446"/>
        <v>6.8</v>
      </c>
      <c r="BS95" s="43">
        <f t="shared" si="447"/>
        <v>-2</v>
      </c>
      <c r="BT95" s="8"/>
      <c r="BU95" s="47">
        <v>0</v>
      </c>
      <c r="BV95" s="48" t="s">
        <v>4</v>
      </c>
      <c r="BW95" s="49">
        <v>1</v>
      </c>
      <c r="BX95" s="8"/>
      <c r="BY95" s="42">
        <f t="shared" si="448"/>
        <v>6.8</v>
      </c>
      <c r="BZ95" s="43">
        <f t="shared" si="449"/>
        <v>-1</v>
      </c>
      <c r="CA95" s="8"/>
      <c r="CB95" s="47"/>
      <c r="CC95" s="48" t="s">
        <v>4</v>
      </c>
      <c r="CD95" s="49"/>
      <c r="CE95" s="8"/>
      <c r="CF95" s="42" t="str">
        <f t="shared" si="450"/>
        <v/>
      </c>
      <c r="CG95" s="43">
        <f t="shared" si="451"/>
        <v>0</v>
      </c>
      <c r="CH95" s="8"/>
      <c r="CI95" s="47">
        <v>0</v>
      </c>
      <c r="CJ95" s="48" t="s">
        <v>4</v>
      </c>
      <c r="CK95" s="49">
        <v>2</v>
      </c>
      <c r="CL95" s="8"/>
      <c r="CM95" s="42">
        <f t="shared" si="452"/>
        <v>6.8</v>
      </c>
      <c r="CN95" s="43">
        <f t="shared" si="453"/>
        <v>-2</v>
      </c>
      <c r="CO95" s="8"/>
      <c r="CP95" s="47">
        <v>1</v>
      </c>
      <c r="CQ95" s="48" t="s">
        <v>4</v>
      </c>
      <c r="CR95" s="49">
        <v>2</v>
      </c>
      <c r="CS95" s="8"/>
      <c r="CT95" s="42">
        <f t="shared" si="454"/>
        <v>6.8</v>
      </c>
      <c r="CU95" s="43">
        <f t="shared" si="455"/>
        <v>-1</v>
      </c>
      <c r="CV95" s="8"/>
      <c r="CW95" s="47">
        <v>0</v>
      </c>
      <c r="CX95" s="48" t="s">
        <v>4</v>
      </c>
      <c r="CY95" s="49">
        <v>1</v>
      </c>
      <c r="CZ95" s="8"/>
      <c r="DA95" s="42">
        <f t="shared" si="456"/>
        <v>6.8</v>
      </c>
      <c r="DB95" s="43">
        <f t="shared" si="457"/>
        <v>-1</v>
      </c>
      <c r="DC95" s="8"/>
      <c r="DD95" s="47">
        <v>0</v>
      </c>
      <c r="DE95" s="48" t="s">
        <v>4</v>
      </c>
      <c r="DF95" s="49">
        <v>1</v>
      </c>
      <c r="DG95" s="8"/>
      <c r="DH95" s="42">
        <f t="shared" si="458"/>
        <v>6.8</v>
      </c>
      <c r="DI95" s="43">
        <f t="shared" si="459"/>
        <v>-1</v>
      </c>
      <c r="DJ95" s="8"/>
      <c r="DK95" s="47">
        <v>0</v>
      </c>
      <c r="DL95" s="48" t="s">
        <v>4</v>
      </c>
      <c r="DM95" s="49">
        <v>1</v>
      </c>
      <c r="DN95" s="8"/>
      <c r="DO95" s="42">
        <f t="shared" si="460"/>
        <v>6.8</v>
      </c>
      <c r="DP95" s="43">
        <f t="shared" si="461"/>
        <v>-1</v>
      </c>
      <c r="DQ95" s="8"/>
      <c r="DR95" s="47">
        <v>0</v>
      </c>
      <c r="DS95" s="48" t="s">
        <v>4</v>
      </c>
      <c r="DT95" s="49">
        <v>2</v>
      </c>
      <c r="DU95" s="8"/>
      <c r="DV95" s="42">
        <f t="shared" si="462"/>
        <v>6.8</v>
      </c>
      <c r="DW95" s="43">
        <f t="shared" si="463"/>
        <v>-2</v>
      </c>
      <c r="DX95" s="8"/>
      <c r="DY95" s="47">
        <v>1</v>
      </c>
      <c r="DZ95" s="48" t="s">
        <v>4</v>
      </c>
      <c r="EA95" s="49">
        <v>2</v>
      </c>
      <c r="EB95" s="8"/>
      <c r="EC95" s="42">
        <f t="shared" si="464"/>
        <v>6.8</v>
      </c>
      <c r="ED95" s="43">
        <f t="shared" si="465"/>
        <v>-1</v>
      </c>
      <c r="EE95" s="8"/>
      <c r="EF95" s="47">
        <v>1</v>
      </c>
      <c r="EG95" s="48" t="s">
        <v>4</v>
      </c>
      <c r="EH95" s="49">
        <v>2</v>
      </c>
      <c r="EI95" s="8"/>
      <c r="EJ95" s="42">
        <f t="shared" si="466"/>
        <v>6.8</v>
      </c>
      <c r="EK95" s="43">
        <f t="shared" si="467"/>
        <v>-1</v>
      </c>
      <c r="EL95" s="8"/>
      <c r="EM95" s="47">
        <v>1</v>
      </c>
      <c r="EN95" s="48" t="s">
        <v>4</v>
      </c>
      <c r="EO95" s="49">
        <v>4</v>
      </c>
      <c r="EP95" s="8"/>
      <c r="EQ95" s="42">
        <f t="shared" si="468"/>
        <v>6.8</v>
      </c>
      <c r="ER95" s="43">
        <f t="shared" si="469"/>
        <v>-3</v>
      </c>
      <c r="ES95" s="8"/>
      <c r="ET95" s="47">
        <v>0</v>
      </c>
      <c r="EU95" s="48" t="s">
        <v>4</v>
      </c>
      <c r="EV95" s="49">
        <v>2</v>
      </c>
      <c r="EW95" s="8"/>
      <c r="EX95" s="42">
        <f t="shared" si="470"/>
        <v>6.8</v>
      </c>
      <c r="EY95" s="43">
        <f t="shared" si="471"/>
        <v>-2</v>
      </c>
      <c r="EZ95" s="8"/>
      <c r="FA95" s="47">
        <v>6</v>
      </c>
      <c r="FB95" s="48" t="s">
        <v>4</v>
      </c>
      <c r="FC95" s="49">
        <v>5</v>
      </c>
      <c r="FD95" s="8"/>
      <c r="FE95" s="42">
        <f t="shared" si="472"/>
        <v>0</v>
      </c>
      <c r="FF95" s="43">
        <f t="shared" si="473"/>
        <v>1</v>
      </c>
      <c r="FG95" s="8"/>
      <c r="FH95" s="47">
        <v>0</v>
      </c>
      <c r="FI95" s="48" t="s">
        <v>4</v>
      </c>
      <c r="FJ95" s="49">
        <v>2</v>
      </c>
      <c r="FK95" s="8"/>
      <c r="FL95" s="42">
        <f t="shared" si="474"/>
        <v>6.8</v>
      </c>
      <c r="FM95" s="43">
        <f t="shared" si="475"/>
        <v>-2</v>
      </c>
      <c r="FN95" s="8"/>
      <c r="FO95" s="47">
        <v>1</v>
      </c>
      <c r="FP95" s="48" t="s">
        <v>4</v>
      </c>
      <c r="FQ95" s="49">
        <v>0</v>
      </c>
      <c r="FR95" s="8"/>
      <c r="FS95" s="42">
        <f t="shared" si="476"/>
        <v>0</v>
      </c>
      <c r="FT95" s="43">
        <f t="shared" si="477"/>
        <v>1</v>
      </c>
      <c r="FU95" s="8"/>
      <c r="FV95" s="47">
        <v>2</v>
      </c>
      <c r="FW95" s="48" t="s">
        <v>4</v>
      </c>
      <c r="FX95" s="49">
        <v>1</v>
      </c>
      <c r="FY95" s="8"/>
      <c r="FZ95" s="42">
        <f t="shared" si="478"/>
        <v>0</v>
      </c>
      <c r="GA95" s="43">
        <f t="shared" si="479"/>
        <v>1</v>
      </c>
      <c r="GB95" s="8"/>
      <c r="GC95" s="47">
        <v>0</v>
      </c>
      <c r="GD95" s="48" t="s">
        <v>4</v>
      </c>
      <c r="GE95" s="49">
        <v>1</v>
      </c>
      <c r="GF95" s="8"/>
      <c r="GG95" s="42">
        <f t="shared" si="480"/>
        <v>6.8</v>
      </c>
      <c r="GH95" s="43">
        <f t="shared" si="481"/>
        <v>-1</v>
      </c>
      <c r="GI95" s="8"/>
      <c r="GJ95" s="47">
        <v>2</v>
      </c>
      <c r="GK95" s="48" t="s">
        <v>4</v>
      </c>
      <c r="GL95" s="49">
        <v>1</v>
      </c>
      <c r="GM95" s="8"/>
      <c r="GN95" s="42">
        <f t="shared" si="482"/>
        <v>0</v>
      </c>
      <c r="GO95" s="43">
        <f t="shared" si="483"/>
        <v>1</v>
      </c>
      <c r="GP95" s="8"/>
      <c r="GQ95" s="47">
        <v>0</v>
      </c>
      <c r="GR95" s="48" t="s">
        <v>4</v>
      </c>
      <c r="GS95" s="49">
        <v>1</v>
      </c>
      <c r="GT95" s="8"/>
      <c r="GU95" s="42">
        <f t="shared" si="484"/>
        <v>6.8</v>
      </c>
      <c r="GV95" s="43">
        <f t="shared" si="485"/>
        <v>-1</v>
      </c>
      <c r="GW95" s="8"/>
      <c r="GX95" s="47">
        <v>1</v>
      </c>
      <c r="GY95" s="48" t="s">
        <v>4</v>
      </c>
      <c r="GZ95" s="49">
        <v>2</v>
      </c>
      <c r="HA95" s="8"/>
      <c r="HB95" s="42">
        <f t="shared" si="486"/>
        <v>6.8</v>
      </c>
      <c r="HC95" s="43">
        <f t="shared" si="487"/>
        <v>-1</v>
      </c>
      <c r="HD95" s="8"/>
      <c r="HE95" s="47">
        <v>0</v>
      </c>
      <c r="HF95" s="48" t="s">
        <v>4</v>
      </c>
      <c r="HG95" s="49">
        <v>2</v>
      </c>
      <c r="HH95" s="8"/>
      <c r="HI95" s="42">
        <f t="shared" si="488"/>
        <v>6.8</v>
      </c>
      <c r="HJ95" s="43">
        <f t="shared" si="489"/>
        <v>-2</v>
      </c>
      <c r="HK95" s="8"/>
      <c r="HL95" s="47">
        <v>0</v>
      </c>
      <c r="HM95" s="48" t="s">
        <v>4</v>
      </c>
      <c r="HN95" s="49">
        <v>2</v>
      </c>
      <c r="HO95" s="8"/>
      <c r="HP95" s="42">
        <f t="shared" si="490"/>
        <v>6.8</v>
      </c>
      <c r="HQ95" s="43">
        <f t="shared" si="491"/>
        <v>-2</v>
      </c>
      <c r="HR95" s="8"/>
      <c r="HS95" s="47">
        <v>1</v>
      </c>
      <c r="HT95" s="48" t="s">
        <v>4</v>
      </c>
      <c r="HU95" s="49">
        <v>2</v>
      </c>
      <c r="HV95" s="8"/>
      <c r="HW95" s="42">
        <f t="shared" si="492"/>
        <v>6.8</v>
      </c>
      <c r="HX95" s="43">
        <f t="shared" si="493"/>
        <v>-1</v>
      </c>
      <c r="HY95" s="8"/>
      <c r="HZ95" s="47">
        <v>1</v>
      </c>
      <c r="IA95" s="48" t="s">
        <v>4</v>
      </c>
      <c r="IB95" s="49">
        <v>2</v>
      </c>
      <c r="IC95" s="8"/>
      <c r="ID95" s="42">
        <f t="shared" si="494"/>
        <v>6.8</v>
      </c>
      <c r="IE95" s="43">
        <f t="shared" si="495"/>
        <v>-1</v>
      </c>
      <c r="IF95" s="8"/>
      <c r="IG95" s="47">
        <v>2</v>
      </c>
      <c r="IH95" s="48" t="s">
        <v>4</v>
      </c>
      <c r="II95" s="49">
        <v>1</v>
      </c>
      <c r="IJ95" s="8"/>
      <c r="IK95" s="42">
        <f t="shared" si="496"/>
        <v>0</v>
      </c>
      <c r="IL95" s="43">
        <f t="shared" si="497"/>
        <v>1</v>
      </c>
      <c r="IM95" s="8"/>
      <c r="IN95" s="47">
        <v>0</v>
      </c>
      <c r="IO95" s="48" t="s">
        <v>4</v>
      </c>
      <c r="IP95" s="49">
        <v>2</v>
      </c>
      <c r="IQ95" s="8"/>
      <c r="IR95" s="42">
        <f t="shared" si="498"/>
        <v>6.8</v>
      </c>
      <c r="IS95" s="43">
        <f t="shared" si="499"/>
        <v>-2</v>
      </c>
      <c r="IT95" s="8"/>
      <c r="IU95" s="47">
        <v>2</v>
      </c>
      <c r="IV95" s="48" t="s">
        <v>4</v>
      </c>
      <c r="IW95" s="49">
        <v>0</v>
      </c>
      <c r="IX95" s="8"/>
      <c r="IY95" s="42">
        <f t="shared" si="500"/>
        <v>0</v>
      </c>
      <c r="IZ95" s="43">
        <f t="shared" si="501"/>
        <v>2</v>
      </c>
      <c r="JA95" s="8"/>
      <c r="JB95" s="47">
        <v>6</v>
      </c>
      <c r="JC95" s="48" t="s">
        <v>4</v>
      </c>
      <c r="JD95" s="49">
        <v>5</v>
      </c>
      <c r="JE95" s="8"/>
      <c r="JF95" s="42">
        <f t="shared" si="502"/>
        <v>0</v>
      </c>
      <c r="JG95" s="43">
        <f t="shared" si="503"/>
        <v>1</v>
      </c>
      <c r="JH95" s="8"/>
      <c r="JI95" s="47">
        <v>0</v>
      </c>
      <c r="JJ95" s="48" t="s">
        <v>4</v>
      </c>
      <c r="JK95" s="49">
        <v>1</v>
      </c>
      <c r="JL95" s="8"/>
      <c r="JM95" s="42">
        <f t="shared" si="504"/>
        <v>6.8</v>
      </c>
      <c r="JN95" s="43">
        <f t="shared" si="505"/>
        <v>-1</v>
      </c>
      <c r="JO95" s="8"/>
      <c r="JP95" s="47">
        <v>0</v>
      </c>
      <c r="JQ95" s="48" t="s">
        <v>4</v>
      </c>
      <c r="JR95" s="49">
        <v>3</v>
      </c>
      <c r="JS95" s="8"/>
      <c r="JT95" s="42">
        <f t="shared" si="506"/>
        <v>6.8</v>
      </c>
      <c r="JU95" s="43">
        <f t="shared" si="507"/>
        <v>-3</v>
      </c>
      <c r="JV95" s="8"/>
      <c r="JW95" s="47">
        <v>0</v>
      </c>
      <c r="JX95" s="48" t="s">
        <v>4</v>
      </c>
      <c r="JY95" s="49">
        <v>1</v>
      </c>
      <c r="JZ95" s="8"/>
      <c r="KA95" s="42">
        <f t="shared" si="508"/>
        <v>6.8</v>
      </c>
      <c r="KB95" s="43">
        <f t="shared" si="509"/>
        <v>-1</v>
      </c>
      <c r="KC95" s="8"/>
      <c r="KD95" s="47">
        <v>2</v>
      </c>
      <c r="KE95" s="48" t="s">
        <v>4</v>
      </c>
      <c r="KF95" s="49">
        <v>1</v>
      </c>
      <c r="KG95" s="8"/>
      <c r="KH95" s="42">
        <f t="shared" si="510"/>
        <v>0</v>
      </c>
      <c r="KI95" s="43">
        <f t="shared" si="511"/>
        <v>1</v>
      </c>
      <c r="KJ95" s="8"/>
      <c r="KK95" s="47">
        <v>1</v>
      </c>
      <c r="KL95" s="48" t="s">
        <v>4</v>
      </c>
      <c r="KM95" s="49">
        <v>0</v>
      </c>
      <c r="KN95" s="8"/>
      <c r="KO95" s="42">
        <f t="shared" si="512"/>
        <v>0</v>
      </c>
      <c r="KP95" s="43">
        <f t="shared" si="513"/>
        <v>1</v>
      </c>
      <c r="KQ95" s="8"/>
      <c r="KR95" s="47">
        <v>4</v>
      </c>
      <c r="KS95" s="48" t="s">
        <v>4</v>
      </c>
      <c r="KT95" s="49">
        <v>5</v>
      </c>
      <c r="KU95" s="8"/>
      <c r="KV95" s="42">
        <f t="shared" si="514"/>
        <v>6.8</v>
      </c>
      <c r="KW95" s="43">
        <f t="shared" si="515"/>
        <v>-1</v>
      </c>
      <c r="KX95" s="8"/>
      <c r="KY95" s="47">
        <v>1</v>
      </c>
      <c r="KZ95" s="48" t="s">
        <v>4</v>
      </c>
      <c r="LA95" s="49">
        <v>2</v>
      </c>
      <c r="LB95" s="8"/>
      <c r="LC95" s="42">
        <f t="shared" si="516"/>
        <v>6.8</v>
      </c>
      <c r="LD95" s="43">
        <f t="shared" si="517"/>
        <v>-1</v>
      </c>
      <c r="LE95" s="8"/>
      <c r="LF95" s="47">
        <v>1</v>
      </c>
      <c r="LG95" s="48" t="s">
        <v>4</v>
      </c>
      <c r="LH95" s="49">
        <v>2</v>
      </c>
      <c r="LI95" s="8"/>
      <c r="LJ95" s="42">
        <f t="shared" si="518"/>
        <v>6.8</v>
      </c>
      <c r="LK95" s="43">
        <f t="shared" si="519"/>
        <v>-1</v>
      </c>
      <c r="LL95" s="8"/>
      <c r="LM95" s="47">
        <v>3</v>
      </c>
      <c r="LN95" s="48" t="s">
        <v>4</v>
      </c>
      <c r="LO95" s="49">
        <v>4</v>
      </c>
      <c r="LP95" s="8"/>
      <c r="LQ95" s="42">
        <f t="shared" si="520"/>
        <v>6.8</v>
      </c>
      <c r="LR95" s="43">
        <f t="shared" si="521"/>
        <v>-1</v>
      </c>
      <c r="LS95" s="8"/>
      <c r="LT95" s="47">
        <v>0</v>
      </c>
      <c r="LU95" s="48" t="s">
        <v>4</v>
      </c>
      <c r="LV95" s="49">
        <v>1</v>
      </c>
      <c r="LW95" s="8"/>
      <c r="LX95" s="42">
        <f t="shared" si="522"/>
        <v>6.8</v>
      </c>
      <c r="LY95" s="43">
        <f t="shared" si="523"/>
        <v>-1</v>
      </c>
      <c r="LZ95" s="8"/>
      <c r="MA95" s="47">
        <v>3</v>
      </c>
      <c r="MB95" s="48" t="s">
        <v>4</v>
      </c>
      <c r="MC95" s="49">
        <v>2</v>
      </c>
      <c r="MD95" s="8"/>
      <c r="ME95" s="42">
        <f t="shared" si="524"/>
        <v>0</v>
      </c>
      <c r="MF95" s="43">
        <f t="shared" si="525"/>
        <v>1</v>
      </c>
      <c r="MG95" s="8"/>
      <c r="MH95" s="47">
        <v>0</v>
      </c>
      <c r="MI95" s="48" t="s">
        <v>4</v>
      </c>
      <c r="MJ95" s="49">
        <v>2</v>
      </c>
      <c r="MK95" s="8"/>
      <c r="ML95" s="42">
        <f t="shared" si="526"/>
        <v>6.8</v>
      </c>
      <c r="MM95" s="43">
        <f t="shared" si="527"/>
        <v>-2</v>
      </c>
      <c r="MN95" s="8"/>
      <c r="MO95" s="47">
        <v>2</v>
      </c>
      <c r="MP95" s="48" t="s">
        <v>4</v>
      </c>
      <c r="MQ95" s="49">
        <v>1</v>
      </c>
      <c r="MR95" s="8"/>
      <c r="MS95" s="42">
        <f t="shared" si="528"/>
        <v>0</v>
      </c>
      <c r="MT95" s="43">
        <f t="shared" si="529"/>
        <v>1</v>
      </c>
      <c r="MU95" s="8"/>
      <c r="MV95" s="47">
        <v>1</v>
      </c>
      <c r="MW95" s="48" t="s">
        <v>4</v>
      </c>
      <c r="MX95" s="49">
        <v>2</v>
      </c>
      <c r="MY95" s="8"/>
      <c r="MZ95" s="42">
        <f t="shared" si="530"/>
        <v>6.8</v>
      </c>
      <c r="NA95" s="43">
        <f t="shared" si="531"/>
        <v>-1</v>
      </c>
      <c r="NB95" s="8"/>
      <c r="NC95" s="47">
        <v>2</v>
      </c>
      <c r="ND95" s="48" t="s">
        <v>4</v>
      </c>
      <c r="NE95" s="49">
        <v>3</v>
      </c>
      <c r="NF95" s="8"/>
      <c r="NG95" s="42">
        <f t="shared" si="532"/>
        <v>6.8</v>
      </c>
      <c r="NH95" s="43">
        <f t="shared" si="533"/>
        <v>-1</v>
      </c>
      <c r="NI95" s="8"/>
      <c r="NJ95" s="47">
        <v>1</v>
      </c>
      <c r="NK95" s="48" t="s">
        <v>4</v>
      </c>
      <c r="NL95" s="49">
        <v>0</v>
      </c>
      <c r="NM95" s="8"/>
      <c r="NN95" s="42">
        <f t="shared" si="534"/>
        <v>0</v>
      </c>
      <c r="NO95" s="43">
        <f t="shared" si="535"/>
        <v>1</v>
      </c>
      <c r="NP95" s="8"/>
      <c r="NQ95" s="47">
        <v>0</v>
      </c>
      <c r="NR95" s="48" t="s">
        <v>4</v>
      </c>
      <c r="NS95" s="49">
        <v>1</v>
      </c>
      <c r="NT95" s="8"/>
      <c r="NU95" s="42">
        <f t="shared" si="536"/>
        <v>6.8</v>
      </c>
      <c r="NV95" s="43">
        <f t="shared" si="537"/>
        <v>-1</v>
      </c>
      <c r="NW95" s="8"/>
      <c r="NX95" s="47">
        <v>0</v>
      </c>
      <c r="NY95" s="48" t="s">
        <v>4</v>
      </c>
      <c r="NZ95" s="49">
        <v>1</v>
      </c>
      <c r="OA95" s="8"/>
      <c r="OB95" s="42">
        <f t="shared" si="538"/>
        <v>6.8</v>
      </c>
      <c r="OC95" s="43">
        <f t="shared" si="539"/>
        <v>-1</v>
      </c>
      <c r="OD95" s="8"/>
      <c r="OE95" s="47">
        <v>2</v>
      </c>
      <c r="OF95" s="48" t="s">
        <v>4</v>
      </c>
      <c r="OG95" s="49">
        <v>1</v>
      </c>
      <c r="OH95" s="8"/>
      <c r="OI95" s="42">
        <f t="shared" si="540"/>
        <v>0</v>
      </c>
      <c r="OJ95" s="43">
        <f t="shared" si="541"/>
        <v>1</v>
      </c>
      <c r="OK95" s="8"/>
      <c r="OL95" s="47">
        <v>0</v>
      </c>
      <c r="OM95" s="48" t="s">
        <v>4</v>
      </c>
      <c r="ON95" s="49">
        <v>1</v>
      </c>
      <c r="OO95" s="8"/>
      <c r="OP95" s="42">
        <f t="shared" si="542"/>
        <v>6.8</v>
      </c>
      <c r="OQ95" s="43">
        <f t="shared" si="543"/>
        <v>-1</v>
      </c>
      <c r="OR95" s="8"/>
      <c r="OS95" s="47">
        <v>0</v>
      </c>
      <c r="OT95" s="48" t="s">
        <v>4</v>
      </c>
      <c r="OU95" s="49">
        <v>1</v>
      </c>
      <c r="OV95" s="8"/>
      <c r="OW95" s="42">
        <f t="shared" si="544"/>
        <v>6.8</v>
      </c>
      <c r="OX95" s="43">
        <f t="shared" si="545"/>
        <v>-1</v>
      </c>
      <c r="OY95" s="8"/>
      <c r="OZ95" s="47">
        <v>1</v>
      </c>
      <c r="PA95" s="48" t="s">
        <v>4</v>
      </c>
      <c r="PB95" s="49">
        <v>2</v>
      </c>
      <c r="PC95" s="8"/>
      <c r="PD95" s="42">
        <f t="shared" si="546"/>
        <v>6.8</v>
      </c>
      <c r="PE95" s="43">
        <f t="shared" si="547"/>
        <v>-1</v>
      </c>
      <c r="PF95" s="8"/>
      <c r="PG95" s="47">
        <v>0</v>
      </c>
      <c r="PH95" s="48" t="s">
        <v>4</v>
      </c>
      <c r="PI95" s="49">
        <v>1</v>
      </c>
      <c r="PJ95" s="8"/>
      <c r="PK95" s="42">
        <f t="shared" si="548"/>
        <v>6.8</v>
      </c>
      <c r="PL95" s="43">
        <f t="shared" si="549"/>
        <v>-1</v>
      </c>
      <c r="PM95" s="8"/>
      <c r="PN95" s="47">
        <v>1</v>
      </c>
      <c r="PO95" s="48" t="s">
        <v>4</v>
      </c>
      <c r="PP95" s="49">
        <v>2</v>
      </c>
      <c r="PQ95" s="8"/>
      <c r="PR95" s="42">
        <f t="shared" si="550"/>
        <v>6.8</v>
      </c>
      <c r="PS95" s="43">
        <f t="shared" si="551"/>
        <v>-1</v>
      </c>
      <c r="PT95" s="8"/>
      <c r="PU95" s="47">
        <v>2</v>
      </c>
      <c r="PV95" s="48" t="s">
        <v>4</v>
      </c>
      <c r="PW95" s="49">
        <v>3</v>
      </c>
      <c r="PX95" s="8"/>
      <c r="PY95" s="42">
        <f t="shared" si="552"/>
        <v>6.8</v>
      </c>
      <c r="PZ95" s="43">
        <f t="shared" si="553"/>
        <v>-1</v>
      </c>
      <c r="QA95" s="8"/>
      <c r="QB95" s="47">
        <v>1</v>
      </c>
      <c r="QC95" s="48" t="s">
        <v>4</v>
      </c>
      <c r="QD95" s="49">
        <v>2</v>
      </c>
      <c r="QE95" s="8"/>
      <c r="QF95" s="42">
        <f t="shared" si="554"/>
        <v>6.8</v>
      </c>
      <c r="QG95" s="43">
        <f t="shared" si="555"/>
        <v>-1</v>
      </c>
      <c r="QH95" s="8"/>
      <c r="QI95" s="47">
        <v>1</v>
      </c>
      <c r="QJ95" s="48" t="s">
        <v>4</v>
      </c>
      <c r="QK95" s="49">
        <v>3</v>
      </c>
      <c r="QL95" s="8"/>
      <c r="QM95" s="42">
        <f t="shared" si="556"/>
        <v>6.8</v>
      </c>
      <c r="QN95" s="43">
        <f t="shared" si="557"/>
        <v>-2</v>
      </c>
      <c r="QO95" s="8"/>
      <c r="QP95" s="47">
        <v>2</v>
      </c>
      <c r="QQ95" s="48" t="s">
        <v>4</v>
      </c>
      <c r="QR95" s="49">
        <v>0</v>
      </c>
      <c r="QS95" s="8"/>
      <c r="QT95" s="42">
        <f t="shared" si="558"/>
        <v>0</v>
      </c>
      <c r="QU95" s="43">
        <f t="shared" si="559"/>
        <v>2</v>
      </c>
      <c r="QV95" s="8"/>
      <c r="QW95" s="47">
        <v>5</v>
      </c>
      <c r="QX95" s="48" t="s">
        <v>4</v>
      </c>
      <c r="QY95" s="49">
        <v>4</v>
      </c>
      <c r="QZ95" s="8"/>
      <c r="RA95" s="42">
        <f t="shared" si="560"/>
        <v>0</v>
      </c>
      <c r="RB95" s="43">
        <f t="shared" si="561"/>
        <v>1</v>
      </c>
      <c r="RC95" s="8"/>
      <c r="RD95" s="47"/>
      <c r="RE95" s="48" t="s">
        <v>4</v>
      </c>
      <c r="RF95" s="49"/>
      <c r="RG95" s="8"/>
      <c r="RH95" s="42" t="str">
        <f t="shared" si="562"/>
        <v/>
      </c>
      <c r="RI95" s="43">
        <f t="shared" si="563"/>
        <v>0</v>
      </c>
      <c r="RJ95" s="8"/>
      <c r="RK95" s="47">
        <v>5</v>
      </c>
      <c r="RL95" s="48" t="s">
        <v>4</v>
      </c>
      <c r="RM95" s="49">
        <v>3</v>
      </c>
      <c r="RN95" s="8"/>
      <c r="RO95" s="42">
        <f t="shared" si="564"/>
        <v>0</v>
      </c>
      <c r="RP95" s="43">
        <f t="shared" si="565"/>
        <v>2</v>
      </c>
      <c r="RQ95" s="8"/>
      <c r="RR95" s="47">
        <v>0</v>
      </c>
      <c r="RS95" s="48" t="s">
        <v>4</v>
      </c>
      <c r="RT95" s="49">
        <v>1</v>
      </c>
      <c r="RU95" s="8"/>
      <c r="RV95" s="42">
        <f t="shared" si="566"/>
        <v>6.8</v>
      </c>
      <c r="RW95" s="43">
        <f t="shared" si="567"/>
        <v>-1</v>
      </c>
      <c r="RX95" s="8"/>
      <c r="RY95" s="47">
        <v>2</v>
      </c>
      <c r="RZ95" s="48" t="s">
        <v>4</v>
      </c>
      <c r="SA95" s="49">
        <v>0</v>
      </c>
      <c r="SB95" s="8"/>
      <c r="SC95" s="42">
        <f t="shared" si="568"/>
        <v>0</v>
      </c>
      <c r="SD95" s="43">
        <f t="shared" si="569"/>
        <v>2</v>
      </c>
      <c r="SE95" s="8"/>
      <c r="SF95" s="47">
        <v>2</v>
      </c>
      <c r="SG95" s="48" t="s">
        <v>4</v>
      </c>
      <c r="SH95" s="49">
        <v>1</v>
      </c>
      <c r="SI95" s="8"/>
      <c r="SJ95" s="42">
        <f t="shared" si="570"/>
        <v>0</v>
      </c>
      <c r="SK95" s="43">
        <f t="shared" si="571"/>
        <v>1</v>
      </c>
      <c r="SL95" s="8"/>
      <c r="SM95" s="47">
        <v>2</v>
      </c>
      <c r="SN95" s="48" t="s">
        <v>4</v>
      </c>
      <c r="SO95" s="49">
        <v>1</v>
      </c>
      <c r="SP95" s="8"/>
      <c r="SQ95" s="42">
        <f t="shared" si="572"/>
        <v>0</v>
      </c>
      <c r="SR95" s="43">
        <f t="shared" si="573"/>
        <v>1</v>
      </c>
    </row>
    <row r="96" spans="1:512" ht="16" customHeight="1" x14ac:dyDescent="0.15">
      <c r="A96" s="51">
        <v>46207</v>
      </c>
      <c r="B96" s="46">
        <v>0</v>
      </c>
      <c r="C96" s="82" t="s">
        <v>54</v>
      </c>
      <c r="D96" s="83" t="s">
        <v>45</v>
      </c>
      <c r="E96" s="2">
        <v>3</v>
      </c>
      <c r="F96" s="50" t="s">
        <v>4</v>
      </c>
      <c r="G96" s="1">
        <v>2</v>
      </c>
      <c r="H96" s="16">
        <v>7.2</v>
      </c>
      <c r="I96" s="32">
        <f t="shared" si="429"/>
        <v>1</v>
      </c>
      <c r="J96" s="47"/>
      <c r="K96" s="48" t="s">
        <v>4</v>
      </c>
      <c r="L96" s="49"/>
      <c r="M96" s="8"/>
      <c r="N96" s="42" t="str">
        <f t="shared" si="430"/>
        <v/>
      </c>
      <c r="O96" s="43">
        <f t="shared" si="431"/>
        <v>0</v>
      </c>
      <c r="Q96" s="47">
        <v>4</v>
      </c>
      <c r="R96" s="48" t="s">
        <v>4</v>
      </c>
      <c r="S96" s="49">
        <v>1</v>
      </c>
      <c r="T96" s="8"/>
      <c r="U96" s="42">
        <f t="shared" si="432"/>
        <v>7.2</v>
      </c>
      <c r="V96" s="43">
        <f t="shared" si="433"/>
        <v>3</v>
      </c>
      <c r="W96" s="8"/>
      <c r="X96" s="47"/>
      <c r="Y96" s="48" t="s">
        <v>4</v>
      </c>
      <c r="Z96" s="49"/>
      <c r="AA96" s="8"/>
      <c r="AB96" s="42" t="str">
        <f t="shared" si="434"/>
        <v/>
      </c>
      <c r="AC96" s="43">
        <f t="shared" si="435"/>
        <v>0</v>
      </c>
      <c r="AD96" s="8"/>
      <c r="AE96" s="47">
        <v>5</v>
      </c>
      <c r="AF96" s="48" t="s">
        <v>4</v>
      </c>
      <c r="AG96" s="49">
        <v>0</v>
      </c>
      <c r="AH96" s="8"/>
      <c r="AI96" s="42">
        <f t="shared" si="436"/>
        <v>7.2</v>
      </c>
      <c r="AJ96" s="43">
        <f t="shared" si="437"/>
        <v>5</v>
      </c>
      <c r="AK96" s="8"/>
      <c r="AL96" s="47">
        <v>3</v>
      </c>
      <c r="AM96" s="48" t="s">
        <v>4</v>
      </c>
      <c r="AN96" s="49">
        <v>0</v>
      </c>
      <c r="AO96" s="8"/>
      <c r="AP96" s="42">
        <f t="shared" si="438"/>
        <v>7.2</v>
      </c>
      <c r="AQ96" s="43">
        <f t="shared" si="439"/>
        <v>3</v>
      </c>
      <c r="AR96" s="8"/>
      <c r="AS96" s="47">
        <v>4</v>
      </c>
      <c r="AT96" s="48" t="s">
        <v>4</v>
      </c>
      <c r="AU96" s="49">
        <v>5</v>
      </c>
      <c r="AV96" s="8"/>
      <c r="AW96" s="42">
        <f t="shared" si="440"/>
        <v>0</v>
      </c>
      <c r="AX96" s="43">
        <f t="shared" si="441"/>
        <v>-1</v>
      </c>
      <c r="AY96" s="8"/>
      <c r="AZ96" s="47">
        <v>3</v>
      </c>
      <c r="BA96" s="48" t="s">
        <v>4</v>
      </c>
      <c r="BB96" s="49">
        <v>0</v>
      </c>
      <c r="BC96" s="8"/>
      <c r="BD96" s="42">
        <f t="shared" si="442"/>
        <v>7.2</v>
      </c>
      <c r="BE96" s="43">
        <f t="shared" si="443"/>
        <v>3</v>
      </c>
      <c r="BF96" s="8"/>
      <c r="BG96" s="47">
        <v>4</v>
      </c>
      <c r="BH96" s="48" t="s">
        <v>4</v>
      </c>
      <c r="BI96" s="49">
        <v>0</v>
      </c>
      <c r="BJ96" s="8"/>
      <c r="BK96" s="42">
        <f t="shared" si="444"/>
        <v>7.2</v>
      </c>
      <c r="BL96" s="43">
        <f t="shared" si="445"/>
        <v>4</v>
      </c>
      <c r="BM96" s="8"/>
      <c r="BN96" s="47">
        <v>1</v>
      </c>
      <c r="BO96" s="48" t="s">
        <v>4</v>
      </c>
      <c r="BP96" s="49">
        <v>0</v>
      </c>
      <c r="BQ96" s="8"/>
      <c r="BR96" s="42">
        <f t="shared" si="446"/>
        <v>7.2</v>
      </c>
      <c r="BS96" s="43">
        <f t="shared" si="447"/>
        <v>1</v>
      </c>
      <c r="BT96" s="8"/>
      <c r="BU96" s="47">
        <v>3</v>
      </c>
      <c r="BV96" s="48" t="s">
        <v>4</v>
      </c>
      <c r="BW96" s="49">
        <v>0</v>
      </c>
      <c r="BX96" s="8"/>
      <c r="BY96" s="42">
        <f t="shared" si="448"/>
        <v>7.2</v>
      </c>
      <c r="BZ96" s="43">
        <f t="shared" si="449"/>
        <v>3</v>
      </c>
      <c r="CA96" s="8"/>
      <c r="CB96" s="47"/>
      <c r="CC96" s="48" t="s">
        <v>4</v>
      </c>
      <c r="CD96" s="49"/>
      <c r="CE96" s="8"/>
      <c r="CF96" s="42" t="str">
        <f t="shared" si="450"/>
        <v/>
      </c>
      <c r="CG96" s="43">
        <f t="shared" si="451"/>
        <v>0</v>
      </c>
      <c r="CH96" s="8"/>
      <c r="CI96" s="47">
        <v>3</v>
      </c>
      <c r="CJ96" s="48" t="s">
        <v>4</v>
      </c>
      <c r="CK96" s="49">
        <v>0</v>
      </c>
      <c r="CL96" s="8"/>
      <c r="CM96" s="42">
        <f t="shared" si="452"/>
        <v>7.2</v>
      </c>
      <c r="CN96" s="43">
        <f t="shared" si="453"/>
        <v>3</v>
      </c>
      <c r="CO96" s="8"/>
      <c r="CP96" s="47">
        <v>2</v>
      </c>
      <c r="CQ96" s="48" t="s">
        <v>4</v>
      </c>
      <c r="CR96" s="49">
        <v>0</v>
      </c>
      <c r="CS96" s="8"/>
      <c r="CT96" s="42">
        <f t="shared" si="454"/>
        <v>7.2</v>
      </c>
      <c r="CU96" s="43">
        <f t="shared" si="455"/>
        <v>2</v>
      </c>
      <c r="CV96" s="8"/>
      <c r="CW96" s="47">
        <v>4</v>
      </c>
      <c r="CX96" s="48" t="s">
        <v>4</v>
      </c>
      <c r="CY96" s="49">
        <v>0</v>
      </c>
      <c r="CZ96" s="8"/>
      <c r="DA96" s="42">
        <f t="shared" si="456"/>
        <v>7.2</v>
      </c>
      <c r="DB96" s="43">
        <f t="shared" si="457"/>
        <v>4</v>
      </c>
      <c r="DC96" s="8"/>
      <c r="DD96" s="47">
        <v>3</v>
      </c>
      <c r="DE96" s="48" t="s">
        <v>4</v>
      </c>
      <c r="DF96" s="49">
        <v>0</v>
      </c>
      <c r="DG96" s="8"/>
      <c r="DH96" s="42">
        <f t="shared" si="458"/>
        <v>7.2</v>
      </c>
      <c r="DI96" s="43">
        <f t="shared" si="459"/>
        <v>3</v>
      </c>
      <c r="DJ96" s="8"/>
      <c r="DK96" s="47">
        <v>3</v>
      </c>
      <c r="DL96" s="48" t="s">
        <v>4</v>
      </c>
      <c r="DM96" s="49">
        <v>0</v>
      </c>
      <c r="DN96" s="8"/>
      <c r="DO96" s="42">
        <f t="shared" si="460"/>
        <v>7.2</v>
      </c>
      <c r="DP96" s="43">
        <f t="shared" si="461"/>
        <v>3</v>
      </c>
      <c r="DQ96" s="8"/>
      <c r="DR96" s="47">
        <v>4</v>
      </c>
      <c r="DS96" s="48" t="s">
        <v>4</v>
      </c>
      <c r="DT96" s="49">
        <v>0</v>
      </c>
      <c r="DU96" s="8"/>
      <c r="DV96" s="42">
        <f t="shared" si="462"/>
        <v>7.2</v>
      </c>
      <c r="DW96" s="43">
        <f t="shared" si="463"/>
        <v>4</v>
      </c>
      <c r="DX96" s="8"/>
      <c r="DY96" s="47">
        <v>3</v>
      </c>
      <c r="DZ96" s="48" t="s">
        <v>4</v>
      </c>
      <c r="EA96" s="49">
        <v>0</v>
      </c>
      <c r="EB96" s="8"/>
      <c r="EC96" s="42">
        <f t="shared" si="464"/>
        <v>7.2</v>
      </c>
      <c r="ED96" s="43">
        <f t="shared" si="465"/>
        <v>3</v>
      </c>
      <c r="EE96" s="8"/>
      <c r="EF96" s="47">
        <v>4</v>
      </c>
      <c r="EG96" s="48" t="s">
        <v>4</v>
      </c>
      <c r="EH96" s="49">
        <v>0</v>
      </c>
      <c r="EI96" s="8"/>
      <c r="EJ96" s="42">
        <f t="shared" si="466"/>
        <v>7.2</v>
      </c>
      <c r="EK96" s="43">
        <f t="shared" si="467"/>
        <v>4</v>
      </c>
      <c r="EL96" s="8"/>
      <c r="EM96" s="47">
        <v>4</v>
      </c>
      <c r="EN96" s="48" t="s">
        <v>4</v>
      </c>
      <c r="EO96" s="49">
        <v>0</v>
      </c>
      <c r="EP96" s="8"/>
      <c r="EQ96" s="42">
        <f t="shared" si="468"/>
        <v>7.2</v>
      </c>
      <c r="ER96" s="43">
        <f t="shared" si="469"/>
        <v>4</v>
      </c>
      <c r="ES96" s="8"/>
      <c r="ET96" s="47">
        <v>4</v>
      </c>
      <c r="EU96" s="48" t="s">
        <v>4</v>
      </c>
      <c r="EV96" s="49">
        <v>0</v>
      </c>
      <c r="EW96" s="8"/>
      <c r="EX96" s="42">
        <f t="shared" si="470"/>
        <v>7.2</v>
      </c>
      <c r="EY96" s="43">
        <f t="shared" si="471"/>
        <v>4</v>
      </c>
      <c r="EZ96" s="8"/>
      <c r="FA96" s="47">
        <v>5</v>
      </c>
      <c r="FB96" s="48" t="s">
        <v>4</v>
      </c>
      <c r="FC96" s="49">
        <v>1</v>
      </c>
      <c r="FD96" s="8"/>
      <c r="FE96" s="42">
        <f t="shared" si="472"/>
        <v>7.2</v>
      </c>
      <c r="FF96" s="43">
        <f t="shared" si="473"/>
        <v>4</v>
      </c>
      <c r="FG96" s="8"/>
      <c r="FH96" s="47">
        <v>3</v>
      </c>
      <c r="FI96" s="48" t="s">
        <v>4</v>
      </c>
      <c r="FJ96" s="49">
        <v>1</v>
      </c>
      <c r="FK96" s="8"/>
      <c r="FL96" s="42">
        <f t="shared" si="474"/>
        <v>7.2</v>
      </c>
      <c r="FM96" s="43">
        <f t="shared" si="475"/>
        <v>2</v>
      </c>
      <c r="FN96" s="8"/>
      <c r="FO96" s="47">
        <v>2</v>
      </c>
      <c r="FP96" s="48" t="s">
        <v>4</v>
      </c>
      <c r="FQ96" s="49">
        <v>0</v>
      </c>
      <c r="FR96" s="8"/>
      <c r="FS96" s="42">
        <f t="shared" si="476"/>
        <v>7.2</v>
      </c>
      <c r="FT96" s="43">
        <f t="shared" si="477"/>
        <v>2</v>
      </c>
      <c r="FU96" s="8"/>
      <c r="FV96" s="47">
        <v>3</v>
      </c>
      <c r="FW96" s="48" t="s">
        <v>4</v>
      </c>
      <c r="FX96" s="49">
        <v>0</v>
      </c>
      <c r="FY96" s="8"/>
      <c r="FZ96" s="42">
        <f t="shared" si="478"/>
        <v>7.2</v>
      </c>
      <c r="GA96" s="43">
        <f t="shared" si="479"/>
        <v>3</v>
      </c>
      <c r="GB96" s="8"/>
      <c r="GC96" s="47">
        <v>2</v>
      </c>
      <c r="GD96" s="48" t="s">
        <v>4</v>
      </c>
      <c r="GE96" s="49">
        <v>0</v>
      </c>
      <c r="GF96" s="8"/>
      <c r="GG96" s="42">
        <f t="shared" si="480"/>
        <v>7.2</v>
      </c>
      <c r="GH96" s="43">
        <f t="shared" si="481"/>
        <v>2</v>
      </c>
      <c r="GI96" s="8"/>
      <c r="GJ96" s="47">
        <v>5</v>
      </c>
      <c r="GK96" s="48" t="s">
        <v>4</v>
      </c>
      <c r="GL96" s="49">
        <v>1</v>
      </c>
      <c r="GM96" s="8"/>
      <c r="GN96" s="42">
        <f t="shared" si="482"/>
        <v>7.2</v>
      </c>
      <c r="GO96" s="43">
        <f t="shared" si="483"/>
        <v>4</v>
      </c>
      <c r="GP96" s="8"/>
      <c r="GQ96" s="47">
        <v>3</v>
      </c>
      <c r="GR96" s="48" t="s">
        <v>4</v>
      </c>
      <c r="GS96" s="49">
        <v>0</v>
      </c>
      <c r="GT96" s="8"/>
      <c r="GU96" s="42">
        <f t="shared" si="484"/>
        <v>7.2</v>
      </c>
      <c r="GV96" s="43">
        <f t="shared" si="485"/>
        <v>3</v>
      </c>
      <c r="GW96" s="8"/>
      <c r="GX96" s="47">
        <v>3</v>
      </c>
      <c r="GY96" s="48" t="s">
        <v>4</v>
      </c>
      <c r="GZ96" s="49">
        <v>0</v>
      </c>
      <c r="HA96" s="8"/>
      <c r="HB96" s="42">
        <f t="shared" si="486"/>
        <v>7.2</v>
      </c>
      <c r="HC96" s="43">
        <f t="shared" si="487"/>
        <v>3</v>
      </c>
      <c r="HD96" s="8"/>
      <c r="HE96" s="47">
        <v>3</v>
      </c>
      <c r="HF96" s="48" t="s">
        <v>4</v>
      </c>
      <c r="HG96" s="49">
        <v>0</v>
      </c>
      <c r="HH96" s="8"/>
      <c r="HI96" s="42">
        <f t="shared" si="488"/>
        <v>7.2</v>
      </c>
      <c r="HJ96" s="43">
        <f t="shared" si="489"/>
        <v>3</v>
      </c>
      <c r="HK96" s="8"/>
      <c r="HL96" s="47">
        <v>3</v>
      </c>
      <c r="HM96" s="48" t="s">
        <v>4</v>
      </c>
      <c r="HN96" s="49">
        <v>0</v>
      </c>
      <c r="HO96" s="8"/>
      <c r="HP96" s="42">
        <f t="shared" si="490"/>
        <v>7.2</v>
      </c>
      <c r="HQ96" s="43">
        <f t="shared" si="491"/>
        <v>3</v>
      </c>
      <c r="HR96" s="8"/>
      <c r="HS96" s="47">
        <v>3</v>
      </c>
      <c r="HT96" s="48" t="s">
        <v>4</v>
      </c>
      <c r="HU96" s="49">
        <v>1</v>
      </c>
      <c r="HV96" s="8"/>
      <c r="HW96" s="42">
        <f t="shared" si="492"/>
        <v>7.2</v>
      </c>
      <c r="HX96" s="43">
        <f t="shared" si="493"/>
        <v>2</v>
      </c>
      <c r="HY96" s="8"/>
      <c r="HZ96" s="47">
        <v>3</v>
      </c>
      <c r="IA96" s="48" t="s">
        <v>4</v>
      </c>
      <c r="IB96" s="49">
        <v>1</v>
      </c>
      <c r="IC96" s="8"/>
      <c r="ID96" s="42">
        <f t="shared" si="494"/>
        <v>7.2</v>
      </c>
      <c r="IE96" s="43">
        <f t="shared" si="495"/>
        <v>2</v>
      </c>
      <c r="IF96" s="8"/>
      <c r="IG96" s="47">
        <v>3</v>
      </c>
      <c r="IH96" s="48" t="s">
        <v>4</v>
      </c>
      <c r="II96" s="49">
        <v>1</v>
      </c>
      <c r="IJ96" s="8"/>
      <c r="IK96" s="42">
        <f t="shared" si="496"/>
        <v>7.2</v>
      </c>
      <c r="IL96" s="43">
        <f t="shared" si="497"/>
        <v>2</v>
      </c>
      <c r="IM96" s="8"/>
      <c r="IN96" s="47">
        <v>3</v>
      </c>
      <c r="IO96" s="48" t="s">
        <v>4</v>
      </c>
      <c r="IP96" s="49">
        <v>0</v>
      </c>
      <c r="IQ96" s="8"/>
      <c r="IR96" s="42">
        <f t="shared" si="498"/>
        <v>7.2</v>
      </c>
      <c r="IS96" s="43">
        <f t="shared" si="499"/>
        <v>3</v>
      </c>
      <c r="IT96" s="8"/>
      <c r="IU96" s="47">
        <v>2</v>
      </c>
      <c r="IV96" s="48" t="s">
        <v>4</v>
      </c>
      <c r="IW96" s="49">
        <v>0</v>
      </c>
      <c r="IX96" s="8"/>
      <c r="IY96" s="42">
        <f t="shared" si="500"/>
        <v>7.2</v>
      </c>
      <c r="IZ96" s="43">
        <f t="shared" si="501"/>
        <v>2</v>
      </c>
      <c r="JA96" s="8"/>
      <c r="JB96" s="47">
        <v>2</v>
      </c>
      <c r="JC96" s="48" t="s">
        <v>4</v>
      </c>
      <c r="JD96" s="49">
        <v>0</v>
      </c>
      <c r="JE96" s="8"/>
      <c r="JF96" s="42">
        <f t="shared" si="502"/>
        <v>7.2</v>
      </c>
      <c r="JG96" s="43">
        <f t="shared" si="503"/>
        <v>2</v>
      </c>
      <c r="JH96" s="8"/>
      <c r="JI96" s="47">
        <v>2</v>
      </c>
      <c r="JJ96" s="48" t="s">
        <v>4</v>
      </c>
      <c r="JK96" s="49">
        <v>1</v>
      </c>
      <c r="JL96" s="8"/>
      <c r="JM96" s="42">
        <f t="shared" si="504"/>
        <v>7.2</v>
      </c>
      <c r="JN96" s="43">
        <f t="shared" si="505"/>
        <v>1</v>
      </c>
      <c r="JO96" s="8"/>
      <c r="JP96" s="47">
        <v>2</v>
      </c>
      <c r="JQ96" s="48" t="s">
        <v>4</v>
      </c>
      <c r="JR96" s="49">
        <v>1</v>
      </c>
      <c r="JS96" s="8"/>
      <c r="JT96" s="42">
        <f t="shared" si="506"/>
        <v>7.2</v>
      </c>
      <c r="JU96" s="43">
        <f t="shared" si="507"/>
        <v>1</v>
      </c>
      <c r="JV96" s="8"/>
      <c r="JW96" s="47">
        <v>6</v>
      </c>
      <c r="JX96" s="48" t="s">
        <v>4</v>
      </c>
      <c r="JY96" s="49">
        <v>0</v>
      </c>
      <c r="JZ96" s="8"/>
      <c r="KA96" s="42">
        <f t="shared" si="508"/>
        <v>7.2</v>
      </c>
      <c r="KB96" s="43">
        <f t="shared" si="509"/>
        <v>6</v>
      </c>
      <c r="KC96" s="8"/>
      <c r="KD96" s="47">
        <v>5</v>
      </c>
      <c r="KE96" s="48" t="s">
        <v>4</v>
      </c>
      <c r="KF96" s="49">
        <v>1</v>
      </c>
      <c r="KG96" s="8"/>
      <c r="KH96" s="42">
        <f t="shared" si="510"/>
        <v>7.2</v>
      </c>
      <c r="KI96" s="43">
        <f t="shared" si="511"/>
        <v>4</v>
      </c>
      <c r="KJ96" s="8"/>
      <c r="KK96" s="47">
        <v>2</v>
      </c>
      <c r="KL96" s="48" t="s">
        <v>4</v>
      </c>
      <c r="KM96" s="49">
        <v>0</v>
      </c>
      <c r="KN96" s="8"/>
      <c r="KO96" s="42">
        <f t="shared" si="512"/>
        <v>7.2</v>
      </c>
      <c r="KP96" s="43">
        <f t="shared" si="513"/>
        <v>2</v>
      </c>
      <c r="KQ96" s="8"/>
      <c r="KR96" s="47">
        <v>2</v>
      </c>
      <c r="KS96" s="48" t="s">
        <v>4</v>
      </c>
      <c r="KT96" s="49">
        <v>0</v>
      </c>
      <c r="KU96" s="8"/>
      <c r="KV96" s="42">
        <f t="shared" si="514"/>
        <v>7.2</v>
      </c>
      <c r="KW96" s="43">
        <f t="shared" si="515"/>
        <v>2</v>
      </c>
      <c r="KX96" s="8"/>
      <c r="KY96" s="47">
        <v>2</v>
      </c>
      <c r="KZ96" s="48" t="s">
        <v>4</v>
      </c>
      <c r="LA96" s="49">
        <v>1</v>
      </c>
      <c r="LB96" s="8"/>
      <c r="LC96" s="42">
        <f t="shared" si="516"/>
        <v>7.2</v>
      </c>
      <c r="LD96" s="43">
        <f t="shared" si="517"/>
        <v>1</v>
      </c>
      <c r="LE96" s="8"/>
      <c r="LF96" s="47">
        <v>3</v>
      </c>
      <c r="LG96" s="48" t="s">
        <v>4</v>
      </c>
      <c r="LH96" s="49">
        <v>0</v>
      </c>
      <c r="LI96" s="8"/>
      <c r="LJ96" s="42">
        <f t="shared" si="518"/>
        <v>7.2</v>
      </c>
      <c r="LK96" s="43">
        <f t="shared" si="519"/>
        <v>3</v>
      </c>
      <c r="LL96" s="8"/>
      <c r="LM96" s="47">
        <v>3</v>
      </c>
      <c r="LN96" s="48" t="s">
        <v>4</v>
      </c>
      <c r="LO96" s="49">
        <v>1</v>
      </c>
      <c r="LP96" s="8"/>
      <c r="LQ96" s="42">
        <f t="shared" si="520"/>
        <v>7.2</v>
      </c>
      <c r="LR96" s="43">
        <f t="shared" si="521"/>
        <v>2</v>
      </c>
      <c r="LS96" s="8"/>
      <c r="LT96" s="47">
        <v>3</v>
      </c>
      <c r="LU96" s="48" t="s">
        <v>4</v>
      </c>
      <c r="LV96" s="49">
        <v>0</v>
      </c>
      <c r="LW96" s="8"/>
      <c r="LX96" s="42">
        <f t="shared" si="522"/>
        <v>7.2</v>
      </c>
      <c r="LY96" s="43">
        <f t="shared" si="523"/>
        <v>3</v>
      </c>
      <c r="LZ96" s="8"/>
      <c r="MA96" s="47">
        <v>3</v>
      </c>
      <c r="MB96" s="48" t="s">
        <v>4</v>
      </c>
      <c r="MC96" s="49">
        <v>0</v>
      </c>
      <c r="MD96" s="8"/>
      <c r="ME96" s="42">
        <f t="shared" si="524"/>
        <v>7.2</v>
      </c>
      <c r="MF96" s="43">
        <f t="shared" si="525"/>
        <v>3</v>
      </c>
      <c r="MG96" s="8"/>
      <c r="MH96" s="47">
        <v>4</v>
      </c>
      <c r="MI96" s="48" t="s">
        <v>4</v>
      </c>
      <c r="MJ96" s="49">
        <v>0</v>
      </c>
      <c r="MK96" s="8"/>
      <c r="ML96" s="42">
        <f t="shared" si="526"/>
        <v>7.2</v>
      </c>
      <c r="MM96" s="43">
        <f t="shared" si="527"/>
        <v>4</v>
      </c>
      <c r="MN96" s="8"/>
      <c r="MO96" s="47">
        <v>2</v>
      </c>
      <c r="MP96" s="48" t="s">
        <v>4</v>
      </c>
      <c r="MQ96" s="49">
        <v>0</v>
      </c>
      <c r="MR96" s="8"/>
      <c r="MS96" s="42">
        <f t="shared" si="528"/>
        <v>7.2</v>
      </c>
      <c r="MT96" s="43">
        <f t="shared" si="529"/>
        <v>2</v>
      </c>
      <c r="MU96" s="8"/>
      <c r="MV96" s="47">
        <v>4</v>
      </c>
      <c r="MW96" s="48" t="s">
        <v>4</v>
      </c>
      <c r="MX96" s="49">
        <v>0</v>
      </c>
      <c r="MY96" s="8"/>
      <c r="MZ96" s="42">
        <f t="shared" si="530"/>
        <v>7.2</v>
      </c>
      <c r="NA96" s="43">
        <f t="shared" si="531"/>
        <v>4</v>
      </c>
      <c r="NB96" s="8"/>
      <c r="NC96" s="47">
        <v>2</v>
      </c>
      <c r="ND96" s="48" t="s">
        <v>4</v>
      </c>
      <c r="NE96" s="49">
        <v>0</v>
      </c>
      <c r="NF96" s="8"/>
      <c r="NG96" s="42">
        <f t="shared" si="532"/>
        <v>7.2</v>
      </c>
      <c r="NH96" s="43">
        <f t="shared" si="533"/>
        <v>2</v>
      </c>
      <c r="NI96" s="8"/>
      <c r="NJ96" s="47">
        <v>2</v>
      </c>
      <c r="NK96" s="48" t="s">
        <v>4</v>
      </c>
      <c r="NL96" s="49">
        <v>0</v>
      </c>
      <c r="NM96" s="8"/>
      <c r="NN96" s="42">
        <f t="shared" si="534"/>
        <v>7.2</v>
      </c>
      <c r="NO96" s="43">
        <f t="shared" si="535"/>
        <v>2</v>
      </c>
      <c r="NP96" s="8"/>
      <c r="NQ96" s="47">
        <v>3</v>
      </c>
      <c r="NR96" s="48" t="s">
        <v>4</v>
      </c>
      <c r="NS96" s="49">
        <v>1</v>
      </c>
      <c r="NT96" s="8"/>
      <c r="NU96" s="42">
        <f t="shared" si="536"/>
        <v>7.2</v>
      </c>
      <c r="NV96" s="43">
        <f t="shared" si="537"/>
        <v>2</v>
      </c>
      <c r="NW96" s="8"/>
      <c r="NX96" s="47">
        <v>2</v>
      </c>
      <c r="NY96" s="48" t="s">
        <v>4</v>
      </c>
      <c r="NZ96" s="49">
        <v>0</v>
      </c>
      <c r="OA96" s="8"/>
      <c r="OB96" s="42">
        <f t="shared" si="538"/>
        <v>7.2</v>
      </c>
      <c r="OC96" s="43">
        <f t="shared" si="539"/>
        <v>2</v>
      </c>
      <c r="OD96" s="8"/>
      <c r="OE96" s="47">
        <v>4</v>
      </c>
      <c r="OF96" s="48" t="s">
        <v>4</v>
      </c>
      <c r="OG96" s="49">
        <v>0</v>
      </c>
      <c r="OH96" s="8"/>
      <c r="OI96" s="42">
        <f t="shared" si="540"/>
        <v>7.2</v>
      </c>
      <c r="OJ96" s="43">
        <f t="shared" si="541"/>
        <v>4</v>
      </c>
      <c r="OK96" s="8"/>
      <c r="OL96" s="47">
        <v>5</v>
      </c>
      <c r="OM96" s="48" t="s">
        <v>4</v>
      </c>
      <c r="ON96" s="49">
        <v>0</v>
      </c>
      <c r="OO96" s="8"/>
      <c r="OP96" s="42">
        <f t="shared" si="542"/>
        <v>7.2</v>
      </c>
      <c r="OQ96" s="43">
        <f t="shared" si="543"/>
        <v>5</v>
      </c>
      <c r="OR96" s="8"/>
      <c r="OS96" s="47">
        <v>3</v>
      </c>
      <c r="OT96" s="48" t="s">
        <v>4</v>
      </c>
      <c r="OU96" s="49">
        <v>0</v>
      </c>
      <c r="OV96" s="8"/>
      <c r="OW96" s="42">
        <f t="shared" si="544"/>
        <v>7.2</v>
      </c>
      <c r="OX96" s="43">
        <f t="shared" si="545"/>
        <v>3</v>
      </c>
      <c r="OY96" s="8"/>
      <c r="OZ96" s="47">
        <v>4</v>
      </c>
      <c r="PA96" s="48" t="s">
        <v>4</v>
      </c>
      <c r="PB96" s="49">
        <v>0</v>
      </c>
      <c r="PC96" s="8"/>
      <c r="PD96" s="42">
        <f t="shared" si="546"/>
        <v>7.2</v>
      </c>
      <c r="PE96" s="43">
        <f t="shared" si="547"/>
        <v>4</v>
      </c>
      <c r="PF96" s="8"/>
      <c r="PG96" s="47">
        <v>2</v>
      </c>
      <c r="PH96" s="48" t="s">
        <v>4</v>
      </c>
      <c r="PI96" s="49">
        <v>0</v>
      </c>
      <c r="PJ96" s="8"/>
      <c r="PK96" s="42">
        <f t="shared" si="548"/>
        <v>7.2</v>
      </c>
      <c r="PL96" s="43">
        <f t="shared" si="549"/>
        <v>2</v>
      </c>
      <c r="PM96" s="8"/>
      <c r="PN96" s="47">
        <v>3</v>
      </c>
      <c r="PO96" s="48" t="s">
        <v>4</v>
      </c>
      <c r="PP96" s="49">
        <v>0</v>
      </c>
      <c r="PQ96" s="8"/>
      <c r="PR96" s="42">
        <f t="shared" si="550"/>
        <v>7.2</v>
      </c>
      <c r="PS96" s="43">
        <f t="shared" si="551"/>
        <v>3</v>
      </c>
      <c r="PT96" s="8"/>
      <c r="PU96" s="47">
        <v>1</v>
      </c>
      <c r="PV96" s="48" t="s">
        <v>4</v>
      </c>
      <c r="PW96" s="49">
        <v>0</v>
      </c>
      <c r="PX96" s="8"/>
      <c r="PY96" s="42">
        <f t="shared" si="552"/>
        <v>7.2</v>
      </c>
      <c r="PZ96" s="43">
        <f t="shared" si="553"/>
        <v>1</v>
      </c>
      <c r="QA96" s="8"/>
      <c r="QB96" s="47">
        <v>2</v>
      </c>
      <c r="QC96" s="48" t="s">
        <v>4</v>
      </c>
      <c r="QD96" s="49">
        <v>0</v>
      </c>
      <c r="QE96" s="8"/>
      <c r="QF96" s="42">
        <f t="shared" si="554"/>
        <v>7.2</v>
      </c>
      <c r="QG96" s="43">
        <f t="shared" si="555"/>
        <v>2</v>
      </c>
      <c r="QH96" s="8"/>
      <c r="QI96" s="47">
        <v>2</v>
      </c>
      <c r="QJ96" s="48" t="s">
        <v>4</v>
      </c>
      <c r="QK96" s="49">
        <v>0</v>
      </c>
      <c r="QL96" s="8"/>
      <c r="QM96" s="42">
        <f t="shared" si="556"/>
        <v>7.2</v>
      </c>
      <c r="QN96" s="43">
        <f t="shared" si="557"/>
        <v>2</v>
      </c>
      <c r="QO96" s="8"/>
      <c r="QP96" s="47">
        <v>5</v>
      </c>
      <c r="QQ96" s="48" t="s">
        <v>4</v>
      </c>
      <c r="QR96" s="49">
        <v>0</v>
      </c>
      <c r="QS96" s="8"/>
      <c r="QT96" s="42">
        <f t="shared" si="558"/>
        <v>7.2</v>
      </c>
      <c r="QU96" s="43">
        <f t="shared" si="559"/>
        <v>5</v>
      </c>
      <c r="QV96" s="8"/>
      <c r="QW96" s="47">
        <v>3</v>
      </c>
      <c r="QX96" s="48" t="s">
        <v>4</v>
      </c>
      <c r="QY96" s="49">
        <v>1</v>
      </c>
      <c r="QZ96" s="8"/>
      <c r="RA96" s="42">
        <f t="shared" si="560"/>
        <v>7.2</v>
      </c>
      <c r="RB96" s="43">
        <f t="shared" si="561"/>
        <v>2</v>
      </c>
      <c r="RC96" s="8"/>
      <c r="RD96" s="47"/>
      <c r="RE96" s="48" t="s">
        <v>4</v>
      </c>
      <c r="RF96" s="49"/>
      <c r="RG96" s="8"/>
      <c r="RH96" s="42" t="str">
        <f t="shared" si="562"/>
        <v/>
      </c>
      <c r="RI96" s="43">
        <f t="shared" si="563"/>
        <v>0</v>
      </c>
      <c r="RJ96" s="8"/>
      <c r="RK96" s="47">
        <v>3</v>
      </c>
      <c r="RL96" s="48" t="s">
        <v>4</v>
      </c>
      <c r="RM96" s="49">
        <v>0</v>
      </c>
      <c r="RN96" s="8"/>
      <c r="RO96" s="42">
        <f t="shared" si="564"/>
        <v>7.2</v>
      </c>
      <c r="RP96" s="43">
        <f t="shared" si="565"/>
        <v>3</v>
      </c>
      <c r="RQ96" s="8"/>
      <c r="RR96" s="47">
        <v>3</v>
      </c>
      <c r="RS96" s="48" t="s">
        <v>4</v>
      </c>
      <c r="RT96" s="49">
        <v>0</v>
      </c>
      <c r="RU96" s="8"/>
      <c r="RV96" s="42">
        <f t="shared" si="566"/>
        <v>7.2</v>
      </c>
      <c r="RW96" s="43">
        <f t="shared" si="567"/>
        <v>3</v>
      </c>
      <c r="RX96" s="8"/>
      <c r="RY96" s="47">
        <v>2</v>
      </c>
      <c r="RZ96" s="48" t="s">
        <v>4</v>
      </c>
      <c r="SA96" s="49">
        <v>0</v>
      </c>
      <c r="SB96" s="8"/>
      <c r="SC96" s="42">
        <f t="shared" si="568"/>
        <v>7.2</v>
      </c>
      <c r="SD96" s="43">
        <f t="shared" si="569"/>
        <v>2</v>
      </c>
      <c r="SE96" s="8"/>
      <c r="SF96" s="47">
        <v>4</v>
      </c>
      <c r="SG96" s="48" t="s">
        <v>4</v>
      </c>
      <c r="SH96" s="49">
        <v>0</v>
      </c>
      <c r="SI96" s="8"/>
      <c r="SJ96" s="42">
        <f t="shared" si="570"/>
        <v>7.2</v>
      </c>
      <c r="SK96" s="43">
        <f t="shared" si="571"/>
        <v>4</v>
      </c>
      <c r="SL96" s="8"/>
      <c r="SM96" s="47">
        <v>4</v>
      </c>
      <c r="SN96" s="48" t="s">
        <v>4</v>
      </c>
      <c r="SO96" s="49">
        <v>0</v>
      </c>
      <c r="SP96" s="8"/>
      <c r="SQ96" s="42">
        <f t="shared" si="572"/>
        <v>7.2</v>
      </c>
      <c r="SR96" s="43">
        <f t="shared" si="573"/>
        <v>4</v>
      </c>
    </row>
    <row r="97" spans="1:512" ht="16" customHeight="1" x14ac:dyDescent="0.15">
      <c r="A97" s="51">
        <v>46207</v>
      </c>
      <c r="B97" s="46">
        <v>0.14583333333333334</v>
      </c>
      <c r="C97" s="82" t="s">
        <v>61</v>
      </c>
      <c r="D97" s="82" t="s">
        <v>58</v>
      </c>
      <c r="E97" s="2">
        <v>1</v>
      </c>
      <c r="F97" s="50" t="s">
        <v>4</v>
      </c>
      <c r="G97" s="1">
        <v>0</v>
      </c>
      <c r="H97" s="16">
        <v>7.2</v>
      </c>
      <c r="I97" s="32">
        <f t="shared" si="429"/>
        <v>1</v>
      </c>
      <c r="J97" s="47"/>
      <c r="K97" s="48" t="s">
        <v>4</v>
      </c>
      <c r="L97" s="49"/>
      <c r="M97" s="8"/>
      <c r="N97" s="42" t="str">
        <f t="shared" si="430"/>
        <v/>
      </c>
      <c r="O97" s="43">
        <f t="shared" si="431"/>
        <v>0</v>
      </c>
      <c r="Q97" s="47">
        <v>1</v>
      </c>
      <c r="R97" s="48" t="s">
        <v>4</v>
      </c>
      <c r="S97" s="49">
        <v>2</v>
      </c>
      <c r="T97" s="8"/>
      <c r="U97" s="42">
        <f t="shared" si="432"/>
        <v>0</v>
      </c>
      <c r="V97" s="43">
        <f t="shared" si="433"/>
        <v>-1</v>
      </c>
      <c r="W97" s="8"/>
      <c r="X97" s="47"/>
      <c r="Y97" s="48" t="s">
        <v>4</v>
      </c>
      <c r="Z97" s="49"/>
      <c r="AA97" s="8"/>
      <c r="AB97" s="42" t="str">
        <f t="shared" si="434"/>
        <v/>
      </c>
      <c r="AC97" s="43">
        <f t="shared" si="435"/>
        <v>0</v>
      </c>
      <c r="AD97" s="8"/>
      <c r="AE97" s="47">
        <v>3</v>
      </c>
      <c r="AF97" s="48" t="s">
        <v>4</v>
      </c>
      <c r="AG97" s="49">
        <v>1</v>
      </c>
      <c r="AH97" s="8"/>
      <c r="AI97" s="42">
        <f t="shared" si="436"/>
        <v>7.2</v>
      </c>
      <c r="AJ97" s="43">
        <f t="shared" si="437"/>
        <v>2</v>
      </c>
      <c r="AK97" s="8"/>
      <c r="AL97" s="47">
        <v>2</v>
      </c>
      <c r="AM97" s="48" t="s">
        <v>4</v>
      </c>
      <c r="AN97" s="49">
        <v>1</v>
      </c>
      <c r="AO97" s="8"/>
      <c r="AP97" s="42">
        <f t="shared" si="438"/>
        <v>7.2</v>
      </c>
      <c r="AQ97" s="43">
        <f t="shared" si="439"/>
        <v>1</v>
      </c>
      <c r="AR97" s="8"/>
      <c r="AS97" s="47">
        <v>0</v>
      </c>
      <c r="AT97" s="48" t="s">
        <v>4</v>
      </c>
      <c r="AU97" s="49">
        <v>1</v>
      </c>
      <c r="AV97" s="8"/>
      <c r="AW97" s="42">
        <f t="shared" si="440"/>
        <v>0</v>
      </c>
      <c r="AX97" s="43">
        <f t="shared" si="441"/>
        <v>-1</v>
      </c>
      <c r="AY97" s="8"/>
      <c r="AZ97" s="47">
        <v>2</v>
      </c>
      <c r="BA97" s="48" t="s">
        <v>4</v>
      </c>
      <c r="BB97" s="49">
        <v>1</v>
      </c>
      <c r="BC97" s="8"/>
      <c r="BD97" s="42">
        <f t="shared" si="442"/>
        <v>7.2</v>
      </c>
      <c r="BE97" s="43">
        <f t="shared" si="443"/>
        <v>1</v>
      </c>
      <c r="BF97" s="8"/>
      <c r="BG97" s="47">
        <v>2</v>
      </c>
      <c r="BH97" s="48" t="s">
        <v>4</v>
      </c>
      <c r="BI97" s="49">
        <v>1</v>
      </c>
      <c r="BJ97" s="8"/>
      <c r="BK97" s="42">
        <f t="shared" si="444"/>
        <v>7.2</v>
      </c>
      <c r="BL97" s="43">
        <f t="shared" si="445"/>
        <v>1</v>
      </c>
      <c r="BM97" s="8"/>
      <c r="BN97" s="47">
        <v>2</v>
      </c>
      <c r="BO97" s="48" t="s">
        <v>4</v>
      </c>
      <c r="BP97" s="49">
        <v>1</v>
      </c>
      <c r="BQ97" s="8"/>
      <c r="BR97" s="42">
        <f t="shared" si="446"/>
        <v>7.2</v>
      </c>
      <c r="BS97" s="43">
        <f t="shared" si="447"/>
        <v>1</v>
      </c>
      <c r="BT97" s="8"/>
      <c r="BU97" s="47">
        <v>0</v>
      </c>
      <c r="BV97" s="48" t="s">
        <v>4</v>
      </c>
      <c r="BW97" s="49">
        <v>1</v>
      </c>
      <c r="BX97" s="8"/>
      <c r="BY97" s="42">
        <f t="shared" si="448"/>
        <v>0</v>
      </c>
      <c r="BZ97" s="43">
        <f t="shared" si="449"/>
        <v>-1</v>
      </c>
      <c r="CA97" s="8"/>
      <c r="CB97" s="47"/>
      <c r="CC97" s="48" t="s">
        <v>4</v>
      </c>
      <c r="CD97" s="49"/>
      <c r="CE97" s="8"/>
      <c r="CF97" s="42" t="str">
        <f t="shared" si="450"/>
        <v/>
      </c>
      <c r="CG97" s="43">
        <f t="shared" si="451"/>
        <v>0</v>
      </c>
      <c r="CH97" s="8"/>
      <c r="CI97" s="47">
        <v>2</v>
      </c>
      <c r="CJ97" s="48" t="s">
        <v>4</v>
      </c>
      <c r="CK97" s="49">
        <v>1</v>
      </c>
      <c r="CL97" s="8"/>
      <c r="CM97" s="42">
        <f t="shared" si="452"/>
        <v>7.2</v>
      </c>
      <c r="CN97" s="43">
        <f t="shared" si="453"/>
        <v>1</v>
      </c>
      <c r="CO97" s="8"/>
      <c r="CP97" s="47">
        <v>2</v>
      </c>
      <c r="CQ97" s="48" t="s">
        <v>4</v>
      </c>
      <c r="CR97" s="49">
        <v>1</v>
      </c>
      <c r="CS97" s="8"/>
      <c r="CT97" s="42">
        <f t="shared" si="454"/>
        <v>7.2</v>
      </c>
      <c r="CU97" s="43">
        <f t="shared" si="455"/>
        <v>1</v>
      </c>
      <c r="CV97" s="8"/>
      <c r="CW97" s="47">
        <v>2</v>
      </c>
      <c r="CX97" s="48" t="s">
        <v>4</v>
      </c>
      <c r="CY97" s="49">
        <v>0</v>
      </c>
      <c r="CZ97" s="8"/>
      <c r="DA97" s="42">
        <f t="shared" si="456"/>
        <v>7.2</v>
      </c>
      <c r="DB97" s="43">
        <f t="shared" si="457"/>
        <v>2</v>
      </c>
      <c r="DC97" s="8"/>
      <c r="DD97" s="47">
        <v>0</v>
      </c>
      <c r="DE97" s="48" t="s">
        <v>4</v>
      </c>
      <c r="DF97" s="49">
        <v>2</v>
      </c>
      <c r="DG97" s="8"/>
      <c r="DH97" s="42">
        <f t="shared" si="458"/>
        <v>0</v>
      </c>
      <c r="DI97" s="43">
        <f t="shared" si="459"/>
        <v>-2</v>
      </c>
      <c r="DJ97" s="8"/>
      <c r="DK97" s="47">
        <v>1</v>
      </c>
      <c r="DL97" s="48" t="s">
        <v>4</v>
      </c>
      <c r="DM97" s="49">
        <v>0</v>
      </c>
      <c r="DN97" s="8"/>
      <c r="DO97" s="42">
        <f t="shared" si="460"/>
        <v>10.8</v>
      </c>
      <c r="DP97" s="43">
        <f t="shared" si="461"/>
        <v>1</v>
      </c>
      <c r="DQ97" s="8"/>
      <c r="DR97" s="47">
        <v>3</v>
      </c>
      <c r="DS97" s="48" t="s">
        <v>4</v>
      </c>
      <c r="DT97" s="49">
        <v>1</v>
      </c>
      <c r="DU97" s="8"/>
      <c r="DV97" s="42">
        <f t="shared" si="462"/>
        <v>7.2</v>
      </c>
      <c r="DW97" s="43">
        <f t="shared" si="463"/>
        <v>2</v>
      </c>
      <c r="DX97" s="8"/>
      <c r="DY97" s="47">
        <v>4</v>
      </c>
      <c r="DZ97" s="48" t="s">
        <v>4</v>
      </c>
      <c r="EA97" s="49">
        <v>5</v>
      </c>
      <c r="EB97" s="8"/>
      <c r="EC97" s="42">
        <f t="shared" si="464"/>
        <v>0</v>
      </c>
      <c r="ED97" s="43">
        <f t="shared" si="465"/>
        <v>-1</v>
      </c>
      <c r="EE97" s="8"/>
      <c r="EF97" s="47">
        <v>2</v>
      </c>
      <c r="EG97" s="48" t="s">
        <v>4</v>
      </c>
      <c r="EH97" s="49">
        <v>0</v>
      </c>
      <c r="EI97" s="8"/>
      <c r="EJ97" s="42">
        <f t="shared" si="466"/>
        <v>7.2</v>
      </c>
      <c r="EK97" s="43">
        <f t="shared" si="467"/>
        <v>2</v>
      </c>
      <c r="EL97" s="8"/>
      <c r="EM97" s="47">
        <v>2</v>
      </c>
      <c r="EN97" s="48" t="s">
        <v>4</v>
      </c>
      <c r="EO97" s="49">
        <v>1</v>
      </c>
      <c r="EP97" s="8"/>
      <c r="EQ97" s="42">
        <f t="shared" si="468"/>
        <v>7.2</v>
      </c>
      <c r="ER97" s="43">
        <f t="shared" si="469"/>
        <v>1</v>
      </c>
      <c r="ES97" s="8"/>
      <c r="ET97" s="47">
        <v>3</v>
      </c>
      <c r="EU97" s="48" t="s">
        <v>4</v>
      </c>
      <c r="EV97" s="49">
        <v>1</v>
      </c>
      <c r="EW97" s="8"/>
      <c r="EX97" s="42">
        <f t="shared" si="470"/>
        <v>7.2</v>
      </c>
      <c r="EY97" s="43">
        <f t="shared" si="471"/>
        <v>2</v>
      </c>
      <c r="EZ97" s="8"/>
      <c r="FA97" s="47">
        <v>2</v>
      </c>
      <c r="FB97" s="48" t="s">
        <v>4</v>
      </c>
      <c r="FC97" s="49">
        <v>0</v>
      </c>
      <c r="FD97" s="8"/>
      <c r="FE97" s="42">
        <f t="shared" si="472"/>
        <v>7.2</v>
      </c>
      <c r="FF97" s="43">
        <f t="shared" si="473"/>
        <v>2</v>
      </c>
      <c r="FG97" s="8"/>
      <c r="FH97" s="47">
        <v>2</v>
      </c>
      <c r="FI97" s="48" t="s">
        <v>4</v>
      </c>
      <c r="FJ97" s="49">
        <v>0</v>
      </c>
      <c r="FK97" s="8"/>
      <c r="FL97" s="42">
        <f t="shared" si="474"/>
        <v>7.2</v>
      </c>
      <c r="FM97" s="43">
        <f t="shared" si="475"/>
        <v>2</v>
      </c>
      <c r="FN97" s="8"/>
      <c r="FO97" s="47">
        <v>1</v>
      </c>
      <c r="FP97" s="48" t="s">
        <v>4</v>
      </c>
      <c r="FQ97" s="49">
        <v>0</v>
      </c>
      <c r="FR97" s="8"/>
      <c r="FS97" s="42">
        <f t="shared" si="476"/>
        <v>10.8</v>
      </c>
      <c r="FT97" s="43">
        <f t="shared" si="477"/>
        <v>1</v>
      </c>
      <c r="FU97" s="8"/>
      <c r="FV97" s="47">
        <v>2</v>
      </c>
      <c r="FW97" s="48" t="s">
        <v>4</v>
      </c>
      <c r="FX97" s="49">
        <v>1</v>
      </c>
      <c r="FY97" s="8"/>
      <c r="FZ97" s="42">
        <f t="shared" si="478"/>
        <v>7.2</v>
      </c>
      <c r="GA97" s="43">
        <f t="shared" si="479"/>
        <v>1</v>
      </c>
      <c r="GB97" s="8"/>
      <c r="GC97" s="47"/>
      <c r="GD97" s="48" t="s">
        <v>4</v>
      </c>
      <c r="GE97" s="49"/>
      <c r="GF97" s="8"/>
      <c r="GG97" s="42" t="str">
        <f t="shared" si="480"/>
        <v/>
      </c>
      <c r="GH97" s="43">
        <f t="shared" si="481"/>
        <v>0</v>
      </c>
      <c r="GI97" s="8"/>
      <c r="GJ97" s="47">
        <v>2</v>
      </c>
      <c r="GK97" s="48" t="s">
        <v>4</v>
      </c>
      <c r="GL97" s="49">
        <v>1</v>
      </c>
      <c r="GM97" s="8"/>
      <c r="GN97" s="42">
        <f t="shared" si="482"/>
        <v>7.2</v>
      </c>
      <c r="GO97" s="43">
        <f t="shared" si="483"/>
        <v>1</v>
      </c>
      <c r="GP97" s="8"/>
      <c r="GQ97" s="47">
        <v>7</v>
      </c>
      <c r="GR97" s="48" t="s">
        <v>4</v>
      </c>
      <c r="GS97" s="49">
        <v>5</v>
      </c>
      <c r="GT97" s="8"/>
      <c r="GU97" s="42">
        <f t="shared" si="484"/>
        <v>7.2</v>
      </c>
      <c r="GV97" s="43">
        <f t="shared" si="485"/>
        <v>2</v>
      </c>
      <c r="GW97" s="8"/>
      <c r="GX97" s="47">
        <v>2</v>
      </c>
      <c r="GY97" s="48" t="s">
        <v>4</v>
      </c>
      <c r="GZ97" s="49">
        <v>1</v>
      </c>
      <c r="HA97" s="8"/>
      <c r="HB97" s="42">
        <f t="shared" si="486"/>
        <v>7.2</v>
      </c>
      <c r="HC97" s="43">
        <f t="shared" si="487"/>
        <v>1</v>
      </c>
      <c r="HD97" s="8"/>
      <c r="HE97" s="47">
        <v>2</v>
      </c>
      <c r="HF97" s="48" t="s">
        <v>4</v>
      </c>
      <c r="HG97" s="49">
        <v>1</v>
      </c>
      <c r="HH97" s="8"/>
      <c r="HI97" s="42">
        <f t="shared" si="488"/>
        <v>7.2</v>
      </c>
      <c r="HJ97" s="43">
        <f t="shared" si="489"/>
        <v>1</v>
      </c>
      <c r="HK97" s="8"/>
      <c r="HL97" s="47">
        <v>2</v>
      </c>
      <c r="HM97" s="48" t="s">
        <v>4</v>
      </c>
      <c r="HN97" s="49">
        <v>0</v>
      </c>
      <c r="HO97" s="8"/>
      <c r="HP97" s="42">
        <f t="shared" si="490"/>
        <v>7.2</v>
      </c>
      <c r="HQ97" s="43">
        <f t="shared" si="491"/>
        <v>2</v>
      </c>
      <c r="HR97" s="8"/>
      <c r="HS97" s="47">
        <v>2</v>
      </c>
      <c r="HT97" s="48" t="s">
        <v>4</v>
      </c>
      <c r="HU97" s="49">
        <v>0</v>
      </c>
      <c r="HV97" s="8"/>
      <c r="HW97" s="42">
        <f t="shared" si="492"/>
        <v>7.2</v>
      </c>
      <c r="HX97" s="43">
        <f t="shared" si="493"/>
        <v>2</v>
      </c>
      <c r="HY97" s="8"/>
      <c r="HZ97" s="47">
        <v>3</v>
      </c>
      <c r="IA97" s="48" t="s">
        <v>4</v>
      </c>
      <c r="IB97" s="49">
        <v>2</v>
      </c>
      <c r="IC97" s="8"/>
      <c r="ID97" s="42">
        <f t="shared" si="494"/>
        <v>7.2</v>
      </c>
      <c r="IE97" s="43">
        <f t="shared" si="495"/>
        <v>1</v>
      </c>
      <c r="IF97" s="8"/>
      <c r="IG97" s="47">
        <v>2</v>
      </c>
      <c r="IH97" s="48" t="s">
        <v>4</v>
      </c>
      <c r="II97" s="49">
        <v>1</v>
      </c>
      <c r="IJ97" s="8"/>
      <c r="IK97" s="42">
        <f t="shared" si="496"/>
        <v>7.2</v>
      </c>
      <c r="IL97" s="43">
        <f t="shared" si="497"/>
        <v>1</v>
      </c>
      <c r="IM97" s="8"/>
      <c r="IN97" s="47">
        <v>2</v>
      </c>
      <c r="IO97" s="48" t="s">
        <v>4</v>
      </c>
      <c r="IP97" s="49">
        <v>1</v>
      </c>
      <c r="IQ97" s="8"/>
      <c r="IR97" s="42">
        <f t="shared" si="498"/>
        <v>7.2</v>
      </c>
      <c r="IS97" s="43">
        <f t="shared" si="499"/>
        <v>1</v>
      </c>
      <c r="IT97" s="8"/>
      <c r="IU97" s="47">
        <v>0</v>
      </c>
      <c r="IV97" s="48" t="s">
        <v>4</v>
      </c>
      <c r="IW97" s="49">
        <v>2</v>
      </c>
      <c r="IX97" s="8"/>
      <c r="IY97" s="42">
        <f t="shared" si="500"/>
        <v>0</v>
      </c>
      <c r="IZ97" s="43">
        <f t="shared" si="501"/>
        <v>-2</v>
      </c>
      <c r="JA97" s="8"/>
      <c r="JB97" s="47">
        <v>2</v>
      </c>
      <c r="JC97" s="48" t="s">
        <v>4</v>
      </c>
      <c r="JD97" s="49">
        <v>1</v>
      </c>
      <c r="JE97" s="8"/>
      <c r="JF97" s="42">
        <f t="shared" si="502"/>
        <v>7.2</v>
      </c>
      <c r="JG97" s="43">
        <f t="shared" si="503"/>
        <v>1</v>
      </c>
      <c r="JH97" s="8"/>
      <c r="JI97" s="47">
        <v>3</v>
      </c>
      <c r="JJ97" s="48" t="s">
        <v>4</v>
      </c>
      <c r="JK97" s="49">
        <v>1</v>
      </c>
      <c r="JL97" s="8"/>
      <c r="JM97" s="42">
        <f t="shared" si="504"/>
        <v>7.2</v>
      </c>
      <c r="JN97" s="43">
        <f t="shared" si="505"/>
        <v>2</v>
      </c>
      <c r="JO97" s="8"/>
      <c r="JP97" s="47">
        <v>1</v>
      </c>
      <c r="JQ97" s="48" t="s">
        <v>4</v>
      </c>
      <c r="JR97" s="49">
        <v>0</v>
      </c>
      <c r="JS97" s="8"/>
      <c r="JT97" s="42">
        <f t="shared" si="506"/>
        <v>10.8</v>
      </c>
      <c r="JU97" s="43">
        <f t="shared" si="507"/>
        <v>1</v>
      </c>
      <c r="JV97" s="8"/>
      <c r="JW97" s="47">
        <v>3</v>
      </c>
      <c r="JX97" s="48" t="s">
        <v>4</v>
      </c>
      <c r="JY97" s="49">
        <v>1</v>
      </c>
      <c r="JZ97" s="8"/>
      <c r="KA97" s="42">
        <f t="shared" si="508"/>
        <v>7.2</v>
      </c>
      <c r="KB97" s="43">
        <f t="shared" si="509"/>
        <v>2</v>
      </c>
      <c r="KC97" s="8"/>
      <c r="KD97" s="47">
        <v>2</v>
      </c>
      <c r="KE97" s="48" t="s">
        <v>4</v>
      </c>
      <c r="KF97" s="49">
        <v>0</v>
      </c>
      <c r="KG97" s="8"/>
      <c r="KH97" s="42">
        <f t="shared" si="510"/>
        <v>7.2</v>
      </c>
      <c r="KI97" s="43">
        <f t="shared" si="511"/>
        <v>2</v>
      </c>
      <c r="KJ97" s="8"/>
      <c r="KK97" s="47">
        <v>1</v>
      </c>
      <c r="KL97" s="48" t="s">
        <v>4</v>
      </c>
      <c r="KM97" s="49">
        <v>0</v>
      </c>
      <c r="KN97" s="8"/>
      <c r="KO97" s="42">
        <f t="shared" si="512"/>
        <v>10.8</v>
      </c>
      <c r="KP97" s="43">
        <f t="shared" si="513"/>
        <v>1</v>
      </c>
      <c r="KQ97" s="8"/>
      <c r="KR97" s="47">
        <v>1</v>
      </c>
      <c r="KS97" s="48" t="s">
        <v>4</v>
      </c>
      <c r="KT97" s="49">
        <v>0</v>
      </c>
      <c r="KU97" s="8"/>
      <c r="KV97" s="42">
        <f t="shared" si="514"/>
        <v>10.8</v>
      </c>
      <c r="KW97" s="43">
        <f t="shared" si="515"/>
        <v>1</v>
      </c>
      <c r="KX97" s="8"/>
      <c r="KY97" s="47">
        <v>1</v>
      </c>
      <c r="KZ97" s="48" t="s">
        <v>4</v>
      </c>
      <c r="LA97" s="49">
        <v>2</v>
      </c>
      <c r="LB97" s="8"/>
      <c r="LC97" s="42">
        <f t="shared" si="516"/>
        <v>0</v>
      </c>
      <c r="LD97" s="43">
        <f t="shared" si="517"/>
        <v>-1</v>
      </c>
      <c r="LE97" s="8"/>
      <c r="LF97" s="47">
        <v>1</v>
      </c>
      <c r="LG97" s="48" t="s">
        <v>4</v>
      </c>
      <c r="LH97" s="49">
        <v>0</v>
      </c>
      <c r="LI97" s="8"/>
      <c r="LJ97" s="42">
        <f t="shared" si="518"/>
        <v>10.8</v>
      </c>
      <c r="LK97" s="43">
        <f t="shared" si="519"/>
        <v>1</v>
      </c>
      <c r="LL97" s="8"/>
      <c r="LM97" s="47">
        <v>3</v>
      </c>
      <c r="LN97" s="48" t="s">
        <v>4</v>
      </c>
      <c r="LO97" s="49">
        <v>4</v>
      </c>
      <c r="LP97" s="8"/>
      <c r="LQ97" s="42">
        <f t="shared" si="520"/>
        <v>0</v>
      </c>
      <c r="LR97" s="43">
        <f t="shared" si="521"/>
        <v>-1</v>
      </c>
      <c r="LS97" s="8"/>
      <c r="LT97" s="47">
        <v>2</v>
      </c>
      <c r="LU97" s="48" t="s">
        <v>4</v>
      </c>
      <c r="LV97" s="49">
        <v>1</v>
      </c>
      <c r="LW97" s="8"/>
      <c r="LX97" s="42">
        <f t="shared" si="522"/>
        <v>7.2</v>
      </c>
      <c r="LY97" s="43">
        <f t="shared" si="523"/>
        <v>1</v>
      </c>
      <c r="LZ97" s="8"/>
      <c r="MA97" s="47">
        <v>1</v>
      </c>
      <c r="MB97" s="48" t="s">
        <v>4</v>
      </c>
      <c r="MC97" s="49">
        <v>0</v>
      </c>
      <c r="MD97" s="8"/>
      <c r="ME97" s="42">
        <f t="shared" si="524"/>
        <v>10.8</v>
      </c>
      <c r="MF97" s="43">
        <f t="shared" si="525"/>
        <v>1</v>
      </c>
      <c r="MG97" s="8"/>
      <c r="MH97" s="47">
        <v>4</v>
      </c>
      <c r="MI97" s="48" t="s">
        <v>4</v>
      </c>
      <c r="MJ97" s="49">
        <v>1</v>
      </c>
      <c r="MK97" s="8"/>
      <c r="ML97" s="42">
        <f t="shared" si="526"/>
        <v>7.2</v>
      </c>
      <c r="MM97" s="43">
        <f t="shared" si="527"/>
        <v>3</v>
      </c>
      <c r="MN97" s="8"/>
      <c r="MO97" s="47">
        <v>1</v>
      </c>
      <c r="MP97" s="48" t="s">
        <v>4</v>
      </c>
      <c r="MQ97" s="49">
        <v>0</v>
      </c>
      <c r="MR97" s="8"/>
      <c r="MS97" s="42">
        <f t="shared" si="528"/>
        <v>10.8</v>
      </c>
      <c r="MT97" s="43">
        <f t="shared" si="529"/>
        <v>1</v>
      </c>
      <c r="MU97" s="8"/>
      <c r="MV97" s="47">
        <v>3</v>
      </c>
      <c r="MW97" s="48" t="s">
        <v>4</v>
      </c>
      <c r="MX97" s="49">
        <v>1</v>
      </c>
      <c r="MY97" s="8"/>
      <c r="MZ97" s="42">
        <f t="shared" si="530"/>
        <v>7.2</v>
      </c>
      <c r="NA97" s="43">
        <f t="shared" si="531"/>
        <v>2</v>
      </c>
      <c r="NB97" s="8"/>
      <c r="NC97" s="47">
        <v>0</v>
      </c>
      <c r="ND97" s="48" t="s">
        <v>4</v>
      </c>
      <c r="NE97" s="49">
        <v>1</v>
      </c>
      <c r="NF97" s="8"/>
      <c r="NG97" s="42">
        <f t="shared" si="532"/>
        <v>0</v>
      </c>
      <c r="NH97" s="43">
        <f t="shared" si="533"/>
        <v>-1</v>
      </c>
      <c r="NI97" s="8"/>
      <c r="NJ97" s="47">
        <v>2</v>
      </c>
      <c r="NK97" s="48" t="s">
        <v>4</v>
      </c>
      <c r="NL97" s="49">
        <v>0</v>
      </c>
      <c r="NM97" s="8"/>
      <c r="NN97" s="42">
        <f t="shared" si="534"/>
        <v>7.2</v>
      </c>
      <c r="NO97" s="43">
        <f t="shared" si="535"/>
        <v>2</v>
      </c>
      <c r="NP97" s="8"/>
      <c r="NQ97" s="47">
        <v>2</v>
      </c>
      <c r="NR97" s="48" t="s">
        <v>4</v>
      </c>
      <c r="NS97" s="49">
        <v>1</v>
      </c>
      <c r="NT97" s="8"/>
      <c r="NU97" s="42">
        <f t="shared" si="536"/>
        <v>7.2</v>
      </c>
      <c r="NV97" s="43">
        <f t="shared" si="537"/>
        <v>1</v>
      </c>
      <c r="NW97" s="8"/>
      <c r="NX97" s="47">
        <v>2</v>
      </c>
      <c r="NY97" s="48" t="s">
        <v>4</v>
      </c>
      <c r="NZ97" s="49">
        <v>1</v>
      </c>
      <c r="OA97" s="8"/>
      <c r="OB97" s="42">
        <f t="shared" si="538"/>
        <v>7.2</v>
      </c>
      <c r="OC97" s="43">
        <f t="shared" si="539"/>
        <v>1</v>
      </c>
      <c r="OD97" s="8"/>
      <c r="OE97" s="47">
        <v>3</v>
      </c>
      <c r="OF97" s="48" t="s">
        <v>4</v>
      </c>
      <c r="OG97" s="49">
        <v>0</v>
      </c>
      <c r="OH97" s="8"/>
      <c r="OI97" s="42">
        <f t="shared" si="540"/>
        <v>7.2</v>
      </c>
      <c r="OJ97" s="43">
        <f t="shared" si="541"/>
        <v>3</v>
      </c>
      <c r="OK97" s="8"/>
      <c r="OL97" s="47">
        <v>2</v>
      </c>
      <c r="OM97" s="48" t="s">
        <v>4</v>
      </c>
      <c r="ON97" s="49">
        <v>0</v>
      </c>
      <c r="OO97" s="8"/>
      <c r="OP97" s="42">
        <f t="shared" si="542"/>
        <v>7.2</v>
      </c>
      <c r="OQ97" s="43">
        <f t="shared" si="543"/>
        <v>2</v>
      </c>
      <c r="OR97" s="8"/>
      <c r="OS97" s="47">
        <v>2</v>
      </c>
      <c r="OT97" s="48" t="s">
        <v>4</v>
      </c>
      <c r="OU97" s="49">
        <v>0</v>
      </c>
      <c r="OV97" s="8"/>
      <c r="OW97" s="42">
        <f t="shared" si="544"/>
        <v>7.2</v>
      </c>
      <c r="OX97" s="43">
        <f t="shared" si="545"/>
        <v>2</v>
      </c>
      <c r="OY97" s="8"/>
      <c r="OZ97" s="47">
        <v>2</v>
      </c>
      <c r="PA97" s="48" t="s">
        <v>4</v>
      </c>
      <c r="PB97" s="49">
        <v>0</v>
      </c>
      <c r="PC97" s="8"/>
      <c r="PD97" s="42">
        <f t="shared" si="546"/>
        <v>7.2</v>
      </c>
      <c r="PE97" s="43">
        <f t="shared" si="547"/>
        <v>2</v>
      </c>
      <c r="PF97" s="8"/>
      <c r="PG97" s="47">
        <v>1</v>
      </c>
      <c r="PH97" s="48" t="s">
        <v>4</v>
      </c>
      <c r="PI97" s="49">
        <v>0</v>
      </c>
      <c r="PJ97" s="8"/>
      <c r="PK97" s="42">
        <f t="shared" si="548"/>
        <v>10.8</v>
      </c>
      <c r="PL97" s="43">
        <f t="shared" si="549"/>
        <v>1</v>
      </c>
      <c r="PM97" s="8"/>
      <c r="PN97" s="47">
        <v>2</v>
      </c>
      <c r="PO97" s="48" t="s">
        <v>4</v>
      </c>
      <c r="PP97" s="49">
        <v>0</v>
      </c>
      <c r="PQ97" s="8"/>
      <c r="PR97" s="42">
        <f t="shared" si="550"/>
        <v>7.2</v>
      </c>
      <c r="PS97" s="43">
        <f t="shared" si="551"/>
        <v>2</v>
      </c>
      <c r="PT97" s="8"/>
      <c r="PU97" s="47">
        <v>3</v>
      </c>
      <c r="PV97" s="48" t="s">
        <v>4</v>
      </c>
      <c r="PW97" s="49">
        <v>0</v>
      </c>
      <c r="PX97" s="8"/>
      <c r="PY97" s="42">
        <f t="shared" si="552"/>
        <v>7.2</v>
      </c>
      <c r="PZ97" s="43">
        <f t="shared" si="553"/>
        <v>3</v>
      </c>
      <c r="QA97" s="8"/>
      <c r="QB97" s="47">
        <v>2</v>
      </c>
      <c r="QC97" s="48" t="s">
        <v>4</v>
      </c>
      <c r="QD97" s="49">
        <v>1</v>
      </c>
      <c r="QE97" s="8"/>
      <c r="QF97" s="42">
        <f t="shared" si="554"/>
        <v>7.2</v>
      </c>
      <c r="QG97" s="43">
        <f t="shared" si="555"/>
        <v>1</v>
      </c>
      <c r="QH97" s="8"/>
      <c r="QI97" s="47">
        <v>1</v>
      </c>
      <c r="QJ97" s="48" t="s">
        <v>4</v>
      </c>
      <c r="QK97" s="49">
        <v>0</v>
      </c>
      <c r="QL97" s="8"/>
      <c r="QM97" s="42">
        <f t="shared" si="556"/>
        <v>10.8</v>
      </c>
      <c r="QN97" s="43">
        <f t="shared" si="557"/>
        <v>1</v>
      </c>
      <c r="QO97" s="8"/>
      <c r="QP97" s="47">
        <v>1</v>
      </c>
      <c r="QQ97" s="48" t="s">
        <v>4</v>
      </c>
      <c r="QR97" s="49">
        <v>2</v>
      </c>
      <c r="QS97" s="8"/>
      <c r="QT97" s="42">
        <f t="shared" si="558"/>
        <v>0</v>
      </c>
      <c r="QU97" s="43">
        <f t="shared" si="559"/>
        <v>-1</v>
      </c>
      <c r="QV97" s="8"/>
      <c r="QW97" s="47">
        <v>2</v>
      </c>
      <c r="QX97" s="48" t="s">
        <v>4</v>
      </c>
      <c r="QY97" s="49">
        <v>0</v>
      </c>
      <c r="QZ97" s="8"/>
      <c r="RA97" s="42">
        <f t="shared" si="560"/>
        <v>7.2</v>
      </c>
      <c r="RB97" s="43">
        <f t="shared" si="561"/>
        <v>2</v>
      </c>
      <c r="RC97" s="8"/>
      <c r="RD97" s="47"/>
      <c r="RE97" s="48" t="s">
        <v>4</v>
      </c>
      <c r="RF97" s="49"/>
      <c r="RG97" s="8"/>
      <c r="RH97" s="42" t="str">
        <f t="shared" si="562"/>
        <v/>
      </c>
      <c r="RI97" s="43">
        <f t="shared" si="563"/>
        <v>0</v>
      </c>
      <c r="RJ97" s="8"/>
      <c r="RK97" s="47">
        <v>2</v>
      </c>
      <c r="RL97" s="48" t="s">
        <v>4</v>
      </c>
      <c r="RM97" s="49">
        <v>1</v>
      </c>
      <c r="RN97" s="8"/>
      <c r="RO97" s="42">
        <f t="shared" si="564"/>
        <v>7.2</v>
      </c>
      <c r="RP97" s="43">
        <f t="shared" si="565"/>
        <v>1</v>
      </c>
      <c r="RQ97" s="8"/>
      <c r="RR97" s="47">
        <v>5</v>
      </c>
      <c r="RS97" s="48" t="s">
        <v>4</v>
      </c>
      <c r="RT97" s="49">
        <v>3</v>
      </c>
      <c r="RU97" s="8"/>
      <c r="RV97" s="42">
        <f t="shared" si="566"/>
        <v>7.2</v>
      </c>
      <c r="RW97" s="43">
        <f t="shared" si="567"/>
        <v>2</v>
      </c>
      <c r="RX97" s="8"/>
      <c r="RY97" s="47">
        <v>2</v>
      </c>
      <c r="RZ97" s="48" t="s">
        <v>4</v>
      </c>
      <c r="SA97" s="49">
        <v>0</v>
      </c>
      <c r="SB97" s="8"/>
      <c r="SC97" s="42">
        <f t="shared" si="568"/>
        <v>7.2</v>
      </c>
      <c r="SD97" s="43">
        <f t="shared" si="569"/>
        <v>2</v>
      </c>
      <c r="SE97" s="8"/>
      <c r="SF97" s="47">
        <v>2</v>
      </c>
      <c r="SG97" s="48" t="s">
        <v>4</v>
      </c>
      <c r="SH97" s="49">
        <v>1</v>
      </c>
      <c r="SI97" s="8"/>
      <c r="SJ97" s="42">
        <f t="shared" si="570"/>
        <v>7.2</v>
      </c>
      <c r="SK97" s="43">
        <f t="shared" si="571"/>
        <v>1</v>
      </c>
      <c r="SL97" s="8"/>
      <c r="SM97" s="47">
        <v>1</v>
      </c>
      <c r="SN97" s="48" t="s">
        <v>4</v>
      </c>
      <c r="SO97" s="49">
        <v>2</v>
      </c>
      <c r="SP97" s="8"/>
      <c r="SQ97" s="42">
        <f t="shared" si="572"/>
        <v>0</v>
      </c>
      <c r="SR97" s="43">
        <f t="shared" si="573"/>
        <v>-1</v>
      </c>
    </row>
    <row r="98" spans="1:512" ht="16" customHeight="1" x14ac:dyDescent="0.15">
      <c r="A98" s="53"/>
      <c r="B98" s="46"/>
      <c r="C98" s="82"/>
      <c r="D98" s="82"/>
      <c r="I98" s="32"/>
      <c r="J98" s="47"/>
      <c r="K98" s="48"/>
      <c r="L98" s="49"/>
      <c r="M98" s="8"/>
      <c r="N98" s="42"/>
      <c r="O98" s="43"/>
      <c r="Q98" s="47"/>
      <c r="R98" s="48"/>
      <c r="S98" s="49"/>
      <c r="T98" s="8"/>
      <c r="U98" s="42"/>
      <c r="V98" s="43"/>
      <c r="W98" s="8"/>
      <c r="X98" s="47"/>
      <c r="Y98" s="48"/>
      <c r="Z98" s="49"/>
      <c r="AA98" s="8"/>
      <c r="AB98" s="42"/>
      <c r="AC98" s="43"/>
      <c r="AD98" s="8"/>
      <c r="AE98" s="47"/>
      <c r="AF98" s="48"/>
      <c r="AG98" s="49"/>
      <c r="AH98" s="8"/>
      <c r="AI98" s="42"/>
      <c r="AJ98" s="43"/>
      <c r="AK98" s="8"/>
      <c r="AL98" s="47"/>
      <c r="AM98" s="48"/>
      <c r="AN98" s="49"/>
      <c r="AO98" s="8"/>
      <c r="AP98" s="42"/>
      <c r="AQ98" s="43"/>
      <c r="AR98" s="8"/>
      <c r="AS98" s="47"/>
      <c r="AT98" s="48"/>
      <c r="AU98" s="49"/>
      <c r="AV98" s="8"/>
      <c r="AW98" s="42"/>
      <c r="AX98" s="43"/>
      <c r="AY98" s="8"/>
      <c r="AZ98" s="47"/>
      <c r="BA98" s="48"/>
      <c r="BB98" s="49"/>
      <c r="BC98" s="8"/>
      <c r="BD98" s="42"/>
      <c r="BE98" s="43"/>
      <c r="BF98" s="8"/>
      <c r="BG98" s="47"/>
      <c r="BH98" s="48"/>
      <c r="BI98" s="49"/>
      <c r="BJ98" s="8"/>
      <c r="BK98" s="42"/>
      <c r="BL98" s="43"/>
      <c r="BM98" s="8"/>
      <c r="BN98" s="47"/>
      <c r="BO98" s="48"/>
      <c r="BP98" s="49"/>
      <c r="BQ98" s="8"/>
      <c r="BR98" s="42"/>
      <c r="BS98" s="43"/>
      <c r="BT98" s="8"/>
      <c r="BU98" s="47"/>
      <c r="BV98" s="48"/>
      <c r="BW98" s="49"/>
      <c r="BX98" s="8"/>
      <c r="BY98" s="42"/>
      <c r="BZ98" s="43"/>
      <c r="CA98" s="8"/>
      <c r="CB98" s="47"/>
      <c r="CC98" s="48"/>
      <c r="CD98" s="49"/>
      <c r="CE98" s="8"/>
      <c r="CF98" s="42"/>
      <c r="CG98" s="43"/>
      <c r="CH98" s="8"/>
      <c r="CI98" s="47"/>
      <c r="CJ98" s="48"/>
      <c r="CK98" s="49"/>
      <c r="CL98" s="8"/>
      <c r="CM98" s="42"/>
      <c r="CN98" s="43"/>
      <c r="CO98" s="8"/>
      <c r="CP98" s="47"/>
      <c r="CQ98" s="48"/>
      <c r="CR98" s="49"/>
      <c r="CS98" s="8"/>
      <c r="CT98" s="42"/>
      <c r="CU98" s="43"/>
      <c r="CV98" s="8"/>
      <c r="CW98" s="47"/>
      <c r="CX98" s="48"/>
      <c r="CY98" s="49"/>
      <c r="CZ98" s="8"/>
      <c r="DA98" s="42"/>
      <c r="DB98" s="43"/>
      <c r="DC98" s="8"/>
      <c r="DD98" s="47"/>
      <c r="DE98" s="48"/>
      <c r="DF98" s="49"/>
      <c r="DG98" s="8"/>
      <c r="DH98" s="42"/>
      <c r="DI98" s="43"/>
      <c r="DJ98" s="8"/>
      <c r="DK98" s="47"/>
      <c r="DL98" s="48"/>
      <c r="DM98" s="49"/>
      <c r="DN98" s="8"/>
      <c r="DO98" s="42"/>
      <c r="DP98" s="43"/>
      <c r="DQ98" s="8"/>
      <c r="DR98" s="47"/>
      <c r="DS98" s="48"/>
      <c r="DT98" s="49"/>
      <c r="DU98" s="8"/>
      <c r="DV98" s="42"/>
      <c r="DW98" s="43"/>
      <c r="DX98" s="8"/>
      <c r="DY98" s="47"/>
      <c r="DZ98" s="48"/>
      <c r="EA98" s="49"/>
      <c r="EB98" s="8"/>
      <c r="EC98" s="42"/>
      <c r="ED98" s="43"/>
      <c r="EE98" s="8"/>
      <c r="EF98" s="47"/>
      <c r="EG98" s="48"/>
      <c r="EH98" s="49"/>
      <c r="EI98" s="8"/>
      <c r="EJ98" s="42"/>
      <c r="EK98" s="43"/>
      <c r="EL98" s="8"/>
      <c r="EM98" s="47"/>
      <c r="EN98" s="48"/>
      <c r="EO98" s="49"/>
      <c r="EP98" s="8"/>
      <c r="EQ98" s="42"/>
      <c r="ER98" s="43"/>
      <c r="ES98" s="8"/>
      <c r="ET98" s="47"/>
      <c r="EU98" s="48"/>
      <c r="EV98" s="49"/>
      <c r="EW98" s="8"/>
      <c r="EX98" s="42"/>
      <c r="EY98" s="43"/>
      <c r="EZ98" s="8"/>
      <c r="FA98" s="47"/>
      <c r="FB98" s="48"/>
      <c r="FC98" s="49"/>
      <c r="FD98" s="8"/>
      <c r="FE98" s="42"/>
      <c r="FF98" s="43"/>
      <c r="FG98" s="8"/>
      <c r="FH98" s="47"/>
      <c r="FI98" s="48"/>
      <c r="FJ98" s="49"/>
      <c r="FK98" s="8"/>
      <c r="FL98" s="42"/>
      <c r="FM98" s="43"/>
      <c r="FN98" s="8"/>
      <c r="FO98" s="47"/>
      <c r="FP98" s="48"/>
      <c r="FQ98" s="49"/>
      <c r="FR98" s="8"/>
      <c r="FS98" s="42"/>
      <c r="FT98" s="43"/>
      <c r="FU98" s="8"/>
      <c r="FV98" s="47"/>
      <c r="FW98" s="48"/>
      <c r="FX98" s="49"/>
      <c r="FY98" s="8"/>
      <c r="FZ98" s="42"/>
      <c r="GA98" s="43"/>
      <c r="GB98" s="8"/>
      <c r="GC98" s="47"/>
      <c r="GD98" s="48"/>
      <c r="GE98" s="49"/>
      <c r="GF98" s="8"/>
      <c r="GG98" s="42"/>
      <c r="GH98" s="43"/>
      <c r="GI98" s="8"/>
      <c r="GJ98" s="47"/>
      <c r="GK98" s="48"/>
      <c r="GL98" s="49"/>
      <c r="GM98" s="8"/>
      <c r="GN98" s="42"/>
      <c r="GO98" s="43"/>
      <c r="GP98" s="8"/>
      <c r="GQ98" s="47"/>
      <c r="GR98" s="48"/>
      <c r="GS98" s="49"/>
      <c r="GT98" s="8"/>
      <c r="GU98" s="42"/>
      <c r="GV98" s="43"/>
      <c r="GW98" s="8"/>
      <c r="GX98" s="47"/>
      <c r="GY98" s="48"/>
      <c r="GZ98" s="49"/>
      <c r="HA98" s="8"/>
      <c r="HB98" s="42"/>
      <c r="HC98" s="43"/>
      <c r="HD98" s="8"/>
      <c r="HE98" s="47"/>
      <c r="HF98" s="48"/>
      <c r="HG98" s="49"/>
      <c r="HH98" s="8"/>
      <c r="HI98" s="42"/>
      <c r="HJ98" s="43"/>
      <c r="HK98" s="8"/>
      <c r="HL98" s="47"/>
      <c r="HM98" s="48"/>
      <c r="HN98" s="49"/>
      <c r="HO98" s="8"/>
      <c r="HP98" s="42"/>
      <c r="HQ98" s="43"/>
      <c r="HR98" s="8"/>
      <c r="HS98" s="47"/>
      <c r="HT98" s="48"/>
      <c r="HU98" s="49"/>
      <c r="HV98" s="8"/>
      <c r="HW98" s="42"/>
      <c r="HX98" s="43"/>
      <c r="HY98" s="8"/>
      <c r="HZ98" s="47"/>
      <c r="IA98" s="48"/>
      <c r="IB98" s="49"/>
      <c r="IC98" s="8"/>
      <c r="ID98" s="42"/>
      <c r="IE98" s="43"/>
      <c r="IF98" s="8"/>
      <c r="IG98" s="47"/>
      <c r="IH98" s="48"/>
      <c r="II98" s="49"/>
      <c r="IJ98" s="8"/>
      <c r="IK98" s="42"/>
      <c r="IL98" s="43"/>
      <c r="IM98" s="8"/>
      <c r="IN98" s="47"/>
      <c r="IO98" s="48"/>
      <c r="IP98" s="49"/>
      <c r="IQ98" s="8"/>
      <c r="IR98" s="42"/>
      <c r="IS98" s="43"/>
      <c r="IT98" s="8"/>
      <c r="IU98" s="47"/>
      <c r="IV98" s="48"/>
      <c r="IW98" s="49"/>
      <c r="IX98" s="8"/>
      <c r="IY98" s="42"/>
      <c r="IZ98" s="43"/>
      <c r="JA98" s="8"/>
      <c r="JB98" s="47"/>
      <c r="JC98" s="48"/>
      <c r="JD98" s="49"/>
      <c r="JE98" s="8"/>
      <c r="JF98" s="42"/>
      <c r="JG98" s="43"/>
      <c r="JH98" s="8"/>
      <c r="JI98" s="47"/>
      <c r="JJ98" s="48"/>
      <c r="JK98" s="49"/>
      <c r="JL98" s="8"/>
      <c r="JM98" s="42"/>
      <c r="JN98" s="43"/>
      <c r="JO98" s="8"/>
      <c r="JP98" s="47"/>
      <c r="JQ98" s="48"/>
      <c r="JR98" s="49"/>
      <c r="JS98" s="8"/>
      <c r="JT98" s="42"/>
      <c r="JU98" s="43"/>
      <c r="JV98" s="8"/>
      <c r="JW98" s="47"/>
      <c r="JX98" s="48"/>
      <c r="JY98" s="49"/>
      <c r="JZ98" s="8"/>
      <c r="KA98" s="42"/>
      <c r="KB98" s="43"/>
      <c r="KC98" s="8"/>
      <c r="KD98" s="47"/>
      <c r="KE98" s="48"/>
      <c r="KF98" s="49"/>
      <c r="KG98" s="8"/>
      <c r="KH98" s="42"/>
      <c r="KI98" s="43"/>
      <c r="KJ98" s="8"/>
      <c r="KK98" s="47"/>
      <c r="KL98" s="48"/>
      <c r="KM98" s="49"/>
      <c r="KN98" s="8"/>
      <c r="KO98" s="42"/>
      <c r="KP98" s="43"/>
      <c r="KQ98" s="8"/>
      <c r="KR98" s="47"/>
      <c r="KS98" s="48"/>
      <c r="KT98" s="49"/>
      <c r="KU98" s="8"/>
      <c r="KV98" s="42"/>
      <c r="KW98" s="43"/>
      <c r="KX98" s="8"/>
      <c r="KY98" s="47"/>
      <c r="KZ98" s="48"/>
      <c r="LA98" s="49"/>
      <c r="LB98" s="8"/>
      <c r="LC98" s="42"/>
      <c r="LD98" s="43"/>
      <c r="LE98" s="8"/>
      <c r="LF98" s="47"/>
      <c r="LG98" s="48"/>
      <c r="LH98" s="49"/>
      <c r="LI98" s="8"/>
      <c r="LJ98" s="42"/>
      <c r="LK98" s="43"/>
      <c r="LL98" s="8"/>
      <c r="LM98" s="47"/>
      <c r="LN98" s="48"/>
      <c r="LO98" s="49"/>
      <c r="LP98" s="8"/>
      <c r="LQ98" s="42"/>
      <c r="LR98" s="43"/>
      <c r="LS98" s="8"/>
      <c r="LT98" s="47"/>
      <c r="LU98" s="48"/>
      <c r="LV98" s="49"/>
      <c r="LW98" s="8"/>
      <c r="LX98" s="42"/>
      <c r="LY98" s="43"/>
      <c r="LZ98" s="8"/>
      <c r="MA98" s="47"/>
      <c r="MB98" s="48"/>
      <c r="MC98" s="49"/>
      <c r="MD98" s="8"/>
      <c r="ME98" s="42"/>
      <c r="MF98" s="43"/>
      <c r="MG98" s="8"/>
      <c r="MH98" s="47"/>
      <c r="MI98" s="48"/>
      <c r="MJ98" s="49"/>
      <c r="MK98" s="8"/>
      <c r="ML98" s="42"/>
      <c r="MM98" s="43"/>
      <c r="MN98" s="8"/>
      <c r="MO98" s="47"/>
      <c r="MP98" s="48"/>
      <c r="MQ98" s="49"/>
      <c r="MR98" s="8"/>
      <c r="MS98" s="42"/>
      <c r="MT98" s="43"/>
      <c r="MU98" s="8"/>
      <c r="MV98" s="47"/>
      <c r="MW98" s="48"/>
      <c r="MX98" s="49"/>
      <c r="MY98" s="8"/>
      <c r="MZ98" s="42"/>
      <c r="NA98" s="43"/>
      <c r="NB98" s="8"/>
      <c r="NC98" s="47"/>
      <c r="ND98" s="48"/>
      <c r="NE98" s="49"/>
      <c r="NF98" s="8"/>
      <c r="NG98" s="42"/>
      <c r="NH98" s="43"/>
      <c r="NI98" s="8"/>
      <c r="NJ98" s="47"/>
      <c r="NK98" s="48"/>
      <c r="NL98" s="49"/>
      <c r="NM98" s="8"/>
      <c r="NN98" s="42"/>
      <c r="NO98" s="43"/>
      <c r="NP98" s="8"/>
      <c r="NQ98" s="47"/>
      <c r="NR98" s="48"/>
      <c r="NS98" s="49"/>
      <c r="NT98" s="8"/>
      <c r="NU98" s="42"/>
      <c r="NV98" s="43"/>
      <c r="NW98" s="8"/>
      <c r="NX98" s="47"/>
      <c r="NY98" s="48"/>
      <c r="NZ98" s="49"/>
      <c r="OA98" s="8"/>
      <c r="OB98" s="42"/>
      <c r="OC98" s="43"/>
      <c r="OD98" s="8"/>
      <c r="OE98" s="47"/>
      <c r="OF98" s="48"/>
      <c r="OG98" s="49"/>
      <c r="OH98" s="8"/>
      <c r="OI98" s="42"/>
      <c r="OJ98" s="43"/>
      <c r="OK98" s="8"/>
      <c r="OL98" s="47"/>
      <c r="OM98" s="48"/>
      <c r="ON98" s="49"/>
      <c r="OO98" s="8"/>
      <c r="OP98" s="42"/>
      <c r="OQ98" s="43"/>
      <c r="OR98" s="8"/>
      <c r="OS98" s="47"/>
      <c r="OT98" s="48"/>
      <c r="OU98" s="49"/>
      <c r="OV98" s="8"/>
      <c r="OW98" s="42"/>
      <c r="OX98" s="43"/>
      <c r="OY98" s="8"/>
      <c r="OZ98" s="47"/>
      <c r="PA98" s="48"/>
      <c r="PB98" s="49"/>
      <c r="PC98" s="8"/>
      <c r="PD98" s="42"/>
      <c r="PE98" s="43"/>
      <c r="PF98" s="8"/>
      <c r="PG98" s="47"/>
      <c r="PH98" s="48"/>
      <c r="PI98" s="49"/>
      <c r="PJ98" s="8"/>
      <c r="PK98" s="42"/>
      <c r="PL98" s="43"/>
      <c r="PM98" s="8"/>
      <c r="PN98" s="47"/>
      <c r="PO98" s="48"/>
      <c r="PP98" s="49"/>
      <c r="PQ98" s="8"/>
      <c r="PR98" s="42"/>
      <c r="PS98" s="43"/>
      <c r="PT98" s="8"/>
      <c r="PU98" s="47"/>
      <c r="PV98" s="48"/>
      <c r="PW98" s="49"/>
      <c r="PX98" s="8"/>
      <c r="PY98" s="42"/>
      <c r="PZ98" s="43"/>
      <c r="QA98" s="8"/>
      <c r="QB98" s="47"/>
      <c r="QC98" s="48"/>
      <c r="QD98" s="49"/>
      <c r="QE98" s="8"/>
      <c r="QF98" s="42"/>
      <c r="QG98" s="43"/>
      <c r="QH98" s="8"/>
      <c r="QI98" s="47"/>
      <c r="QJ98" s="48"/>
      <c r="QK98" s="49"/>
      <c r="QL98" s="8"/>
      <c r="QM98" s="42"/>
      <c r="QN98" s="43"/>
      <c r="QO98" s="8"/>
      <c r="QP98" s="47"/>
      <c r="QQ98" s="48"/>
      <c r="QR98" s="49"/>
      <c r="QS98" s="8"/>
      <c r="QT98" s="42"/>
      <c r="QU98" s="43"/>
      <c r="QV98" s="8"/>
      <c r="QW98" s="47"/>
      <c r="QX98" s="48"/>
      <c r="QY98" s="49"/>
      <c r="QZ98" s="8"/>
      <c r="RA98" s="42"/>
      <c r="RB98" s="43"/>
      <c r="RC98" s="8"/>
      <c r="RD98" s="47"/>
      <c r="RE98" s="48"/>
      <c r="RF98" s="49"/>
      <c r="RG98" s="8"/>
      <c r="RH98" s="42"/>
      <c r="RI98" s="43"/>
      <c r="RJ98" s="8"/>
      <c r="RK98" s="47"/>
      <c r="RL98" s="48"/>
      <c r="RM98" s="49"/>
      <c r="RN98" s="8"/>
      <c r="RO98" s="42"/>
      <c r="RP98" s="43"/>
      <c r="RQ98" s="8"/>
      <c r="RR98" s="47"/>
      <c r="RS98" s="48"/>
      <c r="RT98" s="49"/>
      <c r="RU98" s="8"/>
      <c r="RV98" s="42"/>
      <c r="RW98" s="43"/>
      <c r="RX98" s="8"/>
      <c r="RY98" s="47"/>
      <c r="RZ98" s="48"/>
      <c r="SA98" s="49"/>
      <c r="SB98" s="8"/>
      <c r="SC98" s="42"/>
      <c r="SD98" s="43"/>
      <c r="SE98" s="8"/>
      <c r="SF98" s="47"/>
      <c r="SG98" s="48"/>
      <c r="SH98" s="49"/>
      <c r="SI98" s="8"/>
      <c r="SJ98" s="42"/>
      <c r="SK98" s="43"/>
      <c r="SL98" s="8"/>
      <c r="SM98" s="47"/>
      <c r="SN98" s="48"/>
      <c r="SO98" s="49"/>
      <c r="SP98" s="8"/>
      <c r="SQ98" s="42"/>
      <c r="SR98" s="43"/>
    </row>
    <row r="99" spans="1:512" ht="16" customHeight="1" x14ac:dyDescent="0.15">
      <c r="A99" s="84" t="s">
        <v>12</v>
      </c>
      <c r="B99" s="46"/>
      <c r="C99" s="82"/>
      <c r="D99" s="83"/>
      <c r="E99" s="5"/>
      <c r="I99" s="32"/>
      <c r="J99" s="47"/>
      <c r="K99" s="48"/>
      <c r="L99" s="49"/>
      <c r="M99" s="8"/>
      <c r="N99" s="42"/>
      <c r="O99" s="43"/>
      <c r="Q99" s="47"/>
      <c r="R99" s="48"/>
      <c r="S99" s="49"/>
      <c r="T99" s="8"/>
      <c r="U99" s="42"/>
      <c r="V99" s="43"/>
      <c r="W99" s="8"/>
      <c r="X99" s="47"/>
      <c r="Y99" s="48"/>
      <c r="Z99" s="49"/>
      <c r="AA99" s="8"/>
      <c r="AB99" s="42"/>
      <c r="AC99" s="43"/>
      <c r="AD99" s="8"/>
      <c r="AE99" s="47"/>
      <c r="AF99" s="48"/>
      <c r="AG99" s="49"/>
      <c r="AH99" s="8"/>
      <c r="AI99" s="42"/>
      <c r="AJ99" s="43"/>
      <c r="AK99" s="8"/>
      <c r="AL99" s="47"/>
      <c r="AM99" s="48"/>
      <c r="AN99" s="49"/>
      <c r="AO99" s="8"/>
      <c r="AP99" s="42"/>
      <c r="AQ99" s="43"/>
      <c r="AR99" s="8"/>
      <c r="AS99" s="47"/>
      <c r="AT99" s="48"/>
      <c r="AU99" s="49"/>
      <c r="AV99" s="8"/>
      <c r="AW99" s="42"/>
      <c r="AX99" s="43"/>
      <c r="AY99" s="8"/>
      <c r="AZ99" s="47"/>
      <c r="BA99" s="48"/>
      <c r="BB99" s="49"/>
      <c r="BC99" s="8"/>
      <c r="BD99" s="42"/>
      <c r="BE99" s="43"/>
      <c r="BF99" s="8"/>
      <c r="BG99" s="47"/>
      <c r="BH99" s="48"/>
      <c r="BI99" s="49"/>
      <c r="BJ99" s="8"/>
      <c r="BK99" s="42"/>
      <c r="BL99" s="43"/>
      <c r="BM99" s="8"/>
      <c r="BN99" s="47"/>
      <c r="BO99" s="48"/>
      <c r="BP99" s="49"/>
      <c r="BQ99" s="8"/>
      <c r="BR99" s="42"/>
      <c r="BS99" s="43"/>
      <c r="BT99" s="8"/>
      <c r="BU99" s="47"/>
      <c r="BV99" s="48"/>
      <c r="BW99" s="49"/>
      <c r="BX99" s="8"/>
      <c r="BY99" s="42"/>
      <c r="BZ99" s="43"/>
      <c r="CA99" s="8"/>
      <c r="CB99" s="47"/>
      <c r="CC99" s="48"/>
      <c r="CD99" s="49"/>
      <c r="CE99" s="8"/>
      <c r="CF99" s="42"/>
      <c r="CG99" s="43"/>
      <c r="CH99" s="8"/>
      <c r="CI99" s="47"/>
      <c r="CJ99" s="48"/>
      <c r="CK99" s="49"/>
      <c r="CL99" s="8"/>
      <c r="CM99" s="42"/>
      <c r="CN99" s="43"/>
      <c r="CO99" s="8"/>
      <c r="CP99" s="47"/>
      <c r="CQ99" s="48"/>
      <c r="CR99" s="49"/>
      <c r="CS99" s="8"/>
      <c r="CT99" s="42"/>
      <c r="CU99" s="43"/>
      <c r="CV99" s="8"/>
      <c r="CW99" s="47"/>
      <c r="CX99" s="48"/>
      <c r="CY99" s="49"/>
      <c r="CZ99" s="8"/>
      <c r="DA99" s="42"/>
      <c r="DB99" s="43"/>
      <c r="DC99" s="8"/>
      <c r="DD99" s="47"/>
      <c r="DE99" s="48"/>
      <c r="DF99" s="49"/>
      <c r="DG99" s="8"/>
      <c r="DH99" s="42"/>
      <c r="DI99" s="43"/>
      <c r="DJ99" s="8"/>
      <c r="DK99" s="47"/>
      <c r="DL99" s="48"/>
      <c r="DM99" s="49"/>
      <c r="DN99" s="8"/>
      <c r="DO99" s="42"/>
      <c r="DP99" s="43"/>
      <c r="DQ99" s="8"/>
      <c r="DR99" s="47"/>
      <c r="DS99" s="48"/>
      <c r="DT99" s="49"/>
      <c r="DU99" s="8"/>
      <c r="DV99" s="42"/>
      <c r="DW99" s="43"/>
      <c r="DX99" s="8"/>
      <c r="DY99" s="47"/>
      <c r="DZ99" s="48"/>
      <c r="EA99" s="49"/>
      <c r="EB99" s="8"/>
      <c r="EC99" s="42"/>
      <c r="ED99" s="43"/>
      <c r="EE99" s="8"/>
      <c r="EF99" s="47"/>
      <c r="EG99" s="48"/>
      <c r="EH99" s="49"/>
      <c r="EI99" s="8"/>
      <c r="EJ99" s="42"/>
      <c r="EK99" s="43"/>
      <c r="EL99" s="8"/>
      <c r="EM99" s="47"/>
      <c r="EN99" s="48"/>
      <c r="EO99" s="49"/>
      <c r="EP99" s="8"/>
      <c r="EQ99" s="42"/>
      <c r="ER99" s="43"/>
      <c r="ES99" s="8"/>
      <c r="ET99" s="47"/>
      <c r="EU99" s="48"/>
      <c r="EV99" s="49"/>
      <c r="EW99" s="8"/>
      <c r="EX99" s="42"/>
      <c r="EY99" s="43"/>
      <c r="EZ99" s="8"/>
      <c r="FA99" s="47"/>
      <c r="FB99" s="48"/>
      <c r="FC99" s="49"/>
      <c r="FD99" s="8"/>
      <c r="FE99" s="42"/>
      <c r="FF99" s="43"/>
      <c r="FG99" s="8"/>
      <c r="FH99" s="47"/>
      <c r="FI99" s="48"/>
      <c r="FJ99" s="49"/>
      <c r="FK99" s="8"/>
      <c r="FL99" s="42"/>
      <c r="FM99" s="43"/>
      <c r="FN99" s="8"/>
      <c r="FO99" s="47"/>
      <c r="FP99" s="48"/>
      <c r="FQ99" s="49"/>
      <c r="FR99" s="8"/>
      <c r="FS99" s="42"/>
      <c r="FT99" s="43"/>
      <c r="FU99" s="8"/>
      <c r="FV99" s="47"/>
      <c r="FW99" s="48"/>
      <c r="FX99" s="49"/>
      <c r="FY99" s="8"/>
      <c r="FZ99" s="42"/>
      <c r="GA99" s="43"/>
      <c r="GB99" s="8"/>
      <c r="GC99" s="47"/>
      <c r="GD99" s="48"/>
      <c r="GE99" s="49"/>
      <c r="GF99" s="8"/>
      <c r="GG99" s="42"/>
      <c r="GH99" s="43"/>
      <c r="GI99" s="8"/>
      <c r="GJ99" s="47"/>
      <c r="GK99" s="48"/>
      <c r="GL99" s="49"/>
      <c r="GM99" s="8"/>
      <c r="GN99" s="42"/>
      <c r="GO99" s="43"/>
      <c r="GP99" s="8"/>
      <c r="GQ99" s="47"/>
      <c r="GR99" s="48"/>
      <c r="GS99" s="49"/>
      <c r="GT99" s="8"/>
      <c r="GU99" s="42"/>
      <c r="GV99" s="43"/>
      <c r="GW99" s="8"/>
      <c r="GX99" s="47"/>
      <c r="GY99" s="48"/>
      <c r="GZ99" s="49"/>
      <c r="HA99" s="8"/>
      <c r="HB99" s="42"/>
      <c r="HC99" s="43"/>
      <c r="HD99" s="8"/>
      <c r="HE99" s="47"/>
      <c r="HF99" s="48"/>
      <c r="HG99" s="49"/>
      <c r="HH99" s="8"/>
      <c r="HI99" s="42"/>
      <c r="HJ99" s="43"/>
      <c r="HK99" s="8"/>
      <c r="HL99" s="47"/>
      <c r="HM99" s="48"/>
      <c r="HN99" s="49"/>
      <c r="HO99" s="8"/>
      <c r="HP99" s="42"/>
      <c r="HQ99" s="43"/>
      <c r="HR99" s="8"/>
      <c r="HS99" s="47"/>
      <c r="HT99" s="48"/>
      <c r="HU99" s="49"/>
      <c r="HV99" s="8"/>
      <c r="HW99" s="42"/>
      <c r="HX99" s="43"/>
      <c r="HY99" s="8"/>
      <c r="HZ99" s="47"/>
      <c r="IA99" s="48"/>
      <c r="IB99" s="49"/>
      <c r="IC99" s="8"/>
      <c r="ID99" s="42"/>
      <c r="IE99" s="43"/>
      <c r="IF99" s="8"/>
      <c r="IG99" s="47"/>
      <c r="IH99" s="48"/>
      <c r="II99" s="49"/>
      <c r="IJ99" s="8"/>
      <c r="IK99" s="42"/>
      <c r="IL99" s="43"/>
      <c r="IM99" s="8"/>
      <c r="IN99" s="47"/>
      <c r="IO99" s="48"/>
      <c r="IP99" s="49"/>
      <c r="IQ99" s="8"/>
      <c r="IR99" s="42"/>
      <c r="IS99" s="43"/>
      <c r="IT99" s="8"/>
      <c r="IU99" s="47"/>
      <c r="IV99" s="48"/>
      <c r="IW99" s="49"/>
      <c r="IX99" s="8"/>
      <c r="IY99" s="42"/>
      <c r="IZ99" s="43"/>
      <c r="JA99" s="8"/>
      <c r="JB99" s="47"/>
      <c r="JC99" s="48"/>
      <c r="JD99" s="49"/>
      <c r="JE99" s="8"/>
      <c r="JF99" s="42"/>
      <c r="JG99" s="43"/>
      <c r="JH99" s="8"/>
      <c r="JI99" s="47"/>
      <c r="JJ99" s="48"/>
      <c r="JK99" s="49"/>
      <c r="JL99" s="8"/>
      <c r="JM99" s="42"/>
      <c r="JN99" s="43"/>
      <c r="JO99" s="8"/>
      <c r="JP99" s="47"/>
      <c r="JQ99" s="48"/>
      <c r="JR99" s="49"/>
      <c r="JS99" s="8"/>
      <c r="JT99" s="42"/>
      <c r="JU99" s="43"/>
      <c r="JV99" s="8"/>
      <c r="JW99" s="47"/>
      <c r="JX99" s="48"/>
      <c r="JY99" s="49"/>
      <c r="JZ99" s="8"/>
      <c r="KA99" s="42"/>
      <c r="KB99" s="43"/>
      <c r="KC99" s="8"/>
      <c r="KD99" s="47"/>
      <c r="KE99" s="48"/>
      <c r="KF99" s="49"/>
      <c r="KG99" s="8"/>
      <c r="KH99" s="42"/>
      <c r="KI99" s="43"/>
      <c r="KJ99" s="8"/>
      <c r="KK99" s="47"/>
      <c r="KL99" s="48"/>
      <c r="KM99" s="49"/>
      <c r="KN99" s="8"/>
      <c r="KO99" s="42"/>
      <c r="KP99" s="43"/>
      <c r="KQ99" s="8"/>
      <c r="KR99" s="47"/>
      <c r="KS99" s="48"/>
      <c r="KT99" s="49"/>
      <c r="KU99" s="8"/>
      <c r="KV99" s="42"/>
      <c r="KW99" s="43"/>
      <c r="KX99" s="8"/>
      <c r="KY99" s="47"/>
      <c r="KZ99" s="48"/>
      <c r="LA99" s="49"/>
      <c r="LB99" s="8"/>
      <c r="LC99" s="42"/>
      <c r="LD99" s="43"/>
      <c r="LE99" s="8"/>
      <c r="LF99" s="47"/>
      <c r="LG99" s="48"/>
      <c r="LH99" s="49"/>
      <c r="LI99" s="8"/>
      <c r="LJ99" s="42"/>
      <c r="LK99" s="43"/>
      <c r="LL99" s="8"/>
      <c r="LM99" s="47"/>
      <c r="LN99" s="48"/>
      <c r="LO99" s="49"/>
      <c r="LP99" s="8"/>
      <c r="LQ99" s="42"/>
      <c r="LR99" s="43"/>
      <c r="LS99" s="8"/>
      <c r="LT99" s="47"/>
      <c r="LU99" s="48"/>
      <c r="LV99" s="49"/>
      <c r="LW99" s="8"/>
      <c r="LX99" s="42"/>
      <c r="LY99" s="43"/>
      <c r="LZ99" s="8"/>
      <c r="MA99" s="47"/>
      <c r="MB99" s="48"/>
      <c r="MC99" s="49"/>
      <c r="MD99" s="8"/>
      <c r="ME99" s="42"/>
      <c r="MF99" s="43"/>
      <c r="MG99" s="8"/>
      <c r="MH99" s="47"/>
      <c r="MI99" s="48"/>
      <c r="MJ99" s="49"/>
      <c r="MK99" s="8"/>
      <c r="ML99" s="42"/>
      <c r="MM99" s="43"/>
      <c r="MN99" s="8"/>
      <c r="MO99" s="47"/>
      <c r="MP99" s="48"/>
      <c r="MQ99" s="49"/>
      <c r="MR99" s="8"/>
      <c r="MS99" s="42"/>
      <c r="MT99" s="43"/>
      <c r="MU99" s="8"/>
      <c r="MV99" s="47"/>
      <c r="MW99" s="48"/>
      <c r="MX99" s="49"/>
      <c r="MY99" s="8"/>
      <c r="MZ99" s="42"/>
      <c r="NA99" s="43"/>
      <c r="NB99" s="8"/>
      <c r="NC99" s="47"/>
      <c r="ND99" s="48"/>
      <c r="NE99" s="49"/>
      <c r="NF99" s="8"/>
      <c r="NG99" s="42"/>
      <c r="NH99" s="43"/>
      <c r="NI99" s="8"/>
      <c r="NJ99" s="47"/>
      <c r="NK99" s="48"/>
      <c r="NL99" s="49"/>
      <c r="NM99" s="8"/>
      <c r="NN99" s="42"/>
      <c r="NO99" s="43"/>
      <c r="NP99" s="8"/>
      <c r="NQ99" s="47"/>
      <c r="NR99" s="48"/>
      <c r="NS99" s="49"/>
      <c r="NT99" s="8"/>
      <c r="NU99" s="42"/>
      <c r="NV99" s="43"/>
      <c r="NW99" s="8"/>
      <c r="NX99" s="47"/>
      <c r="NY99" s="48"/>
      <c r="NZ99" s="49"/>
      <c r="OA99" s="8"/>
      <c r="OB99" s="42"/>
      <c r="OC99" s="43"/>
      <c r="OD99" s="8"/>
      <c r="OE99" s="47"/>
      <c r="OF99" s="48"/>
      <c r="OG99" s="49"/>
      <c r="OH99" s="8"/>
      <c r="OI99" s="42"/>
      <c r="OJ99" s="43"/>
      <c r="OK99" s="8"/>
      <c r="OL99" s="47"/>
      <c r="OM99" s="48"/>
      <c r="ON99" s="49"/>
      <c r="OO99" s="8"/>
      <c r="OP99" s="42"/>
      <c r="OQ99" s="43"/>
      <c r="OR99" s="8"/>
      <c r="OS99" s="47"/>
      <c r="OT99" s="48"/>
      <c r="OU99" s="49"/>
      <c r="OV99" s="8"/>
      <c r="OW99" s="42"/>
      <c r="OX99" s="43"/>
      <c r="OY99" s="8"/>
      <c r="OZ99" s="47"/>
      <c r="PA99" s="48"/>
      <c r="PB99" s="49"/>
      <c r="PC99" s="8"/>
      <c r="PD99" s="42"/>
      <c r="PE99" s="43"/>
      <c r="PF99" s="8"/>
      <c r="PG99" s="47"/>
      <c r="PH99" s="48"/>
      <c r="PI99" s="49"/>
      <c r="PJ99" s="8"/>
      <c r="PK99" s="42"/>
      <c r="PL99" s="43"/>
      <c r="PM99" s="8"/>
      <c r="PN99" s="47"/>
      <c r="PO99" s="48"/>
      <c r="PP99" s="49"/>
      <c r="PQ99" s="8"/>
      <c r="PR99" s="42"/>
      <c r="PS99" s="43"/>
      <c r="PT99" s="8"/>
      <c r="PU99" s="47"/>
      <c r="PV99" s="48"/>
      <c r="PW99" s="49"/>
      <c r="PX99" s="8"/>
      <c r="PY99" s="42"/>
      <c r="PZ99" s="43"/>
      <c r="QA99" s="8"/>
      <c r="QB99" s="47"/>
      <c r="QC99" s="48"/>
      <c r="QD99" s="49"/>
      <c r="QE99" s="8"/>
      <c r="QF99" s="42"/>
      <c r="QG99" s="43"/>
      <c r="QH99" s="8"/>
      <c r="QI99" s="47"/>
      <c r="QJ99" s="48"/>
      <c r="QK99" s="49"/>
      <c r="QL99" s="8"/>
      <c r="QM99" s="42"/>
      <c r="QN99" s="43"/>
      <c r="QO99" s="8"/>
      <c r="QP99" s="47"/>
      <c r="QQ99" s="48"/>
      <c r="QR99" s="49"/>
      <c r="QS99" s="8"/>
      <c r="QT99" s="42"/>
      <c r="QU99" s="43"/>
      <c r="QV99" s="8"/>
      <c r="QW99" s="47"/>
      <c r="QX99" s="48"/>
      <c r="QY99" s="49"/>
      <c r="QZ99" s="8"/>
      <c r="RA99" s="42"/>
      <c r="RB99" s="43"/>
      <c r="RC99" s="8"/>
      <c r="RD99" s="47"/>
      <c r="RE99" s="48"/>
      <c r="RF99" s="49"/>
      <c r="RG99" s="8"/>
      <c r="RH99" s="42"/>
      <c r="RI99" s="43"/>
      <c r="RJ99" s="8"/>
      <c r="RK99" s="47"/>
      <c r="RL99" s="48"/>
      <c r="RM99" s="49"/>
      <c r="RN99" s="8"/>
      <c r="RO99" s="42"/>
      <c r="RP99" s="43"/>
      <c r="RQ99" s="8"/>
      <c r="RR99" s="47"/>
      <c r="RS99" s="48"/>
      <c r="RT99" s="49"/>
      <c r="RU99" s="8"/>
      <c r="RV99" s="42"/>
      <c r="RW99" s="43"/>
      <c r="RX99" s="8"/>
      <c r="RY99" s="47"/>
      <c r="RZ99" s="48"/>
      <c r="SA99" s="49"/>
      <c r="SB99" s="8"/>
      <c r="SC99" s="42"/>
      <c r="SD99" s="43"/>
      <c r="SE99" s="8"/>
      <c r="SF99" s="47"/>
      <c r="SG99" s="48"/>
      <c r="SH99" s="49"/>
      <c r="SI99" s="8"/>
      <c r="SJ99" s="42"/>
      <c r="SK99" s="43"/>
      <c r="SL99" s="8"/>
      <c r="SM99" s="47"/>
      <c r="SN99" s="48"/>
      <c r="SO99" s="49"/>
      <c r="SP99" s="8"/>
      <c r="SQ99" s="42"/>
      <c r="SR99" s="43"/>
    </row>
    <row r="100" spans="1:512" ht="16" customHeight="1" x14ac:dyDescent="0.15">
      <c r="A100" s="51">
        <v>46207</v>
      </c>
      <c r="B100" s="46">
        <v>0.79166666666666663</v>
      </c>
      <c r="C100" s="82" t="s">
        <v>31</v>
      </c>
      <c r="D100" s="82" t="s">
        <v>36</v>
      </c>
      <c r="E100" s="2">
        <v>0</v>
      </c>
      <c r="F100" s="50" t="s">
        <v>4</v>
      </c>
      <c r="G100" s="1">
        <v>3</v>
      </c>
      <c r="H100" s="16">
        <v>7.2</v>
      </c>
      <c r="I100" s="32">
        <f t="shared" si="429"/>
        <v>-3</v>
      </c>
      <c r="J100" s="47"/>
      <c r="K100" s="48" t="s">
        <v>4</v>
      </c>
      <c r="L100" s="49"/>
      <c r="M100" s="8"/>
      <c r="N100" s="42" t="str">
        <f t="shared" si="430"/>
        <v/>
      </c>
      <c r="O100" s="43">
        <f t="shared" si="431"/>
        <v>0</v>
      </c>
      <c r="Q100" s="47"/>
      <c r="R100" s="48" t="s">
        <v>4</v>
      </c>
      <c r="S100" s="49"/>
      <c r="T100" s="8"/>
      <c r="U100" s="42" t="str">
        <f t="shared" ref="U100:U107" si="574">IF(OR($G100="",S100=""),"",IF(AND($E100=Q100,$G100=S100),$H100*1.5,IF(AND($I100&gt;0,V100&gt;0),$H100,IF(AND($I100&lt;0,V100&lt;0),$H100,IF(AND($I100=0,V100=0),$H100,0)))))</f>
        <v/>
      </c>
      <c r="V100" s="43">
        <f t="shared" ref="V100:V105" si="575">Q100-S100</f>
        <v>0</v>
      </c>
      <c r="W100" s="8"/>
      <c r="X100" s="47"/>
      <c r="Y100" s="48" t="s">
        <v>4</v>
      </c>
      <c r="Z100" s="49"/>
      <c r="AA100" s="8"/>
      <c r="AB100" s="42" t="str">
        <f t="shared" ref="AB100:AB107" si="576">IF(OR($G100="",Z100=""),"",IF(AND($E100=X100,$G100=Z100),$H100*1.5,IF(AND($I100&gt;0,AC100&gt;0),$H100,IF(AND($I100&lt;0,AC100&lt;0),$H100,IF(AND($I100=0,AC100=0),$H100,0)))))</f>
        <v/>
      </c>
      <c r="AC100" s="43">
        <f t="shared" ref="AC100:AC105" si="577">X100-Z100</f>
        <v>0</v>
      </c>
      <c r="AD100" s="8"/>
      <c r="AE100" s="47">
        <v>1</v>
      </c>
      <c r="AF100" s="48" t="s">
        <v>4</v>
      </c>
      <c r="AG100" s="49">
        <v>2</v>
      </c>
      <c r="AH100" s="8"/>
      <c r="AI100" s="42">
        <f t="shared" ref="AI100:AI107" si="578">IF(OR($G100="",AG100=""),"",IF(AND($E100=AE100,$G100=AG100),$H100*1.5,IF(AND($I100&gt;0,AJ100&gt;0),$H100,IF(AND($I100&lt;0,AJ100&lt;0),$H100,IF(AND($I100=0,AJ100=0),$H100,0)))))</f>
        <v>7.2</v>
      </c>
      <c r="AJ100" s="43">
        <f t="shared" ref="AJ100:AJ105" si="579">AE100-AG100</f>
        <v>-1</v>
      </c>
      <c r="AK100" s="8"/>
      <c r="AL100" s="47">
        <v>1</v>
      </c>
      <c r="AM100" s="48" t="s">
        <v>4</v>
      </c>
      <c r="AN100" s="49">
        <v>2</v>
      </c>
      <c r="AO100" s="8"/>
      <c r="AP100" s="42">
        <f t="shared" ref="AP100:AP107" si="580">IF(OR($G100="",AN100=""),"",IF(AND($E100=AL100,$G100=AN100),$H100*1.5,IF(AND($I100&gt;0,AQ100&gt;0),$H100,IF(AND($I100&lt;0,AQ100&lt;0),$H100,IF(AND($I100=0,AQ100=0),$H100,0)))))</f>
        <v>7.2</v>
      </c>
      <c r="AQ100" s="43">
        <f t="shared" ref="AQ100:AQ105" si="581">AL100-AN100</f>
        <v>-1</v>
      </c>
      <c r="AR100" s="8"/>
      <c r="AS100" s="47">
        <v>1</v>
      </c>
      <c r="AT100" s="48" t="s">
        <v>4</v>
      </c>
      <c r="AU100" s="49">
        <v>4</v>
      </c>
      <c r="AV100" s="8"/>
      <c r="AW100" s="42">
        <f t="shared" ref="AW100:AW107" si="582">IF(OR($G100="",AU100=""),"",IF(AND($E100=AS100,$G100=AU100),$H100*1.5,IF(AND($I100&gt;0,AX100&gt;0),$H100,IF(AND($I100&lt;0,AX100&lt;0),$H100,IF(AND($I100=0,AX100=0),$H100,0)))))</f>
        <v>7.2</v>
      </c>
      <c r="AX100" s="43">
        <f t="shared" ref="AX100:AX105" si="583">AS100-AU100</f>
        <v>-3</v>
      </c>
      <c r="AY100" s="8"/>
      <c r="AZ100" s="47">
        <v>1</v>
      </c>
      <c r="BA100" s="48" t="s">
        <v>4</v>
      </c>
      <c r="BB100" s="49">
        <v>3</v>
      </c>
      <c r="BC100" s="8"/>
      <c r="BD100" s="42">
        <f t="shared" ref="BD100:BD107" si="584">IF(OR($G100="",BB100=""),"",IF(AND($E100=AZ100,$G100=BB100),$H100*1.5,IF(AND($I100&gt;0,BE100&gt;0),$H100,IF(AND($I100&lt;0,BE100&lt;0),$H100,IF(AND($I100=0,BE100=0),$H100,0)))))</f>
        <v>7.2</v>
      </c>
      <c r="BE100" s="43">
        <f t="shared" ref="BE100:BE105" si="585">AZ100-BB100</f>
        <v>-2</v>
      </c>
      <c r="BF100" s="8"/>
      <c r="BG100" s="47">
        <v>2</v>
      </c>
      <c r="BH100" s="48" t="s">
        <v>4</v>
      </c>
      <c r="BI100" s="49">
        <v>1</v>
      </c>
      <c r="BJ100" s="8"/>
      <c r="BK100" s="42">
        <f t="shared" ref="BK100:BK107" si="586">IF(OR($G100="",BI100=""),"",IF(AND($E100=BG100,$G100=BI100),$H100*1.5,IF(AND($I100&gt;0,BL100&gt;0),$H100,IF(AND($I100&lt;0,BL100&lt;0),$H100,IF(AND($I100=0,BL100=0),$H100,0)))))</f>
        <v>0</v>
      </c>
      <c r="BL100" s="43">
        <f t="shared" ref="BL100:BL105" si="587">BG100-BI100</f>
        <v>1</v>
      </c>
      <c r="BM100" s="8"/>
      <c r="BN100" s="47">
        <v>1</v>
      </c>
      <c r="BO100" s="48" t="s">
        <v>4</v>
      </c>
      <c r="BP100" s="49">
        <v>2</v>
      </c>
      <c r="BQ100" s="8"/>
      <c r="BR100" s="42">
        <f t="shared" ref="BR100:BR107" si="588">IF(OR($G100="",BP100=""),"",IF(AND($E100=BN100,$G100=BP100),$H100*1.5,IF(AND($I100&gt;0,BS100&gt;0),$H100,IF(AND($I100&lt;0,BS100&lt;0),$H100,IF(AND($I100=0,BS100=0),$H100,0)))))</f>
        <v>7.2</v>
      </c>
      <c r="BS100" s="43">
        <f t="shared" ref="BS100:BS105" si="589">BN100-BP100</f>
        <v>-1</v>
      </c>
      <c r="BT100" s="8"/>
      <c r="BU100" s="47">
        <v>0</v>
      </c>
      <c r="BV100" s="48" t="s">
        <v>4</v>
      </c>
      <c r="BW100" s="49">
        <v>2</v>
      </c>
      <c r="BX100" s="8"/>
      <c r="BY100" s="42">
        <f t="shared" ref="BY100:BY107" si="590">IF(OR($G100="",BW100=""),"",IF(AND($E100=BU100,$G100=BW100),$H100*1.5,IF(AND($I100&gt;0,BZ100&gt;0),$H100,IF(AND($I100&lt;0,BZ100&lt;0),$H100,IF(AND($I100=0,BZ100=0),$H100,0)))))</f>
        <v>7.2</v>
      </c>
      <c r="BZ100" s="43">
        <f t="shared" ref="BZ100:BZ105" si="591">BU100-BW100</f>
        <v>-2</v>
      </c>
      <c r="CA100" s="8"/>
      <c r="CB100" s="47">
        <v>2</v>
      </c>
      <c r="CC100" s="48" t="s">
        <v>4</v>
      </c>
      <c r="CD100" s="49">
        <v>1</v>
      </c>
      <c r="CE100" s="8"/>
      <c r="CF100" s="42">
        <f t="shared" ref="CF100:CF107" si="592">IF(OR($G100="",CD100=""),"",IF(AND($E100=CB100,$G100=CD100),$H100*1.5,IF(AND($I100&gt;0,CG100&gt;0),$H100,IF(AND($I100&lt;0,CG100&lt;0),$H100,IF(AND($I100=0,CG100=0),$H100,0)))))</f>
        <v>0</v>
      </c>
      <c r="CG100" s="43">
        <f t="shared" ref="CG100:CG105" si="593">CB100-CD100</f>
        <v>1</v>
      </c>
      <c r="CH100" s="8"/>
      <c r="CI100" s="47">
        <v>1</v>
      </c>
      <c r="CJ100" s="48" t="s">
        <v>4</v>
      </c>
      <c r="CK100" s="49">
        <v>2</v>
      </c>
      <c r="CL100" s="8"/>
      <c r="CM100" s="42">
        <f t="shared" ref="CM100:CM107" si="594">IF(OR($G100="",CK100=""),"",IF(AND($E100=CI100,$G100=CK100),$H100*1.5,IF(AND($I100&gt;0,CN100&gt;0),$H100,IF(AND($I100&lt;0,CN100&lt;0),$H100,IF(AND($I100=0,CN100=0),$H100,0)))))</f>
        <v>7.2</v>
      </c>
      <c r="CN100" s="43">
        <f t="shared" ref="CN100:CN105" si="595">CI100-CK100</f>
        <v>-1</v>
      </c>
      <c r="CO100" s="8"/>
      <c r="CP100" s="47">
        <v>0</v>
      </c>
      <c r="CQ100" s="48" t="s">
        <v>4</v>
      </c>
      <c r="CR100" s="49">
        <v>1</v>
      </c>
      <c r="CS100" s="8"/>
      <c r="CT100" s="42">
        <f t="shared" ref="CT100:CT107" si="596">IF(OR($G100="",CR100=""),"",IF(AND($E100=CP100,$G100=CR100),$H100*1.5,IF(AND($I100&gt;0,CU100&gt;0),$H100,IF(AND($I100&lt;0,CU100&lt;0),$H100,IF(AND($I100=0,CU100=0),$H100,0)))))</f>
        <v>7.2</v>
      </c>
      <c r="CU100" s="43">
        <f t="shared" ref="CU100:CU105" si="597">CP100-CR100</f>
        <v>-1</v>
      </c>
      <c r="CV100" s="8"/>
      <c r="CW100" s="47">
        <v>1</v>
      </c>
      <c r="CX100" s="48" t="s">
        <v>4</v>
      </c>
      <c r="CY100" s="49">
        <v>2</v>
      </c>
      <c r="CZ100" s="8"/>
      <c r="DA100" s="42">
        <f t="shared" ref="DA100:DA107" si="598">IF(OR($G100="",CY100=""),"",IF(AND($E100=CW100,$G100=CY100),$H100*1.5,IF(AND($I100&gt;0,DB100&gt;0),$H100,IF(AND($I100&lt;0,DB100&lt;0),$H100,IF(AND($I100=0,DB100=0),$H100,0)))))</f>
        <v>7.2</v>
      </c>
      <c r="DB100" s="43">
        <f t="shared" ref="DB100:DB105" si="599">CW100-CY100</f>
        <v>-1</v>
      </c>
      <c r="DC100" s="8"/>
      <c r="DD100" s="47">
        <v>0</v>
      </c>
      <c r="DE100" s="48" t="s">
        <v>4</v>
      </c>
      <c r="DF100" s="49">
        <v>2</v>
      </c>
      <c r="DG100" s="8"/>
      <c r="DH100" s="42">
        <f t="shared" ref="DH100:DH107" si="600">IF(OR($G100="",DF100=""),"",IF(AND($E100=DD100,$G100=DF100),$H100*1.5,IF(AND($I100&gt;0,DI100&gt;0),$H100,IF(AND($I100&lt;0,DI100&lt;0),$H100,IF(AND($I100=0,DI100=0),$H100,0)))))</f>
        <v>7.2</v>
      </c>
      <c r="DI100" s="43">
        <f t="shared" ref="DI100:DI105" si="601">DD100-DF100</f>
        <v>-2</v>
      </c>
      <c r="DJ100" s="8"/>
      <c r="DK100" s="47">
        <v>0</v>
      </c>
      <c r="DL100" s="48" t="s">
        <v>4</v>
      </c>
      <c r="DM100" s="49">
        <v>1</v>
      </c>
      <c r="DN100" s="8"/>
      <c r="DO100" s="42">
        <f t="shared" ref="DO100:DO107" si="602">IF(OR($G100="",DM100=""),"",IF(AND($E100=DK100,$G100=DM100),$H100*1.5,IF(AND($I100&gt;0,DP100&gt;0),$H100,IF(AND($I100&lt;0,DP100&lt;0),$H100,IF(AND($I100=0,DP100=0),$H100,0)))))</f>
        <v>7.2</v>
      </c>
      <c r="DP100" s="43">
        <f t="shared" ref="DP100:DP105" si="603">DK100-DM100</f>
        <v>-1</v>
      </c>
      <c r="DQ100" s="8"/>
      <c r="DR100" s="47">
        <v>1</v>
      </c>
      <c r="DS100" s="48" t="s">
        <v>4</v>
      </c>
      <c r="DT100" s="49">
        <v>2</v>
      </c>
      <c r="DU100" s="8"/>
      <c r="DV100" s="42">
        <f t="shared" ref="DV100:DV107" si="604">IF(OR($G100="",DT100=""),"",IF(AND($E100=DR100,$G100=DT100),$H100*1.5,IF(AND($I100&gt;0,DW100&gt;0),$H100,IF(AND($I100&lt;0,DW100&lt;0),$H100,IF(AND($I100=0,DW100=0),$H100,0)))))</f>
        <v>7.2</v>
      </c>
      <c r="DW100" s="43">
        <f t="shared" ref="DW100:DW105" si="605">DR100-DT100</f>
        <v>-1</v>
      </c>
      <c r="DX100" s="8"/>
      <c r="DY100" s="47">
        <v>2</v>
      </c>
      <c r="DZ100" s="48" t="s">
        <v>4</v>
      </c>
      <c r="EA100" s="49">
        <v>3</v>
      </c>
      <c r="EB100" s="8"/>
      <c r="EC100" s="42">
        <f t="shared" ref="EC100:EC107" si="606">IF(OR($G100="",EA100=""),"",IF(AND($E100=DY100,$G100=EA100),$H100*1.5,IF(AND($I100&gt;0,ED100&gt;0),$H100,IF(AND($I100&lt;0,ED100&lt;0),$H100,IF(AND($I100=0,ED100=0),$H100,0)))))</f>
        <v>7.2</v>
      </c>
      <c r="ED100" s="43">
        <f t="shared" ref="ED100:ED105" si="607">DY100-EA100</f>
        <v>-1</v>
      </c>
      <c r="EE100" s="8"/>
      <c r="EF100" s="47">
        <v>1</v>
      </c>
      <c r="EG100" s="48" t="s">
        <v>4</v>
      </c>
      <c r="EH100" s="49">
        <v>3</v>
      </c>
      <c r="EI100" s="8"/>
      <c r="EJ100" s="42">
        <f t="shared" ref="EJ100:EJ107" si="608">IF(OR($G100="",EH100=""),"",IF(AND($E100=EF100,$G100=EH100),$H100*1.5,IF(AND($I100&gt;0,EK100&gt;0),$H100,IF(AND($I100&lt;0,EK100&lt;0),$H100,IF(AND($I100=0,EK100=0),$H100,0)))))</f>
        <v>7.2</v>
      </c>
      <c r="EK100" s="43">
        <f t="shared" ref="EK100:EK105" si="609">EF100-EH100</f>
        <v>-2</v>
      </c>
      <c r="EL100" s="8"/>
      <c r="EM100" s="47">
        <v>1</v>
      </c>
      <c r="EN100" s="48" t="s">
        <v>4</v>
      </c>
      <c r="EO100" s="49">
        <v>2</v>
      </c>
      <c r="EP100" s="8"/>
      <c r="EQ100" s="42">
        <f t="shared" ref="EQ100:EQ107" si="610">IF(OR($G100="",EO100=""),"",IF(AND($E100=EM100,$G100=EO100),$H100*1.5,IF(AND($I100&gt;0,ER100&gt;0),$H100,IF(AND($I100&lt;0,ER100&lt;0),$H100,IF(AND($I100=0,ER100=0),$H100,0)))))</f>
        <v>7.2</v>
      </c>
      <c r="ER100" s="43">
        <f t="shared" ref="ER100:ER105" si="611">EM100-EO100</f>
        <v>-1</v>
      </c>
      <c r="ES100" s="8"/>
      <c r="ET100" s="47">
        <v>1</v>
      </c>
      <c r="EU100" s="48" t="s">
        <v>4</v>
      </c>
      <c r="EV100" s="49">
        <v>2</v>
      </c>
      <c r="EW100" s="8"/>
      <c r="EX100" s="42">
        <f t="shared" ref="EX100:EX107" si="612">IF(OR($G100="",EV100=""),"",IF(AND($E100=ET100,$G100=EV100),$H100*1.5,IF(AND($I100&gt;0,EY100&gt;0),$H100,IF(AND($I100&lt;0,EY100&lt;0),$H100,IF(AND($I100=0,EY100=0),$H100,0)))))</f>
        <v>7.2</v>
      </c>
      <c r="EY100" s="43">
        <f t="shared" ref="EY100:EY105" si="613">ET100-EV100</f>
        <v>-1</v>
      </c>
      <c r="EZ100" s="8"/>
      <c r="FA100" s="47">
        <v>1</v>
      </c>
      <c r="FB100" s="48" t="s">
        <v>4</v>
      </c>
      <c r="FC100" s="49">
        <v>2</v>
      </c>
      <c r="FD100" s="8"/>
      <c r="FE100" s="42">
        <f t="shared" ref="FE100:FE107" si="614">IF(OR($G100="",FC100=""),"",IF(AND($E100=FA100,$G100=FC100),$H100*1.5,IF(AND($I100&gt;0,FF100&gt;0),$H100,IF(AND($I100&lt;0,FF100&lt;0),$H100,IF(AND($I100=0,FF100=0),$H100,0)))))</f>
        <v>7.2</v>
      </c>
      <c r="FF100" s="43">
        <f t="shared" ref="FF100:FF105" si="615">FA100-FC100</f>
        <v>-1</v>
      </c>
      <c r="FG100" s="8"/>
      <c r="FH100" s="47">
        <v>1</v>
      </c>
      <c r="FI100" s="48" t="s">
        <v>4</v>
      </c>
      <c r="FJ100" s="49">
        <v>2</v>
      </c>
      <c r="FK100" s="8"/>
      <c r="FL100" s="42">
        <f t="shared" ref="FL100:FL107" si="616">IF(OR($G100="",FJ100=""),"",IF(AND($E100=FH100,$G100=FJ100),$H100*1.5,IF(AND($I100&gt;0,FM100&gt;0),$H100,IF(AND($I100&lt;0,FM100&lt;0),$H100,IF(AND($I100=0,FM100=0),$H100,0)))))</f>
        <v>7.2</v>
      </c>
      <c r="FM100" s="43">
        <f t="shared" ref="FM100:FM105" si="617">FH100-FJ100</f>
        <v>-1</v>
      </c>
      <c r="FN100" s="8"/>
      <c r="FO100" s="47">
        <v>0</v>
      </c>
      <c r="FP100" s="48" t="s">
        <v>4</v>
      </c>
      <c r="FQ100" s="49">
        <v>1</v>
      </c>
      <c r="FR100" s="8"/>
      <c r="FS100" s="42">
        <f t="shared" ref="FS100:FS107" si="618">IF(OR($G100="",FQ100=""),"",IF(AND($E100=FO100,$G100=FQ100),$H100*1.5,IF(AND($I100&gt;0,FT100&gt;0),$H100,IF(AND($I100&lt;0,FT100&lt;0),$H100,IF(AND($I100=0,FT100=0),$H100,0)))))</f>
        <v>7.2</v>
      </c>
      <c r="FT100" s="43">
        <f t="shared" ref="FT100:FT105" si="619">FO100-FQ100</f>
        <v>-1</v>
      </c>
      <c r="FU100" s="8"/>
      <c r="FV100" s="47">
        <v>0</v>
      </c>
      <c r="FW100" s="48" t="s">
        <v>4</v>
      </c>
      <c r="FX100" s="49">
        <v>2</v>
      </c>
      <c r="FY100" s="8"/>
      <c r="FZ100" s="42">
        <f t="shared" ref="FZ100:FZ107" si="620">IF(OR($G100="",FX100=""),"",IF(AND($E100=FV100,$G100=FX100),$H100*1.5,IF(AND($I100&gt;0,GA100&gt;0),$H100,IF(AND($I100&lt;0,GA100&lt;0),$H100,IF(AND($I100=0,GA100=0),$H100,0)))))</f>
        <v>7.2</v>
      </c>
      <c r="GA100" s="43">
        <f t="shared" ref="GA100:GA105" si="621">FV100-FX100</f>
        <v>-2</v>
      </c>
      <c r="GB100" s="8"/>
      <c r="GC100" s="47">
        <v>1</v>
      </c>
      <c r="GD100" s="48" t="s">
        <v>4</v>
      </c>
      <c r="GE100" s="49">
        <v>2</v>
      </c>
      <c r="GF100" s="8"/>
      <c r="GG100" s="42">
        <f t="shared" ref="GG100:GG107" si="622">IF(OR($G100="",GE100=""),"",IF(AND($E100=GC100,$G100=GE100),$H100*1.5,IF(AND($I100&gt;0,GH100&gt;0),$H100,IF(AND($I100&lt;0,GH100&lt;0),$H100,IF(AND($I100=0,GH100=0),$H100,0)))))</f>
        <v>7.2</v>
      </c>
      <c r="GH100" s="43">
        <f t="shared" ref="GH100:GH105" si="623">GC100-GE100</f>
        <v>-1</v>
      </c>
      <c r="GI100" s="8"/>
      <c r="GJ100" s="47">
        <v>3</v>
      </c>
      <c r="GK100" s="48" t="s">
        <v>4</v>
      </c>
      <c r="GL100" s="49">
        <v>2</v>
      </c>
      <c r="GM100" s="8"/>
      <c r="GN100" s="42">
        <f t="shared" ref="GN100:GN107" si="624">IF(OR($G100="",GL100=""),"",IF(AND($E100=GJ100,$G100=GL100),$H100*1.5,IF(AND($I100&gt;0,GO100&gt;0),$H100,IF(AND($I100&lt;0,GO100&lt;0),$H100,IF(AND($I100=0,GO100=0),$H100,0)))))</f>
        <v>0</v>
      </c>
      <c r="GO100" s="43">
        <f t="shared" ref="GO100:GO105" si="625">GJ100-GL100</f>
        <v>1</v>
      </c>
      <c r="GP100" s="8"/>
      <c r="GQ100" s="47">
        <v>5</v>
      </c>
      <c r="GR100" s="48" t="s">
        <v>4</v>
      </c>
      <c r="GS100" s="49">
        <v>4</v>
      </c>
      <c r="GT100" s="8"/>
      <c r="GU100" s="42">
        <f t="shared" ref="GU100:GU107" si="626">IF(OR($G100="",GS100=""),"",IF(AND($E100=GQ100,$G100=GS100),$H100*1.5,IF(AND($I100&gt;0,GV100&gt;0),$H100,IF(AND($I100&lt;0,GV100&lt;0),$H100,IF(AND($I100=0,GV100=0),$H100,0)))))</f>
        <v>0</v>
      </c>
      <c r="GV100" s="43">
        <f t="shared" ref="GV100:GV105" si="627">GQ100-GS100</f>
        <v>1</v>
      </c>
      <c r="GW100" s="8"/>
      <c r="GX100" s="47">
        <v>0</v>
      </c>
      <c r="GY100" s="48" t="s">
        <v>4</v>
      </c>
      <c r="GZ100" s="49">
        <v>2</v>
      </c>
      <c r="HA100" s="8"/>
      <c r="HB100" s="42">
        <f t="shared" ref="HB100:HB107" si="628">IF(OR($G100="",GZ100=""),"",IF(AND($E100=GX100,$G100=GZ100),$H100*1.5,IF(AND($I100&gt;0,HC100&gt;0),$H100,IF(AND($I100&lt;0,HC100&lt;0),$H100,IF(AND($I100=0,HC100=0),$H100,0)))))</f>
        <v>7.2</v>
      </c>
      <c r="HC100" s="43">
        <f t="shared" ref="HC100:HC105" si="629">GX100-GZ100</f>
        <v>-2</v>
      </c>
      <c r="HD100" s="8"/>
      <c r="HE100" s="47">
        <v>1</v>
      </c>
      <c r="HF100" s="48" t="s">
        <v>4</v>
      </c>
      <c r="HG100" s="49">
        <v>3</v>
      </c>
      <c r="HH100" s="8"/>
      <c r="HI100" s="42">
        <f t="shared" ref="HI100:HI107" si="630">IF(OR($G100="",HG100=""),"",IF(AND($E100=HE100,$G100=HG100),$H100*1.5,IF(AND($I100&gt;0,HJ100&gt;0),$H100,IF(AND($I100&lt;0,HJ100&lt;0),$H100,IF(AND($I100=0,HJ100=0),$H100,0)))))</f>
        <v>7.2</v>
      </c>
      <c r="HJ100" s="43">
        <f t="shared" ref="HJ100:HJ105" si="631">HE100-HG100</f>
        <v>-2</v>
      </c>
      <c r="HK100" s="8"/>
      <c r="HL100" s="47">
        <v>0</v>
      </c>
      <c r="HM100" s="48" t="s">
        <v>4</v>
      </c>
      <c r="HN100" s="49">
        <v>2</v>
      </c>
      <c r="HO100" s="8"/>
      <c r="HP100" s="42">
        <f t="shared" ref="HP100:HP107" si="632">IF(OR($G100="",HN100=""),"",IF(AND($E100=HL100,$G100=HN100),$H100*1.5,IF(AND($I100&gt;0,HQ100&gt;0),$H100,IF(AND($I100&lt;0,HQ100&lt;0),$H100,IF(AND($I100=0,HQ100=0),$H100,0)))))</f>
        <v>7.2</v>
      </c>
      <c r="HQ100" s="43">
        <f t="shared" ref="HQ100:HQ105" si="633">HL100-HN100</f>
        <v>-2</v>
      </c>
      <c r="HR100" s="8"/>
      <c r="HS100" s="47">
        <v>1</v>
      </c>
      <c r="HT100" s="48" t="s">
        <v>4</v>
      </c>
      <c r="HU100" s="49">
        <v>2</v>
      </c>
      <c r="HV100" s="8"/>
      <c r="HW100" s="42">
        <f t="shared" ref="HW100:HW107" si="634">IF(OR($G100="",HU100=""),"",IF(AND($E100=HS100,$G100=HU100),$H100*1.5,IF(AND($I100&gt;0,HX100&gt;0),$H100,IF(AND($I100&lt;0,HX100&lt;0),$H100,IF(AND($I100=0,HX100=0),$H100,0)))))</f>
        <v>7.2</v>
      </c>
      <c r="HX100" s="43">
        <f t="shared" ref="HX100:HX105" si="635">HS100-HU100</f>
        <v>-1</v>
      </c>
      <c r="HY100" s="8"/>
      <c r="HZ100" s="47">
        <v>1</v>
      </c>
      <c r="IA100" s="48" t="s">
        <v>4</v>
      </c>
      <c r="IB100" s="49">
        <v>2</v>
      </c>
      <c r="IC100" s="8"/>
      <c r="ID100" s="42">
        <f t="shared" ref="ID100:ID107" si="636">IF(OR($G100="",IB100=""),"",IF(AND($E100=HZ100,$G100=IB100),$H100*1.5,IF(AND($I100&gt;0,IE100&gt;0),$H100,IF(AND($I100&lt;0,IE100&lt;0),$H100,IF(AND($I100=0,IE100=0),$H100,0)))))</f>
        <v>7.2</v>
      </c>
      <c r="IE100" s="43">
        <f t="shared" ref="IE100:IE105" si="637">HZ100-IB100</f>
        <v>-1</v>
      </c>
      <c r="IF100" s="8"/>
      <c r="IG100" s="47">
        <v>2</v>
      </c>
      <c r="IH100" s="48" t="s">
        <v>4</v>
      </c>
      <c r="II100" s="49">
        <v>0</v>
      </c>
      <c r="IJ100" s="8"/>
      <c r="IK100" s="42">
        <f t="shared" ref="IK100:IK107" si="638">IF(OR($G100="",II100=""),"",IF(AND($E100=IG100,$G100=II100),$H100*1.5,IF(AND($I100&gt;0,IL100&gt;0),$H100,IF(AND($I100&lt;0,IL100&lt;0),$H100,IF(AND($I100=0,IL100=0),$H100,0)))))</f>
        <v>0</v>
      </c>
      <c r="IL100" s="43">
        <f t="shared" ref="IL100:IL105" si="639">IG100-II100</f>
        <v>2</v>
      </c>
      <c r="IM100" s="8"/>
      <c r="IN100" s="47">
        <v>1</v>
      </c>
      <c r="IO100" s="48" t="s">
        <v>4</v>
      </c>
      <c r="IP100" s="49">
        <v>3</v>
      </c>
      <c r="IQ100" s="8"/>
      <c r="IR100" s="42">
        <f t="shared" ref="IR100:IR107" si="640">IF(OR($G100="",IP100=""),"",IF(AND($E100=IN100,$G100=IP100),$H100*1.5,IF(AND($I100&gt;0,IS100&gt;0),$H100,IF(AND($I100&lt;0,IS100&lt;0),$H100,IF(AND($I100=0,IS100=0),$H100,0)))))</f>
        <v>7.2</v>
      </c>
      <c r="IS100" s="43">
        <f t="shared" ref="IS100:IS105" si="641">IN100-IP100</f>
        <v>-2</v>
      </c>
      <c r="IT100" s="8"/>
      <c r="IU100" s="47">
        <v>3</v>
      </c>
      <c r="IV100" s="48" t="s">
        <v>4</v>
      </c>
      <c r="IW100" s="49">
        <v>4</v>
      </c>
      <c r="IX100" s="8"/>
      <c r="IY100" s="42">
        <f t="shared" ref="IY100:IY107" si="642">IF(OR($G100="",IW100=""),"",IF(AND($E100=IU100,$G100=IW100),$H100*1.5,IF(AND($I100&gt;0,IZ100&gt;0),$H100,IF(AND($I100&lt;0,IZ100&lt;0),$H100,IF(AND($I100=0,IZ100=0),$H100,0)))))</f>
        <v>7.2</v>
      </c>
      <c r="IZ100" s="43">
        <f t="shared" ref="IZ100:IZ105" si="643">IU100-IW100</f>
        <v>-1</v>
      </c>
      <c r="JA100" s="8"/>
      <c r="JB100" s="47">
        <v>2</v>
      </c>
      <c r="JC100" s="48" t="s">
        <v>4</v>
      </c>
      <c r="JD100" s="49">
        <v>1</v>
      </c>
      <c r="JE100" s="8"/>
      <c r="JF100" s="42">
        <f t="shared" ref="JF100:JF107" si="644">IF(OR($G100="",JD100=""),"",IF(AND($E100=JB100,$G100=JD100),$H100*1.5,IF(AND($I100&gt;0,JG100&gt;0),$H100,IF(AND($I100&lt;0,JG100&lt;0),$H100,IF(AND($I100=0,JG100=0),$H100,0)))))</f>
        <v>0</v>
      </c>
      <c r="JG100" s="43">
        <f t="shared" ref="JG100:JG105" si="645">JB100-JD100</f>
        <v>1</v>
      </c>
      <c r="JH100" s="8"/>
      <c r="JI100" s="47"/>
      <c r="JJ100" s="48" t="s">
        <v>4</v>
      </c>
      <c r="JK100" s="49"/>
      <c r="JL100" s="8"/>
      <c r="JM100" s="42" t="str">
        <f t="shared" ref="JM100:JM107" si="646">IF(OR($G100="",JK100=""),"",IF(AND($E100=JI100,$G100=JK100),$H100*1.5,IF(AND($I100&gt;0,JN100&gt;0),$H100,IF(AND($I100&lt;0,JN100&lt;0),$H100,IF(AND($I100=0,JN100=0),$H100,0)))))</f>
        <v/>
      </c>
      <c r="JN100" s="43">
        <f t="shared" ref="JN100:JN105" si="647">JI100-JK100</f>
        <v>0</v>
      </c>
      <c r="JO100" s="8"/>
      <c r="JP100" s="47">
        <v>0</v>
      </c>
      <c r="JQ100" s="48" t="s">
        <v>4</v>
      </c>
      <c r="JR100" s="49">
        <v>2</v>
      </c>
      <c r="JS100" s="8"/>
      <c r="JT100" s="42">
        <f t="shared" ref="JT100:JT107" si="648">IF(OR($G100="",JR100=""),"",IF(AND($E100=JP100,$G100=JR100),$H100*1.5,IF(AND($I100&gt;0,JU100&gt;0),$H100,IF(AND($I100&lt;0,JU100&lt;0),$H100,IF(AND($I100=0,JU100=0),$H100,0)))))</f>
        <v>7.2</v>
      </c>
      <c r="JU100" s="43">
        <f t="shared" ref="JU100:JU105" si="649">JP100-JR100</f>
        <v>-2</v>
      </c>
      <c r="JV100" s="8"/>
      <c r="JW100" s="47">
        <v>1</v>
      </c>
      <c r="JX100" s="48" t="s">
        <v>4</v>
      </c>
      <c r="JY100" s="49">
        <v>2</v>
      </c>
      <c r="JZ100" s="8"/>
      <c r="KA100" s="42">
        <f t="shared" ref="KA100:KA107" si="650">IF(OR($G100="",JY100=""),"",IF(AND($E100=JW100,$G100=JY100),$H100*1.5,IF(AND($I100&gt;0,KB100&gt;0),$H100,IF(AND($I100&lt;0,KB100&lt;0),$H100,IF(AND($I100=0,KB100=0),$H100,0)))))</f>
        <v>7.2</v>
      </c>
      <c r="KB100" s="43">
        <f t="shared" ref="KB100:KB105" si="651">JW100-JY100</f>
        <v>-1</v>
      </c>
      <c r="KC100" s="8"/>
      <c r="KD100" s="47"/>
      <c r="KE100" s="48" t="s">
        <v>4</v>
      </c>
      <c r="KF100" s="49"/>
      <c r="KG100" s="8"/>
      <c r="KH100" s="42" t="str">
        <f t="shared" ref="KH100:KH107" si="652">IF(OR($G100="",KF100=""),"",IF(AND($E100=KD100,$G100=KF100),$H100*1.5,IF(AND($I100&gt;0,KI100&gt;0),$H100,IF(AND($I100&lt;0,KI100&lt;0),$H100,IF(AND($I100=0,KI100=0),$H100,0)))))</f>
        <v/>
      </c>
      <c r="KI100" s="43">
        <f t="shared" ref="KI100:KI105" si="653">KD100-KF100</f>
        <v>0</v>
      </c>
      <c r="KJ100" s="8"/>
      <c r="KK100" s="47">
        <v>0</v>
      </c>
      <c r="KL100" s="48" t="s">
        <v>4</v>
      </c>
      <c r="KM100" s="49">
        <v>1</v>
      </c>
      <c r="KN100" s="8"/>
      <c r="KO100" s="42">
        <f t="shared" ref="KO100:KO107" si="654">IF(OR($G100="",KM100=""),"",IF(AND($E100=KK100,$G100=KM100),$H100*1.5,IF(AND($I100&gt;0,KP100&gt;0),$H100,IF(AND($I100&lt;0,KP100&lt;0),$H100,IF(AND($I100=0,KP100=0),$H100,0)))))</f>
        <v>7.2</v>
      </c>
      <c r="KP100" s="43">
        <f t="shared" ref="KP100:KP105" si="655">KK100-KM100</f>
        <v>-1</v>
      </c>
      <c r="KQ100" s="8"/>
      <c r="KR100" s="47">
        <v>1</v>
      </c>
      <c r="KS100" s="48" t="s">
        <v>4</v>
      </c>
      <c r="KT100" s="49">
        <v>3</v>
      </c>
      <c r="KU100" s="8"/>
      <c r="KV100" s="42">
        <f t="shared" ref="KV100:KV107" si="656">IF(OR($G100="",KT100=""),"",IF(AND($E100=KR100,$G100=KT100),$H100*1.5,IF(AND($I100&gt;0,KW100&gt;0),$H100,IF(AND($I100&lt;0,KW100&lt;0),$H100,IF(AND($I100=0,KW100=0),$H100,0)))))</f>
        <v>7.2</v>
      </c>
      <c r="KW100" s="43">
        <f t="shared" ref="KW100:KW105" si="657">KR100-KT100</f>
        <v>-2</v>
      </c>
      <c r="KX100" s="8"/>
      <c r="KY100" s="47">
        <v>1</v>
      </c>
      <c r="KZ100" s="48" t="s">
        <v>4</v>
      </c>
      <c r="LA100" s="49">
        <v>2</v>
      </c>
      <c r="LB100" s="8"/>
      <c r="LC100" s="42">
        <f t="shared" ref="LC100:LC107" si="658">IF(OR($G100="",LA100=""),"",IF(AND($E100=KY100,$G100=LA100),$H100*1.5,IF(AND($I100&gt;0,LD100&gt;0),$H100,IF(AND($I100&lt;0,LD100&lt;0),$H100,IF(AND($I100=0,LD100=0),$H100,0)))))</f>
        <v>7.2</v>
      </c>
      <c r="LD100" s="43">
        <f t="shared" ref="LD100:LD105" si="659">KY100-LA100</f>
        <v>-1</v>
      </c>
      <c r="LE100" s="8"/>
      <c r="LF100" s="47">
        <v>1</v>
      </c>
      <c r="LG100" s="48" t="s">
        <v>4</v>
      </c>
      <c r="LH100" s="49">
        <v>2</v>
      </c>
      <c r="LI100" s="8"/>
      <c r="LJ100" s="42">
        <f t="shared" ref="LJ100:LJ107" si="660">IF(OR($G100="",LH100=""),"",IF(AND($E100=LF100,$G100=LH100),$H100*1.5,IF(AND($I100&gt;0,LK100&gt;0),$H100,IF(AND($I100&lt;0,LK100&lt;0),$H100,IF(AND($I100=0,LK100=0),$H100,0)))))</f>
        <v>7.2</v>
      </c>
      <c r="LK100" s="43">
        <f t="shared" ref="LK100:LK105" si="661">LF100-LH100</f>
        <v>-1</v>
      </c>
      <c r="LL100" s="8"/>
      <c r="LM100" s="47">
        <v>1</v>
      </c>
      <c r="LN100" s="48" t="s">
        <v>4</v>
      </c>
      <c r="LO100" s="49">
        <v>2</v>
      </c>
      <c r="LP100" s="8"/>
      <c r="LQ100" s="42">
        <f t="shared" ref="LQ100:LQ107" si="662">IF(OR($G100="",LO100=""),"",IF(AND($E100=LM100,$G100=LO100),$H100*1.5,IF(AND($I100&gt;0,LR100&gt;0),$H100,IF(AND($I100&lt;0,LR100&lt;0),$H100,IF(AND($I100=0,LR100=0),$H100,0)))))</f>
        <v>7.2</v>
      </c>
      <c r="LR100" s="43">
        <f t="shared" ref="LR100:LR105" si="663">LM100-LO100</f>
        <v>-1</v>
      </c>
      <c r="LS100" s="8"/>
      <c r="LT100" s="47">
        <v>1</v>
      </c>
      <c r="LU100" s="48" t="s">
        <v>4</v>
      </c>
      <c r="LV100" s="49">
        <v>2</v>
      </c>
      <c r="LW100" s="8"/>
      <c r="LX100" s="42">
        <f t="shared" ref="LX100:LX107" si="664">IF(OR($G100="",LV100=""),"",IF(AND($E100=LT100,$G100=LV100),$H100*1.5,IF(AND($I100&gt;0,LY100&gt;0),$H100,IF(AND($I100&lt;0,LY100&lt;0),$H100,IF(AND($I100=0,LY100=0),$H100,0)))))</f>
        <v>7.2</v>
      </c>
      <c r="LY100" s="43">
        <f t="shared" ref="LY100:LY105" si="665">LT100-LV100</f>
        <v>-1</v>
      </c>
      <c r="LZ100" s="8"/>
      <c r="MA100" s="47">
        <v>0</v>
      </c>
      <c r="MB100" s="48" t="s">
        <v>4</v>
      </c>
      <c r="MC100" s="49">
        <v>2</v>
      </c>
      <c r="MD100" s="8"/>
      <c r="ME100" s="42">
        <f t="shared" ref="ME100:ME107" si="666">IF(OR($G100="",MC100=""),"",IF(AND($E100=MA100,$G100=MC100),$H100*1.5,IF(AND($I100&gt;0,MF100&gt;0),$H100,IF(AND($I100&lt;0,MF100&lt;0),$H100,IF(AND($I100=0,MF100=0),$H100,0)))))</f>
        <v>7.2</v>
      </c>
      <c r="MF100" s="43">
        <f t="shared" ref="MF100:MF105" si="667">MA100-MC100</f>
        <v>-2</v>
      </c>
      <c r="MG100" s="8"/>
      <c r="MH100" s="47">
        <v>0</v>
      </c>
      <c r="MI100" s="48" t="s">
        <v>4</v>
      </c>
      <c r="MJ100" s="49">
        <v>2</v>
      </c>
      <c r="MK100" s="8"/>
      <c r="ML100" s="42">
        <f t="shared" ref="ML100:ML107" si="668">IF(OR($G100="",MJ100=""),"",IF(AND($E100=MH100,$G100=MJ100),$H100*1.5,IF(AND($I100&gt;0,MM100&gt;0),$H100,IF(AND($I100&lt;0,MM100&lt;0),$H100,IF(AND($I100=0,MM100=0),$H100,0)))))</f>
        <v>7.2</v>
      </c>
      <c r="MM100" s="43">
        <f t="shared" ref="MM100:MM105" si="669">MH100-MJ100</f>
        <v>-2</v>
      </c>
      <c r="MN100" s="8"/>
      <c r="MO100" s="47">
        <v>0</v>
      </c>
      <c r="MP100" s="48" t="s">
        <v>4</v>
      </c>
      <c r="MQ100" s="49">
        <v>2</v>
      </c>
      <c r="MR100" s="8"/>
      <c r="MS100" s="42">
        <f t="shared" ref="MS100:MS107" si="670">IF(OR($G100="",MQ100=""),"",IF(AND($E100=MO100,$G100=MQ100),$H100*1.5,IF(AND($I100&gt;0,MT100&gt;0),$H100,IF(AND($I100&lt;0,MT100&lt;0),$H100,IF(AND($I100=0,MT100=0),$H100,0)))))</f>
        <v>7.2</v>
      </c>
      <c r="MT100" s="43">
        <f t="shared" ref="MT100:MT105" si="671">MO100-MQ100</f>
        <v>-2</v>
      </c>
      <c r="MU100" s="8"/>
      <c r="MV100" s="47">
        <v>2</v>
      </c>
      <c r="MW100" s="48" t="s">
        <v>4</v>
      </c>
      <c r="MX100" s="49">
        <v>3</v>
      </c>
      <c r="MY100" s="8"/>
      <c r="MZ100" s="42">
        <f t="shared" ref="MZ100:MZ107" si="672">IF(OR($G100="",MX100=""),"",IF(AND($E100=MV100,$G100=MX100),$H100*1.5,IF(AND($I100&gt;0,NA100&gt;0),$H100,IF(AND($I100&lt;0,NA100&lt;0),$H100,IF(AND($I100=0,NA100=0),$H100,0)))))</f>
        <v>7.2</v>
      </c>
      <c r="NA100" s="43">
        <f t="shared" ref="NA100:NA105" si="673">MV100-MX100</f>
        <v>-1</v>
      </c>
      <c r="NB100" s="8"/>
      <c r="NC100" s="47">
        <v>1</v>
      </c>
      <c r="ND100" s="48" t="s">
        <v>4</v>
      </c>
      <c r="NE100" s="49">
        <v>2</v>
      </c>
      <c r="NF100" s="8"/>
      <c r="NG100" s="42">
        <f t="shared" ref="NG100:NG107" si="674">IF(OR($G100="",NE100=""),"",IF(AND($E100=NC100,$G100=NE100),$H100*1.5,IF(AND($I100&gt;0,NH100&gt;0),$H100,IF(AND($I100&lt;0,NH100&lt;0),$H100,IF(AND($I100=0,NH100=0),$H100,0)))))</f>
        <v>7.2</v>
      </c>
      <c r="NH100" s="43">
        <f t="shared" ref="NH100:NH105" si="675">NC100-NE100</f>
        <v>-1</v>
      </c>
      <c r="NI100" s="8"/>
      <c r="NJ100" s="47">
        <v>3</v>
      </c>
      <c r="NK100" s="48" t="s">
        <v>4</v>
      </c>
      <c r="NL100" s="49">
        <v>5</v>
      </c>
      <c r="NM100" s="8"/>
      <c r="NN100" s="42">
        <f t="shared" ref="NN100:NN107" si="676">IF(OR($G100="",NL100=""),"",IF(AND($E100=NJ100,$G100=NL100),$H100*1.5,IF(AND($I100&gt;0,NO100&gt;0),$H100,IF(AND($I100&lt;0,NO100&lt;0),$H100,IF(AND($I100=0,NO100=0),$H100,0)))))</f>
        <v>7.2</v>
      </c>
      <c r="NO100" s="43">
        <f t="shared" ref="NO100:NO105" si="677">NJ100-NL100</f>
        <v>-2</v>
      </c>
      <c r="NP100" s="8"/>
      <c r="NQ100" s="47">
        <v>4</v>
      </c>
      <c r="NR100" s="48" t="s">
        <v>4</v>
      </c>
      <c r="NS100" s="49">
        <v>3</v>
      </c>
      <c r="NT100" s="8"/>
      <c r="NU100" s="42">
        <f t="shared" ref="NU100:NU107" si="678">IF(OR($G100="",NS100=""),"",IF(AND($E100=NQ100,$G100=NS100),$H100*1.5,IF(AND($I100&gt;0,NV100&gt;0),$H100,IF(AND($I100&lt;0,NV100&lt;0),$H100,IF(AND($I100=0,NV100=0),$H100,0)))))</f>
        <v>0</v>
      </c>
      <c r="NV100" s="43">
        <f t="shared" ref="NV100:NV105" si="679">NQ100-NS100</f>
        <v>1</v>
      </c>
      <c r="NW100" s="8"/>
      <c r="NX100" s="47">
        <v>1</v>
      </c>
      <c r="NY100" s="48" t="s">
        <v>4</v>
      </c>
      <c r="NZ100" s="49">
        <v>2</v>
      </c>
      <c r="OA100" s="8"/>
      <c r="OB100" s="42">
        <f t="shared" ref="OB100:OB107" si="680">IF(OR($G100="",NZ100=""),"",IF(AND($E100=NX100,$G100=NZ100),$H100*1.5,IF(AND($I100&gt;0,OC100&gt;0),$H100,IF(AND($I100&lt;0,OC100&lt;0),$H100,IF(AND($I100=0,OC100=0),$H100,0)))))</f>
        <v>7.2</v>
      </c>
      <c r="OC100" s="43">
        <f t="shared" ref="OC100:OC105" si="681">NX100-NZ100</f>
        <v>-1</v>
      </c>
      <c r="OD100" s="8"/>
      <c r="OE100" s="47">
        <v>2</v>
      </c>
      <c r="OF100" s="48" t="s">
        <v>4</v>
      </c>
      <c r="OG100" s="49">
        <v>1</v>
      </c>
      <c r="OH100" s="8"/>
      <c r="OI100" s="42">
        <f t="shared" ref="OI100:OI107" si="682">IF(OR($G100="",OG100=""),"",IF(AND($E100=OE100,$G100=OG100),$H100*1.5,IF(AND($I100&gt;0,OJ100&gt;0),$H100,IF(AND($I100&lt;0,OJ100&lt;0),$H100,IF(AND($I100=0,OJ100=0),$H100,0)))))</f>
        <v>0</v>
      </c>
      <c r="OJ100" s="43">
        <f t="shared" ref="OJ100:OJ105" si="683">OE100-OG100</f>
        <v>1</v>
      </c>
      <c r="OK100" s="8"/>
      <c r="OL100" s="47">
        <v>1</v>
      </c>
      <c r="OM100" s="48" t="s">
        <v>4</v>
      </c>
      <c r="ON100" s="49">
        <v>2</v>
      </c>
      <c r="OO100" s="8"/>
      <c r="OP100" s="42">
        <f t="shared" ref="OP100:OP107" si="684">IF(OR($G100="",ON100=""),"",IF(AND($E100=OL100,$G100=ON100),$H100*1.5,IF(AND($I100&gt;0,OQ100&gt;0),$H100,IF(AND($I100&lt;0,OQ100&lt;0),$H100,IF(AND($I100=0,OQ100=0),$H100,0)))))</f>
        <v>7.2</v>
      </c>
      <c r="OQ100" s="43">
        <f t="shared" ref="OQ100:OQ105" si="685">OL100-ON100</f>
        <v>-1</v>
      </c>
      <c r="OR100" s="8"/>
      <c r="OS100" s="47">
        <v>1</v>
      </c>
      <c r="OT100" s="48" t="s">
        <v>4</v>
      </c>
      <c r="OU100" s="49">
        <v>2</v>
      </c>
      <c r="OV100" s="8"/>
      <c r="OW100" s="42">
        <f t="shared" ref="OW100:OW107" si="686">IF(OR($G100="",OU100=""),"",IF(AND($E100=OS100,$G100=OU100),$H100*1.5,IF(AND($I100&gt;0,OX100&gt;0),$H100,IF(AND($I100&lt;0,OX100&lt;0),$H100,IF(AND($I100=0,OX100=0),$H100,0)))))</f>
        <v>7.2</v>
      </c>
      <c r="OX100" s="43">
        <f t="shared" ref="OX100:OX105" si="687">OS100-OU100</f>
        <v>-1</v>
      </c>
      <c r="OY100" s="8"/>
      <c r="OZ100" s="47">
        <v>1</v>
      </c>
      <c r="PA100" s="48" t="s">
        <v>4</v>
      </c>
      <c r="PB100" s="49">
        <v>3</v>
      </c>
      <c r="PC100" s="8"/>
      <c r="PD100" s="42">
        <f t="shared" ref="PD100:PD107" si="688">IF(OR($G100="",PB100=""),"",IF(AND($E100=OZ100,$G100=PB100),$H100*1.5,IF(AND($I100&gt;0,PE100&gt;0),$H100,IF(AND($I100&lt;0,PE100&lt;0),$H100,IF(AND($I100=0,PE100=0),$H100,0)))))</f>
        <v>7.2</v>
      </c>
      <c r="PE100" s="43">
        <f t="shared" ref="PE100:PE105" si="689">OZ100-PB100</f>
        <v>-2</v>
      </c>
      <c r="PF100" s="8"/>
      <c r="PG100" s="47">
        <v>2</v>
      </c>
      <c r="PH100" s="48" t="s">
        <v>4</v>
      </c>
      <c r="PI100" s="49">
        <v>1</v>
      </c>
      <c r="PJ100" s="8"/>
      <c r="PK100" s="42">
        <f t="shared" ref="PK100:PK107" si="690">IF(OR($G100="",PI100=""),"",IF(AND($E100=PG100,$G100=PI100),$H100*1.5,IF(AND($I100&gt;0,PL100&gt;0),$H100,IF(AND($I100&lt;0,PL100&lt;0),$H100,IF(AND($I100=0,PL100=0),$H100,0)))))</f>
        <v>0</v>
      </c>
      <c r="PL100" s="43">
        <f t="shared" ref="PL100:PL105" si="691">PG100-PI100</f>
        <v>1</v>
      </c>
      <c r="PM100" s="8"/>
      <c r="PN100" s="47">
        <v>2</v>
      </c>
      <c r="PO100" s="48" t="s">
        <v>4</v>
      </c>
      <c r="PP100" s="49">
        <v>1</v>
      </c>
      <c r="PQ100" s="8"/>
      <c r="PR100" s="42">
        <f t="shared" ref="PR100:PR107" si="692">IF(OR($G100="",PP100=""),"",IF(AND($E100=PN100,$G100=PP100),$H100*1.5,IF(AND($I100&gt;0,PS100&gt;0),$H100,IF(AND($I100&lt;0,PS100&lt;0),$H100,IF(AND($I100=0,PS100=0),$H100,0)))))</f>
        <v>0</v>
      </c>
      <c r="PS100" s="43">
        <f t="shared" ref="PS100:PS105" si="693">PN100-PP100</f>
        <v>1</v>
      </c>
      <c r="PT100" s="8"/>
      <c r="PU100" s="47">
        <v>0</v>
      </c>
      <c r="PV100" s="48" t="s">
        <v>4</v>
      </c>
      <c r="PW100" s="49">
        <v>2</v>
      </c>
      <c r="PX100" s="8"/>
      <c r="PY100" s="42">
        <f t="shared" ref="PY100:PY107" si="694">IF(OR($G100="",PW100=""),"",IF(AND($E100=PU100,$G100=PW100),$H100*1.5,IF(AND($I100&gt;0,PZ100&gt;0),$H100,IF(AND($I100&lt;0,PZ100&lt;0),$H100,IF(AND($I100=0,PZ100=0),$H100,0)))))</f>
        <v>7.2</v>
      </c>
      <c r="PZ100" s="43">
        <f t="shared" ref="PZ100:PZ105" si="695">PU100-PW100</f>
        <v>-2</v>
      </c>
      <c r="QA100" s="8"/>
      <c r="QB100" s="47">
        <v>2</v>
      </c>
      <c r="QC100" s="48" t="s">
        <v>4</v>
      </c>
      <c r="QD100" s="49">
        <v>3</v>
      </c>
      <c r="QE100" s="8"/>
      <c r="QF100" s="42">
        <f t="shared" ref="QF100:QF107" si="696">IF(OR($G100="",QD100=""),"",IF(AND($E100=QB100,$G100=QD100),$H100*1.5,IF(AND($I100&gt;0,QG100&gt;0),$H100,IF(AND($I100&lt;0,QG100&lt;0),$H100,IF(AND($I100=0,QG100=0),$H100,0)))))</f>
        <v>7.2</v>
      </c>
      <c r="QG100" s="43">
        <f t="shared" ref="QG100:QG105" si="697">QB100-QD100</f>
        <v>-1</v>
      </c>
      <c r="QH100" s="8"/>
      <c r="QI100" s="47">
        <v>0</v>
      </c>
      <c r="QJ100" s="48" t="s">
        <v>4</v>
      </c>
      <c r="QK100" s="49">
        <v>2</v>
      </c>
      <c r="QL100" s="8"/>
      <c r="QM100" s="42">
        <f t="shared" ref="QM100:QM107" si="698">IF(OR($G100="",QK100=""),"",IF(AND($E100=QI100,$G100=QK100),$H100*1.5,IF(AND($I100&gt;0,QN100&gt;0),$H100,IF(AND($I100&lt;0,QN100&lt;0),$H100,IF(AND($I100=0,QN100=0),$H100,0)))))</f>
        <v>7.2</v>
      </c>
      <c r="QN100" s="43">
        <f t="shared" ref="QN100:QN105" si="699">QI100-QK100</f>
        <v>-2</v>
      </c>
      <c r="QO100" s="8"/>
      <c r="QP100" s="47">
        <v>1</v>
      </c>
      <c r="QQ100" s="48" t="s">
        <v>4</v>
      </c>
      <c r="QR100" s="49">
        <v>2</v>
      </c>
      <c r="QS100" s="8"/>
      <c r="QT100" s="42">
        <f t="shared" ref="QT100:QT107" si="700">IF(OR($G100="",QR100=""),"",IF(AND($E100=QP100,$G100=QR100),$H100*1.5,IF(AND($I100&gt;0,QU100&gt;0),$H100,IF(AND($I100&lt;0,QU100&lt;0),$H100,IF(AND($I100=0,QU100=0),$H100,0)))))</f>
        <v>7.2</v>
      </c>
      <c r="QU100" s="43">
        <f t="shared" ref="QU100:QU105" si="701">QP100-QR100</f>
        <v>-1</v>
      </c>
      <c r="QV100" s="8"/>
      <c r="QW100" s="47">
        <v>0</v>
      </c>
      <c r="QX100" s="48" t="s">
        <v>4</v>
      </c>
      <c r="QY100" s="49">
        <v>1</v>
      </c>
      <c r="QZ100" s="8"/>
      <c r="RA100" s="42">
        <f t="shared" ref="RA100:RA107" si="702">IF(OR($G100="",QY100=""),"",IF(AND($E100=QW100,$G100=QY100),$H100*1.5,IF(AND($I100&gt;0,RB100&gt;0),$H100,IF(AND($I100&lt;0,RB100&lt;0),$H100,IF(AND($I100=0,RB100=0),$H100,0)))))</f>
        <v>7.2</v>
      </c>
      <c r="RB100" s="43">
        <f t="shared" ref="RB100:RB105" si="703">QW100-QY100</f>
        <v>-1</v>
      </c>
      <c r="RC100" s="8"/>
      <c r="RD100" s="47"/>
      <c r="RE100" s="48" t="s">
        <v>4</v>
      </c>
      <c r="RF100" s="49"/>
      <c r="RG100" s="8"/>
      <c r="RH100" s="42" t="str">
        <f t="shared" ref="RH100:RH107" si="704">IF(OR($G100="",RF100=""),"",IF(AND($E100=RD100,$G100=RF100),$H100*1.5,IF(AND($I100&gt;0,RI100&gt;0),$H100,IF(AND($I100&lt;0,RI100&lt;0),$H100,IF(AND($I100=0,RI100=0),$H100,0)))))</f>
        <v/>
      </c>
      <c r="RI100" s="43">
        <f t="shared" ref="RI100:RI105" si="705">RD100-RF100</f>
        <v>0</v>
      </c>
      <c r="RJ100" s="8"/>
      <c r="RK100" s="47"/>
      <c r="RL100" s="48" t="s">
        <v>4</v>
      </c>
      <c r="RM100" s="49"/>
      <c r="RN100" s="8"/>
      <c r="RO100" s="42" t="str">
        <f t="shared" ref="RO100:RO107" si="706">IF(OR($G100="",RM100=""),"",IF(AND($E100=RK100,$G100=RM100),$H100*1.5,IF(AND($I100&gt;0,RP100&gt;0),$H100,IF(AND($I100&lt;0,RP100&lt;0),$H100,IF(AND($I100=0,RP100=0),$H100,0)))))</f>
        <v/>
      </c>
      <c r="RP100" s="43">
        <f t="shared" ref="RP100:RP105" si="707">RK100-RM100</f>
        <v>0</v>
      </c>
      <c r="RQ100" s="8"/>
      <c r="RR100" s="47"/>
      <c r="RS100" s="48" t="s">
        <v>4</v>
      </c>
      <c r="RT100" s="49"/>
      <c r="RU100" s="8"/>
      <c r="RV100" s="42" t="str">
        <f t="shared" ref="RV100:RV107" si="708">IF(OR($G100="",RT100=""),"",IF(AND($E100=RR100,$G100=RT100),$H100*1.5,IF(AND($I100&gt;0,RW100&gt;0),$H100,IF(AND($I100&lt;0,RW100&lt;0),$H100,IF(AND($I100=0,RW100=0),$H100,0)))))</f>
        <v/>
      </c>
      <c r="RW100" s="43">
        <f t="shared" ref="RW100:RW105" si="709">RR100-RT100</f>
        <v>0</v>
      </c>
      <c r="RX100" s="8"/>
      <c r="RY100" s="47"/>
      <c r="RZ100" s="48" t="s">
        <v>4</v>
      </c>
      <c r="SA100" s="49"/>
      <c r="SB100" s="8"/>
      <c r="SC100" s="42" t="str">
        <f t="shared" ref="SC100:SC107" si="710">IF(OR($G100="",SA100=""),"",IF(AND($E100=RY100,$G100=SA100),$H100*1.5,IF(AND($I100&gt;0,SD100&gt;0),$H100,IF(AND($I100&lt;0,SD100&lt;0),$H100,IF(AND($I100=0,SD100=0),$H100,0)))))</f>
        <v/>
      </c>
      <c r="SD100" s="43">
        <f t="shared" ref="SD100:SD105" si="711">RY100-SA100</f>
        <v>0</v>
      </c>
      <c r="SE100" s="8"/>
      <c r="SF100" s="47"/>
      <c r="SG100" s="48" t="s">
        <v>4</v>
      </c>
      <c r="SH100" s="49"/>
      <c r="SI100" s="8"/>
      <c r="SJ100" s="42" t="str">
        <f t="shared" ref="SJ100:SJ107" si="712">IF(OR($G100="",SH100=""),"",IF(AND($E100=SF100,$G100=SH100),$H100*1.5,IF(AND($I100&gt;0,SK100&gt;0),$H100,IF(AND($I100&lt;0,SK100&lt;0),$H100,IF(AND($I100=0,SK100=0),$H100,0)))))</f>
        <v/>
      </c>
      <c r="SK100" s="43">
        <f t="shared" ref="SK100:SK105" si="713">SF100-SH100</f>
        <v>0</v>
      </c>
      <c r="SL100" s="8"/>
      <c r="SM100" s="47"/>
      <c r="SN100" s="48" t="s">
        <v>4</v>
      </c>
      <c r="SO100" s="49"/>
      <c r="SP100" s="8"/>
      <c r="SQ100" s="42" t="str">
        <f t="shared" ref="SQ100:SQ107" si="714">IF(OR($G100="",SO100=""),"",IF(AND($E100=SM100,$G100=SO100),$H100*1.5,IF(AND($I100&gt;0,SR100&gt;0),$H100,IF(AND($I100&lt;0,SR100&lt;0),$H100,IF(AND($I100=0,SR100=0),$H100,0)))))</f>
        <v/>
      </c>
      <c r="SR100" s="43">
        <f t="shared" ref="SR100:SR105" si="715">SM100-SO100</f>
        <v>0</v>
      </c>
    </row>
    <row r="101" spans="1:512" ht="16" customHeight="1" x14ac:dyDescent="0.15">
      <c r="A101" s="51">
        <v>46207</v>
      </c>
      <c r="B101" s="46">
        <v>0.95833333333333337</v>
      </c>
      <c r="C101" s="82" t="s">
        <v>33</v>
      </c>
      <c r="D101" s="83" t="s">
        <v>10</v>
      </c>
      <c r="E101" s="2"/>
      <c r="F101" s="50" t="s">
        <v>4</v>
      </c>
      <c r="G101" s="1"/>
      <c r="H101" s="16">
        <v>7.2</v>
      </c>
      <c r="I101" s="32">
        <f t="shared" si="429"/>
        <v>0</v>
      </c>
      <c r="J101" s="47"/>
      <c r="K101" s="48" t="s">
        <v>4</v>
      </c>
      <c r="L101" s="49"/>
      <c r="M101" s="8"/>
      <c r="N101" s="42" t="str">
        <f t="shared" si="430"/>
        <v/>
      </c>
      <c r="O101" s="43">
        <f t="shared" si="431"/>
        <v>0</v>
      </c>
      <c r="Q101" s="47"/>
      <c r="R101" s="48" t="s">
        <v>4</v>
      </c>
      <c r="S101" s="49"/>
      <c r="T101" s="8"/>
      <c r="U101" s="42" t="str">
        <f t="shared" si="574"/>
        <v/>
      </c>
      <c r="V101" s="43">
        <f t="shared" si="575"/>
        <v>0</v>
      </c>
      <c r="W101" s="8"/>
      <c r="X101" s="47"/>
      <c r="Y101" s="48" t="s">
        <v>4</v>
      </c>
      <c r="Z101" s="49"/>
      <c r="AA101" s="8"/>
      <c r="AB101" s="42" t="str">
        <f t="shared" si="576"/>
        <v/>
      </c>
      <c r="AC101" s="43">
        <f t="shared" si="577"/>
        <v>0</v>
      </c>
      <c r="AD101" s="8"/>
      <c r="AE101" s="47">
        <v>0</v>
      </c>
      <c r="AF101" s="48" t="s">
        <v>4</v>
      </c>
      <c r="AG101" s="49">
        <v>2</v>
      </c>
      <c r="AH101" s="8"/>
      <c r="AI101" s="42" t="str">
        <f t="shared" si="578"/>
        <v/>
      </c>
      <c r="AJ101" s="43">
        <f t="shared" si="579"/>
        <v>-2</v>
      </c>
      <c r="AK101" s="8"/>
      <c r="AL101" s="47">
        <v>1</v>
      </c>
      <c r="AM101" s="48" t="s">
        <v>4</v>
      </c>
      <c r="AN101" s="49">
        <v>3</v>
      </c>
      <c r="AO101" s="8"/>
      <c r="AP101" s="42" t="str">
        <f t="shared" si="580"/>
        <v/>
      </c>
      <c r="AQ101" s="43">
        <f t="shared" si="581"/>
        <v>-2</v>
      </c>
      <c r="AR101" s="8"/>
      <c r="AS101" s="47">
        <v>2</v>
      </c>
      <c r="AT101" s="48" t="s">
        <v>4</v>
      </c>
      <c r="AU101" s="49">
        <v>4</v>
      </c>
      <c r="AV101" s="8"/>
      <c r="AW101" s="42" t="str">
        <f t="shared" si="582"/>
        <v/>
      </c>
      <c r="AX101" s="43">
        <f t="shared" si="583"/>
        <v>-2</v>
      </c>
      <c r="AY101" s="8"/>
      <c r="AZ101" s="47">
        <v>0</v>
      </c>
      <c r="BA101" s="48" t="s">
        <v>4</v>
      </c>
      <c r="BB101" s="49">
        <v>3</v>
      </c>
      <c r="BC101" s="8"/>
      <c r="BD101" s="42" t="str">
        <f t="shared" si="584"/>
        <v/>
      </c>
      <c r="BE101" s="43">
        <f t="shared" si="585"/>
        <v>-3</v>
      </c>
      <c r="BF101" s="8"/>
      <c r="BG101" s="47">
        <v>0</v>
      </c>
      <c r="BH101" s="48" t="s">
        <v>4</v>
      </c>
      <c r="BI101" s="49">
        <v>3</v>
      </c>
      <c r="BJ101" s="8"/>
      <c r="BK101" s="42" t="str">
        <f t="shared" si="586"/>
        <v/>
      </c>
      <c r="BL101" s="43">
        <f t="shared" si="587"/>
        <v>-3</v>
      </c>
      <c r="BM101" s="8"/>
      <c r="BN101" s="47">
        <v>0</v>
      </c>
      <c r="BO101" s="48" t="s">
        <v>4</v>
      </c>
      <c r="BP101" s="49">
        <v>3</v>
      </c>
      <c r="BQ101" s="8"/>
      <c r="BR101" s="42" t="str">
        <f t="shared" si="588"/>
        <v/>
      </c>
      <c r="BS101" s="43">
        <f t="shared" si="589"/>
        <v>-3</v>
      </c>
      <c r="BT101" s="8"/>
      <c r="BU101" s="47">
        <v>0</v>
      </c>
      <c r="BV101" s="48" t="s">
        <v>4</v>
      </c>
      <c r="BW101" s="49">
        <v>3</v>
      </c>
      <c r="BX101" s="8"/>
      <c r="BY101" s="42" t="str">
        <f t="shared" si="590"/>
        <v/>
      </c>
      <c r="BZ101" s="43">
        <f t="shared" si="591"/>
        <v>-3</v>
      </c>
      <c r="CA101" s="8"/>
      <c r="CB101" s="47">
        <v>2</v>
      </c>
      <c r="CC101" s="48" t="s">
        <v>4</v>
      </c>
      <c r="CD101" s="49">
        <v>3</v>
      </c>
      <c r="CE101" s="8"/>
      <c r="CF101" s="42" t="str">
        <f t="shared" si="592"/>
        <v/>
      </c>
      <c r="CG101" s="43">
        <f t="shared" si="593"/>
        <v>-1</v>
      </c>
      <c r="CH101" s="8"/>
      <c r="CI101" s="47">
        <v>0</v>
      </c>
      <c r="CJ101" s="48" t="s">
        <v>4</v>
      </c>
      <c r="CK101" s="49">
        <v>3</v>
      </c>
      <c r="CL101" s="8"/>
      <c r="CM101" s="42" t="str">
        <f t="shared" si="594"/>
        <v/>
      </c>
      <c r="CN101" s="43">
        <f t="shared" si="595"/>
        <v>-3</v>
      </c>
      <c r="CO101" s="8"/>
      <c r="CP101" s="47">
        <v>0</v>
      </c>
      <c r="CQ101" s="48" t="s">
        <v>4</v>
      </c>
      <c r="CR101" s="49">
        <v>3</v>
      </c>
      <c r="CS101" s="8"/>
      <c r="CT101" s="42" t="str">
        <f t="shared" si="596"/>
        <v/>
      </c>
      <c r="CU101" s="43">
        <f t="shared" si="597"/>
        <v>-3</v>
      </c>
      <c r="CV101" s="8"/>
      <c r="CW101" s="47">
        <v>0</v>
      </c>
      <c r="CX101" s="48" t="s">
        <v>4</v>
      </c>
      <c r="CY101" s="49">
        <v>3</v>
      </c>
      <c r="CZ101" s="8"/>
      <c r="DA101" s="42" t="str">
        <f t="shared" si="598"/>
        <v/>
      </c>
      <c r="DB101" s="43">
        <f t="shared" si="599"/>
        <v>-3</v>
      </c>
      <c r="DC101" s="8"/>
      <c r="DD101" s="47">
        <v>0</v>
      </c>
      <c r="DE101" s="48" t="s">
        <v>4</v>
      </c>
      <c r="DF101" s="49">
        <v>4</v>
      </c>
      <c r="DG101" s="8"/>
      <c r="DH101" s="42" t="str">
        <f t="shared" si="600"/>
        <v/>
      </c>
      <c r="DI101" s="43">
        <f t="shared" si="601"/>
        <v>-4</v>
      </c>
      <c r="DJ101" s="8"/>
      <c r="DK101" s="47">
        <v>0</v>
      </c>
      <c r="DL101" s="48" t="s">
        <v>4</v>
      </c>
      <c r="DM101" s="49">
        <v>2</v>
      </c>
      <c r="DN101" s="8"/>
      <c r="DO101" s="42" t="str">
        <f t="shared" si="602"/>
        <v/>
      </c>
      <c r="DP101" s="43">
        <f t="shared" si="603"/>
        <v>-2</v>
      </c>
      <c r="DQ101" s="8"/>
      <c r="DR101" s="47">
        <v>0</v>
      </c>
      <c r="DS101" s="48" t="s">
        <v>4</v>
      </c>
      <c r="DT101" s="49">
        <v>3</v>
      </c>
      <c r="DU101" s="8"/>
      <c r="DV101" s="42" t="str">
        <f t="shared" si="604"/>
        <v/>
      </c>
      <c r="DW101" s="43">
        <f t="shared" si="605"/>
        <v>-3</v>
      </c>
      <c r="DX101" s="8"/>
      <c r="DY101" s="47">
        <v>1</v>
      </c>
      <c r="DZ101" s="48" t="s">
        <v>4</v>
      </c>
      <c r="EA101" s="49">
        <v>3</v>
      </c>
      <c r="EB101" s="8"/>
      <c r="EC101" s="42" t="str">
        <f t="shared" si="606"/>
        <v/>
      </c>
      <c r="ED101" s="43">
        <f t="shared" si="607"/>
        <v>-2</v>
      </c>
      <c r="EE101" s="8"/>
      <c r="EF101" s="47">
        <v>0</v>
      </c>
      <c r="EG101" s="48" t="s">
        <v>4</v>
      </c>
      <c r="EH101" s="49">
        <v>2</v>
      </c>
      <c r="EI101" s="8"/>
      <c r="EJ101" s="42" t="str">
        <f t="shared" si="608"/>
        <v/>
      </c>
      <c r="EK101" s="43">
        <f t="shared" si="609"/>
        <v>-2</v>
      </c>
      <c r="EL101" s="8"/>
      <c r="EM101" s="47">
        <v>0</v>
      </c>
      <c r="EN101" s="48" t="s">
        <v>4</v>
      </c>
      <c r="EO101" s="49">
        <v>4</v>
      </c>
      <c r="EP101" s="8"/>
      <c r="EQ101" s="42" t="str">
        <f t="shared" si="610"/>
        <v/>
      </c>
      <c r="ER101" s="43">
        <f t="shared" si="611"/>
        <v>-4</v>
      </c>
      <c r="ES101" s="8"/>
      <c r="ET101" s="47">
        <v>0</v>
      </c>
      <c r="EU101" s="48" t="s">
        <v>4</v>
      </c>
      <c r="EV101" s="49">
        <v>3</v>
      </c>
      <c r="EW101" s="8"/>
      <c r="EX101" s="42" t="str">
        <f t="shared" si="612"/>
        <v/>
      </c>
      <c r="EY101" s="43">
        <f t="shared" si="613"/>
        <v>-3</v>
      </c>
      <c r="EZ101" s="8"/>
      <c r="FA101" s="47">
        <v>1</v>
      </c>
      <c r="FB101" s="48" t="s">
        <v>4</v>
      </c>
      <c r="FC101" s="49">
        <v>4</v>
      </c>
      <c r="FD101" s="8"/>
      <c r="FE101" s="42" t="str">
        <f t="shared" si="614"/>
        <v/>
      </c>
      <c r="FF101" s="43">
        <f t="shared" si="615"/>
        <v>-3</v>
      </c>
      <c r="FG101" s="8"/>
      <c r="FH101" s="47">
        <v>0</v>
      </c>
      <c r="FI101" s="48" t="s">
        <v>4</v>
      </c>
      <c r="FJ101" s="49">
        <v>4</v>
      </c>
      <c r="FK101" s="8"/>
      <c r="FL101" s="42" t="str">
        <f t="shared" si="616"/>
        <v/>
      </c>
      <c r="FM101" s="43">
        <f t="shared" si="617"/>
        <v>-4</v>
      </c>
      <c r="FN101" s="8"/>
      <c r="FO101" s="47">
        <v>0</v>
      </c>
      <c r="FP101" s="48" t="s">
        <v>4</v>
      </c>
      <c r="FQ101" s="49">
        <v>4</v>
      </c>
      <c r="FR101" s="8"/>
      <c r="FS101" s="42" t="str">
        <f t="shared" si="618"/>
        <v/>
      </c>
      <c r="FT101" s="43">
        <f t="shared" si="619"/>
        <v>-4</v>
      </c>
      <c r="FU101" s="8"/>
      <c r="FV101" s="47">
        <v>0</v>
      </c>
      <c r="FW101" s="48" t="s">
        <v>4</v>
      </c>
      <c r="FX101" s="49">
        <v>2</v>
      </c>
      <c r="FY101" s="8"/>
      <c r="FZ101" s="42" t="str">
        <f t="shared" si="620"/>
        <v/>
      </c>
      <c r="GA101" s="43">
        <f t="shared" si="621"/>
        <v>-2</v>
      </c>
      <c r="GB101" s="8"/>
      <c r="GC101" s="47">
        <v>0</v>
      </c>
      <c r="GD101" s="48" t="s">
        <v>4</v>
      </c>
      <c r="GE101" s="49">
        <v>3</v>
      </c>
      <c r="GF101" s="8"/>
      <c r="GG101" s="42" t="str">
        <f t="shared" si="622"/>
        <v/>
      </c>
      <c r="GH101" s="43">
        <f t="shared" si="623"/>
        <v>-3</v>
      </c>
      <c r="GI101" s="8"/>
      <c r="GJ101" s="47">
        <v>1</v>
      </c>
      <c r="GK101" s="48" t="s">
        <v>4</v>
      </c>
      <c r="GL101" s="49">
        <v>3</v>
      </c>
      <c r="GM101" s="8"/>
      <c r="GN101" s="42" t="str">
        <f t="shared" si="624"/>
        <v/>
      </c>
      <c r="GO101" s="43">
        <f t="shared" si="625"/>
        <v>-2</v>
      </c>
      <c r="GP101" s="8"/>
      <c r="GQ101" s="47">
        <v>0</v>
      </c>
      <c r="GR101" s="48" t="s">
        <v>4</v>
      </c>
      <c r="GS101" s="49">
        <v>2</v>
      </c>
      <c r="GT101" s="8"/>
      <c r="GU101" s="42" t="str">
        <f t="shared" si="626"/>
        <v/>
      </c>
      <c r="GV101" s="43">
        <f t="shared" si="627"/>
        <v>-2</v>
      </c>
      <c r="GW101" s="8"/>
      <c r="GX101" s="47">
        <v>0</v>
      </c>
      <c r="GY101" s="48" t="s">
        <v>4</v>
      </c>
      <c r="GZ101" s="49">
        <v>4</v>
      </c>
      <c r="HA101" s="8"/>
      <c r="HB101" s="42" t="str">
        <f t="shared" si="628"/>
        <v/>
      </c>
      <c r="HC101" s="43">
        <f t="shared" si="629"/>
        <v>-4</v>
      </c>
      <c r="HD101" s="8"/>
      <c r="HE101" s="47">
        <v>0</v>
      </c>
      <c r="HF101" s="48" t="s">
        <v>4</v>
      </c>
      <c r="HG101" s="49">
        <v>3</v>
      </c>
      <c r="HH101" s="8"/>
      <c r="HI101" s="42" t="str">
        <f t="shared" si="630"/>
        <v/>
      </c>
      <c r="HJ101" s="43">
        <f t="shared" si="631"/>
        <v>-3</v>
      </c>
      <c r="HK101" s="8"/>
      <c r="HL101" s="47">
        <v>0</v>
      </c>
      <c r="HM101" s="48" t="s">
        <v>4</v>
      </c>
      <c r="HN101" s="49">
        <v>3</v>
      </c>
      <c r="HO101" s="8"/>
      <c r="HP101" s="42" t="str">
        <f t="shared" si="632"/>
        <v/>
      </c>
      <c r="HQ101" s="43">
        <f t="shared" si="633"/>
        <v>-3</v>
      </c>
      <c r="HR101" s="8"/>
      <c r="HS101" s="47">
        <v>0</v>
      </c>
      <c r="HT101" s="48" t="s">
        <v>4</v>
      </c>
      <c r="HU101" s="49">
        <v>3</v>
      </c>
      <c r="HV101" s="8"/>
      <c r="HW101" s="42" t="str">
        <f t="shared" si="634"/>
        <v/>
      </c>
      <c r="HX101" s="43">
        <f t="shared" si="635"/>
        <v>-3</v>
      </c>
      <c r="HY101" s="8"/>
      <c r="HZ101" s="47">
        <v>0</v>
      </c>
      <c r="IA101" s="48" t="s">
        <v>4</v>
      </c>
      <c r="IB101" s="49">
        <v>3</v>
      </c>
      <c r="IC101" s="8"/>
      <c r="ID101" s="42" t="str">
        <f t="shared" si="636"/>
        <v/>
      </c>
      <c r="IE101" s="43">
        <f t="shared" si="637"/>
        <v>-3</v>
      </c>
      <c r="IF101" s="8"/>
      <c r="IG101" s="47">
        <v>1</v>
      </c>
      <c r="IH101" s="48" t="s">
        <v>4</v>
      </c>
      <c r="II101" s="49">
        <v>3</v>
      </c>
      <c r="IJ101" s="8"/>
      <c r="IK101" s="42" t="str">
        <f t="shared" si="638"/>
        <v/>
      </c>
      <c r="IL101" s="43">
        <f t="shared" si="639"/>
        <v>-2</v>
      </c>
      <c r="IM101" s="8"/>
      <c r="IN101" s="47">
        <v>0</v>
      </c>
      <c r="IO101" s="48" t="s">
        <v>4</v>
      </c>
      <c r="IP101" s="49">
        <v>4</v>
      </c>
      <c r="IQ101" s="8"/>
      <c r="IR101" s="42" t="str">
        <f t="shared" si="640"/>
        <v/>
      </c>
      <c r="IS101" s="43">
        <f t="shared" si="641"/>
        <v>-4</v>
      </c>
      <c r="IT101" s="8"/>
      <c r="IU101" s="47">
        <v>1</v>
      </c>
      <c r="IV101" s="48" t="s">
        <v>4</v>
      </c>
      <c r="IW101" s="49">
        <v>2</v>
      </c>
      <c r="IX101" s="8"/>
      <c r="IY101" s="42" t="str">
        <f t="shared" si="642"/>
        <v/>
      </c>
      <c r="IZ101" s="43">
        <f t="shared" si="643"/>
        <v>-1</v>
      </c>
      <c r="JA101" s="8"/>
      <c r="JB101" s="47">
        <v>1</v>
      </c>
      <c r="JC101" s="48" t="s">
        <v>4</v>
      </c>
      <c r="JD101" s="49">
        <v>3</v>
      </c>
      <c r="JE101" s="8"/>
      <c r="JF101" s="42" t="str">
        <f t="shared" si="644"/>
        <v/>
      </c>
      <c r="JG101" s="43">
        <f t="shared" si="645"/>
        <v>-2</v>
      </c>
      <c r="JH101" s="8"/>
      <c r="JI101" s="47"/>
      <c r="JJ101" s="48" t="s">
        <v>4</v>
      </c>
      <c r="JK101" s="49"/>
      <c r="JL101" s="8"/>
      <c r="JM101" s="42" t="str">
        <f t="shared" si="646"/>
        <v/>
      </c>
      <c r="JN101" s="43">
        <f t="shared" si="647"/>
        <v>0</v>
      </c>
      <c r="JO101" s="8"/>
      <c r="JP101" s="47">
        <v>1</v>
      </c>
      <c r="JQ101" s="48" t="s">
        <v>4</v>
      </c>
      <c r="JR101" s="49">
        <v>3</v>
      </c>
      <c r="JS101" s="8"/>
      <c r="JT101" s="42" t="str">
        <f t="shared" si="648"/>
        <v/>
      </c>
      <c r="JU101" s="43">
        <f t="shared" si="649"/>
        <v>-2</v>
      </c>
      <c r="JV101" s="8"/>
      <c r="JW101" s="47">
        <v>2</v>
      </c>
      <c r="JX101" s="48" t="s">
        <v>4</v>
      </c>
      <c r="JY101" s="49">
        <v>3</v>
      </c>
      <c r="JZ101" s="8"/>
      <c r="KA101" s="42" t="str">
        <f t="shared" si="650"/>
        <v/>
      </c>
      <c r="KB101" s="43">
        <f t="shared" si="651"/>
        <v>-1</v>
      </c>
      <c r="KC101" s="8"/>
      <c r="KD101" s="47"/>
      <c r="KE101" s="48" t="s">
        <v>4</v>
      </c>
      <c r="KF101" s="49"/>
      <c r="KG101" s="8"/>
      <c r="KH101" s="42" t="str">
        <f t="shared" si="652"/>
        <v/>
      </c>
      <c r="KI101" s="43">
        <f t="shared" si="653"/>
        <v>0</v>
      </c>
      <c r="KJ101" s="8"/>
      <c r="KK101" s="47">
        <v>1</v>
      </c>
      <c r="KL101" s="48" t="s">
        <v>4</v>
      </c>
      <c r="KM101" s="49">
        <v>3</v>
      </c>
      <c r="KN101" s="8"/>
      <c r="KO101" s="42" t="str">
        <f t="shared" si="654"/>
        <v/>
      </c>
      <c r="KP101" s="43">
        <f t="shared" si="655"/>
        <v>-2</v>
      </c>
      <c r="KQ101" s="8"/>
      <c r="KR101" s="47">
        <v>0</v>
      </c>
      <c r="KS101" s="48" t="s">
        <v>4</v>
      </c>
      <c r="KT101" s="49">
        <v>2</v>
      </c>
      <c r="KU101" s="8"/>
      <c r="KV101" s="42" t="str">
        <f t="shared" si="656"/>
        <v/>
      </c>
      <c r="KW101" s="43">
        <f t="shared" si="657"/>
        <v>-2</v>
      </c>
      <c r="KX101" s="8"/>
      <c r="KY101" s="47">
        <v>1</v>
      </c>
      <c r="KZ101" s="48" t="s">
        <v>4</v>
      </c>
      <c r="LA101" s="49">
        <v>2</v>
      </c>
      <c r="LB101" s="8"/>
      <c r="LC101" s="42" t="str">
        <f t="shared" si="658"/>
        <v/>
      </c>
      <c r="LD101" s="43">
        <f t="shared" si="659"/>
        <v>-1</v>
      </c>
      <c r="LE101" s="8"/>
      <c r="LF101" s="47">
        <v>0</v>
      </c>
      <c r="LG101" s="48" t="s">
        <v>4</v>
      </c>
      <c r="LH101" s="49">
        <v>2</v>
      </c>
      <c r="LI101" s="8"/>
      <c r="LJ101" s="42" t="str">
        <f t="shared" si="660"/>
        <v/>
      </c>
      <c r="LK101" s="43">
        <f t="shared" si="661"/>
        <v>-2</v>
      </c>
      <c r="LL101" s="8"/>
      <c r="LM101" s="47">
        <v>1</v>
      </c>
      <c r="LN101" s="48" t="s">
        <v>4</v>
      </c>
      <c r="LO101" s="49">
        <v>3</v>
      </c>
      <c r="LP101" s="8"/>
      <c r="LQ101" s="42" t="str">
        <f t="shared" si="662"/>
        <v/>
      </c>
      <c r="LR101" s="43">
        <f t="shared" si="663"/>
        <v>-2</v>
      </c>
      <c r="LS101" s="8"/>
      <c r="LT101" s="47">
        <v>0</v>
      </c>
      <c r="LU101" s="48" t="s">
        <v>4</v>
      </c>
      <c r="LV101" s="49">
        <v>3</v>
      </c>
      <c r="LW101" s="8"/>
      <c r="LX101" s="42" t="str">
        <f t="shared" si="664"/>
        <v/>
      </c>
      <c r="LY101" s="43">
        <f t="shared" si="665"/>
        <v>-3</v>
      </c>
      <c r="LZ101" s="8"/>
      <c r="MA101" s="47">
        <v>0</v>
      </c>
      <c r="MB101" s="48" t="s">
        <v>4</v>
      </c>
      <c r="MC101" s="49">
        <v>2</v>
      </c>
      <c r="MD101" s="8"/>
      <c r="ME101" s="42" t="str">
        <f t="shared" si="666"/>
        <v/>
      </c>
      <c r="MF101" s="43">
        <f t="shared" si="667"/>
        <v>-2</v>
      </c>
      <c r="MG101" s="8"/>
      <c r="MH101" s="47">
        <v>1</v>
      </c>
      <c r="MI101" s="48" t="s">
        <v>4</v>
      </c>
      <c r="MJ101" s="49">
        <v>3</v>
      </c>
      <c r="MK101" s="8"/>
      <c r="ML101" s="42" t="str">
        <f t="shared" si="668"/>
        <v/>
      </c>
      <c r="MM101" s="43">
        <f t="shared" si="669"/>
        <v>-2</v>
      </c>
      <c r="MN101" s="8"/>
      <c r="MO101" s="47">
        <v>0</v>
      </c>
      <c r="MP101" s="48" t="s">
        <v>4</v>
      </c>
      <c r="MQ101" s="49">
        <v>3</v>
      </c>
      <c r="MR101" s="8"/>
      <c r="MS101" s="42" t="str">
        <f t="shared" si="670"/>
        <v/>
      </c>
      <c r="MT101" s="43">
        <f t="shared" si="671"/>
        <v>-3</v>
      </c>
      <c r="MU101" s="8"/>
      <c r="MV101" s="47">
        <v>0</v>
      </c>
      <c r="MW101" s="48" t="s">
        <v>4</v>
      </c>
      <c r="MX101" s="49">
        <v>4</v>
      </c>
      <c r="MY101" s="8"/>
      <c r="MZ101" s="42" t="str">
        <f t="shared" si="672"/>
        <v/>
      </c>
      <c r="NA101" s="43">
        <f t="shared" si="673"/>
        <v>-4</v>
      </c>
      <c r="NB101" s="8"/>
      <c r="NC101" s="47">
        <v>0</v>
      </c>
      <c r="ND101" s="48" t="s">
        <v>4</v>
      </c>
      <c r="NE101" s="49">
        <v>3</v>
      </c>
      <c r="NF101" s="8"/>
      <c r="NG101" s="42" t="str">
        <f t="shared" si="674"/>
        <v/>
      </c>
      <c r="NH101" s="43">
        <f t="shared" si="675"/>
        <v>-3</v>
      </c>
      <c r="NI101" s="8"/>
      <c r="NJ101" s="47">
        <v>0</v>
      </c>
      <c r="NK101" s="48" t="s">
        <v>4</v>
      </c>
      <c r="NL101" s="49">
        <v>3</v>
      </c>
      <c r="NM101" s="8"/>
      <c r="NN101" s="42" t="str">
        <f t="shared" si="676"/>
        <v/>
      </c>
      <c r="NO101" s="43">
        <f t="shared" si="677"/>
        <v>-3</v>
      </c>
      <c r="NP101" s="8"/>
      <c r="NQ101" s="47">
        <v>0</v>
      </c>
      <c r="NR101" s="48" t="s">
        <v>4</v>
      </c>
      <c r="NS101" s="49">
        <v>3</v>
      </c>
      <c r="NT101" s="8"/>
      <c r="NU101" s="42" t="str">
        <f t="shared" si="678"/>
        <v/>
      </c>
      <c r="NV101" s="43">
        <f t="shared" si="679"/>
        <v>-3</v>
      </c>
      <c r="NW101" s="8"/>
      <c r="NX101" s="47">
        <v>0</v>
      </c>
      <c r="NY101" s="48" t="s">
        <v>4</v>
      </c>
      <c r="NZ101" s="49">
        <v>2</v>
      </c>
      <c r="OA101" s="8"/>
      <c r="OB101" s="42" t="str">
        <f t="shared" si="680"/>
        <v/>
      </c>
      <c r="OC101" s="43">
        <f t="shared" si="681"/>
        <v>-2</v>
      </c>
      <c r="OD101" s="8"/>
      <c r="OE101" s="47">
        <v>1</v>
      </c>
      <c r="OF101" s="48" t="s">
        <v>4</v>
      </c>
      <c r="OG101" s="49">
        <v>3</v>
      </c>
      <c r="OH101" s="8"/>
      <c r="OI101" s="42" t="str">
        <f t="shared" si="682"/>
        <v/>
      </c>
      <c r="OJ101" s="43">
        <f t="shared" si="683"/>
        <v>-2</v>
      </c>
      <c r="OK101" s="8"/>
      <c r="OL101" s="47">
        <v>0</v>
      </c>
      <c r="OM101" s="48" t="s">
        <v>4</v>
      </c>
      <c r="ON101" s="49">
        <v>4</v>
      </c>
      <c r="OO101" s="8"/>
      <c r="OP101" s="42" t="str">
        <f t="shared" si="684"/>
        <v/>
      </c>
      <c r="OQ101" s="43">
        <f t="shared" si="685"/>
        <v>-4</v>
      </c>
      <c r="OR101" s="8"/>
      <c r="OS101" s="47">
        <v>0</v>
      </c>
      <c r="OT101" s="48" t="s">
        <v>4</v>
      </c>
      <c r="OU101" s="49">
        <v>2</v>
      </c>
      <c r="OV101" s="8"/>
      <c r="OW101" s="42" t="str">
        <f t="shared" si="686"/>
        <v/>
      </c>
      <c r="OX101" s="43">
        <f t="shared" si="687"/>
        <v>-2</v>
      </c>
      <c r="OY101" s="8"/>
      <c r="OZ101" s="47">
        <v>0</v>
      </c>
      <c r="PA101" s="48" t="s">
        <v>4</v>
      </c>
      <c r="PB101" s="49">
        <v>4</v>
      </c>
      <c r="PC101" s="8"/>
      <c r="PD101" s="42" t="str">
        <f t="shared" si="688"/>
        <v/>
      </c>
      <c r="PE101" s="43">
        <f t="shared" si="689"/>
        <v>-4</v>
      </c>
      <c r="PF101" s="8"/>
      <c r="PG101" s="47">
        <v>0</v>
      </c>
      <c r="PH101" s="48" t="s">
        <v>4</v>
      </c>
      <c r="PI101" s="49">
        <v>3</v>
      </c>
      <c r="PJ101" s="8"/>
      <c r="PK101" s="42" t="str">
        <f t="shared" si="690"/>
        <v/>
      </c>
      <c r="PL101" s="43">
        <f t="shared" si="691"/>
        <v>-3</v>
      </c>
      <c r="PM101" s="8"/>
      <c r="PN101" s="47">
        <v>0</v>
      </c>
      <c r="PO101" s="48" t="s">
        <v>4</v>
      </c>
      <c r="PP101" s="49">
        <v>2</v>
      </c>
      <c r="PQ101" s="8"/>
      <c r="PR101" s="42" t="str">
        <f t="shared" si="692"/>
        <v/>
      </c>
      <c r="PS101" s="43">
        <f t="shared" si="693"/>
        <v>-2</v>
      </c>
      <c r="PT101" s="8"/>
      <c r="PU101" s="47">
        <v>0</v>
      </c>
      <c r="PV101" s="48" t="s">
        <v>4</v>
      </c>
      <c r="PW101" s="49">
        <v>2</v>
      </c>
      <c r="PX101" s="8"/>
      <c r="PY101" s="42" t="str">
        <f t="shared" si="694"/>
        <v/>
      </c>
      <c r="PZ101" s="43">
        <f t="shared" si="695"/>
        <v>-2</v>
      </c>
      <c r="QA101" s="8"/>
      <c r="QB101" s="47">
        <v>0</v>
      </c>
      <c r="QC101" s="48" t="s">
        <v>4</v>
      </c>
      <c r="QD101" s="49">
        <v>1</v>
      </c>
      <c r="QE101" s="8"/>
      <c r="QF101" s="42" t="str">
        <f t="shared" si="696"/>
        <v/>
      </c>
      <c r="QG101" s="43">
        <f t="shared" si="697"/>
        <v>-1</v>
      </c>
      <c r="QH101" s="8"/>
      <c r="QI101" s="47">
        <v>0</v>
      </c>
      <c r="QJ101" s="48" t="s">
        <v>4</v>
      </c>
      <c r="QK101" s="49">
        <v>5</v>
      </c>
      <c r="QL101" s="8"/>
      <c r="QM101" s="42" t="str">
        <f t="shared" si="698"/>
        <v/>
      </c>
      <c r="QN101" s="43">
        <f t="shared" si="699"/>
        <v>-5</v>
      </c>
      <c r="QO101" s="8"/>
      <c r="QP101" s="47">
        <v>0</v>
      </c>
      <c r="QQ101" s="48" t="s">
        <v>4</v>
      </c>
      <c r="QR101" s="49">
        <v>3</v>
      </c>
      <c r="QS101" s="8"/>
      <c r="QT101" s="42" t="str">
        <f t="shared" si="700"/>
        <v/>
      </c>
      <c r="QU101" s="43">
        <f t="shared" si="701"/>
        <v>-3</v>
      </c>
      <c r="QV101" s="8"/>
      <c r="QW101" s="47">
        <v>1</v>
      </c>
      <c r="QX101" s="48" t="s">
        <v>4</v>
      </c>
      <c r="QY101" s="49">
        <v>3</v>
      </c>
      <c r="QZ101" s="8"/>
      <c r="RA101" s="42" t="str">
        <f t="shared" si="702"/>
        <v/>
      </c>
      <c r="RB101" s="43">
        <f t="shared" si="703"/>
        <v>-2</v>
      </c>
      <c r="RC101" s="8"/>
      <c r="RD101" s="47"/>
      <c r="RE101" s="48" t="s">
        <v>4</v>
      </c>
      <c r="RF101" s="49"/>
      <c r="RG101" s="8"/>
      <c r="RH101" s="42" t="str">
        <f t="shared" si="704"/>
        <v/>
      </c>
      <c r="RI101" s="43">
        <f t="shared" si="705"/>
        <v>0</v>
      </c>
      <c r="RJ101" s="8"/>
      <c r="RK101" s="47"/>
      <c r="RL101" s="48" t="s">
        <v>4</v>
      </c>
      <c r="RM101" s="49"/>
      <c r="RN101" s="8"/>
      <c r="RO101" s="42" t="str">
        <f t="shared" si="706"/>
        <v/>
      </c>
      <c r="RP101" s="43">
        <f t="shared" si="707"/>
        <v>0</v>
      </c>
      <c r="RQ101" s="8"/>
      <c r="RR101" s="47"/>
      <c r="RS101" s="48" t="s">
        <v>4</v>
      </c>
      <c r="RT101" s="49"/>
      <c r="RU101" s="8"/>
      <c r="RV101" s="42" t="str">
        <f t="shared" si="708"/>
        <v/>
      </c>
      <c r="RW101" s="43">
        <f t="shared" si="709"/>
        <v>0</v>
      </c>
      <c r="RX101" s="8"/>
      <c r="RY101" s="47"/>
      <c r="RZ101" s="48" t="s">
        <v>4</v>
      </c>
      <c r="SA101" s="49"/>
      <c r="SB101" s="8"/>
      <c r="SC101" s="42" t="str">
        <f t="shared" si="710"/>
        <v/>
      </c>
      <c r="SD101" s="43">
        <f t="shared" si="711"/>
        <v>0</v>
      </c>
      <c r="SE101" s="8"/>
      <c r="SF101" s="47"/>
      <c r="SG101" s="48" t="s">
        <v>4</v>
      </c>
      <c r="SH101" s="49"/>
      <c r="SI101" s="8"/>
      <c r="SJ101" s="42" t="str">
        <f t="shared" si="712"/>
        <v/>
      </c>
      <c r="SK101" s="43">
        <f t="shared" si="713"/>
        <v>0</v>
      </c>
      <c r="SL101" s="8"/>
      <c r="SM101" s="47"/>
      <c r="SN101" s="48" t="s">
        <v>4</v>
      </c>
      <c r="SO101" s="49"/>
      <c r="SP101" s="8"/>
      <c r="SQ101" s="42" t="str">
        <f t="shared" si="714"/>
        <v/>
      </c>
      <c r="SR101" s="43">
        <f t="shared" si="715"/>
        <v>0</v>
      </c>
    </row>
    <row r="102" spans="1:512" ht="16" customHeight="1" x14ac:dyDescent="0.15">
      <c r="A102" s="51">
        <v>46208</v>
      </c>
      <c r="B102" s="46">
        <v>0.91666666666666663</v>
      </c>
      <c r="C102" s="82" t="s">
        <v>35</v>
      </c>
      <c r="D102" s="82" t="s">
        <v>53</v>
      </c>
      <c r="E102" s="2"/>
      <c r="F102" s="50" t="s">
        <v>4</v>
      </c>
      <c r="G102" s="1"/>
      <c r="H102" s="16">
        <v>7.6</v>
      </c>
      <c r="I102" s="32">
        <f t="shared" si="429"/>
        <v>0</v>
      </c>
      <c r="J102" s="47"/>
      <c r="K102" s="48" t="s">
        <v>4</v>
      </c>
      <c r="L102" s="49"/>
      <c r="M102" s="8"/>
      <c r="N102" s="42" t="str">
        <f t="shared" si="430"/>
        <v/>
      </c>
      <c r="O102" s="43">
        <f t="shared" si="431"/>
        <v>0</v>
      </c>
      <c r="Q102" s="47"/>
      <c r="R102" s="48" t="s">
        <v>4</v>
      </c>
      <c r="S102" s="49"/>
      <c r="T102" s="8"/>
      <c r="U102" s="42" t="str">
        <f t="shared" si="574"/>
        <v/>
      </c>
      <c r="V102" s="43">
        <f t="shared" si="575"/>
        <v>0</v>
      </c>
      <c r="W102" s="8"/>
      <c r="X102" s="47"/>
      <c r="Y102" s="48" t="s">
        <v>4</v>
      </c>
      <c r="Z102" s="49"/>
      <c r="AA102" s="8"/>
      <c r="AB102" s="42" t="str">
        <f t="shared" si="576"/>
        <v/>
      </c>
      <c r="AC102" s="43">
        <f t="shared" si="577"/>
        <v>0</v>
      </c>
      <c r="AD102" s="8"/>
      <c r="AE102" s="47">
        <v>1</v>
      </c>
      <c r="AF102" s="48" t="s">
        <v>4</v>
      </c>
      <c r="AG102" s="49">
        <v>3</v>
      </c>
      <c r="AH102" s="8"/>
      <c r="AI102" s="42" t="str">
        <f t="shared" si="578"/>
        <v/>
      </c>
      <c r="AJ102" s="43">
        <f t="shared" si="579"/>
        <v>-2</v>
      </c>
      <c r="AK102" s="8"/>
      <c r="AL102" s="47">
        <v>2</v>
      </c>
      <c r="AM102" s="48" t="s">
        <v>4</v>
      </c>
      <c r="AN102" s="49">
        <v>0</v>
      </c>
      <c r="AO102" s="8"/>
      <c r="AP102" s="42" t="str">
        <f t="shared" si="580"/>
        <v/>
      </c>
      <c r="AQ102" s="43">
        <f t="shared" si="581"/>
        <v>2</v>
      </c>
      <c r="AR102" s="8"/>
      <c r="AS102" s="47">
        <v>3</v>
      </c>
      <c r="AT102" s="48" t="s">
        <v>4</v>
      </c>
      <c r="AU102" s="49">
        <v>1</v>
      </c>
      <c r="AV102" s="8"/>
      <c r="AW102" s="42" t="str">
        <f t="shared" si="582"/>
        <v/>
      </c>
      <c r="AX102" s="43">
        <f t="shared" si="583"/>
        <v>2</v>
      </c>
      <c r="AY102" s="8"/>
      <c r="AZ102" s="47">
        <v>1</v>
      </c>
      <c r="BA102" s="48" t="s">
        <v>4</v>
      </c>
      <c r="BB102" s="49">
        <v>2</v>
      </c>
      <c r="BC102" s="8"/>
      <c r="BD102" s="42" t="str">
        <f t="shared" si="584"/>
        <v/>
      </c>
      <c r="BE102" s="43">
        <f t="shared" si="585"/>
        <v>-1</v>
      </c>
      <c r="BF102" s="8"/>
      <c r="BG102" s="47">
        <v>2</v>
      </c>
      <c r="BH102" s="48" t="s">
        <v>4</v>
      </c>
      <c r="BI102" s="49">
        <v>1</v>
      </c>
      <c r="BJ102" s="8"/>
      <c r="BK102" s="42" t="str">
        <f t="shared" si="586"/>
        <v/>
      </c>
      <c r="BL102" s="43">
        <f t="shared" si="587"/>
        <v>1</v>
      </c>
      <c r="BM102" s="8"/>
      <c r="BN102" s="47">
        <v>2</v>
      </c>
      <c r="BO102" s="48" t="s">
        <v>4</v>
      </c>
      <c r="BP102" s="49">
        <v>1</v>
      </c>
      <c r="BQ102" s="8"/>
      <c r="BR102" s="42" t="str">
        <f t="shared" si="588"/>
        <v/>
      </c>
      <c r="BS102" s="43">
        <f t="shared" si="589"/>
        <v>1</v>
      </c>
      <c r="BT102" s="8"/>
      <c r="BU102" s="47">
        <v>2</v>
      </c>
      <c r="BV102" s="48" t="s">
        <v>4</v>
      </c>
      <c r="BW102" s="49">
        <v>1</v>
      </c>
      <c r="BX102" s="8"/>
      <c r="BY102" s="42" t="str">
        <f t="shared" si="590"/>
        <v/>
      </c>
      <c r="BZ102" s="43">
        <f t="shared" si="591"/>
        <v>1</v>
      </c>
      <c r="CA102" s="8"/>
      <c r="CB102" s="47">
        <v>2</v>
      </c>
      <c r="CC102" s="48" t="s">
        <v>4</v>
      </c>
      <c r="CD102" s="49">
        <v>1</v>
      </c>
      <c r="CE102" s="8"/>
      <c r="CF102" s="42" t="str">
        <f t="shared" si="592"/>
        <v/>
      </c>
      <c r="CG102" s="43">
        <f t="shared" si="593"/>
        <v>1</v>
      </c>
      <c r="CH102" s="8"/>
      <c r="CI102" s="47">
        <v>2</v>
      </c>
      <c r="CJ102" s="48" t="s">
        <v>4</v>
      </c>
      <c r="CK102" s="49">
        <v>3</v>
      </c>
      <c r="CL102" s="8"/>
      <c r="CM102" s="42" t="str">
        <f t="shared" si="594"/>
        <v/>
      </c>
      <c r="CN102" s="43">
        <f t="shared" si="595"/>
        <v>-1</v>
      </c>
      <c r="CO102" s="8"/>
      <c r="CP102" s="47">
        <v>1</v>
      </c>
      <c r="CQ102" s="48" t="s">
        <v>4</v>
      </c>
      <c r="CR102" s="49">
        <v>2</v>
      </c>
      <c r="CS102" s="8"/>
      <c r="CT102" s="42" t="str">
        <f t="shared" si="596"/>
        <v/>
      </c>
      <c r="CU102" s="43">
        <f t="shared" si="597"/>
        <v>-1</v>
      </c>
      <c r="CV102" s="8"/>
      <c r="CW102" s="47">
        <v>4</v>
      </c>
      <c r="CX102" s="48" t="s">
        <v>4</v>
      </c>
      <c r="CY102" s="49">
        <v>3</v>
      </c>
      <c r="CZ102" s="8"/>
      <c r="DA102" s="42" t="str">
        <f t="shared" si="598"/>
        <v/>
      </c>
      <c r="DB102" s="43">
        <f t="shared" si="599"/>
        <v>1</v>
      </c>
      <c r="DC102" s="8"/>
      <c r="DD102" s="47">
        <v>2</v>
      </c>
      <c r="DE102" s="48" t="s">
        <v>4</v>
      </c>
      <c r="DF102" s="49">
        <v>1</v>
      </c>
      <c r="DG102" s="8"/>
      <c r="DH102" s="42" t="str">
        <f t="shared" si="600"/>
        <v/>
      </c>
      <c r="DI102" s="43">
        <f t="shared" si="601"/>
        <v>1</v>
      </c>
      <c r="DJ102" s="8"/>
      <c r="DK102" s="47">
        <v>1</v>
      </c>
      <c r="DL102" s="48" t="s">
        <v>4</v>
      </c>
      <c r="DM102" s="49">
        <v>2</v>
      </c>
      <c r="DN102" s="8"/>
      <c r="DO102" s="42" t="str">
        <f t="shared" si="602"/>
        <v/>
      </c>
      <c r="DP102" s="43">
        <f t="shared" si="603"/>
        <v>-1</v>
      </c>
      <c r="DQ102" s="8"/>
      <c r="DR102" s="47">
        <v>3</v>
      </c>
      <c r="DS102" s="48" t="s">
        <v>4</v>
      </c>
      <c r="DT102" s="49">
        <v>2</v>
      </c>
      <c r="DU102" s="8"/>
      <c r="DV102" s="42" t="str">
        <f t="shared" si="604"/>
        <v/>
      </c>
      <c r="DW102" s="43">
        <f t="shared" si="605"/>
        <v>1</v>
      </c>
      <c r="DX102" s="8"/>
      <c r="DY102" s="47">
        <v>1</v>
      </c>
      <c r="DZ102" s="48" t="s">
        <v>4</v>
      </c>
      <c r="EA102" s="49">
        <v>2</v>
      </c>
      <c r="EB102" s="8"/>
      <c r="EC102" s="42" t="str">
        <f t="shared" si="606"/>
        <v/>
      </c>
      <c r="ED102" s="43">
        <f t="shared" si="607"/>
        <v>-1</v>
      </c>
      <c r="EE102" s="8"/>
      <c r="EF102" s="47">
        <v>2</v>
      </c>
      <c r="EG102" s="48" t="s">
        <v>4</v>
      </c>
      <c r="EH102" s="49">
        <v>3</v>
      </c>
      <c r="EI102" s="8"/>
      <c r="EJ102" s="42" t="str">
        <f t="shared" si="608"/>
        <v/>
      </c>
      <c r="EK102" s="43">
        <f t="shared" si="609"/>
        <v>-1</v>
      </c>
      <c r="EL102" s="8"/>
      <c r="EM102" s="47">
        <v>1</v>
      </c>
      <c r="EN102" s="48" t="s">
        <v>4</v>
      </c>
      <c r="EO102" s="49">
        <v>2</v>
      </c>
      <c r="EP102" s="8"/>
      <c r="EQ102" s="42" t="str">
        <f t="shared" si="610"/>
        <v/>
      </c>
      <c r="ER102" s="43">
        <f t="shared" si="611"/>
        <v>-1</v>
      </c>
      <c r="ES102" s="8"/>
      <c r="ET102" s="47">
        <v>2</v>
      </c>
      <c r="EU102" s="48" t="s">
        <v>4</v>
      </c>
      <c r="EV102" s="49">
        <v>3</v>
      </c>
      <c r="EW102" s="8"/>
      <c r="EX102" s="42" t="str">
        <f t="shared" si="612"/>
        <v/>
      </c>
      <c r="EY102" s="43">
        <f t="shared" si="613"/>
        <v>-1</v>
      </c>
      <c r="EZ102" s="8"/>
      <c r="FA102" s="47">
        <v>2</v>
      </c>
      <c r="FB102" s="48" t="s">
        <v>4</v>
      </c>
      <c r="FC102" s="49">
        <v>1</v>
      </c>
      <c r="FD102" s="8"/>
      <c r="FE102" s="42" t="str">
        <f t="shared" si="614"/>
        <v/>
      </c>
      <c r="FF102" s="43">
        <f t="shared" si="615"/>
        <v>1</v>
      </c>
      <c r="FG102" s="8"/>
      <c r="FH102" s="47">
        <v>1</v>
      </c>
      <c r="FI102" s="48" t="s">
        <v>4</v>
      </c>
      <c r="FJ102" s="49">
        <v>2</v>
      </c>
      <c r="FK102" s="8"/>
      <c r="FL102" s="42" t="str">
        <f t="shared" si="616"/>
        <v/>
      </c>
      <c r="FM102" s="43">
        <f t="shared" si="617"/>
        <v>-1</v>
      </c>
      <c r="FN102" s="8"/>
      <c r="FO102" s="47">
        <v>1</v>
      </c>
      <c r="FP102" s="48" t="s">
        <v>4</v>
      </c>
      <c r="FQ102" s="49">
        <v>2</v>
      </c>
      <c r="FR102" s="8"/>
      <c r="FS102" s="42" t="str">
        <f t="shared" si="618"/>
        <v/>
      </c>
      <c r="FT102" s="43">
        <f t="shared" si="619"/>
        <v>-1</v>
      </c>
      <c r="FU102" s="8"/>
      <c r="FV102" s="47">
        <v>1</v>
      </c>
      <c r="FW102" s="48" t="s">
        <v>4</v>
      </c>
      <c r="FX102" s="49">
        <v>2</v>
      </c>
      <c r="FY102" s="8"/>
      <c r="FZ102" s="42" t="str">
        <f t="shared" si="620"/>
        <v/>
      </c>
      <c r="GA102" s="43">
        <f t="shared" si="621"/>
        <v>-1</v>
      </c>
      <c r="GB102" s="8"/>
      <c r="GC102" s="47">
        <v>1</v>
      </c>
      <c r="GD102" s="48" t="s">
        <v>4</v>
      </c>
      <c r="GE102" s="49">
        <v>2</v>
      </c>
      <c r="GF102" s="8"/>
      <c r="GG102" s="42" t="str">
        <f t="shared" si="622"/>
        <v/>
      </c>
      <c r="GH102" s="43">
        <f t="shared" si="623"/>
        <v>-1</v>
      </c>
      <c r="GI102" s="8"/>
      <c r="GJ102" s="47">
        <v>2</v>
      </c>
      <c r="GK102" s="48" t="s">
        <v>4</v>
      </c>
      <c r="GL102" s="49">
        <v>1</v>
      </c>
      <c r="GM102" s="8"/>
      <c r="GN102" s="42" t="str">
        <f t="shared" si="624"/>
        <v/>
      </c>
      <c r="GO102" s="43">
        <f t="shared" si="625"/>
        <v>1</v>
      </c>
      <c r="GP102" s="8"/>
      <c r="GQ102" s="47">
        <v>2</v>
      </c>
      <c r="GR102" s="48" t="s">
        <v>4</v>
      </c>
      <c r="GS102" s="49">
        <v>1</v>
      </c>
      <c r="GT102" s="8"/>
      <c r="GU102" s="42" t="str">
        <f t="shared" si="626"/>
        <v/>
      </c>
      <c r="GV102" s="43">
        <f t="shared" si="627"/>
        <v>1</v>
      </c>
      <c r="GW102" s="8"/>
      <c r="GX102" s="47">
        <v>1</v>
      </c>
      <c r="GY102" s="48" t="s">
        <v>4</v>
      </c>
      <c r="GZ102" s="49">
        <v>2</v>
      </c>
      <c r="HA102" s="8"/>
      <c r="HB102" s="42" t="str">
        <f t="shared" si="628"/>
        <v/>
      </c>
      <c r="HC102" s="43">
        <f t="shared" si="629"/>
        <v>-1</v>
      </c>
      <c r="HD102" s="8"/>
      <c r="HE102" s="47">
        <v>2</v>
      </c>
      <c r="HF102" s="48" t="s">
        <v>4</v>
      </c>
      <c r="HG102" s="49">
        <v>1</v>
      </c>
      <c r="HH102" s="8"/>
      <c r="HI102" s="42" t="str">
        <f t="shared" si="630"/>
        <v/>
      </c>
      <c r="HJ102" s="43">
        <f t="shared" si="631"/>
        <v>1</v>
      </c>
      <c r="HK102" s="8"/>
      <c r="HL102" s="47">
        <v>6</v>
      </c>
      <c r="HM102" s="48" t="s">
        <v>4</v>
      </c>
      <c r="HN102" s="49">
        <v>7</v>
      </c>
      <c r="HO102" s="8"/>
      <c r="HP102" s="42" t="str">
        <f t="shared" si="632"/>
        <v/>
      </c>
      <c r="HQ102" s="43">
        <f t="shared" si="633"/>
        <v>-1</v>
      </c>
      <c r="HR102" s="8"/>
      <c r="HS102" s="47">
        <v>2</v>
      </c>
      <c r="HT102" s="48" t="s">
        <v>4</v>
      </c>
      <c r="HU102" s="49">
        <v>1</v>
      </c>
      <c r="HV102" s="8"/>
      <c r="HW102" s="42" t="str">
        <f t="shared" si="634"/>
        <v/>
      </c>
      <c r="HX102" s="43">
        <f t="shared" si="635"/>
        <v>1</v>
      </c>
      <c r="HY102" s="8"/>
      <c r="HZ102" s="47">
        <v>2</v>
      </c>
      <c r="IA102" s="48" t="s">
        <v>4</v>
      </c>
      <c r="IB102" s="49">
        <v>3</v>
      </c>
      <c r="IC102" s="8"/>
      <c r="ID102" s="42" t="str">
        <f t="shared" si="636"/>
        <v/>
      </c>
      <c r="IE102" s="43">
        <f t="shared" si="637"/>
        <v>-1</v>
      </c>
      <c r="IF102" s="8"/>
      <c r="IG102" s="47">
        <v>2</v>
      </c>
      <c r="IH102" s="48" t="s">
        <v>4</v>
      </c>
      <c r="II102" s="49">
        <v>3</v>
      </c>
      <c r="IJ102" s="8"/>
      <c r="IK102" s="42" t="str">
        <f t="shared" si="638"/>
        <v/>
      </c>
      <c r="IL102" s="43">
        <f t="shared" si="639"/>
        <v>-1</v>
      </c>
      <c r="IM102" s="8"/>
      <c r="IN102" s="47">
        <v>7</v>
      </c>
      <c r="IO102" s="48" t="s">
        <v>4</v>
      </c>
      <c r="IP102" s="49">
        <v>8</v>
      </c>
      <c r="IQ102" s="8"/>
      <c r="IR102" s="42" t="str">
        <f t="shared" si="640"/>
        <v/>
      </c>
      <c r="IS102" s="43">
        <f t="shared" si="641"/>
        <v>-1</v>
      </c>
      <c r="IT102" s="8"/>
      <c r="IU102" s="47">
        <v>1</v>
      </c>
      <c r="IV102" s="48" t="s">
        <v>4</v>
      </c>
      <c r="IW102" s="49">
        <v>2</v>
      </c>
      <c r="IX102" s="8"/>
      <c r="IY102" s="42" t="str">
        <f t="shared" si="642"/>
        <v/>
      </c>
      <c r="IZ102" s="43">
        <f t="shared" si="643"/>
        <v>-1</v>
      </c>
      <c r="JA102" s="8"/>
      <c r="JB102" s="47">
        <v>1</v>
      </c>
      <c r="JC102" s="48" t="s">
        <v>4</v>
      </c>
      <c r="JD102" s="49">
        <v>2</v>
      </c>
      <c r="JE102" s="8"/>
      <c r="JF102" s="42" t="str">
        <f t="shared" si="644"/>
        <v/>
      </c>
      <c r="JG102" s="43">
        <f t="shared" si="645"/>
        <v>-1</v>
      </c>
      <c r="JH102" s="8"/>
      <c r="JI102" s="47"/>
      <c r="JJ102" s="48" t="s">
        <v>4</v>
      </c>
      <c r="JK102" s="49"/>
      <c r="JL102" s="8"/>
      <c r="JM102" s="42" t="str">
        <f t="shared" si="646"/>
        <v/>
      </c>
      <c r="JN102" s="43">
        <f t="shared" si="647"/>
        <v>0</v>
      </c>
      <c r="JO102" s="8"/>
      <c r="JP102" s="47">
        <v>1</v>
      </c>
      <c r="JQ102" s="48" t="s">
        <v>4</v>
      </c>
      <c r="JR102" s="49">
        <v>0</v>
      </c>
      <c r="JS102" s="8"/>
      <c r="JT102" s="42" t="str">
        <f t="shared" si="648"/>
        <v/>
      </c>
      <c r="JU102" s="43">
        <f t="shared" si="649"/>
        <v>1</v>
      </c>
      <c r="JV102" s="8"/>
      <c r="JW102" s="47">
        <v>1</v>
      </c>
      <c r="JX102" s="48" t="s">
        <v>4</v>
      </c>
      <c r="JY102" s="49">
        <v>2</v>
      </c>
      <c r="JZ102" s="8"/>
      <c r="KA102" s="42" t="str">
        <f t="shared" si="650"/>
        <v/>
      </c>
      <c r="KB102" s="43">
        <f t="shared" si="651"/>
        <v>-1</v>
      </c>
      <c r="KC102" s="8"/>
      <c r="KD102" s="47"/>
      <c r="KE102" s="48" t="s">
        <v>4</v>
      </c>
      <c r="KF102" s="49"/>
      <c r="KG102" s="8"/>
      <c r="KH102" s="42" t="str">
        <f t="shared" si="652"/>
        <v/>
      </c>
      <c r="KI102" s="43">
        <f t="shared" si="653"/>
        <v>0</v>
      </c>
      <c r="KJ102" s="8"/>
      <c r="KK102" s="47">
        <v>3</v>
      </c>
      <c r="KL102" s="48" t="s">
        <v>4</v>
      </c>
      <c r="KM102" s="49">
        <v>1</v>
      </c>
      <c r="KN102" s="8"/>
      <c r="KO102" s="42" t="str">
        <f t="shared" si="654"/>
        <v/>
      </c>
      <c r="KP102" s="43">
        <f t="shared" si="655"/>
        <v>2</v>
      </c>
      <c r="KQ102" s="8"/>
      <c r="KR102" s="47">
        <v>0</v>
      </c>
      <c r="KS102" s="48" t="s">
        <v>4</v>
      </c>
      <c r="KT102" s="49">
        <v>1</v>
      </c>
      <c r="KU102" s="8"/>
      <c r="KV102" s="42" t="str">
        <f t="shared" si="656"/>
        <v/>
      </c>
      <c r="KW102" s="43">
        <f t="shared" si="657"/>
        <v>-1</v>
      </c>
      <c r="KX102" s="8"/>
      <c r="KY102" s="47">
        <v>2</v>
      </c>
      <c r="KZ102" s="48" t="s">
        <v>4</v>
      </c>
      <c r="LA102" s="49">
        <v>1</v>
      </c>
      <c r="LB102" s="8"/>
      <c r="LC102" s="42" t="str">
        <f t="shared" si="658"/>
        <v/>
      </c>
      <c r="LD102" s="43">
        <f t="shared" si="659"/>
        <v>1</v>
      </c>
      <c r="LE102" s="8"/>
      <c r="LF102" s="47">
        <v>3</v>
      </c>
      <c r="LG102" s="48" t="s">
        <v>4</v>
      </c>
      <c r="LH102" s="49">
        <v>1</v>
      </c>
      <c r="LI102" s="8"/>
      <c r="LJ102" s="42" t="str">
        <f t="shared" si="660"/>
        <v/>
      </c>
      <c r="LK102" s="43">
        <f t="shared" si="661"/>
        <v>2</v>
      </c>
      <c r="LL102" s="8"/>
      <c r="LM102" s="47">
        <v>2</v>
      </c>
      <c r="LN102" s="48" t="s">
        <v>4</v>
      </c>
      <c r="LO102" s="49">
        <v>1</v>
      </c>
      <c r="LP102" s="8"/>
      <c r="LQ102" s="42" t="str">
        <f t="shared" si="662"/>
        <v/>
      </c>
      <c r="LR102" s="43">
        <f t="shared" si="663"/>
        <v>1</v>
      </c>
      <c r="LS102" s="8"/>
      <c r="LT102" s="47">
        <v>2</v>
      </c>
      <c r="LU102" s="48" t="s">
        <v>4</v>
      </c>
      <c r="LV102" s="49">
        <v>1</v>
      </c>
      <c r="LW102" s="8"/>
      <c r="LX102" s="42" t="str">
        <f t="shared" si="664"/>
        <v/>
      </c>
      <c r="LY102" s="43">
        <f t="shared" si="665"/>
        <v>1</v>
      </c>
      <c r="LZ102" s="8"/>
      <c r="MA102" s="47">
        <v>1</v>
      </c>
      <c r="MB102" s="48" t="s">
        <v>4</v>
      </c>
      <c r="MC102" s="49">
        <v>0</v>
      </c>
      <c r="MD102" s="8"/>
      <c r="ME102" s="42" t="str">
        <f t="shared" si="666"/>
        <v/>
      </c>
      <c r="MF102" s="43">
        <f t="shared" si="667"/>
        <v>1</v>
      </c>
      <c r="MG102" s="8"/>
      <c r="MH102" s="47">
        <v>3</v>
      </c>
      <c r="MI102" s="48" t="s">
        <v>4</v>
      </c>
      <c r="MJ102" s="49">
        <v>2</v>
      </c>
      <c r="MK102" s="8"/>
      <c r="ML102" s="42" t="str">
        <f t="shared" si="668"/>
        <v/>
      </c>
      <c r="MM102" s="43">
        <f t="shared" si="669"/>
        <v>1</v>
      </c>
      <c r="MN102" s="8"/>
      <c r="MO102" s="47">
        <v>2</v>
      </c>
      <c r="MP102" s="48" t="s">
        <v>4</v>
      </c>
      <c r="MQ102" s="49">
        <v>0</v>
      </c>
      <c r="MR102" s="8"/>
      <c r="MS102" s="42" t="str">
        <f t="shared" si="670"/>
        <v/>
      </c>
      <c r="MT102" s="43">
        <f t="shared" si="671"/>
        <v>2</v>
      </c>
      <c r="MU102" s="8"/>
      <c r="MV102" s="47">
        <v>1</v>
      </c>
      <c r="MW102" s="48" t="s">
        <v>4</v>
      </c>
      <c r="MX102" s="49">
        <v>0</v>
      </c>
      <c r="MY102" s="8"/>
      <c r="MZ102" s="42" t="str">
        <f t="shared" si="672"/>
        <v/>
      </c>
      <c r="NA102" s="43">
        <f t="shared" si="673"/>
        <v>1</v>
      </c>
      <c r="NB102" s="8"/>
      <c r="NC102" s="47">
        <v>6</v>
      </c>
      <c r="ND102" s="48" t="s">
        <v>4</v>
      </c>
      <c r="NE102" s="49">
        <v>5</v>
      </c>
      <c r="NF102" s="8"/>
      <c r="NG102" s="42" t="str">
        <f t="shared" si="674"/>
        <v/>
      </c>
      <c r="NH102" s="43">
        <f t="shared" si="675"/>
        <v>1</v>
      </c>
      <c r="NI102" s="8"/>
      <c r="NJ102" s="47"/>
      <c r="NK102" s="48" t="s">
        <v>4</v>
      </c>
      <c r="NL102" s="49"/>
      <c r="NM102" s="8"/>
      <c r="NN102" s="42" t="str">
        <f t="shared" si="676"/>
        <v/>
      </c>
      <c r="NO102" s="43">
        <f t="shared" si="677"/>
        <v>0</v>
      </c>
      <c r="NP102" s="8"/>
      <c r="NQ102" s="47"/>
      <c r="NR102" s="48" t="s">
        <v>4</v>
      </c>
      <c r="NS102" s="49"/>
      <c r="NT102" s="8"/>
      <c r="NU102" s="42" t="str">
        <f t="shared" si="678"/>
        <v/>
      </c>
      <c r="NV102" s="43">
        <f t="shared" si="679"/>
        <v>0</v>
      </c>
      <c r="NW102" s="8"/>
      <c r="NX102" s="47"/>
      <c r="NY102" s="48" t="s">
        <v>4</v>
      </c>
      <c r="NZ102" s="49"/>
      <c r="OA102" s="8"/>
      <c r="OB102" s="42" t="str">
        <f t="shared" si="680"/>
        <v/>
      </c>
      <c r="OC102" s="43">
        <f t="shared" si="681"/>
        <v>0</v>
      </c>
      <c r="OD102" s="8"/>
      <c r="OE102" s="47">
        <v>2</v>
      </c>
      <c r="OF102" s="48" t="s">
        <v>4</v>
      </c>
      <c r="OG102" s="49">
        <v>1</v>
      </c>
      <c r="OH102" s="8"/>
      <c r="OI102" s="42" t="str">
        <f t="shared" si="682"/>
        <v/>
      </c>
      <c r="OJ102" s="43">
        <f t="shared" si="683"/>
        <v>1</v>
      </c>
      <c r="OK102" s="8"/>
      <c r="OL102" s="47">
        <v>3</v>
      </c>
      <c r="OM102" s="48" t="s">
        <v>4</v>
      </c>
      <c r="ON102" s="49">
        <v>2</v>
      </c>
      <c r="OO102" s="8"/>
      <c r="OP102" s="42" t="str">
        <f t="shared" si="684"/>
        <v/>
      </c>
      <c r="OQ102" s="43">
        <f t="shared" si="685"/>
        <v>1</v>
      </c>
      <c r="OR102" s="8"/>
      <c r="OS102" s="47"/>
      <c r="OT102" s="48" t="s">
        <v>4</v>
      </c>
      <c r="OU102" s="49"/>
      <c r="OV102" s="8"/>
      <c r="OW102" s="42" t="str">
        <f t="shared" si="686"/>
        <v/>
      </c>
      <c r="OX102" s="43">
        <f t="shared" si="687"/>
        <v>0</v>
      </c>
      <c r="OY102" s="8"/>
      <c r="OZ102" s="47">
        <v>2</v>
      </c>
      <c r="PA102" s="48" t="s">
        <v>4</v>
      </c>
      <c r="PB102" s="49">
        <v>3</v>
      </c>
      <c r="PC102" s="8"/>
      <c r="PD102" s="42" t="str">
        <f t="shared" si="688"/>
        <v/>
      </c>
      <c r="PE102" s="43">
        <f t="shared" si="689"/>
        <v>-1</v>
      </c>
      <c r="PF102" s="8"/>
      <c r="PG102" s="47">
        <v>1</v>
      </c>
      <c r="PH102" s="48" t="s">
        <v>4</v>
      </c>
      <c r="PI102" s="49">
        <v>3</v>
      </c>
      <c r="PJ102" s="8"/>
      <c r="PK102" s="42" t="str">
        <f t="shared" si="690"/>
        <v/>
      </c>
      <c r="PL102" s="43">
        <f t="shared" si="691"/>
        <v>-2</v>
      </c>
      <c r="PM102" s="8"/>
      <c r="PN102" s="47">
        <v>3</v>
      </c>
      <c r="PO102" s="48" t="s">
        <v>4</v>
      </c>
      <c r="PP102" s="49">
        <v>1</v>
      </c>
      <c r="PQ102" s="8"/>
      <c r="PR102" s="42" t="str">
        <f t="shared" si="692"/>
        <v/>
      </c>
      <c r="PS102" s="43">
        <f t="shared" si="693"/>
        <v>2</v>
      </c>
      <c r="PT102" s="8"/>
      <c r="PU102" s="47">
        <v>1</v>
      </c>
      <c r="PV102" s="48" t="s">
        <v>4</v>
      </c>
      <c r="PW102" s="49">
        <v>2</v>
      </c>
      <c r="PX102" s="8"/>
      <c r="PY102" s="42" t="str">
        <f t="shared" si="694"/>
        <v/>
      </c>
      <c r="PZ102" s="43">
        <f t="shared" si="695"/>
        <v>-1</v>
      </c>
      <c r="QA102" s="8"/>
      <c r="QB102" s="47">
        <v>3</v>
      </c>
      <c r="QC102" s="48" t="s">
        <v>4</v>
      </c>
      <c r="QD102" s="49">
        <v>1</v>
      </c>
      <c r="QE102" s="8"/>
      <c r="QF102" s="42" t="str">
        <f t="shared" si="696"/>
        <v/>
      </c>
      <c r="QG102" s="43">
        <f t="shared" si="697"/>
        <v>2</v>
      </c>
      <c r="QH102" s="8"/>
      <c r="QI102" s="47">
        <v>1</v>
      </c>
      <c r="QJ102" s="48" t="s">
        <v>4</v>
      </c>
      <c r="QK102" s="49">
        <v>3</v>
      </c>
      <c r="QL102" s="8"/>
      <c r="QM102" s="42" t="str">
        <f t="shared" si="698"/>
        <v/>
      </c>
      <c r="QN102" s="43">
        <f t="shared" si="699"/>
        <v>-2</v>
      </c>
      <c r="QO102" s="8"/>
      <c r="QP102" s="47"/>
      <c r="QQ102" s="48" t="s">
        <v>4</v>
      </c>
      <c r="QR102" s="49"/>
      <c r="QS102" s="8"/>
      <c r="QT102" s="42" t="str">
        <f t="shared" si="700"/>
        <v/>
      </c>
      <c r="QU102" s="43">
        <f t="shared" si="701"/>
        <v>0</v>
      </c>
      <c r="QV102" s="8"/>
      <c r="QW102" s="47"/>
      <c r="QX102" s="48" t="s">
        <v>4</v>
      </c>
      <c r="QY102" s="49"/>
      <c r="QZ102" s="8"/>
      <c r="RA102" s="42" t="str">
        <f t="shared" si="702"/>
        <v/>
      </c>
      <c r="RB102" s="43">
        <f t="shared" si="703"/>
        <v>0</v>
      </c>
      <c r="RC102" s="8"/>
      <c r="RD102" s="47"/>
      <c r="RE102" s="48" t="s">
        <v>4</v>
      </c>
      <c r="RF102" s="49"/>
      <c r="RG102" s="8"/>
      <c r="RH102" s="42" t="str">
        <f t="shared" si="704"/>
        <v/>
      </c>
      <c r="RI102" s="43">
        <f t="shared" si="705"/>
        <v>0</v>
      </c>
      <c r="RJ102" s="8"/>
      <c r="RK102" s="47"/>
      <c r="RL102" s="48" t="s">
        <v>4</v>
      </c>
      <c r="RM102" s="49"/>
      <c r="RN102" s="8"/>
      <c r="RO102" s="42" t="str">
        <f t="shared" si="706"/>
        <v/>
      </c>
      <c r="RP102" s="43">
        <f t="shared" si="707"/>
        <v>0</v>
      </c>
      <c r="RQ102" s="8"/>
      <c r="RR102" s="47"/>
      <c r="RS102" s="48" t="s">
        <v>4</v>
      </c>
      <c r="RT102" s="49"/>
      <c r="RU102" s="8"/>
      <c r="RV102" s="42" t="str">
        <f t="shared" si="708"/>
        <v/>
      </c>
      <c r="RW102" s="43">
        <f t="shared" si="709"/>
        <v>0</v>
      </c>
      <c r="RX102" s="8"/>
      <c r="RY102" s="47"/>
      <c r="RZ102" s="48" t="s">
        <v>4</v>
      </c>
      <c r="SA102" s="49"/>
      <c r="SB102" s="8"/>
      <c r="SC102" s="42" t="str">
        <f t="shared" si="710"/>
        <v/>
      </c>
      <c r="SD102" s="43">
        <f t="shared" si="711"/>
        <v>0</v>
      </c>
      <c r="SE102" s="8"/>
      <c r="SF102" s="47"/>
      <c r="SG102" s="48" t="s">
        <v>4</v>
      </c>
      <c r="SH102" s="49"/>
      <c r="SI102" s="8"/>
      <c r="SJ102" s="42" t="str">
        <f t="shared" si="712"/>
        <v/>
      </c>
      <c r="SK102" s="43">
        <f t="shared" si="713"/>
        <v>0</v>
      </c>
      <c r="SL102" s="8"/>
      <c r="SM102" s="47"/>
      <c r="SN102" s="48" t="s">
        <v>4</v>
      </c>
      <c r="SO102" s="49"/>
      <c r="SP102" s="8"/>
      <c r="SQ102" s="42" t="str">
        <f t="shared" si="714"/>
        <v/>
      </c>
      <c r="SR102" s="43">
        <f t="shared" si="715"/>
        <v>0</v>
      </c>
    </row>
    <row r="103" spans="1:512" ht="16" customHeight="1" x14ac:dyDescent="0.15">
      <c r="A103" s="51">
        <v>46209</v>
      </c>
      <c r="B103" s="46">
        <v>8.3333333333333329E-2</v>
      </c>
      <c r="C103" s="82" t="s">
        <v>28</v>
      </c>
      <c r="D103" s="83" t="s">
        <v>8</v>
      </c>
      <c r="E103" s="2"/>
      <c r="F103" s="50" t="s">
        <v>4</v>
      </c>
      <c r="G103" s="1"/>
      <c r="H103" s="16">
        <v>8</v>
      </c>
      <c r="I103" s="32">
        <f t="shared" si="429"/>
        <v>0</v>
      </c>
      <c r="J103" s="47"/>
      <c r="K103" s="48" t="s">
        <v>4</v>
      </c>
      <c r="L103" s="49"/>
      <c r="M103" s="8"/>
      <c r="N103" s="42" t="str">
        <f t="shared" si="430"/>
        <v/>
      </c>
      <c r="O103" s="43">
        <f t="shared" si="431"/>
        <v>0</v>
      </c>
      <c r="Q103" s="47"/>
      <c r="R103" s="48" t="s">
        <v>4</v>
      </c>
      <c r="S103" s="49"/>
      <c r="T103" s="8"/>
      <c r="U103" s="42" t="str">
        <f t="shared" si="574"/>
        <v/>
      </c>
      <c r="V103" s="43">
        <f t="shared" si="575"/>
        <v>0</v>
      </c>
      <c r="W103" s="8"/>
      <c r="X103" s="47"/>
      <c r="Y103" s="48" t="s">
        <v>4</v>
      </c>
      <c r="Z103" s="49"/>
      <c r="AA103" s="8"/>
      <c r="AB103" s="42" t="str">
        <f t="shared" si="576"/>
        <v/>
      </c>
      <c r="AC103" s="43">
        <f t="shared" si="577"/>
        <v>0</v>
      </c>
      <c r="AD103" s="8"/>
      <c r="AE103" s="47">
        <v>1</v>
      </c>
      <c r="AF103" s="48" t="s">
        <v>4</v>
      </c>
      <c r="AG103" s="49">
        <v>3</v>
      </c>
      <c r="AH103" s="8"/>
      <c r="AI103" s="42" t="str">
        <f t="shared" si="578"/>
        <v/>
      </c>
      <c r="AJ103" s="43">
        <f t="shared" si="579"/>
        <v>-2</v>
      </c>
      <c r="AK103" s="8"/>
      <c r="AL103" s="47">
        <v>1</v>
      </c>
      <c r="AM103" s="48" t="s">
        <v>4</v>
      </c>
      <c r="AN103" s="49">
        <v>2</v>
      </c>
      <c r="AO103" s="8"/>
      <c r="AP103" s="42" t="str">
        <f t="shared" si="580"/>
        <v/>
      </c>
      <c r="AQ103" s="43">
        <f t="shared" si="581"/>
        <v>-1</v>
      </c>
      <c r="AR103" s="8"/>
      <c r="AS103" s="47">
        <v>7</v>
      </c>
      <c r="AT103" s="48" t="s">
        <v>4</v>
      </c>
      <c r="AU103" s="49">
        <v>6</v>
      </c>
      <c r="AV103" s="8"/>
      <c r="AW103" s="42" t="str">
        <f t="shared" si="582"/>
        <v/>
      </c>
      <c r="AX103" s="43">
        <f t="shared" si="583"/>
        <v>1</v>
      </c>
      <c r="AY103" s="8"/>
      <c r="AZ103" s="47">
        <v>2</v>
      </c>
      <c r="BA103" s="48" t="s">
        <v>4</v>
      </c>
      <c r="BB103" s="49">
        <v>1</v>
      </c>
      <c r="BC103" s="8"/>
      <c r="BD103" s="42" t="str">
        <f t="shared" si="584"/>
        <v/>
      </c>
      <c r="BE103" s="43">
        <f t="shared" si="585"/>
        <v>1</v>
      </c>
      <c r="BF103" s="8"/>
      <c r="BG103" s="47">
        <v>1</v>
      </c>
      <c r="BH103" s="48" t="s">
        <v>4</v>
      </c>
      <c r="BI103" s="49">
        <v>0</v>
      </c>
      <c r="BJ103" s="8"/>
      <c r="BK103" s="42" t="str">
        <f t="shared" si="586"/>
        <v/>
      </c>
      <c r="BL103" s="43">
        <f t="shared" si="587"/>
        <v>1</v>
      </c>
      <c r="BM103" s="8"/>
      <c r="BN103" s="47">
        <v>0</v>
      </c>
      <c r="BO103" s="48" t="s">
        <v>4</v>
      </c>
      <c r="BP103" s="49">
        <v>1</v>
      </c>
      <c r="BQ103" s="8"/>
      <c r="BR103" s="42" t="str">
        <f t="shared" si="588"/>
        <v/>
      </c>
      <c r="BS103" s="43">
        <f t="shared" si="589"/>
        <v>-1</v>
      </c>
      <c r="BT103" s="8"/>
      <c r="BU103" s="47">
        <v>1</v>
      </c>
      <c r="BV103" s="48" t="s">
        <v>4</v>
      </c>
      <c r="BW103" s="49">
        <v>2</v>
      </c>
      <c r="BX103" s="8"/>
      <c r="BY103" s="42" t="str">
        <f t="shared" si="590"/>
        <v/>
      </c>
      <c r="BZ103" s="43">
        <f t="shared" si="591"/>
        <v>-1</v>
      </c>
      <c r="CA103" s="8"/>
      <c r="CB103" s="47">
        <v>2</v>
      </c>
      <c r="CC103" s="48" t="s">
        <v>4</v>
      </c>
      <c r="CD103" s="49">
        <v>4</v>
      </c>
      <c r="CE103" s="8"/>
      <c r="CF103" s="42" t="str">
        <f t="shared" si="592"/>
        <v/>
      </c>
      <c r="CG103" s="43">
        <f t="shared" si="593"/>
        <v>-2</v>
      </c>
      <c r="CH103" s="8"/>
      <c r="CI103" s="47">
        <v>0</v>
      </c>
      <c r="CJ103" s="48" t="s">
        <v>4</v>
      </c>
      <c r="CK103" s="49">
        <v>2</v>
      </c>
      <c r="CL103" s="8"/>
      <c r="CM103" s="42" t="str">
        <f t="shared" si="594"/>
        <v/>
      </c>
      <c r="CN103" s="43">
        <f t="shared" si="595"/>
        <v>-2</v>
      </c>
      <c r="CO103" s="8"/>
      <c r="CP103" s="47">
        <v>0</v>
      </c>
      <c r="CQ103" s="48" t="s">
        <v>4</v>
      </c>
      <c r="CR103" s="49">
        <v>1</v>
      </c>
      <c r="CS103" s="8"/>
      <c r="CT103" s="42" t="str">
        <f t="shared" si="596"/>
        <v/>
      </c>
      <c r="CU103" s="43">
        <f t="shared" si="597"/>
        <v>-1</v>
      </c>
      <c r="CV103" s="8"/>
      <c r="CW103" s="47">
        <v>2</v>
      </c>
      <c r="CX103" s="48" t="s">
        <v>4</v>
      </c>
      <c r="CY103" s="49">
        <v>3</v>
      </c>
      <c r="CZ103" s="8"/>
      <c r="DA103" s="42" t="str">
        <f t="shared" si="598"/>
        <v/>
      </c>
      <c r="DB103" s="43">
        <f t="shared" si="599"/>
        <v>-1</v>
      </c>
      <c r="DC103" s="8"/>
      <c r="DD103" s="47">
        <v>4</v>
      </c>
      <c r="DE103" s="48" t="s">
        <v>4</v>
      </c>
      <c r="DF103" s="49">
        <v>5</v>
      </c>
      <c r="DG103" s="8"/>
      <c r="DH103" s="42" t="str">
        <f t="shared" si="600"/>
        <v/>
      </c>
      <c r="DI103" s="43">
        <f t="shared" si="601"/>
        <v>-1</v>
      </c>
      <c r="DJ103" s="8"/>
      <c r="DK103" s="47">
        <v>2</v>
      </c>
      <c r="DL103" s="48" t="s">
        <v>4</v>
      </c>
      <c r="DM103" s="49">
        <v>1</v>
      </c>
      <c r="DN103" s="8"/>
      <c r="DO103" s="42" t="str">
        <f t="shared" si="602"/>
        <v/>
      </c>
      <c r="DP103" s="43">
        <f t="shared" si="603"/>
        <v>1</v>
      </c>
      <c r="DQ103" s="8"/>
      <c r="DR103" s="47">
        <v>1</v>
      </c>
      <c r="DS103" s="48" t="s">
        <v>4</v>
      </c>
      <c r="DT103" s="49">
        <v>3</v>
      </c>
      <c r="DU103" s="8"/>
      <c r="DV103" s="42" t="str">
        <f t="shared" si="604"/>
        <v/>
      </c>
      <c r="DW103" s="43">
        <f t="shared" si="605"/>
        <v>-2</v>
      </c>
      <c r="DX103" s="8"/>
      <c r="DY103" s="47">
        <v>2</v>
      </c>
      <c r="DZ103" s="48" t="s">
        <v>4</v>
      </c>
      <c r="EA103" s="49">
        <v>3</v>
      </c>
      <c r="EB103" s="8"/>
      <c r="EC103" s="42" t="str">
        <f t="shared" si="606"/>
        <v/>
      </c>
      <c r="ED103" s="43">
        <f t="shared" si="607"/>
        <v>-1</v>
      </c>
      <c r="EE103" s="8"/>
      <c r="EF103" s="47">
        <v>1</v>
      </c>
      <c r="EG103" s="48" t="s">
        <v>4</v>
      </c>
      <c r="EH103" s="49">
        <v>2</v>
      </c>
      <c r="EI103" s="8"/>
      <c r="EJ103" s="42" t="str">
        <f t="shared" si="608"/>
        <v/>
      </c>
      <c r="EK103" s="43">
        <f t="shared" si="609"/>
        <v>-1</v>
      </c>
      <c r="EL103" s="8"/>
      <c r="EM103" s="47">
        <v>1</v>
      </c>
      <c r="EN103" s="48" t="s">
        <v>4</v>
      </c>
      <c r="EO103" s="49">
        <v>3</v>
      </c>
      <c r="EP103" s="8"/>
      <c r="EQ103" s="42" t="str">
        <f t="shared" si="610"/>
        <v/>
      </c>
      <c r="ER103" s="43">
        <f t="shared" si="611"/>
        <v>-2</v>
      </c>
      <c r="ES103" s="8"/>
      <c r="ET103" s="47">
        <v>4</v>
      </c>
      <c r="EU103" s="48" t="s">
        <v>4</v>
      </c>
      <c r="EV103" s="49">
        <v>5</v>
      </c>
      <c r="EW103" s="8"/>
      <c r="EX103" s="42" t="str">
        <f t="shared" si="612"/>
        <v/>
      </c>
      <c r="EY103" s="43">
        <f t="shared" si="613"/>
        <v>-1</v>
      </c>
      <c r="EZ103" s="8"/>
      <c r="FA103" s="47">
        <v>1</v>
      </c>
      <c r="FB103" s="48" t="s">
        <v>4</v>
      </c>
      <c r="FC103" s="49">
        <v>3</v>
      </c>
      <c r="FD103" s="8"/>
      <c r="FE103" s="42" t="str">
        <f t="shared" si="614"/>
        <v/>
      </c>
      <c r="FF103" s="43">
        <f t="shared" si="615"/>
        <v>-2</v>
      </c>
      <c r="FG103" s="8"/>
      <c r="FH103" s="47">
        <v>2</v>
      </c>
      <c r="FI103" s="48" t="s">
        <v>4</v>
      </c>
      <c r="FJ103" s="49">
        <v>1</v>
      </c>
      <c r="FK103" s="8"/>
      <c r="FL103" s="42" t="str">
        <f t="shared" si="616"/>
        <v/>
      </c>
      <c r="FM103" s="43">
        <f t="shared" si="617"/>
        <v>1</v>
      </c>
      <c r="FN103" s="8"/>
      <c r="FO103" s="47">
        <v>2</v>
      </c>
      <c r="FP103" s="48" t="s">
        <v>4</v>
      </c>
      <c r="FQ103" s="49">
        <v>3</v>
      </c>
      <c r="FR103" s="8"/>
      <c r="FS103" s="42" t="str">
        <f t="shared" si="618"/>
        <v/>
      </c>
      <c r="FT103" s="43">
        <f t="shared" si="619"/>
        <v>-1</v>
      </c>
      <c r="FU103" s="8"/>
      <c r="FV103" s="47">
        <v>2</v>
      </c>
      <c r="FW103" s="48" t="s">
        <v>4</v>
      </c>
      <c r="FX103" s="49">
        <v>1</v>
      </c>
      <c r="FY103" s="8"/>
      <c r="FZ103" s="42" t="str">
        <f t="shared" si="620"/>
        <v/>
      </c>
      <c r="GA103" s="43">
        <f t="shared" si="621"/>
        <v>1</v>
      </c>
      <c r="GB103" s="8"/>
      <c r="GC103" s="47">
        <v>2</v>
      </c>
      <c r="GD103" s="48" t="s">
        <v>4</v>
      </c>
      <c r="GE103" s="49">
        <v>1</v>
      </c>
      <c r="GF103" s="8"/>
      <c r="GG103" s="42" t="str">
        <f t="shared" si="622"/>
        <v/>
      </c>
      <c r="GH103" s="43">
        <f t="shared" si="623"/>
        <v>1</v>
      </c>
      <c r="GI103" s="8"/>
      <c r="GJ103" s="47">
        <v>2</v>
      </c>
      <c r="GK103" s="48" t="s">
        <v>4</v>
      </c>
      <c r="GL103" s="49">
        <v>3</v>
      </c>
      <c r="GM103" s="8"/>
      <c r="GN103" s="42" t="str">
        <f t="shared" si="624"/>
        <v/>
      </c>
      <c r="GO103" s="43">
        <f t="shared" si="625"/>
        <v>-1</v>
      </c>
      <c r="GP103" s="8"/>
      <c r="GQ103" s="47">
        <v>3</v>
      </c>
      <c r="GR103" s="48" t="s">
        <v>4</v>
      </c>
      <c r="GS103" s="49">
        <v>5</v>
      </c>
      <c r="GT103" s="8"/>
      <c r="GU103" s="42" t="str">
        <f t="shared" si="626"/>
        <v/>
      </c>
      <c r="GV103" s="43">
        <f t="shared" si="627"/>
        <v>-2</v>
      </c>
      <c r="GW103" s="8"/>
      <c r="GX103" s="47">
        <v>1</v>
      </c>
      <c r="GY103" s="48" t="s">
        <v>4</v>
      </c>
      <c r="GZ103" s="49">
        <v>2</v>
      </c>
      <c r="HA103" s="8"/>
      <c r="HB103" s="42" t="str">
        <f t="shared" si="628"/>
        <v/>
      </c>
      <c r="HC103" s="43">
        <f t="shared" si="629"/>
        <v>-1</v>
      </c>
      <c r="HD103" s="8"/>
      <c r="HE103" s="47">
        <v>1</v>
      </c>
      <c r="HF103" s="48" t="s">
        <v>4</v>
      </c>
      <c r="HG103" s="49">
        <v>2</v>
      </c>
      <c r="HH103" s="8"/>
      <c r="HI103" s="42" t="str">
        <f t="shared" si="630"/>
        <v/>
      </c>
      <c r="HJ103" s="43">
        <f t="shared" si="631"/>
        <v>-1</v>
      </c>
      <c r="HK103" s="8"/>
      <c r="HL103" s="47">
        <v>1</v>
      </c>
      <c r="HM103" s="48" t="s">
        <v>4</v>
      </c>
      <c r="HN103" s="49">
        <v>3</v>
      </c>
      <c r="HO103" s="8"/>
      <c r="HP103" s="42" t="str">
        <f t="shared" si="632"/>
        <v/>
      </c>
      <c r="HQ103" s="43">
        <f t="shared" si="633"/>
        <v>-2</v>
      </c>
      <c r="HR103" s="8"/>
      <c r="HS103" s="47">
        <v>1</v>
      </c>
      <c r="HT103" s="48" t="s">
        <v>4</v>
      </c>
      <c r="HU103" s="49">
        <v>2</v>
      </c>
      <c r="HV103" s="8"/>
      <c r="HW103" s="42" t="str">
        <f t="shared" si="634"/>
        <v/>
      </c>
      <c r="HX103" s="43">
        <f t="shared" si="635"/>
        <v>-1</v>
      </c>
      <c r="HY103" s="8"/>
      <c r="HZ103" s="47">
        <v>1</v>
      </c>
      <c r="IA103" s="48" t="s">
        <v>4</v>
      </c>
      <c r="IB103" s="49">
        <v>2</v>
      </c>
      <c r="IC103" s="8"/>
      <c r="ID103" s="42" t="str">
        <f t="shared" si="636"/>
        <v/>
      </c>
      <c r="IE103" s="43">
        <f t="shared" si="637"/>
        <v>-1</v>
      </c>
      <c r="IF103" s="8"/>
      <c r="IG103" s="47">
        <v>3</v>
      </c>
      <c r="IH103" s="48" t="s">
        <v>4</v>
      </c>
      <c r="II103" s="49">
        <v>2</v>
      </c>
      <c r="IJ103" s="8"/>
      <c r="IK103" s="42" t="str">
        <f t="shared" si="638"/>
        <v/>
      </c>
      <c r="IL103" s="43">
        <f t="shared" si="639"/>
        <v>1</v>
      </c>
      <c r="IM103" s="8"/>
      <c r="IN103" s="47">
        <v>1</v>
      </c>
      <c r="IO103" s="48" t="s">
        <v>4</v>
      </c>
      <c r="IP103" s="49">
        <v>3</v>
      </c>
      <c r="IQ103" s="8"/>
      <c r="IR103" s="42" t="str">
        <f t="shared" si="640"/>
        <v/>
      </c>
      <c r="IS103" s="43">
        <f t="shared" si="641"/>
        <v>-2</v>
      </c>
      <c r="IT103" s="8"/>
      <c r="IU103" s="47">
        <v>1</v>
      </c>
      <c r="IV103" s="48" t="s">
        <v>4</v>
      </c>
      <c r="IW103" s="49">
        <v>2</v>
      </c>
      <c r="IX103" s="8"/>
      <c r="IY103" s="42" t="str">
        <f t="shared" si="642"/>
        <v/>
      </c>
      <c r="IZ103" s="43">
        <f t="shared" si="643"/>
        <v>-1</v>
      </c>
      <c r="JA103" s="8"/>
      <c r="JB103" s="47">
        <v>1</v>
      </c>
      <c r="JC103" s="48" t="s">
        <v>4</v>
      </c>
      <c r="JD103" s="49">
        <v>3</v>
      </c>
      <c r="JE103" s="8"/>
      <c r="JF103" s="42" t="str">
        <f t="shared" si="644"/>
        <v/>
      </c>
      <c r="JG103" s="43">
        <f t="shared" si="645"/>
        <v>-2</v>
      </c>
      <c r="JH103" s="8"/>
      <c r="JI103" s="47"/>
      <c r="JJ103" s="48" t="s">
        <v>4</v>
      </c>
      <c r="JK103" s="49"/>
      <c r="JL103" s="8"/>
      <c r="JM103" s="42" t="str">
        <f t="shared" si="646"/>
        <v/>
      </c>
      <c r="JN103" s="43">
        <f t="shared" si="647"/>
        <v>0</v>
      </c>
      <c r="JO103" s="8"/>
      <c r="JP103" s="47">
        <v>5</v>
      </c>
      <c r="JQ103" s="48" t="s">
        <v>4</v>
      </c>
      <c r="JR103" s="49">
        <v>6</v>
      </c>
      <c r="JS103" s="8"/>
      <c r="JT103" s="42" t="str">
        <f t="shared" si="648"/>
        <v/>
      </c>
      <c r="JU103" s="43">
        <f t="shared" si="649"/>
        <v>-1</v>
      </c>
      <c r="JV103" s="8"/>
      <c r="JW103" s="47">
        <v>3</v>
      </c>
      <c r="JX103" s="48" t="s">
        <v>4</v>
      </c>
      <c r="JY103" s="49">
        <v>5</v>
      </c>
      <c r="JZ103" s="8"/>
      <c r="KA103" s="42" t="str">
        <f t="shared" si="650"/>
        <v/>
      </c>
      <c r="KB103" s="43">
        <f t="shared" si="651"/>
        <v>-2</v>
      </c>
      <c r="KC103" s="8"/>
      <c r="KD103" s="47"/>
      <c r="KE103" s="48" t="s">
        <v>4</v>
      </c>
      <c r="KF103" s="49"/>
      <c r="KG103" s="8"/>
      <c r="KH103" s="42" t="str">
        <f t="shared" si="652"/>
        <v/>
      </c>
      <c r="KI103" s="43">
        <f t="shared" si="653"/>
        <v>0</v>
      </c>
      <c r="KJ103" s="8"/>
      <c r="KK103" s="47">
        <v>0</v>
      </c>
      <c r="KL103" s="48" t="s">
        <v>4</v>
      </c>
      <c r="KM103" s="49">
        <v>1</v>
      </c>
      <c r="KN103" s="8"/>
      <c r="KO103" s="42" t="str">
        <f t="shared" si="654"/>
        <v/>
      </c>
      <c r="KP103" s="43">
        <f t="shared" si="655"/>
        <v>-1</v>
      </c>
      <c r="KQ103" s="8"/>
      <c r="KR103" s="47">
        <v>4</v>
      </c>
      <c r="KS103" s="48" t="s">
        <v>4</v>
      </c>
      <c r="KT103" s="49">
        <v>5</v>
      </c>
      <c r="KU103" s="8"/>
      <c r="KV103" s="42" t="str">
        <f t="shared" si="656"/>
        <v/>
      </c>
      <c r="KW103" s="43">
        <f t="shared" si="657"/>
        <v>-1</v>
      </c>
      <c r="KX103" s="8"/>
      <c r="KY103" s="47">
        <v>2</v>
      </c>
      <c r="KZ103" s="48" t="s">
        <v>4</v>
      </c>
      <c r="LA103" s="49">
        <v>1</v>
      </c>
      <c r="LB103" s="8"/>
      <c r="LC103" s="42" t="str">
        <f t="shared" si="658"/>
        <v/>
      </c>
      <c r="LD103" s="43">
        <f t="shared" si="659"/>
        <v>1</v>
      </c>
      <c r="LE103" s="8"/>
      <c r="LF103" s="47">
        <v>0</v>
      </c>
      <c r="LG103" s="48" t="s">
        <v>4</v>
      </c>
      <c r="LH103" s="49">
        <v>2</v>
      </c>
      <c r="LI103" s="8"/>
      <c r="LJ103" s="42" t="str">
        <f t="shared" si="660"/>
        <v/>
      </c>
      <c r="LK103" s="43">
        <f t="shared" si="661"/>
        <v>-2</v>
      </c>
      <c r="LL103" s="8"/>
      <c r="LM103" s="47">
        <v>1</v>
      </c>
      <c r="LN103" s="48" t="s">
        <v>4</v>
      </c>
      <c r="LO103" s="49">
        <v>2</v>
      </c>
      <c r="LP103" s="8"/>
      <c r="LQ103" s="42" t="str">
        <f t="shared" si="662"/>
        <v/>
      </c>
      <c r="LR103" s="43">
        <f t="shared" si="663"/>
        <v>-1</v>
      </c>
      <c r="LS103" s="8"/>
      <c r="LT103" s="47">
        <v>0</v>
      </c>
      <c r="LU103" s="48" t="s">
        <v>4</v>
      </c>
      <c r="LV103" s="49">
        <v>2</v>
      </c>
      <c r="LW103" s="8"/>
      <c r="LX103" s="42" t="str">
        <f t="shared" si="664"/>
        <v/>
      </c>
      <c r="LY103" s="43">
        <f t="shared" si="665"/>
        <v>-2</v>
      </c>
      <c r="LZ103" s="8"/>
      <c r="MA103" s="47">
        <v>2</v>
      </c>
      <c r="MB103" s="48" t="s">
        <v>4</v>
      </c>
      <c r="MC103" s="49">
        <v>1</v>
      </c>
      <c r="MD103" s="8"/>
      <c r="ME103" s="42" t="str">
        <f t="shared" si="666"/>
        <v/>
      </c>
      <c r="MF103" s="43">
        <f t="shared" si="667"/>
        <v>1</v>
      </c>
      <c r="MG103" s="8"/>
      <c r="MH103" s="47">
        <v>0</v>
      </c>
      <c r="MI103" s="48" t="s">
        <v>4</v>
      </c>
      <c r="MJ103" s="49">
        <v>3</v>
      </c>
      <c r="MK103" s="8"/>
      <c r="ML103" s="42" t="str">
        <f t="shared" si="668"/>
        <v/>
      </c>
      <c r="MM103" s="43">
        <f t="shared" si="669"/>
        <v>-3</v>
      </c>
      <c r="MN103" s="8"/>
      <c r="MO103" s="47">
        <v>1</v>
      </c>
      <c r="MP103" s="48" t="s">
        <v>4</v>
      </c>
      <c r="MQ103" s="49">
        <v>3</v>
      </c>
      <c r="MR103" s="8"/>
      <c r="MS103" s="42" t="str">
        <f t="shared" si="670"/>
        <v/>
      </c>
      <c r="MT103" s="43">
        <f t="shared" si="671"/>
        <v>-2</v>
      </c>
      <c r="MU103" s="8"/>
      <c r="MV103" s="47">
        <v>1</v>
      </c>
      <c r="MW103" s="48" t="s">
        <v>4</v>
      </c>
      <c r="MX103" s="49">
        <v>2</v>
      </c>
      <c r="MY103" s="8"/>
      <c r="MZ103" s="42" t="str">
        <f t="shared" si="672"/>
        <v/>
      </c>
      <c r="NA103" s="43">
        <f t="shared" si="673"/>
        <v>-1</v>
      </c>
      <c r="NB103" s="8"/>
      <c r="NC103" s="47">
        <v>2</v>
      </c>
      <c r="ND103" s="48" t="s">
        <v>4</v>
      </c>
      <c r="NE103" s="49">
        <v>0</v>
      </c>
      <c r="NF103" s="8"/>
      <c r="NG103" s="42" t="str">
        <f t="shared" si="674"/>
        <v/>
      </c>
      <c r="NH103" s="43">
        <f t="shared" si="675"/>
        <v>2</v>
      </c>
      <c r="NI103" s="8"/>
      <c r="NJ103" s="47"/>
      <c r="NK103" s="48" t="s">
        <v>4</v>
      </c>
      <c r="NL103" s="49"/>
      <c r="NM103" s="8"/>
      <c r="NN103" s="42" t="str">
        <f t="shared" si="676"/>
        <v/>
      </c>
      <c r="NO103" s="43">
        <f t="shared" si="677"/>
        <v>0</v>
      </c>
      <c r="NP103" s="8"/>
      <c r="NQ103" s="47"/>
      <c r="NR103" s="48" t="s">
        <v>4</v>
      </c>
      <c r="NS103" s="49"/>
      <c r="NT103" s="8"/>
      <c r="NU103" s="42" t="str">
        <f t="shared" si="678"/>
        <v/>
      </c>
      <c r="NV103" s="43">
        <f t="shared" si="679"/>
        <v>0</v>
      </c>
      <c r="NW103" s="8"/>
      <c r="NX103" s="47"/>
      <c r="NY103" s="48" t="s">
        <v>4</v>
      </c>
      <c r="NZ103" s="49"/>
      <c r="OA103" s="8"/>
      <c r="OB103" s="42" t="str">
        <f t="shared" si="680"/>
        <v/>
      </c>
      <c r="OC103" s="43">
        <f t="shared" si="681"/>
        <v>0</v>
      </c>
      <c r="OD103" s="8"/>
      <c r="OE103" s="47">
        <v>0</v>
      </c>
      <c r="OF103" s="48" t="s">
        <v>4</v>
      </c>
      <c r="OG103" s="49">
        <v>2</v>
      </c>
      <c r="OH103" s="8"/>
      <c r="OI103" s="42" t="str">
        <f t="shared" si="682"/>
        <v/>
      </c>
      <c r="OJ103" s="43">
        <f t="shared" si="683"/>
        <v>-2</v>
      </c>
      <c r="OK103" s="8"/>
      <c r="OL103" s="47">
        <v>4</v>
      </c>
      <c r="OM103" s="48" t="s">
        <v>4</v>
      </c>
      <c r="ON103" s="49">
        <v>5</v>
      </c>
      <c r="OO103" s="8"/>
      <c r="OP103" s="42" t="str">
        <f t="shared" si="684"/>
        <v/>
      </c>
      <c r="OQ103" s="43">
        <f t="shared" si="685"/>
        <v>-1</v>
      </c>
      <c r="OR103" s="8"/>
      <c r="OS103" s="47"/>
      <c r="OT103" s="48" t="s">
        <v>4</v>
      </c>
      <c r="OU103" s="49"/>
      <c r="OV103" s="8"/>
      <c r="OW103" s="42" t="str">
        <f t="shared" si="686"/>
        <v/>
      </c>
      <c r="OX103" s="43">
        <f t="shared" si="687"/>
        <v>0</v>
      </c>
      <c r="OY103" s="8"/>
      <c r="OZ103" s="47">
        <v>1</v>
      </c>
      <c r="PA103" s="48" t="s">
        <v>4</v>
      </c>
      <c r="PB103" s="49">
        <v>2</v>
      </c>
      <c r="PC103" s="8"/>
      <c r="PD103" s="42" t="str">
        <f t="shared" si="688"/>
        <v/>
      </c>
      <c r="PE103" s="43">
        <f t="shared" si="689"/>
        <v>-1</v>
      </c>
      <c r="PF103" s="8"/>
      <c r="PG103" s="47">
        <v>5</v>
      </c>
      <c r="PH103" s="48" t="s">
        <v>4</v>
      </c>
      <c r="PI103" s="49">
        <v>4</v>
      </c>
      <c r="PJ103" s="8"/>
      <c r="PK103" s="42" t="str">
        <f t="shared" si="690"/>
        <v/>
      </c>
      <c r="PL103" s="43">
        <f t="shared" si="691"/>
        <v>1</v>
      </c>
      <c r="PM103" s="8"/>
      <c r="PN103" s="47">
        <v>1</v>
      </c>
      <c r="PO103" s="48" t="s">
        <v>4</v>
      </c>
      <c r="PP103" s="49">
        <v>2</v>
      </c>
      <c r="PQ103" s="8"/>
      <c r="PR103" s="42" t="str">
        <f t="shared" si="692"/>
        <v/>
      </c>
      <c r="PS103" s="43">
        <f t="shared" si="693"/>
        <v>-1</v>
      </c>
      <c r="PT103" s="8"/>
      <c r="PU103" s="47">
        <v>2</v>
      </c>
      <c r="PV103" s="48" t="s">
        <v>4</v>
      </c>
      <c r="PW103" s="49">
        <v>3</v>
      </c>
      <c r="PX103" s="8"/>
      <c r="PY103" s="42" t="str">
        <f t="shared" si="694"/>
        <v/>
      </c>
      <c r="PZ103" s="43">
        <f t="shared" si="695"/>
        <v>-1</v>
      </c>
      <c r="QA103" s="8"/>
      <c r="QB103" s="47">
        <v>1</v>
      </c>
      <c r="QC103" s="48" t="s">
        <v>4</v>
      </c>
      <c r="QD103" s="49">
        <v>2</v>
      </c>
      <c r="QE103" s="8"/>
      <c r="QF103" s="42" t="str">
        <f t="shared" si="696"/>
        <v/>
      </c>
      <c r="QG103" s="43">
        <f t="shared" si="697"/>
        <v>-1</v>
      </c>
      <c r="QH103" s="8"/>
      <c r="QI103" s="47">
        <v>4</v>
      </c>
      <c r="QJ103" s="48" t="s">
        <v>4</v>
      </c>
      <c r="QK103" s="49">
        <v>5</v>
      </c>
      <c r="QL103" s="8"/>
      <c r="QM103" s="42" t="str">
        <f t="shared" si="698"/>
        <v/>
      </c>
      <c r="QN103" s="43">
        <f t="shared" si="699"/>
        <v>-1</v>
      </c>
      <c r="QO103" s="8"/>
      <c r="QP103" s="47"/>
      <c r="QQ103" s="48" t="s">
        <v>4</v>
      </c>
      <c r="QR103" s="49"/>
      <c r="QS103" s="8"/>
      <c r="QT103" s="42" t="str">
        <f t="shared" si="700"/>
        <v/>
      </c>
      <c r="QU103" s="43">
        <f t="shared" si="701"/>
        <v>0</v>
      </c>
      <c r="QV103" s="8"/>
      <c r="QW103" s="47"/>
      <c r="QX103" s="48" t="s">
        <v>4</v>
      </c>
      <c r="QY103" s="49"/>
      <c r="QZ103" s="8"/>
      <c r="RA103" s="42" t="str">
        <f t="shared" si="702"/>
        <v/>
      </c>
      <c r="RB103" s="43">
        <f t="shared" si="703"/>
        <v>0</v>
      </c>
      <c r="RC103" s="8"/>
      <c r="RD103" s="47"/>
      <c r="RE103" s="48" t="s">
        <v>4</v>
      </c>
      <c r="RF103" s="49"/>
      <c r="RG103" s="8"/>
      <c r="RH103" s="42" t="str">
        <f t="shared" si="704"/>
        <v/>
      </c>
      <c r="RI103" s="43">
        <f t="shared" si="705"/>
        <v>0</v>
      </c>
      <c r="RJ103" s="8"/>
      <c r="RK103" s="47"/>
      <c r="RL103" s="48" t="s">
        <v>4</v>
      </c>
      <c r="RM103" s="49"/>
      <c r="RN103" s="8"/>
      <c r="RO103" s="42" t="str">
        <f t="shared" si="706"/>
        <v/>
      </c>
      <c r="RP103" s="43">
        <f t="shared" si="707"/>
        <v>0</v>
      </c>
      <c r="RQ103" s="8"/>
      <c r="RR103" s="47"/>
      <c r="RS103" s="48" t="s">
        <v>4</v>
      </c>
      <c r="RT103" s="49"/>
      <c r="RU103" s="8"/>
      <c r="RV103" s="42" t="str">
        <f t="shared" si="708"/>
        <v/>
      </c>
      <c r="RW103" s="43">
        <f t="shared" si="709"/>
        <v>0</v>
      </c>
      <c r="RX103" s="8"/>
      <c r="RY103" s="47"/>
      <c r="RZ103" s="48" t="s">
        <v>4</v>
      </c>
      <c r="SA103" s="49"/>
      <c r="SB103" s="8"/>
      <c r="SC103" s="42" t="str">
        <f t="shared" si="710"/>
        <v/>
      </c>
      <c r="SD103" s="43">
        <f t="shared" si="711"/>
        <v>0</v>
      </c>
      <c r="SE103" s="8"/>
      <c r="SF103" s="47"/>
      <c r="SG103" s="48" t="s">
        <v>4</v>
      </c>
      <c r="SH103" s="49"/>
      <c r="SI103" s="8"/>
      <c r="SJ103" s="42" t="str">
        <f t="shared" si="712"/>
        <v/>
      </c>
      <c r="SK103" s="43">
        <f t="shared" si="713"/>
        <v>0</v>
      </c>
      <c r="SL103" s="8"/>
      <c r="SM103" s="47"/>
      <c r="SN103" s="48" t="s">
        <v>4</v>
      </c>
      <c r="SO103" s="49"/>
      <c r="SP103" s="8"/>
      <c r="SQ103" s="42" t="str">
        <f t="shared" si="714"/>
        <v/>
      </c>
      <c r="SR103" s="43">
        <f t="shared" si="715"/>
        <v>0</v>
      </c>
    </row>
    <row r="104" spans="1:512" ht="16" customHeight="1" x14ac:dyDescent="0.15">
      <c r="A104" s="51">
        <v>46209</v>
      </c>
      <c r="B104" s="46">
        <v>0.875</v>
      </c>
      <c r="C104" s="82" t="s">
        <v>9</v>
      </c>
      <c r="D104" s="82" t="s">
        <v>3</v>
      </c>
      <c r="E104" s="2"/>
      <c r="F104" s="50" t="s">
        <v>4</v>
      </c>
      <c r="G104" s="1"/>
      <c r="H104" s="16">
        <v>8</v>
      </c>
      <c r="I104" s="32">
        <f t="shared" si="429"/>
        <v>0</v>
      </c>
      <c r="J104" s="47"/>
      <c r="K104" s="48" t="s">
        <v>4</v>
      </c>
      <c r="L104" s="49"/>
      <c r="M104" s="8"/>
      <c r="N104" s="42" t="str">
        <f t="shared" si="430"/>
        <v/>
      </c>
      <c r="O104" s="43">
        <f t="shared" si="431"/>
        <v>0</v>
      </c>
      <c r="Q104" s="47"/>
      <c r="R104" s="48" t="s">
        <v>4</v>
      </c>
      <c r="S104" s="49"/>
      <c r="T104" s="8"/>
      <c r="U104" s="42" t="str">
        <f t="shared" si="574"/>
        <v/>
      </c>
      <c r="V104" s="43">
        <f t="shared" si="575"/>
        <v>0</v>
      </c>
      <c r="W104" s="8"/>
      <c r="X104" s="47"/>
      <c r="Y104" s="48" t="s">
        <v>4</v>
      </c>
      <c r="Z104" s="49"/>
      <c r="AA104" s="8"/>
      <c r="AB104" s="42" t="str">
        <f t="shared" si="576"/>
        <v/>
      </c>
      <c r="AC104" s="43">
        <f t="shared" si="577"/>
        <v>0</v>
      </c>
      <c r="AD104" s="8"/>
      <c r="AE104" s="47">
        <v>2</v>
      </c>
      <c r="AF104" s="48" t="s">
        <v>4</v>
      </c>
      <c r="AG104" s="49">
        <v>3</v>
      </c>
      <c r="AH104" s="8"/>
      <c r="AI104" s="42" t="str">
        <f t="shared" si="578"/>
        <v/>
      </c>
      <c r="AJ104" s="43">
        <f t="shared" si="579"/>
        <v>-1</v>
      </c>
      <c r="AK104" s="8"/>
      <c r="AL104" s="47">
        <v>5</v>
      </c>
      <c r="AM104" s="48" t="s">
        <v>4</v>
      </c>
      <c r="AN104" s="49">
        <v>4</v>
      </c>
      <c r="AO104" s="8"/>
      <c r="AP104" s="42" t="str">
        <f t="shared" si="580"/>
        <v/>
      </c>
      <c r="AQ104" s="43">
        <f t="shared" si="581"/>
        <v>1</v>
      </c>
      <c r="AR104" s="8"/>
      <c r="AS104" s="47">
        <v>2</v>
      </c>
      <c r="AT104" s="48" t="s">
        <v>4</v>
      </c>
      <c r="AU104" s="49">
        <v>3</v>
      </c>
      <c r="AV104" s="8"/>
      <c r="AW104" s="42" t="str">
        <f t="shared" si="582"/>
        <v/>
      </c>
      <c r="AX104" s="43">
        <f t="shared" si="583"/>
        <v>-1</v>
      </c>
      <c r="AY104" s="8"/>
      <c r="AZ104" s="47">
        <v>0</v>
      </c>
      <c r="BA104" s="48" t="s">
        <v>4</v>
      </c>
      <c r="BB104" s="49">
        <v>1</v>
      </c>
      <c r="BC104" s="8"/>
      <c r="BD104" s="42" t="str">
        <f t="shared" si="584"/>
        <v/>
      </c>
      <c r="BE104" s="43">
        <f t="shared" si="585"/>
        <v>-1</v>
      </c>
      <c r="BF104" s="8"/>
      <c r="BG104" s="47">
        <v>1</v>
      </c>
      <c r="BH104" s="48" t="s">
        <v>4</v>
      </c>
      <c r="BI104" s="49">
        <v>3</v>
      </c>
      <c r="BJ104" s="8"/>
      <c r="BK104" s="42" t="str">
        <f t="shared" si="586"/>
        <v/>
      </c>
      <c r="BL104" s="43">
        <f t="shared" si="587"/>
        <v>-2</v>
      </c>
      <c r="BM104" s="8"/>
      <c r="BN104" s="47">
        <v>1</v>
      </c>
      <c r="BO104" s="48" t="s">
        <v>4</v>
      </c>
      <c r="BP104" s="49">
        <v>2</v>
      </c>
      <c r="BQ104" s="8"/>
      <c r="BR104" s="42" t="str">
        <f t="shared" si="588"/>
        <v/>
      </c>
      <c r="BS104" s="43">
        <f t="shared" si="589"/>
        <v>-1</v>
      </c>
      <c r="BT104" s="8"/>
      <c r="BU104" s="47">
        <v>0</v>
      </c>
      <c r="BV104" s="48" t="s">
        <v>4</v>
      </c>
      <c r="BW104" s="49">
        <v>2</v>
      </c>
      <c r="BX104" s="8"/>
      <c r="BY104" s="42" t="str">
        <f t="shared" si="590"/>
        <v/>
      </c>
      <c r="BZ104" s="43">
        <f t="shared" si="591"/>
        <v>-2</v>
      </c>
      <c r="CA104" s="8"/>
      <c r="CB104" s="47">
        <v>1</v>
      </c>
      <c r="CC104" s="48" t="s">
        <v>4</v>
      </c>
      <c r="CD104" s="49">
        <v>4</v>
      </c>
      <c r="CE104" s="8"/>
      <c r="CF104" s="42" t="str">
        <f t="shared" si="592"/>
        <v/>
      </c>
      <c r="CG104" s="43">
        <f t="shared" si="593"/>
        <v>-3</v>
      </c>
      <c r="CH104" s="8"/>
      <c r="CI104" s="47">
        <v>2</v>
      </c>
      <c r="CJ104" s="48" t="s">
        <v>4</v>
      </c>
      <c r="CK104" s="49">
        <v>1</v>
      </c>
      <c r="CL104" s="8"/>
      <c r="CM104" s="42" t="str">
        <f t="shared" si="594"/>
        <v/>
      </c>
      <c r="CN104" s="43">
        <f t="shared" si="595"/>
        <v>1</v>
      </c>
      <c r="CO104" s="8"/>
      <c r="CP104" s="47">
        <v>2</v>
      </c>
      <c r="CQ104" s="48" t="s">
        <v>4</v>
      </c>
      <c r="CR104" s="49">
        <v>1</v>
      </c>
      <c r="CS104" s="8"/>
      <c r="CT104" s="42" t="str">
        <f t="shared" si="596"/>
        <v/>
      </c>
      <c r="CU104" s="43">
        <f t="shared" si="597"/>
        <v>1</v>
      </c>
      <c r="CV104" s="8"/>
      <c r="CW104" s="47">
        <v>1</v>
      </c>
      <c r="CX104" s="48" t="s">
        <v>4</v>
      </c>
      <c r="CY104" s="49">
        <v>2</v>
      </c>
      <c r="CZ104" s="8"/>
      <c r="DA104" s="42" t="str">
        <f t="shared" si="598"/>
        <v/>
      </c>
      <c r="DB104" s="43">
        <f t="shared" si="599"/>
        <v>-1</v>
      </c>
      <c r="DC104" s="8"/>
      <c r="DD104" s="47">
        <v>1</v>
      </c>
      <c r="DE104" s="48" t="s">
        <v>4</v>
      </c>
      <c r="DF104" s="49">
        <v>2</v>
      </c>
      <c r="DG104" s="8"/>
      <c r="DH104" s="42" t="str">
        <f t="shared" si="600"/>
        <v/>
      </c>
      <c r="DI104" s="43">
        <f t="shared" si="601"/>
        <v>-1</v>
      </c>
      <c r="DJ104" s="8"/>
      <c r="DK104" s="47">
        <v>0</v>
      </c>
      <c r="DL104" s="48" t="s">
        <v>4</v>
      </c>
      <c r="DM104" s="49">
        <v>2</v>
      </c>
      <c r="DN104" s="8"/>
      <c r="DO104" s="42" t="str">
        <f t="shared" si="602"/>
        <v/>
      </c>
      <c r="DP104" s="43">
        <f t="shared" si="603"/>
        <v>-2</v>
      </c>
      <c r="DQ104" s="8"/>
      <c r="DR104" s="47">
        <v>2</v>
      </c>
      <c r="DS104" s="48" t="s">
        <v>4</v>
      </c>
      <c r="DT104" s="49">
        <v>3</v>
      </c>
      <c r="DU104" s="8"/>
      <c r="DV104" s="42" t="str">
        <f t="shared" si="604"/>
        <v/>
      </c>
      <c r="DW104" s="43">
        <f t="shared" si="605"/>
        <v>-1</v>
      </c>
      <c r="DX104" s="8"/>
      <c r="DY104" s="47">
        <v>6</v>
      </c>
      <c r="DZ104" s="48" t="s">
        <v>4</v>
      </c>
      <c r="EA104" s="49">
        <v>5</v>
      </c>
      <c r="EB104" s="8"/>
      <c r="EC104" s="42" t="str">
        <f t="shared" si="606"/>
        <v/>
      </c>
      <c r="ED104" s="43">
        <f t="shared" si="607"/>
        <v>1</v>
      </c>
      <c r="EE104" s="8"/>
      <c r="EF104" s="47">
        <v>1</v>
      </c>
      <c r="EG104" s="48" t="s">
        <v>4</v>
      </c>
      <c r="EH104" s="49">
        <v>2</v>
      </c>
      <c r="EI104" s="8"/>
      <c r="EJ104" s="42" t="str">
        <f t="shared" si="608"/>
        <v/>
      </c>
      <c r="EK104" s="43">
        <f t="shared" si="609"/>
        <v>-1</v>
      </c>
      <c r="EL104" s="8"/>
      <c r="EM104" s="47">
        <v>1</v>
      </c>
      <c r="EN104" s="48" t="s">
        <v>4</v>
      </c>
      <c r="EO104" s="49">
        <v>2</v>
      </c>
      <c r="EP104" s="8"/>
      <c r="EQ104" s="42" t="str">
        <f t="shared" si="610"/>
        <v/>
      </c>
      <c r="ER104" s="43">
        <f t="shared" si="611"/>
        <v>-1</v>
      </c>
      <c r="ES104" s="8"/>
      <c r="ET104" s="47">
        <v>3</v>
      </c>
      <c r="EU104" s="48" t="s">
        <v>4</v>
      </c>
      <c r="EV104" s="49">
        <v>5</v>
      </c>
      <c r="EW104" s="8"/>
      <c r="EX104" s="42" t="str">
        <f t="shared" si="612"/>
        <v/>
      </c>
      <c r="EY104" s="43">
        <f t="shared" si="613"/>
        <v>-2</v>
      </c>
      <c r="EZ104" s="8"/>
      <c r="FA104" s="47">
        <v>1</v>
      </c>
      <c r="FB104" s="48" t="s">
        <v>4</v>
      </c>
      <c r="FC104" s="49">
        <v>0</v>
      </c>
      <c r="FD104" s="8"/>
      <c r="FE104" s="42" t="str">
        <f t="shared" si="614"/>
        <v/>
      </c>
      <c r="FF104" s="43">
        <f t="shared" si="615"/>
        <v>1</v>
      </c>
      <c r="FG104" s="8"/>
      <c r="FH104" s="47">
        <v>1</v>
      </c>
      <c r="FI104" s="48" t="s">
        <v>4</v>
      </c>
      <c r="FJ104" s="49">
        <v>2</v>
      </c>
      <c r="FK104" s="8"/>
      <c r="FL104" s="42" t="str">
        <f t="shared" si="616"/>
        <v/>
      </c>
      <c r="FM104" s="43">
        <f t="shared" si="617"/>
        <v>-1</v>
      </c>
      <c r="FN104" s="8"/>
      <c r="FO104" s="47">
        <v>0</v>
      </c>
      <c r="FP104" s="48" t="s">
        <v>4</v>
      </c>
      <c r="FQ104" s="49">
        <v>2</v>
      </c>
      <c r="FR104" s="8"/>
      <c r="FS104" s="42" t="str">
        <f t="shared" si="618"/>
        <v/>
      </c>
      <c r="FT104" s="43">
        <f t="shared" si="619"/>
        <v>-2</v>
      </c>
      <c r="FU104" s="8"/>
      <c r="FV104" s="47">
        <v>0</v>
      </c>
      <c r="FW104" s="48" t="s">
        <v>4</v>
      </c>
      <c r="FX104" s="49">
        <v>2</v>
      </c>
      <c r="FY104" s="8"/>
      <c r="FZ104" s="42" t="str">
        <f t="shared" si="620"/>
        <v/>
      </c>
      <c r="GA104" s="43">
        <f t="shared" si="621"/>
        <v>-2</v>
      </c>
      <c r="GB104" s="8"/>
      <c r="GC104" s="47">
        <v>2</v>
      </c>
      <c r="GD104" s="48" t="s">
        <v>4</v>
      </c>
      <c r="GE104" s="49">
        <v>1</v>
      </c>
      <c r="GF104" s="8"/>
      <c r="GG104" s="42" t="str">
        <f t="shared" si="622"/>
        <v/>
      </c>
      <c r="GH104" s="43">
        <f t="shared" si="623"/>
        <v>1</v>
      </c>
      <c r="GI104" s="8"/>
      <c r="GJ104" s="47">
        <v>2</v>
      </c>
      <c r="GK104" s="48" t="s">
        <v>4</v>
      </c>
      <c r="GL104" s="49">
        <v>1</v>
      </c>
      <c r="GM104" s="8"/>
      <c r="GN104" s="42" t="str">
        <f t="shared" si="624"/>
        <v/>
      </c>
      <c r="GO104" s="43">
        <f t="shared" si="625"/>
        <v>1</v>
      </c>
      <c r="GP104" s="8"/>
      <c r="GQ104" s="47">
        <v>5</v>
      </c>
      <c r="GR104" s="48" t="s">
        <v>4</v>
      </c>
      <c r="GS104" s="49">
        <v>4</v>
      </c>
      <c r="GT104" s="8"/>
      <c r="GU104" s="42" t="str">
        <f t="shared" si="626"/>
        <v/>
      </c>
      <c r="GV104" s="43">
        <f t="shared" si="627"/>
        <v>1</v>
      </c>
      <c r="GW104" s="8"/>
      <c r="GX104" s="47">
        <v>1</v>
      </c>
      <c r="GY104" s="48" t="s">
        <v>4</v>
      </c>
      <c r="GZ104" s="49">
        <v>3</v>
      </c>
      <c r="HA104" s="8"/>
      <c r="HB104" s="42" t="str">
        <f t="shared" si="628"/>
        <v/>
      </c>
      <c r="HC104" s="43">
        <f t="shared" si="629"/>
        <v>-2</v>
      </c>
      <c r="HD104" s="8"/>
      <c r="HE104" s="47">
        <v>1</v>
      </c>
      <c r="HF104" s="48" t="s">
        <v>4</v>
      </c>
      <c r="HG104" s="49">
        <v>2</v>
      </c>
      <c r="HH104" s="8"/>
      <c r="HI104" s="42" t="str">
        <f t="shared" si="630"/>
        <v/>
      </c>
      <c r="HJ104" s="43">
        <f t="shared" si="631"/>
        <v>-1</v>
      </c>
      <c r="HK104" s="8"/>
      <c r="HL104" s="47">
        <v>1</v>
      </c>
      <c r="HM104" s="48" t="s">
        <v>4</v>
      </c>
      <c r="HN104" s="49">
        <v>3</v>
      </c>
      <c r="HO104" s="8"/>
      <c r="HP104" s="42" t="str">
        <f t="shared" si="632"/>
        <v/>
      </c>
      <c r="HQ104" s="43">
        <f t="shared" si="633"/>
        <v>-2</v>
      </c>
      <c r="HR104" s="8"/>
      <c r="HS104" s="47">
        <v>1</v>
      </c>
      <c r="HT104" s="48" t="s">
        <v>4</v>
      </c>
      <c r="HU104" s="49">
        <v>3</v>
      </c>
      <c r="HV104" s="8"/>
      <c r="HW104" s="42" t="str">
        <f t="shared" si="634"/>
        <v/>
      </c>
      <c r="HX104" s="43">
        <f t="shared" si="635"/>
        <v>-2</v>
      </c>
      <c r="HY104" s="8"/>
      <c r="HZ104" s="47">
        <v>2</v>
      </c>
      <c r="IA104" s="48" t="s">
        <v>4</v>
      </c>
      <c r="IB104" s="49">
        <v>3</v>
      </c>
      <c r="IC104" s="8"/>
      <c r="ID104" s="42" t="str">
        <f t="shared" si="636"/>
        <v/>
      </c>
      <c r="IE104" s="43">
        <f t="shared" si="637"/>
        <v>-1</v>
      </c>
      <c r="IF104" s="8"/>
      <c r="IG104" s="47">
        <v>1</v>
      </c>
      <c r="IH104" s="48" t="s">
        <v>4</v>
      </c>
      <c r="II104" s="49">
        <v>2</v>
      </c>
      <c r="IJ104" s="8"/>
      <c r="IK104" s="42" t="str">
        <f t="shared" si="638"/>
        <v/>
      </c>
      <c r="IL104" s="43">
        <f t="shared" si="639"/>
        <v>-1</v>
      </c>
      <c r="IM104" s="8"/>
      <c r="IN104" s="47">
        <v>0</v>
      </c>
      <c r="IO104" s="48" t="s">
        <v>4</v>
      </c>
      <c r="IP104" s="49">
        <v>2</v>
      </c>
      <c r="IQ104" s="8"/>
      <c r="IR104" s="42" t="str">
        <f t="shared" si="640"/>
        <v/>
      </c>
      <c r="IS104" s="43">
        <f t="shared" si="641"/>
        <v>-2</v>
      </c>
      <c r="IT104" s="8"/>
      <c r="IU104" s="47">
        <v>1</v>
      </c>
      <c r="IV104" s="48" t="s">
        <v>4</v>
      </c>
      <c r="IW104" s="49">
        <v>2</v>
      </c>
      <c r="IX104" s="8"/>
      <c r="IY104" s="42" t="str">
        <f t="shared" si="642"/>
        <v/>
      </c>
      <c r="IZ104" s="43">
        <f t="shared" si="643"/>
        <v>-1</v>
      </c>
      <c r="JA104" s="8"/>
      <c r="JB104" s="47">
        <v>4</v>
      </c>
      <c r="JC104" s="48" t="s">
        <v>4</v>
      </c>
      <c r="JD104" s="49">
        <v>3</v>
      </c>
      <c r="JE104" s="8"/>
      <c r="JF104" s="42" t="str">
        <f t="shared" si="644"/>
        <v/>
      </c>
      <c r="JG104" s="43">
        <f t="shared" si="645"/>
        <v>1</v>
      </c>
      <c r="JH104" s="8"/>
      <c r="JI104" s="47"/>
      <c r="JJ104" s="48" t="s">
        <v>4</v>
      </c>
      <c r="JK104" s="49"/>
      <c r="JL104" s="8"/>
      <c r="JM104" s="42" t="str">
        <f t="shared" si="646"/>
        <v/>
      </c>
      <c r="JN104" s="43">
        <f t="shared" si="647"/>
        <v>0</v>
      </c>
      <c r="JO104" s="8"/>
      <c r="JP104" s="47">
        <v>3</v>
      </c>
      <c r="JQ104" s="48" t="s">
        <v>4</v>
      </c>
      <c r="JR104" s="49">
        <v>2</v>
      </c>
      <c r="JS104" s="8"/>
      <c r="JT104" s="42" t="str">
        <f t="shared" si="648"/>
        <v/>
      </c>
      <c r="JU104" s="43">
        <f t="shared" si="649"/>
        <v>1</v>
      </c>
      <c r="JV104" s="8"/>
      <c r="JW104" s="47">
        <v>1</v>
      </c>
      <c r="JX104" s="48" t="s">
        <v>4</v>
      </c>
      <c r="JY104" s="49">
        <v>2</v>
      </c>
      <c r="JZ104" s="8"/>
      <c r="KA104" s="42" t="str">
        <f t="shared" si="650"/>
        <v/>
      </c>
      <c r="KB104" s="43">
        <f t="shared" si="651"/>
        <v>-1</v>
      </c>
      <c r="KC104" s="8"/>
      <c r="KD104" s="47"/>
      <c r="KE104" s="48" t="s">
        <v>4</v>
      </c>
      <c r="KF104" s="49"/>
      <c r="KG104" s="8"/>
      <c r="KH104" s="42" t="str">
        <f t="shared" si="652"/>
        <v/>
      </c>
      <c r="KI104" s="43">
        <f t="shared" si="653"/>
        <v>0</v>
      </c>
      <c r="KJ104" s="8"/>
      <c r="KK104" s="47">
        <v>1</v>
      </c>
      <c r="KL104" s="48" t="s">
        <v>4</v>
      </c>
      <c r="KM104" s="49">
        <v>2</v>
      </c>
      <c r="KN104" s="8"/>
      <c r="KO104" s="42" t="str">
        <f t="shared" si="654"/>
        <v/>
      </c>
      <c r="KP104" s="43">
        <f t="shared" si="655"/>
        <v>-1</v>
      </c>
      <c r="KQ104" s="8"/>
      <c r="KR104" s="47">
        <v>1</v>
      </c>
      <c r="KS104" s="48" t="s">
        <v>4</v>
      </c>
      <c r="KT104" s="49">
        <v>2</v>
      </c>
      <c r="KU104" s="8"/>
      <c r="KV104" s="42" t="str">
        <f t="shared" si="656"/>
        <v/>
      </c>
      <c r="KW104" s="43">
        <f t="shared" si="657"/>
        <v>-1</v>
      </c>
      <c r="KX104" s="8"/>
      <c r="KY104" s="47">
        <v>2</v>
      </c>
      <c r="KZ104" s="48" t="s">
        <v>4</v>
      </c>
      <c r="LA104" s="49">
        <v>1</v>
      </c>
      <c r="LB104" s="8"/>
      <c r="LC104" s="42" t="str">
        <f t="shared" si="658"/>
        <v/>
      </c>
      <c r="LD104" s="43">
        <f t="shared" si="659"/>
        <v>1</v>
      </c>
      <c r="LE104" s="8"/>
      <c r="LF104" s="47">
        <v>1</v>
      </c>
      <c r="LG104" s="48" t="s">
        <v>4</v>
      </c>
      <c r="LH104" s="49">
        <v>2</v>
      </c>
      <c r="LI104" s="8"/>
      <c r="LJ104" s="42" t="str">
        <f t="shared" si="660"/>
        <v/>
      </c>
      <c r="LK104" s="43">
        <f t="shared" si="661"/>
        <v>-1</v>
      </c>
      <c r="LL104" s="8"/>
      <c r="LM104" s="47">
        <v>5</v>
      </c>
      <c r="LN104" s="48" t="s">
        <v>4</v>
      </c>
      <c r="LO104" s="49">
        <v>6</v>
      </c>
      <c r="LP104" s="8"/>
      <c r="LQ104" s="42" t="str">
        <f t="shared" si="662"/>
        <v/>
      </c>
      <c r="LR104" s="43">
        <f t="shared" si="663"/>
        <v>-1</v>
      </c>
      <c r="LS104" s="8"/>
      <c r="LT104" s="47">
        <v>2</v>
      </c>
      <c r="LU104" s="48" t="s">
        <v>4</v>
      </c>
      <c r="LV104" s="49">
        <v>1</v>
      </c>
      <c r="LW104" s="8"/>
      <c r="LX104" s="42" t="str">
        <f t="shared" si="664"/>
        <v/>
      </c>
      <c r="LY104" s="43">
        <f t="shared" si="665"/>
        <v>1</v>
      </c>
      <c r="LZ104" s="8"/>
      <c r="MA104" s="47">
        <v>1</v>
      </c>
      <c r="MB104" s="48" t="s">
        <v>4</v>
      </c>
      <c r="MC104" s="49">
        <v>3</v>
      </c>
      <c r="MD104" s="8"/>
      <c r="ME104" s="42" t="str">
        <f t="shared" si="666"/>
        <v/>
      </c>
      <c r="MF104" s="43">
        <f t="shared" si="667"/>
        <v>-2</v>
      </c>
      <c r="MG104" s="8"/>
      <c r="MH104" s="47">
        <v>1</v>
      </c>
      <c r="MI104" s="48" t="s">
        <v>4</v>
      </c>
      <c r="MJ104" s="49">
        <v>3</v>
      </c>
      <c r="MK104" s="8"/>
      <c r="ML104" s="42" t="str">
        <f t="shared" si="668"/>
        <v/>
      </c>
      <c r="MM104" s="43">
        <f t="shared" si="669"/>
        <v>-2</v>
      </c>
      <c r="MN104" s="8"/>
      <c r="MO104" s="47">
        <v>1</v>
      </c>
      <c r="MP104" s="48" t="s">
        <v>4</v>
      </c>
      <c r="MQ104" s="49">
        <v>2</v>
      </c>
      <c r="MR104" s="8"/>
      <c r="MS104" s="42" t="str">
        <f t="shared" si="670"/>
        <v/>
      </c>
      <c r="MT104" s="43">
        <f t="shared" si="671"/>
        <v>-1</v>
      </c>
      <c r="MU104" s="8"/>
      <c r="MV104" s="47">
        <v>2</v>
      </c>
      <c r="MW104" s="48" t="s">
        <v>4</v>
      </c>
      <c r="MX104" s="49">
        <v>3</v>
      </c>
      <c r="MY104" s="8"/>
      <c r="MZ104" s="42" t="str">
        <f t="shared" si="672"/>
        <v/>
      </c>
      <c r="NA104" s="43">
        <f t="shared" si="673"/>
        <v>-1</v>
      </c>
      <c r="NB104" s="8"/>
      <c r="NC104" s="47">
        <v>3</v>
      </c>
      <c r="ND104" s="48" t="s">
        <v>4</v>
      </c>
      <c r="NE104" s="49">
        <v>2</v>
      </c>
      <c r="NF104" s="8"/>
      <c r="NG104" s="42" t="str">
        <f t="shared" si="674"/>
        <v/>
      </c>
      <c r="NH104" s="43">
        <f t="shared" si="675"/>
        <v>1</v>
      </c>
      <c r="NI104" s="8"/>
      <c r="NJ104" s="47"/>
      <c r="NK104" s="48" t="s">
        <v>4</v>
      </c>
      <c r="NL104" s="49"/>
      <c r="NM104" s="8"/>
      <c r="NN104" s="42" t="str">
        <f t="shared" si="676"/>
        <v/>
      </c>
      <c r="NO104" s="43">
        <f t="shared" si="677"/>
        <v>0</v>
      </c>
      <c r="NP104" s="8"/>
      <c r="NQ104" s="47"/>
      <c r="NR104" s="48" t="s">
        <v>4</v>
      </c>
      <c r="NS104" s="49"/>
      <c r="NT104" s="8"/>
      <c r="NU104" s="42" t="str">
        <f t="shared" si="678"/>
        <v/>
      </c>
      <c r="NV104" s="43">
        <f t="shared" si="679"/>
        <v>0</v>
      </c>
      <c r="NW104" s="8"/>
      <c r="NX104" s="47"/>
      <c r="NY104" s="48" t="s">
        <v>4</v>
      </c>
      <c r="NZ104" s="49"/>
      <c r="OA104" s="8"/>
      <c r="OB104" s="42" t="str">
        <f t="shared" si="680"/>
        <v/>
      </c>
      <c r="OC104" s="43">
        <f t="shared" si="681"/>
        <v>0</v>
      </c>
      <c r="OD104" s="8"/>
      <c r="OE104" s="47">
        <v>2</v>
      </c>
      <c r="OF104" s="48" t="s">
        <v>4</v>
      </c>
      <c r="OG104" s="49">
        <v>3</v>
      </c>
      <c r="OH104" s="8"/>
      <c r="OI104" s="42" t="str">
        <f t="shared" si="682"/>
        <v/>
      </c>
      <c r="OJ104" s="43">
        <f t="shared" si="683"/>
        <v>-1</v>
      </c>
      <c r="OK104" s="8"/>
      <c r="OL104" s="47">
        <v>1</v>
      </c>
      <c r="OM104" s="48" t="s">
        <v>4</v>
      </c>
      <c r="ON104" s="49">
        <v>3</v>
      </c>
      <c r="OO104" s="8"/>
      <c r="OP104" s="42" t="str">
        <f t="shared" si="684"/>
        <v/>
      </c>
      <c r="OQ104" s="43">
        <f t="shared" si="685"/>
        <v>-2</v>
      </c>
      <c r="OR104" s="8"/>
      <c r="OS104" s="47"/>
      <c r="OT104" s="48" t="s">
        <v>4</v>
      </c>
      <c r="OU104" s="49"/>
      <c r="OV104" s="8"/>
      <c r="OW104" s="42" t="str">
        <f t="shared" si="686"/>
        <v/>
      </c>
      <c r="OX104" s="43">
        <f t="shared" si="687"/>
        <v>0</v>
      </c>
      <c r="OY104" s="8"/>
      <c r="OZ104" s="47">
        <v>1</v>
      </c>
      <c r="PA104" s="48" t="s">
        <v>4</v>
      </c>
      <c r="PB104" s="49">
        <v>2</v>
      </c>
      <c r="PC104" s="8"/>
      <c r="PD104" s="42" t="str">
        <f t="shared" si="688"/>
        <v/>
      </c>
      <c r="PE104" s="43">
        <f t="shared" si="689"/>
        <v>-1</v>
      </c>
      <c r="PF104" s="8"/>
      <c r="PG104" s="47">
        <v>1</v>
      </c>
      <c r="PH104" s="48" t="s">
        <v>4</v>
      </c>
      <c r="PI104" s="49">
        <v>2</v>
      </c>
      <c r="PJ104" s="8"/>
      <c r="PK104" s="42" t="str">
        <f t="shared" si="690"/>
        <v/>
      </c>
      <c r="PL104" s="43">
        <f t="shared" si="691"/>
        <v>-1</v>
      </c>
      <c r="PM104" s="8"/>
      <c r="PN104" s="47">
        <v>1</v>
      </c>
      <c r="PO104" s="48" t="s">
        <v>4</v>
      </c>
      <c r="PP104" s="49">
        <v>2</v>
      </c>
      <c r="PQ104" s="8"/>
      <c r="PR104" s="42" t="str">
        <f t="shared" si="692"/>
        <v/>
      </c>
      <c r="PS104" s="43">
        <f t="shared" si="693"/>
        <v>-1</v>
      </c>
      <c r="PT104" s="8"/>
      <c r="PU104" s="47">
        <v>2</v>
      </c>
      <c r="PV104" s="48" t="s">
        <v>4</v>
      </c>
      <c r="PW104" s="49">
        <v>3</v>
      </c>
      <c r="PX104" s="8"/>
      <c r="PY104" s="42" t="str">
        <f t="shared" si="694"/>
        <v/>
      </c>
      <c r="PZ104" s="43">
        <f t="shared" si="695"/>
        <v>-1</v>
      </c>
      <c r="QA104" s="8"/>
      <c r="QB104" s="47">
        <v>1</v>
      </c>
      <c r="QC104" s="48" t="s">
        <v>4</v>
      </c>
      <c r="QD104" s="49">
        <v>3</v>
      </c>
      <c r="QE104" s="8"/>
      <c r="QF104" s="42" t="str">
        <f t="shared" si="696"/>
        <v/>
      </c>
      <c r="QG104" s="43">
        <f t="shared" si="697"/>
        <v>-2</v>
      </c>
      <c r="QH104" s="8"/>
      <c r="QI104" s="47">
        <v>1</v>
      </c>
      <c r="QJ104" s="48" t="s">
        <v>4</v>
      </c>
      <c r="QK104" s="49">
        <v>2</v>
      </c>
      <c r="QL104" s="8"/>
      <c r="QM104" s="42" t="str">
        <f t="shared" si="698"/>
        <v/>
      </c>
      <c r="QN104" s="43">
        <f t="shared" si="699"/>
        <v>-1</v>
      </c>
      <c r="QO104" s="8"/>
      <c r="QP104" s="47"/>
      <c r="QQ104" s="48" t="s">
        <v>4</v>
      </c>
      <c r="QR104" s="49"/>
      <c r="QS104" s="8"/>
      <c r="QT104" s="42" t="str">
        <f t="shared" si="700"/>
        <v/>
      </c>
      <c r="QU104" s="43">
        <f t="shared" si="701"/>
        <v>0</v>
      </c>
      <c r="QV104" s="8"/>
      <c r="QW104" s="47"/>
      <c r="QX104" s="48" t="s">
        <v>4</v>
      </c>
      <c r="QY104" s="49"/>
      <c r="QZ104" s="8"/>
      <c r="RA104" s="42" t="str">
        <f t="shared" si="702"/>
        <v/>
      </c>
      <c r="RB104" s="43">
        <f t="shared" si="703"/>
        <v>0</v>
      </c>
      <c r="RC104" s="8"/>
      <c r="RD104" s="47"/>
      <c r="RE104" s="48" t="s">
        <v>4</v>
      </c>
      <c r="RF104" s="49"/>
      <c r="RG104" s="8"/>
      <c r="RH104" s="42" t="str">
        <f t="shared" si="704"/>
        <v/>
      </c>
      <c r="RI104" s="43">
        <f t="shared" si="705"/>
        <v>0</v>
      </c>
      <c r="RJ104" s="8"/>
      <c r="RK104" s="47"/>
      <c r="RL104" s="48" t="s">
        <v>4</v>
      </c>
      <c r="RM104" s="49"/>
      <c r="RN104" s="8"/>
      <c r="RO104" s="42" t="str">
        <f t="shared" si="706"/>
        <v/>
      </c>
      <c r="RP104" s="43">
        <f t="shared" si="707"/>
        <v>0</v>
      </c>
      <c r="RQ104" s="8"/>
      <c r="RR104" s="47"/>
      <c r="RS104" s="48" t="s">
        <v>4</v>
      </c>
      <c r="RT104" s="49"/>
      <c r="RU104" s="8"/>
      <c r="RV104" s="42" t="str">
        <f t="shared" si="708"/>
        <v/>
      </c>
      <c r="RW104" s="43">
        <f t="shared" si="709"/>
        <v>0</v>
      </c>
      <c r="RX104" s="8"/>
      <c r="RY104" s="47"/>
      <c r="RZ104" s="48" t="s">
        <v>4</v>
      </c>
      <c r="SA104" s="49"/>
      <c r="SB104" s="8"/>
      <c r="SC104" s="42" t="str">
        <f t="shared" si="710"/>
        <v/>
      </c>
      <c r="SD104" s="43">
        <f t="shared" si="711"/>
        <v>0</v>
      </c>
      <c r="SE104" s="8"/>
      <c r="SF104" s="47"/>
      <c r="SG104" s="48" t="s">
        <v>4</v>
      </c>
      <c r="SH104" s="49"/>
      <c r="SI104" s="8"/>
      <c r="SJ104" s="42" t="str">
        <f t="shared" si="712"/>
        <v/>
      </c>
      <c r="SK104" s="43">
        <f t="shared" si="713"/>
        <v>0</v>
      </c>
      <c r="SL104" s="8"/>
      <c r="SM104" s="47"/>
      <c r="SN104" s="48" t="s">
        <v>4</v>
      </c>
      <c r="SO104" s="49"/>
      <c r="SP104" s="8"/>
      <c r="SQ104" s="42" t="str">
        <f t="shared" si="714"/>
        <v/>
      </c>
      <c r="SR104" s="43">
        <f t="shared" si="715"/>
        <v>0</v>
      </c>
    </row>
    <row r="105" spans="1:512" ht="16" customHeight="1" x14ac:dyDescent="0.15">
      <c r="A105" s="51">
        <v>46210</v>
      </c>
      <c r="B105" s="46">
        <v>8.3333333333333329E-2</v>
      </c>
      <c r="C105" s="82" t="s">
        <v>628</v>
      </c>
      <c r="D105" s="83" t="s">
        <v>11</v>
      </c>
      <c r="E105" s="2"/>
      <c r="F105" s="50" t="s">
        <v>4</v>
      </c>
      <c r="G105" s="1"/>
      <c r="H105" s="45">
        <v>0.2</v>
      </c>
      <c r="I105" s="32">
        <f t="shared" si="429"/>
        <v>0</v>
      </c>
      <c r="J105" s="47"/>
      <c r="K105" s="48" t="s">
        <v>4</v>
      </c>
      <c r="L105" s="49"/>
      <c r="M105" s="8"/>
      <c r="N105" s="42" t="str">
        <f t="shared" si="430"/>
        <v/>
      </c>
      <c r="O105" s="43">
        <f t="shared" si="431"/>
        <v>0</v>
      </c>
      <c r="Q105" s="47"/>
      <c r="R105" s="48" t="s">
        <v>4</v>
      </c>
      <c r="S105" s="49"/>
      <c r="T105" s="8"/>
      <c r="U105" s="42" t="str">
        <f t="shared" si="574"/>
        <v/>
      </c>
      <c r="V105" s="43">
        <f t="shared" si="575"/>
        <v>0</v>
      </c>
      <c r="W105" s="8"/>
      <c r="X105" s="47"/>
      <c r="Y105" s="48" t="s">
        <v>4</v>
      </c>
      <c r="Z105" s="49"/>
      <c r="AA105" s="8"/>
      <c r="AB105" s="42" t="str">
        <f t="shared" si="576"/>
        <v/>
      </c>
      <c r="AC105" s="43">
        <f t="shared" si="577"/>
        <v>0</v>
      </c>
      <c r="AD105" s="8"/>
      <c r="AE105" s="47">
        <v>0</v>
      </c>
      <c r="AF105" s="48" t="s">
        <v>4</v>
      </c>
      <c r="AG105" s="49">
        <v>1</v>
      </c>
      <c r="AH105" s="8"/>
      <c r="AI105" s="42" t="str">
        <f t="shared" si="578"/>
        <v/>
      </c>
      <c r="AJ105" s="43">
        <f t="shared" si="579"/>
        <v>-1</v>
      </c>
      <c r="AK105" s="8"/>
      <c r="AL105" s="47">
        <v>1</v>
      </c>
      <c r="AM105" s="48" t="s">
        <v>4</v>
      </c>
      <c r="AN105" s="49">
        <v>2</v>
      </c>
      <c r="AO105" s="8"/>
      <c r="AP105" s="42" t="str">
        <f t="shared" si="580"/>
        <v/>
      </c>
      <c r="AQ105" s="43">
        <f t="shared" si="581"/>
        <v>-1</v>
      </c>
      <c r="AR105" s="8"/>
      <c r="AS105" s="47">
        <v>0</v>
      </c>
      <c r="AT105" s="48" t="s">
        <v>4</v>
      </c>
      <c r="AU105" s="49">
        <v>3</v>
      </c>
      <c r="AV105" s="8"/>
      <c r="AW105" s="42" t="str">
        <f t="shared" si="582"/>
        <v/>
      </c>
      <c r="AX105" s="43">
        <f t="shared" si="583"/>
        <v>-3</v>
      </c>
      <c r="AY105" s="8"/>
      <c r="AZ105" s="47">
        <v>1</v>
      </c>
      <c r="BA105" s="48" t="s">
        <v>4</v>
      </c>
      <c r="BB105" s="49">
        <v>2</v>
      </c>
      <c r="BC105" s="8"/>
      <c r="BD105" s="42" t="str">
        <f t="shared" si="584"/>
        <v/>
      </c>
      <c r="BE105" s="43">
        <f t="shared" si="585"/>
        <v>-1</v>
      </c>
      <c r="BF105" s="8"/>
      <c r="BG105" s="47">
        <v>0</v>
      </c>
      <c r="BH105" s="48" t="s">
        <v>4</v>
      </c>
      <c r="BI105" s="49">
        <v>2</v>
      </c>
      <c r="BJ105" s="8"/>
      <c r="BK105" s="42" t="str">
        <f t="shared" si="586"/>
        <v/>
      </c>
      <c r="BL105" s="43">
        <f t="shared" si="587"/>
        <v>-2</v>
      </c>
      <c r="BM105" s="8"/>
      <c r="BN105" s="47">
        <v>4</v>
      </c>
      <c r="BO105" s="48" t="s">
        <v>4</v>
      </c>
      <c r="BP105" s="49">
        <v>3</v>
      </c>
      <c r="BQ105" s="8"/>
      <c r="BR105" s="42" t="str">
        <f t="shared" si="588"/>
        <v/>
      </c>
      <c r="BS105" s="43">
        <f t="shared" si="589"/>
        <v>1</v>
      </c>
      <c r="BT105" s="8"/>
      <c r="BU105" s="47">
        <v>2</v>
      </c>
      <c r="BV105" s="48" t="s">
        <v>4</v>
      </c>
      <c r="BW105" s="49">
        <v>0</v>
      </c>
      <c r="BX105" s="8"/>
      <c r="BY105" s="42" t="str">
        <f t="shared" si="590"/>
        <v/>
      </c>
      <c r="BZ105" s="43">
        <f t="shared" si="591"/>
        <v>2</v>
      </c>
      <c r="CA105" s="8"/>
      <c r="CB105" s="47">
        <v>1</v>
      </c>
      <c r="CC105" s="48" t="s">
        <v>4</v>
      </c>
      <c r="CD105" s="49">
        <v>2</v>
      </c>
      <c r="CE105" s="8"/>
      <c r="CF105" s="42" t="str">
        <f t="shared" si="592"/>
        <v/>
      </c>
      <c r="CG105" s="43">
        <f t="shared" si="593"/>
        <v>-1</v>
      </c>
      <c r="CH105" s="8"/>
      <c r="CI105" s="47">
        <v>0</v>
      </c>
      <c r="CJ105" s="48" t="s">
        <v>4</v>
      </c>
      <c r="CK105" s="49">
        <v>1</v>
      </c>
      <c r="CL105" s="8"/>
      <c r="CM105" s="42" t="str">
        <f t="shared" si="594"/>
        <v/>
      </c>
      <c r="CN105" s="43">
        <f t="shared" si="595"/>
        <v>-1</v>
      </c>
      <c r="CO105" s="8"/>
      <c r="CP105" s="47">
        <v>1</v>
      </c>
      <c r="CQ105" s="48" t="s">
        <v>4</v>
      </c>
      <c r="CR105" s="49">
        <v>0</v>
      </c>
      <c r="CS105" s="8"/>
      <c r="CT105" s="42" t="str">
        <f t="shared" si="596"/>
        <v/>
      </c>
      <c r="CU105" s="43">
        <f t="shared" si="597"/>
        <v>1</v>
      </c>
      <c r="CV105" s="8"/>
      <c r="CW105" s="47">
        <v>5</v>
      </c>
      <c r="CX105" s="48" t="s">
        <v>4</v>
      </c>
      <c r="CY105" s="49">
        <v>4</v>
      </c>
      <c r="CZ105" s="8"/>
      <c r="DA105" s="42" t="str">
        <f t="shared" si="598"/>
        <v/>
      </c>
      <c r="DB105" s="43">
        <f t="shared" si="599"/>
        <v>1</v>
      </c>
      <c r="DC105" s="8"/>
      <c r="DD105" s="47">
        <v>4</v>
      </c>
      <c r="DE105" s="48" t="s">
        <v>4</v>
      </c>
      <c r="DF105" s="49">
        <v>5</v>
      </c>
      <c r="DG105" s="8"/>
      <c r="DH105" s="42" t="str">
        <f t="shared" si="600"/>
        <v/>
      </c>
      <c r="DI105" s="43">
        <f t="shared" si="601"/>
        <v>-1</v>
      </c>
      <c r="DJ105" s="8"/>
      <c r="DK105" s="47">
        <v>0</v>
      </c>
      <c r="DL105" s="48" t="s">
        <v>4</v>
      </c>
      <c r="DM105" s="49">
        <v>1</v>
      </c>
      <c r="DN105" s="8"/>
      <c r="DO105" s="42" t="str">
        <f t="shared" si="602"/>
        <v/>
      </c>
      <c r="DP105" s="43">
        <f t="shared" si="603"/>
        <v>-1</v>
      </c>
      <c r="DQ105" s="8"/>
      <c r="DR105" s="47">
        <v>2</v>
      </c>
      <c r="DS105" s="48" t="s">
        <v>4</v>
      </c>
      <c r="DT105" s="49">
        <v>0</v>
      </c>
      <c r="DU105" s="8"/>
      <c r="DV105" s="42" t="str">
        <f t="shared" si="604"/>
        <v/>
      </c>
      <c r="DW105" s="43">
        <f t="shared" si="605"/>
        <v>2</v>
      </c>
      <c r="DX105" s="8"/>
      <c r="DY105" s="47">
        <v>1</v>
      </c>
      <c r="DZ105" s="48" t="s">
        <v>4</v>
      </c>
      <c r="EA105" s="49">
        <v>3</v>
      </c>
      <c r="EB105" s="8"/>
      <c r="EC105" s="42" t="str">
        <f t="shared" si="606"/>
        <v/>
      </c>
      <c r="ED105" s="43">
        <f t="shared" si="607"/>
        <v>-2</v>
      </c>
      <c r="EE105" s="8"/>
      <c r="EF105" s="47">
        <v>0</v>
      </c>
      <c r="EG105" s="48" t="s">
        <v>4</v>
      </c>
      <c r="EH105" s="49">
        <v>2</v>
      </c>
      <c r="EI105" s="8"/>
      <c r="EJ105" s="42" t="str">
        <f t="shared" si="608"/>
        <v/>
      </c>
      <c r="EK105" s="43">
        <f t="shared" si="609"/>
        <v>-2</v>
      </c>
      <c r="EL105" s="8"/>
      <c r="EM105" s="47">
        <v>1</v>
      </c>
      <c r="EN105" s="48" t="s">
        <v>4</v>
      </c>
      <c r="EO105" s="49">
        <v>2</v>
      </c>
      <c r="EP105" s="8"/>
      <c r="EQ105" s="42" t="str">
        <f t="shared" si="610"/>
        <v/>
      </c>
      <c r="ER105" s="43">
        <f t="shared" si="611"/>
        <v>-1</v>
      </c>
      <c r="ES105" s="8"/>
      <c r="ET105" s="47">
        <v>2</v>
      </c>
      <c r="EU105" s="48" t="s">
        <v>4</v>
      </c>
      <c r="EV105" s="49">
        <v>1</v>
      </c>
      <c r="EW105" s="8"/>
      <c r="EX105" s="42" t="str">
        <f t="shared" si="612"/>
        <v/>
      </c>
      <c r="EY105" s="43">
        <f t="shared" si="613"/>
        <v>1</v>
      </c>
      <c r="EZ105" s="8"/>
      <c r="FA105" s="47">
        <v>0</v>
      </c>
      <c r="FB105" s="48" t="s">
        <v>4</v>
      </c>
      <c r="FC105" s="49">
        <v>2</v>
      </c>
      <c r="FD105" s="8"/>
      <c r="FE105" s="42" t="str">
        <f t="shared" si="614"/>
        <v/>
      </c>
      <c r="FF105" s="43">
        <f t="shared" si="615"/>
        <v>-2</v>
      </c>
      <c r="FG105" s="8"/>
      <c r="FH105" s="47">
        <v>3</v>
      </c>
      <c r="FI105" s="48" t="s">
        <v>4</v>
      </c>
      <c r="FJ105" s="49">
        <v>2</v>
      </c>
      <c r="FK105" s="8"/>
      <c r="FL105" s="42" t="str">
        <f t="shared" si="616"/>
        <v/>
      </c>
      <c r="FM105" s="43">
        <f t="shared" si="617"/>
        <v>1</v>
      </c>
      <c r="FN105" s="8"/>
      <c r="FO105" s="47">
        <v>0</v>
      </c>
      <c r="FP105" s="48" t="s">
        <v>4</v>
      </c>
      <c r="FQ105" s="49">
        <v>2</v>
      </c>
      <c r="FR105" s="8"/>
      <c r="FS105" s="42" t="str">
        <f t="shared" si="618"/>
        <v/>
      </c>
      <c r="FT105" s="43">
        <f t="shared" si="619"/>
        <v>-2</v>
      </c>
      <c r="FU105" s="8"/>
      <c r="FV105" s="47">
        <v>1</v>
      </c>
      <c r="FW105" s="48" t="s">
        <v>4</v>
      </c>
      <c r="FX105" s="49">
        <v>2</v>
      </c>
      <c r="FY105" s="8"/>
      <c r="FZ105" s="42" t="str">
        <f t="shared" si="620"/>
        <v/>
      </c>
      <c r="GA105" s="43">
        <f t="shared" si="621"/>
        <v>-1</v>
      </c>
      <c r="GB105" s="8"/>
      <c r="GC105" s="47">
        <v>1</v>
      </c>
      <c r="GD105" s="48" t="s">
        <v>4</v>
      </c>
      <c r="GE105" s="49">
        <v>2</v>
      </c>
      <c r="GF105" s="8"/>
      <c r="GG105" s="42" t="str">
        <f t="shared" si="622"/>
        <v/>
      </c>
      <c r="GH105" s="43">
        <f t="shared" si="623"/>
        <v>-1</v>
      </c>
      <c r="GI105" s="8"/>
      <c r="GJ105" s="47">
        <v>2</v>
      </c>
      <c r="GK105" s="48" t="s">
        <v>4</v>
      </c>
      <c r="GL105" s="49">
        <v>1</v>
      </c>
      <c r="GM105" s="8"/>
      <c r="GN105" s="42" t="str">
        <f t="shared" si="624"/>
        <v/>
      </c>
      <c r="GO105" s="43">
        <f t="shared" si="625"/>
        <v>1</v>
      </c>
      <c r="GP105" s="8"/>
      <c r="GQ105" s="47">
        <v>1</v>
      </c>
      <c r="GR105" s="48" t="s">
        <v>4</v>
      </c>
      <c r="GS105" s="49">
        <v>2</v>
      </c>
      <c r="GT105" s="8"/>
      <c r="GU105" s="42" t="str">
        <f t="shared" si="626"/>
        <v/>
      </c>
      <c r="GV105" s="43">
        <f t="shared" si="627"/>
        <v>-1</v>
      </c>
      <c r="GW105" s="8"/>
      <c r="GX105" s="47">
        <v>2</v>
      </c>
      <c r="GY105" s="48" t="s">
        <v>4</v>
      </c>
      <c r="GZ105" s="49">
        <v>3</v>
      </c>
      <c r="HA105" s="8"/>
      <c r="HB105" s="42" t="str">
        <f t="shared" si="628"/>
        <v/>
      </c>
      <c r="HC105" s="43">
        <f t="shared" si="629"/>
        <v>-1</v>
      </c>
      <c r="HD105" s="8"/>
      <c r="HE105" s="47">
        <v>1</v>
      </c>
      <c r="HF105" s="48" t="s">
        <v>4</v>
      </c>
      <c r="HG105" s="49">
        <v>2</v>
      </c>
      <c r="HH105" s="8"/>
      <c r="HI105" s="42" t="str">
        <f t="shared" si="630"/>
        <v/>
      </c>
      <c r="HJ105" s="43">
        <f t="shared" si="631"/>
        <v>-1</v>
      </c>
      <c r="HK105" s="8"/>
      <c r="HL105" s="47">
        <v>0</v>
      </c>
      <c r="HM105" s="48" t="s">
        <v>4</v>
      </c>
      <c r="HN105" s="49">
        <v>5</v>
      </c>
      <c r="HO105" s="8"/>
      <c r="HP105" s="42" t="str">
        <f t="shared" si="632"/>
        <v/>
      </c>
      <c r="HQ105" s="43">
        <f t="shared" si="633"/>
        <v>-5</v>
      </c>
      <c r="HR105" s="8"/>
      <c r="HS105" s="47">
        <v>2</v>
      </c>
      <c r="HT105" s="48" t="s">
        <v>4</v>
      </c>
      <c r="HU105" s="49">
        <v>0</v>
      </c>
      <c r="HV105" s="8"/>
      <c r="HW105" s="42" t="str">
        <f t="shared" si="634"/>
        <v/>
      </c>
      <c r="HX105" s="43">
        <f t="shared" si="635"/>
        <v>2</v>
      </c>
      <c r="HY105" s="8"/>
      <c r="HZ105" s="47">
        <v>2</v>
      </c>
      <c r="IA105" s="48" t="s">
        <v>4</v>
      </c>
      <c r="IB105" s="49">
        <v>1</v>
      </c>
      <c r="IC105" s="8"/>
      <c r="ID105" s="42" t="str">
        <f t="shared" si="636"/>
        <v/>
      </c>
      <c r="IE105" s="43">
        <f t="shared" si="637"/>
        <v>1</v>
      </c>
      <c r="IF105" s="8"/>
      <c r="IG105" s="47">
        <v>0</v>
      </c>
      <c r="IH105" s="48" t="s">
        <v>4</v>
      </c>
      <c r="II105" s="49">
        <v>4</v>
      </c>
      <c r="IJ105" s="8"/>
      <c r="IK105" s="42" t="str">
        <f t="shared" si="638"/>
        <v/>
      </c>
      <c r="IL105" s="43">
        <f t="shared" si="639"/>
        <v>-4</v>
      </c>
      <c r="IM105" s="8"/>
      <c r="IN105" s="47">
        <v>2</v>
      </c>
      <c r="IO105" s="48" t="s">
        <v>4</v>
      </c>
      <c r="IP105" s="49">
        <v>1</v>
      </c>
      <c r="IQ105" s="8"/>
      <c r="IR105" s="42" t="str">
        <f t="shared" si="640"/>
        <v/>
      </c>
      <c r="IS105" s="43">
        <f t="shared" si="641"/>
        <v>1</v>
      </c>
      <c r="IT105" s="8"/>
      <c r="IU105" s="47">
        <v>0</v>
      </c>
      <c r="IV105" s="48" t="s">
        <v>4</v>
      </c>
      <c r="IW105" s="49">
        <v>2</v>
      </c>
      <c r="IX105" s="8"/>
      <c r="IY105" s="42" t="str">
        <f t="shared" si="642"/>
        <v/>
      </c>
      <c r="IZ105" s="43">
        <f t="shared" si="643"/>
        <v>-2</v>
      </c>
      <c r="JA105" s="8"/>
      <c r="JB105" s="47">
        <v>4</v>
      </c>
      <c r="JC105" s="48" t="s">
        <v>4</v>
      </c>
      <c r="JD105" s="49">
        <v>5</v>
      </c>
      <c r="JE105" s="8"/>
      <c r="JF105" s="42" t="str">
        <f t="shared" si="644"/>
        <v/>
      </c>
      <c r="JG105" s="43">
        <f t="shared" si="645"/>
        <v>-1</v>
      </c>
      <c r="JH105" s="8"/>
      <c r="JI105" s="47"/>
      <c r="JJ105" s="48" t="s">
        <v>4</v>
      </c>
      <c r="JK105" s="49"/>
      <c r="JL105" s="8"/>
      <c r="JM105" s="42" t="str">
        <f t="shared" si="646"/>
        <v/>
      </c>
      <c r="JN105" s="43">
        <f t="shared" si="647"/>
        <v>0</v>
      </c>
      <c r="JO105" s="8"/>
      <c r="JP105" s="47">
        <v>2</v>
      </c>
      <c r="JQ105" s="48" t="s">
        <v>4</v>
      </c>
      <c r="JR105" s="49">
        <v>1</v>
      </c>
      <c r="JS105" s="8"/>
      <c r="JT105" s="42" t="str">
        <f t="shared" si="648"/>
        <v/>
      </c>
      <c r="JU105" s="43">
        <f t="shared" si="649"/>
        <v>1</v>
      </c>
      <c r="JV105" s="8"/>
      <c r="JW105" s="47">
        <v>1</v>
      </c>
      <c r="JX105" s="48" t="s">
        <v>4</v>
      </c>
      <c r="JY105" s="49">
        <v>3</v>
      </c>
      <c r="JZ105" s="8"/>
      <c r="KA105" s="42" t="str">
        <f t="shared" si="650"/>
        <v/>
      </c>
      <c r="KB105" s="43">
        <f t="shared" si="651"/>
        <v>-2</v>
      </c>
      <c r="KC105" s="8"/>
      <c r="KD105" s="47"/>
      <c r="KE105" s="48" t="s">
        <v>4</v>
      </c>
      <c r="KF105" s="49"/>
      <c r="KG105" s="8"/>
      <c r="KH105" s="42" t="str">
        <f t="shared" si="652"/>
        <v/>
      </c>
      <c r="KI105" s="43">
        <f t="shared" si="653"/>
        <v>0</v>
      </c>
      <c r="KJ105" s="8"/>
      <c r="KK105" s="47">
        <v>0</v>
      </c>
      <c r="KL105" s="48" t="s">
        <v>4</v>
      </c>
      <c r="KM105" s="49">
        <v>2</v>
      </c>
      <c r="KN105" s="8"/>
      <c r="KO105" s="42" t="str">
        <f t="shared" si="654"/>
        <v/>
      </c>
      <c r="KP105" s="43">
        <f t="shared" si="655"/>
        <v>-2</v>
      </c>
      <c r="KQ105" s="8"/>
      <c r="KR105" s="47">
        <v>6</v>
      </c>
      <c r="KS105" s="48" t="s">
        <v>4</v>
      </c>
      <c r="KT105" s="49">
        <v>7</v>
      </c>
      <c r="KU105" s="8"/>
      <c r="KV105" s="42" t="str">
        <f t="shared" si="656"/>
        <v/>
      </c>
      <c r="KW105" s="43">
        <f t="shared" si="657"/>
        <v>-1</v>
      </c>
      <c r="KX105" s="8"/>
      <c r="KY105" s="47">
        <v>1</v>
      </c>
      <c r="KZ105" s="48" t="s">
        <v>4</v>
      </c>
      <c r="LA105" s="49">
        <v>2</v>
      </c>
      <c r="LB105" s="8"/>
      <c r="LC105" s="42" t="str">
        <f t="shared" si="658"/>
        <v/>
      </c>
      <c r="LD105" s="43">
        <f t="shared" si="659"/>
        <v>-1</v>
      </c>
      <c r="LE105" s="8"/>
      <c r="LF105" s="47">
        <v>7</v>
      </c>
      <c r="LG105" s="48" t="s">
        <v>4</v>
      </c>
      <c r="LH105" s="49">
        <v>6</v>
      </c>
      <c r="LI105" s="8"/>
      <c r="LJ105" s="42" t="str">
        <f t="shared" si="660"/>
        <v/>
      </c>
      <c r="LK105" s="43">
        <f t="shared" si="661"/>
        <v>1</v>
      </c>
      <c r="LL105" s="8"/>
      <c r="LM105" s="47">
        <v>2</v>
      </c>
      <c r="LN105" s="48" t="s">
        <v>4</v>
      </c>
      <c r="LO105" s="49">
        <v>3</v>
      </c>
      <c r="LP105" s="8"/>
      <c r="LQ105" s="42" t="str">
        <f t="shared" si="662"/>
        <v/>
      </c>
      <c r="LR105" s="43">
        <f t="shared" si="663"/>
        <v>-1</v>
      </c>
      <c r="LS105" s="8"/>
      <c r="LT105" s="47">
        <v>4</v>
      </c>
      <c r="LU105" s="48" t="s">
        <v>4</v>
      </c>
      <c r="LV105" s="49">
        <v>3</v>
      </c>
      <c r="LW105" s="8"/>
      <c r="LX105" s="42" t="str">
        <f t="shared" si="664"/>
        <v/>
      </c>
      <c r="LY105" s="43">
        <f t="shared" si="665"/>
        <v>1</v>
      </c>
      <c r="LZ105" s="8"/>
      <c r="MA105" s="47">
        <v>0</v>
      </c>
      <c r="MB105" s="48" t="s">
        <v>4</v>
      </c>
      <c r="MC105" s="49">
        <v>1</v>
      </c>
      <c r="MD105" s="8"/>
      <c r="ME105" s="42" t="str">
        <f t="shared" si="666"/>
        <v/>
      </c>
      <c r="MF105" s="43">
        <f t="shared" si="667"/>
        <v>-1</v>
      </c>
      <c r="MG105" s="8"/>
      <c r="MH105" s="47">
        <v>0</v>
      </c>
      <c r="MI105" s="48" t="s">
        <v>4</v>
      </c>
      <c r="MJ105" s="49">
        <v>1</v>
      </c>
      <c r="MK105" s="8"/>
      <c r="ML105" s="42" t="str">
        <f t="shared" si="668"/>
        <v/>
      </c>
      <c r="MM105" s="43">
        <f t="shared" si="669"/>
        <v>-1</v>
      </c>
      <c r="MN105" s="8"/>
      <c r="MO105" s="47">
        <v>2</v>
      </c>
      <c r="MP105" s="48" t="s">
        <v>4</v>
      </c>
      <c r="MQ105" s="49">
        <v>1</v>
      </c>
      <c r="MR105" s="8"/>
      <c r="MS105" s="42" t="str">
        <f t="shared" si="670"/>
        <v/>
      </c>
      <c r="MT105" s="43">
        <f t="shared" si="671"/>
        <v>1</v>
      </c>
      <c r="MU105" s="8"/>
      <c r="MV105" s="47">
        <v>2</v>
      </c>
      <c r="MW105" s="48" t="s">
        <v>4</v>
      </c>
      <c r="MX105" s="49">
        <v>1</v>
      </c>
      <c r="MY105" s="8"/>
      <c r="MZ105" s="42" t="str">
        <f t="shared" si="672"/>
        <v/>
      </c>
      <c r="NA105" s="43">
        <f t="shared" si="673"/>
        <v>1</v>
      </c>
      <c r="NB105" s="8"/>
      <c r="NC105" s="47">
        <v>6</v>
      </c>
      <c r="ND105" s="48" t="s">
        <v>4</v>
      </c>
      <c r="NE105" s="49">
        <v>7</v>
      </c>
      <c r="NF105" s="8"/>
      <c r="NG105" s="42" t="str">
        <f t="shared" si="674"/>
        <v/>
      </c>
      <c r="NH105" s="43">
        <f t="shared" si="675"/>
        <v>-1</v>
      </c>
      <c r="NI105" s="8"/>
      <c r="NJ105" s="47"/>
      <c r="NK105" s="48" t="s">
        <v>4</v>
      </c>
      <c r="NL105" s="49"/>
      <c r="NM105" s="8"/>
      <c r="NN105" s="42" t="str">
        <f t="shared" si="676"/>
        <v/>
      </c>
      <c r="NO105" s="43">
        <f t="shared" si="677"/>
        <v>0</v>
      </c>
      <c r="NP105" s="8"/>
      <c r="NQ105" s="47"/>
      <c r="NR105" s="48" t="s">
        <v>4</v>
      </c>
      <c r="NS105" s="49"/>
      <c r="NT105" s="8"/>
      <c r="NU105" s="42" t="str">
        <f t="shared" si="678"/>
        <v/>
      </c>
      <c r="NV105" s="43">
        <f t="shared" si="679"/>
        <v>0</v>
      </c>
      <c r="NW105" s="8"/>
      <c r="NX105" s="47"/>
      <c r="NY105" s="48" t="s">
        <v>4</v>
      </c>
      <c r="NZ105" s="49"/>
      <c r="OA105" s="8"/>
      <c r="OB105" s="42" t="str">
        <f t="shared" si="680"/>
        <v/>
      </c>
      <c r="OC105" s="43">
        <f t="shared" si="681"/>
        <v>0</v>
      </c>
      <c r="OD105" s="8"/>
      <c r="OE105" s="47">
        <v>1</v>
      </c>
      <c r="OF105" s="48" t="s">
        <v>4</v>
      </c>
      <c r="OG105" s="49">
        <v>2</v>
      </c>
      <c r="OH105" s="8"/>
      <c r="OI105" s="42" t="str">
        <f t="shared" si="682"/>
        <v/>
      </c>
      <c r="OJ105" s="43">
        <f t="shared" si="683"/>
        <v>-1</v>
      </c>
      <c r="OK105" s="8"/>
      <c r="OL105" s="47">
        <v>1</v>
      </c>
      <c r="OM105" s="48" t="s">
        <v>4</v>
      </c>
      <c r="ON105" s="49">
        <v>2</v>
      </c>
      <c r="OO105" s="8"/>
      <c r="OP105" s="42" t="str">
        <f t="shared" si="684"/>
        <v/>
      </c>
      <c r="OQ105" s="43">
        <f t="shared" si="685"/>
        <v>-1</v>
      </c>
      <c r="OR105" s="8"/>
      <c r="OS105" s="47"/>
      <c r="OT105" s="48" t="s">
        <v>4</v>
      </c>
      <c r="OU105" s="49"/>
      <c r="OV105" s="8"/>
      <c r="OW105" s="42" t="str">
        <f t="shared" si="686"/>
        <v/>
      </c>
      <c r="OX105" s="43">
        <f t="shared" si="687"/>
        <v>0</v>
      </c>
      <c r="OY105" s="8"/>
      <c r="OZ105" s="47">
        <v>3</v>
      </c>
      <c r="PA105" s="48" t="s">
        <v>4</v>
      </c>
      <c r="PB105" s="49">
        <v>1</v>
      </c>
      <c r="PC105" s="8"/>
      <c r="PD105" s="42" t="str">
        <f t="shared" si="688"/>
        <v/>
      </c>
      <c r="PE105" s="43">
        <f t="shared" si="689"/>
        <v>2</v>
      </c>
      <c r="PF105" s="8"/>
      <c r="PG105" s="47">
        <v>2</v>
      </c>
      <c r="PH105" s="48" t="s">
        <v>4</v>
      </c>
      <c r="PI105" s="49">
        <v>1</v>
      </c>
      <c r="PJ105" s="8"/>
      <c r="PK105" s="42" t="str">
        <f t="shared" si="690"/>
        <v/>
      </c>
      <c r="PL105" s="43">
        <f t="shared" si="691"/>
        <v>1</v>
      </c>
      <c r="PM105" s="8"/>
      <c r="PN105" s="47">
        <v>5</v>
      </c>
      <c r="PO105" s="48" t="s">
        <v>4</v>
      </c>
      <c r="PP105" s="49">
        <v>4</v>
      </c>
      <c r="PQ105" s="8"/>
      <c r="PR105" s="42" t="str">
        <f t="shared" si="692"/>
        <v/>
      </c>
      <c r="PS105" s="43">
        <f t="shared" si="693"/>
        <v>1</v>
      </c>
      <c r="PT105" s="8"/>
      <c r="PU105" s="47">
        <v>4</v>
      </c>
      <c r="PV105" s="48" t="s">
        <v>4</v>
      </c>
      <c r="PW105" s="49">
        <v>5</v>
      </c>
      <c r="PX105" s="8"/>
      <c r="PY105" s="42" t="str">
        <f t="shared" si="694"/>
        <v/>
      </c>
      <c r="PZ105" s="43">
        <f t="shared" si="695"/>
        <v>-1</v>
      </c>
      <c r="QA105" s="8"/>
      <c r="QB105" s="47">
        <v>2</v>
      </c>
      <c r="QC105" s="48" t="s">
        <v>4</v>
      </c>
      <c r="QD105" s="49">
        <v>1</v>
      </c>
      <c r="QE105" s="8"/>
      <c r="QF105" s="42" t="str">
        <f t="shared" si="696"/>
        <v/>
      </c>
      <c r="QG105" s="43">
        <f t="shared" si="697"/>
        <v>1</v>
      </c>
      <c r="QH105" s="8"/>
      <c r="QI105" s="47">
        <v>2</v>
      </c>
      <c r="QJ105" s="48" t="s">
        <v>4</v>
      </c>
      <c r="QK105" s="49">
        <v>1</v>
      </c>
      <c r="QL105" s="8"/>
      <c r="QM105" s="42" t="str">
        <f t="shared" si="698"/>
        <v/>
      </c>
      <c r="QN105" s="43">
        <f t="shared" si="699"/>
        <v>1</v>
      </c>
      <c r="QO105" s="8"/>
      <c r="QP105" s="47"/>
      <c r="QQ105" s="48" t="s">
        <v>4</v>
      </c>
      <c r="QR105" s="49"/>
      <c r="QS105" s="8"/>
      <c r="QT105" s="42" t="str">
        <f t="shared" si="700"/>
        <v/>
      </c>
      <c r="QU105" s="43">
        <f t="shared" si="701"/>
        <v>0</v>
      </c>
      <c r="QV105" s="8"/>
      <c r="QW105" s="47"/>
      <c r="QX105" s="48" t="s">
        <v>4</v>
      </c>
      <c r="QY105" s="49"/>
      <c r="QZ105" s="8"/>
      <c r="RA105" s="42" t="str">
        <f t="shared" si="702"/>
        <v/>
      </c>
      <c r="RB105" s="43">
        <f t="shared" si="703"/>
        <v>0</v>
      </c>
      <c r="RC105" s="8"/>
      <c r="RD105" s="47"/>
      <c r="RE105" s="48" t="s">
        <v>4</v>
      </c>
      <c r="RF105" s="49"/>
      <c r="RG105" s="8"/>
      <c r="RH105" s="42" t="str">
        <f t="shared" si="704"/>
        <v/>
      </c>
      <c r="RI105" s="43">
        <f t="shared" si="705"/>
        <v>0</v>
      </c>
      <c r="RJ105" s="8"/>
      <c r="RK105" s="47"/>
      <c r="RL105" s="48" t="s">
        <v>4</v>
      </c>
      <c r="RM105" s="49"/>
      <c r="RN105" s="8"/>
      <c r="RO105" s="42" t="str">
        <f t="shared" si="706"/>
        <v/>
      </c>
      <c r="RP105" s="43">
        <f t="shared" si="707"/>
        <v>0</v>
      </c>
      <c r="RQ105" s="8"/>
      <c r="RR105" s="47"/>
      <c r="RS105" s="48" t="s">
        <v>4</v>
      </c>
      <c r="RT105" s="49"/>
      <c r="RU105" s="8"/>
      <c r="RV105" s="42" t="str">
        <f t="shared" si="708"/>
        <v/>
      </c>
      <c r="RW105" s="43">
        <f t="shared" si="709"/>
        <v>0</v>
      </c>
      <c r="RX105" s="8"/>
      <c r="RY105" s="47"/>
      <c r="RZ105" s="48" t="s">
        <v>4</v>
      </c>
      <c r="SA105" s="49"/>
      <c r="SB105" s="8"/>
      <c r="SC105" s="42" t="str">
        <f t="shared" si="710"/>
        <v/>
      </c>
      <c r="SD105" s="43">
        <f t="shared" si="711"/>
        <v>0</v>
      </c>
      <c r="SE105" s="8"/>
      <c r="SF105" s="47"/>
      <c r="SG105" s="48" t="s">
        <v>4</v>
      </c>
      <c r="SH105" s="49"/>
      <c r="SI105" s="8"/>
      <c r="SJ105" s="42" t="str">
        <f t="shared" si="712"/>
        <v/>
      </c>
      <c r="SK105" s="43">
        <f t="shared" si="713"/>
        <v>0</v>
      </c>
      <c r="SL105" s="8"/>
      <c r="SM105" s="47"/>
      <c r="SN105" s="48" t="s">
        <v>4</v>
      </c>
      <c r="SO105" s="49"/>
      <c r="SP105" s="8"/>
      <c r="SQ105" s="42" t="str">
        <f t="shared" si="714"/>
        <v/>
      </c>
      <c r="SR105" s="43">
        <f t="shared" si="715"/>
        <v>0</v>
      </c>
    </row>
    <row r="106" spans="1:512" ht="16" customHeight="1" x14ac:dyDescent="0.15">
      <c r="A106" s="51">
        <v>46210</v>
      </c>
      <c r="B106" s="46">
        <v>0.75</v>
      </c>
      <c r="C106" s="82" t="s">
        <v>629</v>
      </c>
      <c r="D106" s="82" t="s">
        <v>46</v>
      </c>
      <c r="E106" s="2"/>
      <c r="F106" s="50" t="s">
        <v>4</v>
      </c>
      <c r="G106" s="1"/>
      <c r="H106" s="16">
        <v>8.4</v>
      </c>
      <c r="I106" s="32">
        <f t="shared" si="429"/>
        <v>0</v>
      </c>
      <c r="J106" s="47"/>
      <c r="K106" s="48" t="s">
        <v>4</v>
      </c>
      <c r="L106" s="49"/>
      <c r="M106" s="8"/>
      <c r="N106" s="42" t="str">
        <f t="shared" si="430"/>
        <v/>
      </c>
      <c r="O106" s="43">
        <f>J106-L106</f>
        <v>0</v>
      </c>
      <c r="Q106" s="47"/>
      <c r="R106" s="48" t="s">
        <v>4</v>
      </c>
      <c r="S106" s="49"/>
      <c r="T106" s="8"/>
      <c r="U106" s="42" t="str">
        <f t="shared" si="574"/>
        <v/>
      </c>
      <c r="V106" s="43">
        <f>Q106-S106</f>
        <v>0</v>
      </c>
      <c r="W106" s="8"/>
      <c r="X106" s="47"/>
      <c r="Y106" s="48" t="s">
        <v>4</v>
      </c>
      <c r="Z106" s="49"/>
      <c r="AA106" s="8"/>
      <c r="AB106" s="42" t="str">
        <f t="shared" si="576"/>
        <v/>
      </c>
      <c r="AC106" s="43">
        <f>X106-Z106</f>
        <v>0</v>
      </c>
      <c r="AD106" s="8"/>
      <c r="AE106" s="47">
        <v>1</v>
      </c>
      <c r="AF106" s="48" t="s">
        <v>4</v>
      </c>
      <c r="AG106" s="49">
        <v>0</v>
      </c>
      <c r="AH106" s="8"/>
      <c r="AI106" s="42" t="str">
        <f t="shared" si="578"/>
        <v/>
      </c>
      <c r="AJ106" s="43">
        <f>AE106-AG106</f>
        <v>1</v>
      </c>
      <c r="AK106" s="8"/>
      <c r="AL106" s="47">
        <v>3</v>
      </c>
      <c r="AM106" s="48" t="s">
        <v>4</v>
      </c>
      <c r="AN106" s="49">
        <v>1</v>
      </c>
      <c r="AO106" s="8"/>
      <c r="AP106" s="42" t="str">
        <f t="shared" si="580"/>
        <v/>
      </c>
      <c r="AQ106" s="43">
        <f>AL106-AN106</f>
        <v>2</v>
      </c>
      <c r="AR106" s="8"/>
      <c r="AS106" s="47">
        <v>2</v>
      </c>
      <c r="AT106" s="48" t="s">
        <v>4</v>
      </c>
      <c r="AU106" s="49">
        <v>1</v>
      </c>
      <c r="AV106" s="8"/>
      <c r="AW106" s="42" t="str">
        <f t="shared" si="582"/>
        <v/>
      </c>
      <c r="AX106" s="43">
        <f>AS106-AU106</f>
        <v>1</v>
      </c>
      <c r="AY106" s="8"/>
      <c r="AZ106" s="47">
        <v>1</v>
      </c>
      <c r="BA106" s="48" t="s">
        <v>4</v>
      </c>
      <c r="BB106" s="49">
        <v>0</v>
      </c>
      <c r="BC106" s="8"/>
      <c r="BD106" s="42" t="str">
        <f t="shared" si="584"/>
        <v/>
      </c>
      <c r="BE106" s="43">
        <f>AZ106-BB106</f>
        <v>1</v>
      </c>
      <c r="BF106" s="8"/>
      <c r="BG106" s="47">
        <v>5</v>
      </c>
      <c r="BH106" s="48" t="s">
        <v>4</v>
      </c>
      <c r="BI106" s="49">
        <v>1</v>
      </c>
      <c r="BJ106" s="8"/>
      <c r="BK106" s="42" t="str">
        <f t="shared" si="586"/>
        <v/>
      </c>
      <c r="BL106" s="43">
        <f>BG106-BI106</f>
        <v>4</v>
      </c>
      <c r="BM106" s="8"/>
      <c r="BN106" s="47">
        <v>2</v>
      </c>
      <c r="BO106" s="48" t="s">
        <v>4</v>
      </c>
      <c r="BP106" s="49">
        <v>1</v>
      </c>
      <c r="BQ106" s="8"/>
      <c r="BR106" s="42" t="str">
        <f t="shared" si="588"/>
        <v/>
      </c>
      <c r="BS106" s="43">
        <f>BN106-BP106</f>
        <v>1</v>
      </c>
      <c r="BT106" s="8"/>
      <c r="BU106" s="47">
        <v>1</v>
      </c>
      <c r="BV106" s="48" t="s">
        <v>4</v>
      </c>
      <c r="BW106" s="49">
        <v>0</v>
      </c>
      <c r="BX106" s="8"/>
      <c r="BY106" s="42" t="str">
        <f t="shared" si="590"/>
        <v/>
      </c>
      <c r="BZ106" s="43">
        <f>BU106-BW106</f>
        <v>1</v>
      </c>
      <c r="CA106" s="8"/>
      <c r="CB106" s="47">
        <v>4</v>
      </c>
      <c r="CC106" s="48" t="s">
        <v>4</v>
      </c>
      <c r="CD106" s="49">
        <v>2</v>
      </c>
      <c r="CE106" s="8"/>
      <c r="CF106" s="42" t="str">
        <f t="shared" si="592"/>
        <v/>
      </c>
      <c r="CG106" s="43">
        <f>CB106-CD106</f>
        <v>2</v>
      </c>
      <c r="CH106" s="8"/>
      <c r="CI106" s="47">
        <v>2</v>
      </c>
      <c r="CJ106" s="48" t="s">
        <v>4</v>
      </c>
      <c r="CK106" s="49">
        <v>3</v>
      </c>
      <c r="CL106" s="8"/>
      <c r="CM106" s="42" t="str">
        <f t="shared" si="594"/>
        <v/>
      </c>
      <c r="CN106" s="43">
        <f>CI106-CK106</f>
        <v>-1</v>
      </c>
      <c r="CO106" s="8"/>
      <c r="CP106" s="47">
        <v>3</v>
      </c>
      <c r="CQ106" s="48" t="s">
        <v>4</v>
      </c>
      <c r="CR106" s="49">
        <v>0</v>
      </c>
      <c r="CS106" s="8"/>
      <c r="CT106" s="42" t="str">
        <f t="shared" si="596"/>
        <v/>
      </c>
      <c r="CU106" s="43">
        <f>CP106-CR106</f>
        <v>3</v>
      </c>
      <c r="CV106" s="8"/>
      <c r="CW106" s="47">
        <v>2</v>
      </c>
      <c r="CX106" s="48" t="s">
        <v>4</v>
      </c>
      <c r="CY106" s="49">
        <v>0</v>
      </c>
      <c r="CZ106" s="8"/>
      <c r="DA106" s="42" t="str">
        <f t="shared" si="598"/>
        <v/>
      </c>
      <c r="DB106" s="43">
        <f>CW106-CY106</f>
        <v>2</v>
      </c>
      <c r="DC106" s="8"/>
      <c r="DD106" s="47">
        <v>2</v>
      </c>
      <c r="DE106" s="48" t="s">
        <v>4</v>
      </c>
      <c r="DF106" s="49">
        <v>0</v>
      </c>
      <c r="DG106" s="8"/>
      <c r="DH106" s="42" t="str">
        <f t="shared" si="600"/>
        <v/>
      </c>
      <c r="DI106" s="43">
        <f>DD106-DF106</f>
        <v>2</v>
      </c>
      <c r="DJ106" s="8"/>
      <c r="DK106" s="47">
        <v>1</v>
      </c>
      <c r="DL106" s="48" t="s">
        <v>4</v>
      </c>
      <c r="DM106" s="49">
        <v>0</v>
      </c>
      <c r="DN106" s="8"/>
      <c r="DO106" s="42" t="str">
        <f t="shared" si="602"/>
        <v/>
      </c>
      <c r="DP106" s="43">
        <f>DK106-DM106</f>
        <v>1</v>
      </c>
      <c r="DQ106" s="8"/>
      <c r="DR106" s="47">
        <v>2</v>
      </c>
      <c r="DS106" s="48" t="s">
        <v>4</v>
      </c>
      <c r="DT106" s="49">
        <v>0</v>
      </c>
      <c r="DU106" s="8"/>
      <c r="DV106" s="42" t="str">
        <f t="shared" si="604"/>
        <v/>
      </c>
      <c r="DW106" s="43">
        <f>DR106-DT106</f>
        <v>2</v>
      </c>
      <c r="DX106" s="8"/>
      <c r="DY106" s="47">
        <v>3</v>
      </c>
      <c r="DZ106" s="48" t="s">
        <v>4</v>
      </c>
      <c r="EA106" s="49">
        <v>2</v>
      </c>
      <c r="EB106" s="8"/>
      <c r="EC106" s="42" t="str">
        <f t="shared" si="606"/>
        <v/>
      </c>
      <c r="ED106" s="43">
        <f>DY106-EA106</f>
        <v>1</v>
      </c>
      <c r="EE106" s="8"/>
      <c r="EF106" s="47">
        <v>1</v>
      </c>
      <c r="EG106" s="48" t="s">
        <v>4</v>
      </c>
      <c r="EH106" s="49">
        <v>2</v>
      </c>
      <c r="EI106" s="8"/>
      <c r="EJ106" s="42" t="str">
        <f t="shared" si="608"/>
        <v/>
      </c>
      <c r="EK106" s="43">
        <f>EF106-EH106</f>
        <v>-1</v>
      </c>
      <c r="EL106" s="8"/>
      <c r="EM106" s="47">
        <v>3</v>
      </c>
      <c r="EN106" s="48" t="s">
        <v>4</v>
      </c>
      <c r="EO106" s="49">
        <v>1</v>
      </c>
      <c r="EP106" s="8"/>
      <c r="EQ106" s="42" t="str">
        <f t="shared" si="610"/>
        <v/>
      </c>
      <c r="ER106" s="43">
        <f>EM106-EO106</f>
        <v>2</v>
      </c>
      <c r="ES106" s="8"/>
      <c r="ET106" s="47">
        <v>3</v>
      </c>
      <c r="EU106" s="48" t="s">
        <v>4</v>
      </c>
      <c r="EV106" s="49">
        <v>2</v>
      </c>
      <c r="EW106" s="8"/>
      <c r="EX106" s="42" t="str">
        <f t="shared" si="612"/>
        <v/>
      </c>
      <c r="EY106" s="43">
        <f>ET106-EV106</f>
        <v>1</v>
      </c>
      <c r="EZ106" s="8"/>
      <c r="FA106" s="47">
        <v>3</v>
      </c>
      <c r="FB106" s="48" t="s">
        <v>4</v>
      </c>
      <c r="FC106" s="49">
        <v>0</v>
      </c>
      <c r="FD106" s="8"/>
      <c r="FE106" s="42" t="str">
        <f t="shared" si="614"/>
        <v/>
      </c>
      <c r="FF106" s="43">
        <f>FA106-FC106</f>
        <v>3</v>
      </c>
      <c r="FG106" s="8"/>
      <c r="FH106" s="47">
        <v>2</v>
      </c>
      <c r="FI106" s="48" t="s">
        <v>4</v>
      </c>
      <c r="FJ106" s="49">
        <v>0</v>
      </c>
      <c r="FK106" s="8"/>
      <c r="FL106" s="42" t="str">
        <f t="shared" si="616"/>
        <v/>
      </c>
      <c r="FM106" s="43">
        <f>FH106-FJ106</f>
        <v>2</v>
      </c>
      <c r="FN106" s="8"/>
      <c r="FO106" s="47">
        <v>2</v>
      </c>
      <c r="FP106" s="48" t="s">
        <v>4</v>
      </c>
      <c r="FQ106" s="49">
        <v>1</v>
      </c>
      <c r="FR106" s="8"/>
      <c r="FS106" s="42" t="str">
        <f t="shared" si="618"/>
        <v/>
      </c>
      <c r="FT106" s="43">
        <f>FO106-FQ106</f>
        <v>1</v>
      </c>
      <c r="FU106" s="8"/>
      <c r="FV106" s="47">
        <v>2</v>
      </c>
      <c r="FW106" s="48" t="s">
        <v>4</v>
      </c>
      <c r="FX106" s="49">
        <v>0</v>
      </c>
      <c r="FY106" s="8"/>
      <c r="FZ106" s="42" t="str">
        <f t="shared" si="620"/>
        <v/>
      </c>
      <c r="GA106" s="43">
        <f>FV106-FX106</f>
        <v>2</v>
      </c>
      <c r="GB106" s="8"/>
      <c r="GC106" s="47">
        <v>2</v>
      </c>
      <c r="GD106" s="48" t="s">
        <v>4</v>
      </c>
      <c r="GE106" s="49">
        <v>1</v>
      </c>
      <c r="GF106" s="8"/>
      <c r="GG106" s="42" t="str">
        <f t="shared" si="622"/>
        <v/>
      </c>
      <c r="GH106" s="43">
        <f>GC106-GE106</f>
        <v>1</v>
      </c>
      <c r="GI106" s="8"/>
      <c r="GJ106" s="47">
        <v>3</v>
      </c>
      <c r="GK106" s="48" t="s">
        <v>4</v>
      </c>
      <c r="GL106" s="49">
        <v>0</v>
      </c>
      <c r="GM106" s="8"/>
      <c r="GN106" s="42" t="str">
        <f t="shared" si="624"/>
        <v/>
      </c>
      <c r="GO106" s="43">
        <f>GJ106-GL106</f>
        <v>3</v>
      </c>
      <c r="GP106" s="8"/>
      <c r="GQ106" s="47">
        <v>3</v>
      </c>
      <c r="GR106" s="48" t="s">
        <v>4</v>
      </c>
      <c r="GS106" s="49">
        <v>1</v>
      </c>
      <c r="GT106" s="8"/>
      <c r="GU106" s="42" t="str">
        <f t="shared" si="626"/>
        <v/>
      </c>
      <c r="GV106" s="43">
        <f>GQ106-GS106</f>
        <v>2</v>
      </c>
      <c r="GW106" s="8"/>
      <c r="GX106" s="47">
        <v>3</v>
      </c>
      <c r="GY106" s="48" t="s">
        <v>4</v>
      </c>
      <c r="GZ106" s="49">
        <v>1</v>
      </c>
      <c r="HA106" s="8"/>
      <c r="HB106" s="42" t="str">
        <f t="shared" si="628"/>
        <v/>
      </c>
      <c r="HC106" s="43">
        <f>GX106-GZ106</f>
        <v>2</v>
      </c>
      <c r="HD106" s="8"/>
      <c r="HE106" s="47">
        <v>3</v>
      </c>
      <c r="HF106" s="48" t="s">
        <v>4</v>
      </c>
      <c r="HG106" s="49">
        <v>1</v>
      </c>
      <c r="HH106" s="8"/>
      <c r="HI106" s="42" t="str">
        <f t="shared" si="630"/>
        <v/>
      </c>
      <c r="HJ106" s="43">
        <f>HE106-HG106</f>
        <v>2</v>
      </c>
      <c r="HK106" s="8"/>
      <c r="HL106" s="47">
        <v>6</v>
      </c>
      <c r="HM106" s="48" t="s">
        <v>4</v>
      </c>
      <c r="HN106" s="49">
        <v>5</v>
      </c>
      <c r="HO106" s="8"/>
      <c r="HP106" s="42" t="str">
        <f t="shared" si="632"/>
        <v/>
      </c>
      <c r="HQ106" s="43">
        <f>HL106-HN106</f>
        <v>1</v>
      </c>
      <c r="HR106" s="8"/>
      <c r="HS106" s="47">
        <v>2</v>
      </c>
      <c r="HT106" s="48" t="s">
        <v>4</v>
      </c>
      <c r="HU106" s="49">
        <v>0</v>
      </c>
      <c r="HV106" s="8"/>
      <c r="HW106" s="42" t="str">
        <f t="shared" si="634"/>
        <v/>
      </c>
      <c r="HX106" s="43">
        <f>HS106-HU106</f>
        <v>2</v>
      </c>
      <c r="HY106" s="8"/>
      <c r="HZ106" s="47">
        <v>3</v>
      </c>
      <c r="IA106" s="48" t="s">
        <v>4</v>
      </c>
      <c r="IB106" s="49">
        <v>1</v>
      </c>
      <c r="IC106" s="8"/>
      <c r="ID106" s="42" t="str">
        <f t="shared" si="636"/>
        <v/>
      </c>
      <c r="IE106" s="43">
        <f>HZ106-IB106</f>
        <v>2</v>
      </c>
      <c r="IF106" s="8"/>
      <c r="IG106" s="47">
        <v>4</v>
      </c>
      <c r="IH106" s="48" t="s">
        <v>4</v>
      </c>
      <c r="II106" s="49">
        <v>1</v>
      </c>
      <c r="IJ106" s="8"/>
      <c r="IK106" s="42" t="str">
        <f t="shared" si="638"/>
        <v/>
      </c>
      <c r="IL106" s="43">
        <f>IG106-II106</f>
        <v>3</v>
      </c>
      <c r="IM106" s="8"/>
      <c r="IN106" s="47">
        <v>2</v>
      </c>
      <c r="IO106" s="48" t="s">
        <v>4</v>
      </c>
      <c r="IP106" s="49">
        <v>1</v>
      </c>
      <c r="IQ106" s="8"/>
      <c r="IR106" s="42" t="str">
        <f t="shared" si="640"/>
        <v/>
      </c>
      <c r="IS106" s="43">
        <f>IN106-IP106</f>
        <v>1</v>
      </c>
      <c r="IT106" s="8"/>
      <c r="IU106" s="47">
        <v>2</v>
      </c>
      <c r="IV106" s="48" t="s">
        <v>4</v>
      </c>
      <c r="IW106" s="49">
        <v>1</v>
      </c>
      <c r="IX106" s="8"/>
      <c r="IY106" s="42" t="str">
        <f t="shared" si="642"/>
        <v/>
      </c>
      <c r="IZ106" s="43">
        <f>IU106-IW106</f>
        <v>1</v>
      </c>
      <c r="JA106" s="8"/>
      <c r="JB106" s="47">
        <v>6</v>
      </c>
      <c r="JC106" s="48" t="s">
        <v>4</v>
      </c>
      <c r="JD106" s="49">
        <v>5</v>
      </c>
      <c r="JE106" s="8"/>
      <c r="JF106" s="42" t="str">
        <f t="shared" si="644"/>
        <v/>
      </c>
      <c r="JG106" s="43">
        <f>JB106-JD106</f>
        <v>1</v>
      </c>
      <c r="JH106" s="8"/>
      <c r="JI106" s="47"/>
      <c r="JJ106" s="48" t="s">
        <v>4</v>
      </c>
      <c r="JK106" s="49"/>
      <c r="JL106" s="8"/>
      <c r="JM106" s="42" t="str">
        <f t="shared" si="646"/>
        <v/>
      </c>
      <c r="JN106" s="43">
        <f>JI106-JK106</f>
        <v>0</v>
      </c>
      <c r="JO106" s="8"/>
      <c r="JP106" s="47">
        <v>2</v>
      </c>
      <c r="JQ106" s="48" t="s">
        <v>4</v>
      </c>
      <c r="JR106" s="49">
        <v>0</v>
      </c>
      <c r="JS106" s="8"/>
      <c r="JT106" s="42" t="str">
        <f t="shared" si="648"/>
        <v/>
      </c>
      <c r="JU106" s="43">
        <f>JP106-JR106</f>
        <v>2</v>
      </c>
      <c r="JV106" s="8"/>
      <c r="JW106" s="47">
        <v>3</v>
      </c>
      <c r="JX106" s="48" t="s">
        <v>4</v>
      </c>
      <c r="JY106" s="49">
        <v>1</v>
      </c>
      <c r="JZ106" s="8"/>
      <c r="KA106" s="42" t="str">
        <f t="shared" si="650"/>
        <v/>
      </c>
      <c r="KB106" s="43">
        <f>JW106-JY106</f>
        <v>2</v>
      </c>
      <c r="KC106" s="8"/>
      <c r="KD106" s="47"/>
      <c r="KE106" s="48" t="s">
        <v>4</v>
      </c>
      <c r="KF106" s="49"/>
      <c r="KG106" s="8"/>
      <c r="KH106" s="42" t="str">
        <f t="shared" si="652"/>
        <v/>
      </c>
      <c r="KI106" s="43">
        <f>KD106-KF106</f>
        <v>0</v>
      </c>
      <c r="KJ106" s="8"/>
      <c r="KK106" s="47">
        <v>2</v>
      </c>
      <c r="KL106" s="48" t="s">
        <v>4</v>
      </c>
      <c r="KM106" s="49">
        <v>1</v>
      </c>
      <c r="KN106" s="8"/>
      <c r="KO106" s="42" t="str">
        <f t="shared" si="654"/>
        <v/>
      </c>
      <c r="KP106" s="43">
        <f>KK106-KM106</f>
        <v>1</v>
      </c>
      <c r="KQ106" s="8"/>
      <c r="KR106" s="47">
        <v>2</v>
      </c>
      <c r="KS106" s="48" t="s">
        <v>4</v>
      </c>
      <c r="KT106" s="49">
        <v>0</v>
      </c>
      <c r="KU106" s="8"/>
      <c r="KV106" s="42" t="str">
        <f t="shared" si="656"/>
        <v/>
      </c>
      <c r="KW106" s="43">
        <f>KR106-KT106</f>
        <v>2</v>
      </c>
      <c r="KX106" s="8"/>
      <c r="KY106" s="47">
        <v>2</v>
      </c>
      <c r="KZ106" s="48" t="s">
        <v>4</v>
      </c>
      <c r="LA106" s="49">
        <v>1</v>
      </c>
      <c r="LB106" s="8"/>
      <c r="LC106" s="42" t="str">
        <f t="shared" si="658"/>
        <v/>
      </c>
      <c r="LD106" s="43">
        <f>KY106-LA106</f>
        <v>1</v>
      </c>
      <c r="LE106" s="8"/>
      <c r="LF106" s="47">
        <v>3</v>
      </c>
      <c r="LG106" s="48" t="s">
        <v>4</v>
      </c>
      <c r="LH106" s="49">
        <v>1</v>
      </c>
      <c r="LI106" s="8"/>
      <c r="LJ106" s="42" t="str">
        <f t="shared" si="660"/>
        <v/>
      </c>
      <c r="LK106" s="43">
        <f>LF106-LH106</f>
        <v>2</v>
      </c>
      <c r="LL106" s="8"/>
      <c r="LM106" s="47">
        <v>2</v>
      </c>
      <c r="LN106" s="48" t="s">
        <v>4</v>
      </c>
      <c r="LO106" s="49">
        <v>1</v>
      </c>
      <c r="LP106" s="8"/>
      <c r="LQ106" s="42" t="str">
        <f t="shared" si="662"/>
        <v/>
      </c>
      <c r="LR106" s="43">
        <f>LM106-LO106</f>
        <v>1</v>
      </c>
      <c r="LS106" s="8"/>
      <c r="LT106" s="47">
        <v>2</v>
      </c>
      <c r="LU106" s="48" t="s">
        <v>4</v>
      </c>
      <c r="LV106" s="49">
        <v>0</v>
      </c>
      <c r="LW106" s="8"/>
      <c r="LX106" s="42" t="str">
        <f t="shared" si="664"/>
        <v/>
      </c>
      <c r="LY106" s="43">
        <f>LT106-LV106</f>
        <v>2</v>
      </c>
      <c r="LZ106" s="8"/>
      <c r="MA106" s="47">
        <v>1</v>
      </c>
      <c r="MB106" s="48" t="s">
        <v>4</v>
      </c>
      <c r="MC106" s="49">
        <v>2</v>
      </c>
      <c r="MD106" s="8"/>
      <c r="ME106" s="42" t="str">
        <f t="shared" si="666"/>
        <v/>
      </c>
      <c r="MF106" s="43">
        <f>MA106-MC106</f>
        <v>-1</v>
      </c>
      <c r="MG106" s="8"/>
      <c r="MH106" s="47">
        <v>2</v>
      </c>
      <c r="MI106" s="48" t="s">
        <v>4</v>
      </c>
      <c r="MJ106" s="49">
        <v>0</v>
      </c>
      <c r="MK106" s="8"/>
      <c r="ML106" s="42" t="str">
        <f t="shared" si="668"/>
        <v/>
      </c>
      <c r="MM106" s="43">
        <f>MH106-MJ106</f>
        <v>2</v>
      </c>
      <c r="MN106" s="8"/>
      <c r="MO106" s="47">
        <v>2</v>
      </c>
      <c r="MP106" s="48" t="s">
        <v>4</v>
      </c>
      <c r="MQ106" s="49">
        <v>0</v>
      </c>
      <c r="MR106" s="8"/>
      <c r="MS106" s="42" t="str">
        <f t="shared" si="670"/>
        <v/>
      </c>
      <c r="MT106" s="43">
        <f>MO106-MQ106</f>
        <v>2</v>
      </c>
      <c r="MU106" s="8"/>
      <c r="MV106" s="47">
        <v>3</v>
      </c>
      <c r="MW106" s="48" t="s">
        <v>4</v>
      </c>
      <c r="MX106" s="49">
        <v>1</v>
      </c>
      <c r="MY106" s="8"/>
      <c r="MZ106" s="42" t="str">
        <f t="shared" si="672"/>
        <v/>
      </c>
      <c r="NA106" s="43">
        <f>MV106-MX106</f>
        <v>2</v>
      </c>
      <c r="NB106" s="8"/>
      <c r="NC106" s="47">
        <v>3</v>
      </c>
      <c r="ND106" s="48" t="s">
        <v>4</v>
      </c>
      <c r="NE106" s="49">
        <v>1</v>
      </c>
      <c r="NF106" s="8"/>
      <c r="NG106" s="42" t="str">
        <f t="shared" si="674"/>
        <v/>
      </c>
      <c r="NH106" s="43">
        <f>NC106-NE106</f>
        <v>2</v>
      </c>
      <c r="NI106" s="8"/>
      <c r="NJ106" s="47"/>
      <c r="NK106" s="48" t="s">
        <v>4</v>
      </c>
      <c r="NL106" s="49"/>
      <c r="NM106" s="8"/>
      <c r="NN106" s="42" t="str">
        <f t="shared" si="676"/>
        <v/>
      </c>
      <c r="NO106" s="43">
        <f>NJ106-NL106</f>
        <v>0</v>
      </c>
      <c r="NP106" s="8"/>
      <c r="NQ106" s="47"/>
      <c r="NR106" s="48" t="s">
        <v>4</v>
      </c>
      <c r="NS106" s="49"/>
      <c r="NT106" s="8"/>
      <c r="NU106" s="42" t="str">
        <f t="shared" si="678"/>
        <v/>
      </c>
      <c r="NV106" s="43">
        <f>NQ106-NS106</f>
        <v>0</v>
      </c>
      <c r="NW106" s="8"/>
      <c r="NX106" s="47"/>
      <c r="NY106" s="48" t="s">
        <v>4</v>
      </c>
      <c r="NZ106" s="49"/>
      <c r="OA106" s="8"/>
      <c r="OB106" s="42" t="str">
        <f t="shared" si="680"/>
        <v/>
      </c>
      <c r="OC106" s="43">
        <f>NX106-NZ106</f>
        <v>0</v>
      </c>
      <c r="OD106" s="8"/>
      <c r="OE106" s="47">
        <v>3</v>
      </c>
      <c r="OF106" s="48" t="s">
        <v>4</v>
      </c>
      <c r="OG106" s="49">
        <v>1</v>
      </c>
      <c r="OH106" s="8"/>
      <c r="OI106" s="42" t="str">
        <f t="shared" si="682"/>
        <v/>
      </c>
      <c r="OJ106" s="43">
        <f>OE106-OG106</f>
        <v>2</v>
      </c>
      <c r="OK106" s="8"/>
      <c r="OL106" s="47">
        <v>2</v>
      </c>
      <c r="OM106" s="48" t="s">
        <v>4</v>
      </c>
      <c r="ON106" s="49">
        <v>0</v>
      </c>
      <c r="OO106" s="8"/>
      <c r="OP106" s="42" t="str">
        <f t="shared" si="684"/>
        <v/>
      </c>
      <c r="OQ106" s="43">
        <f>OL106-ON106</f>
        <v>2</v>
      </c>
      <c r="OR106" s="8"/>
      <c r="OS106" s="47"/>
      <c r="OT106" s="48" t="s">
        <v>4</v>
      </c>
      <c r="OU106" s="49"/>
      <c r="OV106" s="8"/>
      <c r="OW106" s="42" t="str">
        <f t="shared" si="686"/>
        <v/>
      </c>
      <c r="OX106" s="43">
        <f>OS106-OU106</f>
        <v>0</v>
      </c>
      <c r="OY106" s="8"/>
      <c r="OZ106" s="47">
        <v>3</v>
      </c>
      <c r="PA106" s="48" t="s">
        <v>4</v>
      </c>
      <c r="PB106" s="49">
        <v>1</v>
      </c>
      <c r="PC106" s="8"/>
      <c r="PD106" s="42" t="str">
        <f t="shared" si="688"/>
        <v/>
      </c>
      <c r="PE106" s="43">
        <f>OZ106-PB106</f>
        <v>2</v>
      </c>
      <c r="PF106" s="8"/>
      <c r="PG106" s="47">
        <v>3</v>
      </c>
      <c r="PH106" s="48" t="s">
        <v>4</v>
      </c>
      <c r="PI106" s="49">
        <v>1</v>
      </c>
      <c r="PJ106" s="8"/>
      <c r="PK106" s="42" t="str">
        <f t="shared" si="690"/>
        <v/>
      </c>
      <c r="PL106" s="43">
        <f>PG106-PI106</f>
        <v>2</v>
      </c>
      <c r="PM106" s="8"/>
      <c r="PN106" s="47">
        <v>2</v>
      </c>
      <c r="PO106" s="48" t="s">
        <v>4</v>
      </c>
      <c r="PP106" s="49">
        <v>0</v>
      </c>
      <c r="PQ106" s="8"/>
      <c r="PR106" s="42" t="str">
        <f t="shared" si="692"/>
        <v/>
      </c>
      <c r="PS106" s="43">
        <f>PN106-PP106</f>
        <v>2</v>
      </c>
      <c r="PT106" s="8"/>
      <c r="PU106" s="47">
        <v>2</v>
      </c>
      <c r="PV106" s="48" t="s">
        <v>4</v>
      </c>
      <c r="PW106" s="49">
        <v>1</v>
      </c>
      <c r="PX106" s="8"/>
      <c r="PY106" s="42" t="str">
        <f t="shared" si="694"/>
        <v/>
      </c>
      <c r="PZ106" s="43">
        <f>PU106-PW106</f>
        <v>1</v>
      </c>
      <c r="QA106" s="8"/>
      <c r="QB106" s="47">
        <v>3</v>
      </c>
      <c r="QC106" s="48" t="s">
        <v>4</v>
      </c>
      <c r="QD106" s="49">
        <v>2</v>
      </c>
      <c r="QE106" s="8"/>
      <c r="QF106" s="42" t="str">
        <f t="shared" si="696"/>
        <v/>
      </c>
      <c r="QG106" s="43">
        <f>QB106-QD106</f>
        <v>1</v>
      </c>
      <c r="QH106" s="8"/>
      <c r="QI106" s="47">
        <v>2</v>
      </c>
      <c r="QJ106" s="48" t="s">
        <v>4</v>
      </c>
      <c r="QK106" s="49">
        <v>1</v>
      </c>
      <c r="QL106" s="8"/>
      <c r="QM106" s="42" t="str">
        <f t="shared" si="698"/>
        <v/>
      </c>
      <c r="QN106" s="43">
        <f>QI106-QK106</f>
        <v>1</v>
      </c>
      <c r="QO106" s="8"/>
      <c r="QP106" s="47"/>
      <c r="QQ106" s="48" t="s">
        <v>4</v>
      </c>
      <c r="QR106" s="49"/>
      <c r="QS106" s="8"/>
      <c r="QT106" s="42" t="str">
        <f t="shared" si="700"/>
        <v/>
      </c>
      <c r="QU106" s="43">
        <f>QP106-QR106</f>
        <v>0</v>
      </c>
      <c r="QV106" s="8"/>
      <c r="QW106" s="47"/>
      <c r="QX106" s="48" t="s">
        <v>4</v>
      </c>
      <c r="QY106" s="49"/>
      <c r="QZ106" s="8"/>
      <c r="RA106" s="42" t="str">
        <f t="shared" si="702"/>
        <v/>
      </c>
      <c r="RB106" s="43">
        <f>QW106-QY106</f>
        <v>0</v>
      </c>
      <c r="RC106" s="8"/>
      <c r="RD106" s="47"/>
      <c r="RE106" s="48" t="s">
        <v>4</v>
      </c>
      <c r="RF106" s="49"/>
      <c r="RG106" s="8"/>
      <c r="RH106" s="42" t="str">
        <f t="shared" si="704"/>
        <v/>
      </c>
      <c r="RI106" s="43">
        <f>RD106-RF106</f>
        <v>0</v>
      </c>
      <c r="RJ106" s="8"/>
      <c r="RK106" s="47"/>
      <c r="RL106" s="48" t="s">
        <v>4</v>
      </c>
      <c r="RM106" s="49"/>
      <c r="RN106" s="8"/>
      <c r="RO106" s="42" t="str">
        <f t="shared" si="706"/>
        <v/>
      </c>
      <c r="RP106" s="43">
        <f>RK106-RM106</f>
        <v>0</v>
      </c>
      <c r="RQ106" s="8"/>
      <c r="RR106" s="47"/>
      <c r="RS106" s="48" t="s">
        <v>4</v>
      </c>
      <c r="RT106" s="49"/>
      <c r="RU106" s="8"/>
      <c r="RV106" s="42" t="str">
        <f t="shared" si="708"/>
        <v/>
      </c>
      <c r="RW106" s="43">
        <f>RR106-RT106</f>
        <v>0</v>
      </c>
      <c r="RX106" s="8"/>
      <c r="RY106" s="47"/>
      <c r="RZ106" s="48" t="s">
        <v>4</v>
      </c>
      <c r="SA106" s="49"/>
      <c r="SB106" s="8"/>
      <c r="SC106" s="42" t="str">
        <f t="shared" si="710"/>
        <v/>
      </c>
      <c r="SD106" s="43">
        <f>RY106-SA106</f>
        <v>0</v>
      </c>
      <c r="SE106" s="8"/>
      <c r="SF106" s="47"/>
      <c r="SG106" s="48" t="s">
        <v>4</v>
      </c>
      <c r="SH106" s="49"/>
      <c r="SI106" s="8"/>
      <c r="SJ106" s="42" t="str">
        <f t="shared" si="712"/>
        <v/>
      </c>
      <c r="SK106" s="43">
        <f>SF106-SH106</f>
        <v>0</v>
      </c>
      <c r="SL106" s="8"/>
      <c r="SM106" s="47"/>
      <c r="SN106" s="48" t="s">
        <v>4</v>
      </c>
      <c r="SO106" s="49"/>
      <c r="SP106" s="8"/>
      <c r="SQ106" s="42" t="str">
        <f t="shared" si="714"/>
        <v/>
      </c>
      <c r="SR106" s="43">
        <f>SM106-SO106</f>
        <v>0</v>
      </c>
    </row>
    <row r="107" spans="1:512" ht="16" customHeight="1" x14ac:dyDescent="0.15">
      <c r="A107" s="51">
        <v>46210</v>
      </c>
      <c r="B107" s="46">
        <v>0.91666666666666663</v>
      </c>
      <c r="C107" s="82" t="s">
        <v>21</v>
      </c>
      <c r="D107" s="82" t="s">
        <v>61</v>
      </c>
      <c r="E107" s="2"/>
      <c r="F107" s="50" t="s">
        <v>4</v>
      </c>
      <c r="G107" s="1"/>
      <c r="H107" s="16">
        <v>8.4</v>
      </c>
      <c r="I107" s="32">
        <f t="shared" si="429"/>
        <v>0</v>
      </c>
      <c r="J107" s="47"/>
      <c r="K107" s="48" t="s">
        <v>4</v>
      </c>
      <c r="L107" s="49"/>
      <c r="M107" s="8"/>
      <c r="N107" s="42" t="str">
        <f t="shared" si="430"/>
        <v/>
      </c>
      <c r="O107" s="43">
        <f>J107-L107</f>
        <v>0</v>
      </c>
      <c r="Q107" s="47"/>
      <c r="R107" s="48" t="s">
        <v>4</v>
      </c>
      <c r="S107" s="49"/>
      <c r="T107" s="8"/>
      <c r="U107" s="42" t="str">
        <f t="shared" si="574"/>
        <v/>
      </c>
      <c r="V107" s="43">
        <f>Q107-S107</f>
        <v>0</v>
      </c>
      <c r="W107" s="8"/>
      <c r="X107" s="47"/>
      <c r="Y107" s="48" t="s">
        <v>4</v>
      </c>
      <c r="Z107" s="49"/>
      <c r="AA107" s="8"/>
      <c r="AB107" s="42" t="str">
        <f t="shared" si="576"/>
        <v/>
      </c>
      <c r="AC107" s="43">
        <f>X107-Z107</f>
        <v>0</v>
      </c>
      <c r="AD107" s="8"/>
      <c r="AE107" s="47">
        <v>2</v>
      </c>
      <c r="AF107" s="48" t="s">
        <v>4</v>
      </c>
      <c r="AG107" s="49">
        <v>0</v>
      </c>
      <c r="AH107" s="8"/>
      <c r="AI107" s="42" t="str">
        <f t="shared" si="578"/>
        <v/>
      </c>
      <c r="AJ107" s="43">
        <f>AE107-AG107</f>
        <v>2</v>
      </c>
      <c r="AK107" s="8"/>
      <c r="AL107" s="47">
        <v>1</v>
      </c>
      <c r="AM107" s="48" t="s">
        <v>4</v>
      </c>
      <c r="AN107" s="49">
        <v>2</v>
      </c>
      <c r="AO107" s="8"/>
      <c r="AP107" s="42" t="str">
        <f t="shared" si="580"/>
        <v/>
      </c>
      <c r="AQ107" s="43">
        <f>AL107-AN107</f>
        <v>-1</v>
      </c>
      <c r="AR107" s="8"/>
      <c r="AS107" s="47">
        <v>0</v>
      </c>
      <c r="AT107" s="48" t="s">
        <v>4</v>
      </c>
      <c r="AU107" s="49">
        <v>2</v>
      </c>
      <c r="AV107" s="8"/>
      <c r="AW107" s="42" t="str">
        <f t="shared" si="582"/>
        <v/>
      </c>
      <c r="AX107" s="43">
        <f>AS107-AU107</f>
        <v>-2</v>
      </c>
      <c r="AY107" s="8"/>
      <c r="AZ107" s="47">
        <v>1</v>
      </c>
      <c r="BA107" s="48" t="s">
        <v>4</v>
      </c>
      <c r="BB107" s="49">
        <v>2</v>
      </c>
      <c r="BC107" s="8"/>
      <c r="BD107" s="42" t="str">
        <f t="shared" si="584"/>
        <v/>
      </c>
      <c r="BE107" s="43">
        <f>AZ107-BB107</f>
        <v>-1</v>
      </c>
      <c r="BF107" s="8"/>
      <c r="BG107" s="47">
        <v>1</v>
      </c>
      <c r="BH107" s="48" t="s">
        <v>4</v>
      </c>
      <c r="BI107" s="49">
        <v>4</v>
      </c>
      <c r="BJ107" s="8"/>
      <c r="BK107" s="42" t="str">
        <f t="shared" si="586"/>
        <v/>
      </c>
      <c r="BL107" s="43">
        <f>BG107-BI107</f>
        <v>-3</v>
      </c>
      <c r="BM107" s="8"/>
      <c r="BN107" s="47">
        <v>1</v>
      </c>
      <c r="BO107" s="48" t="s">
        <v>4</v>
      </c>
      <c r="BP107" s="49">
        <v>2</v>
      </c>
      <c r="BQ107" s="8"/>
      <c r="BR107" s="42" t="str">
        <f t="shared" si="588"/>
        <v/>
      </c>
      <c r="BS107" s="43">
        <f>BN107-BP107</f>
        <v>-1</v>
      </c>
      <c r="BT107" s="8"/>
      <c r="BU107" s="47">
        <v>2</v>
      </c>
      <c r="BV107" s="48" t="s">
        <v>4</v>
      </c>
      <c r="BW107" s="49">
        <v>3</v>
      </c>
      <c r="BX107" s="8"/>
      <c r="BY107" s="42" t="str">
        <f t="shared" si="590"/>
        <v/>
      </c>
      <c r="BZ107" s="43">
        <f>BU107-BW107</f>
        <v>-1</v>
      </c>
      <c r="CA107" s="8"/>
      <c r="CB107" s="47">
        <v>3</v>
      </c>
      <c r="CC107" s="48" t="s">
        <v>4</v>
      </c>
      <c r="CD107" s="49">
        <v>2</v>
      </c>
      <c r="CE107" s="8"/>
      <c r="CF107" s="42" t="str">
        <f t="shared" si="592"/>
        <v/>
      </c>
      <c r="CG107" s="43">
        <f>CB107-CD107</f>
        <v>1</v>
      </c>
      <c r="CH107" s="8"/>
      <c r="CI107" s="47">
        <v>1</v>
      </c>
      <c r="CJ107" s="48" t="s">
        <v>4</v>
      </c>
      <c r="CK107" s="49">
        <v>0</v>
      </c>
      <c r="CL107" s="8"/>
      <c r="CM107" s="42" t="str">
        <f t="shared" si="594"/>
        <v/>
      </c>
      <c r="CN107" s="43">
        <f>CI107-CK107</f>
        <v>1</v>
      </c>
      <c r="CO107" s="8"/>
      <c r="CP107" s="47">
        <v>0</v>
      </c>
      <c r="CQ107" s="48" t="s">
        <v>4</v>
      </c>
      <c r="CR107" s="49">
        <v>1</v>
      </c>
      <c r="CS107" s="8"/>
      <c r="CT107" s="42" t="str">
        <f t="shared" si="596"/>
        <v/>
      </c>
      <c r="CU107" s="43">
        <f>CP107-CR107</f>
        <v>-1</v>
      </c>
      <c r="CV107" s="8"/>
      <c r="CW107" s="47">
        <v>2</v>
      </c>
      <c r="CX107" s="48" t="s">
        <v>4</v>
      </c>
      <c r="CY107" s="49">
        <v>1</v>
      </c>
      <c r="CZ107" s="8"/>
      <c r="DA107" s="42" t="str">
        <f t="shared" si="598"/>
        <v/>
      </c>
      <c r="DB107" s="43">
        <f>CW107-CY107</f>
        <v>1</v>
      </c>
      <c r="DC107" s="8"/>
      <c r="DD107" s="47">
        <v>1</v>
      </c>
      <c r="DE107" s="48" t="s">
        <v>4</v>
      </c>
      <c r="DF107" s="49">
        <v>2</v>
      </c>
      <c r="DG107" s="8"/>
      <c r="DH107" s="42" t="str">
        <f t="shared" si="600"/>
        <v/>
      </c>
      <c r="DI107" s="43">
        <f>DD107-DF107</f>
        <v>-1</v>
      </c>
      <c r="DJ107" s="8"/>
      <c r="DK107" s="47">
        <v>1</v>
      </c>
      <c r="DL107" s="48" t="s">
        <v>4</v>
      </c>
      <c r="DM107" s="49">
        <v>2</v>
      </c>
      <c r="DN107" s="8"/>
      <c r="DO107" s="42" t="str">
        <f t="shared" si="602"/>
        <v/>
      </c>
      <c r="DP107" s="43">
        <f>DK107-DM107</f>
        <v>-1</v>
      </c>
      <c r="DQ107" s="8"/>
      <c r="DR107" s="47">
        <v>3</v>
      </c>
      <c r="DS107" s="48" t="s">
        <v>4</v>
      </c>
      <c r="DT107" s="49">
        <v>2</v>
      </c>
      <c r="DU107" s="8"/>
      <c r="DV107" s="42" t="str">
        <f t="shared" si="604"/>
        <v/>
      </c>
      <c r="DW107" s="43">
        <f>DR107-DT107</f>
        <v>1</v>
      </c>
      <c r="DX107" s="8"/>
      <c r="DY107" s="47">
        <v>2</v>
      </c>
      <c r="DZ107" s="48" t="s">
        <v>4</v>
      </c>
      <c r="EA107" s="49">
        <v>1</v>
      </c>
      <c r="EB107" s="8"/>
      <c r="EC107" s="42" t="str">
        <f t="shared" si="606"/>
        <v/>
      </c>
      <c r="ED107" s="43">
        <f>DY107-EA107</f>
        <v>1</v>
      </c>
      <c r="EE107" s="8"/>
      <c r="EF107" s="47">
        <v>1</v>
      </c>
      <c r="EG107" s="48" t="s">
        <v>4</v>
      </c>
      <c r="EH107" s="49">
        <v>0</v>
      </c>
      <c r="EI107" s="8"/>
      <c r="EJ107" s="42" t="str">
        <f t="shared" si="608"/>
        <v/>
      </c>
      <c r="EK107" s="43">
        <f>EF107-EH107</f>
        <v>1</v>
      </c>
      <c r="EL107" s="8"/>
      <c r="EM107" s="47">
        <v>2</v>
      </c>
      <c r="EN107" s="48" t="s">
        <v>4</v>
      </c>
      <c r="EO107" s="49">
        <v>1</v>
      </c>
      <c r="EP107" s="8"/>
      <c r="EQ107" s="42" t="str">
        <f t="shared" si="610"/>
        <v/>
      </c>
      <c r="ER107" s="43">
        <f>EM107-EO107</f>
        <v>1</v>
      </c>
      <c r="ES107" s="8"/>
      <c r="ET107" s="47">
        <v>1</v>
      </c>
      <c r="EU107" s="48" t="s">
        <v>4</v>
      </c>
      <c r="EV107" s="49">
        <v>3</v>
      </c>
      <c r="EW107" s="8"/>
      <c r="EX107" s="42" t="str">
        <f t="shared" si="612"/>
        <v/>
      </c>
      <c r="EY107" s="43">
        <f>ET107-EV107</f>
        <v>-2</v>
      </c>
      <c r="EZ107" s="8"/>
      <c r="FA107" s="47">
        <v>6</v>
      </c>
      <c r="FB107" s="48" t="s">
        <v>4</v>
      </c>
      <c r="FC107" s="49">
        <v>4</v>
      </c>
      <c r="FD107" s="8"/>
      <c r="FE107" s="42" t="str">
        <f t="shared" si="614"/>
        <v/>
      </c>
      <c r="FF107" s="43">
        <f>FA107-FC107</f>
        <v>2</v>
      </c>
      <c r="FG107" s="8"/>
      <c r="FH107" s="47">
        <v>1</v>
      </c>
      <c r="FI107" s="48" t="s">
        <v>4</v>
      </c>
      <c r="FJ107" s="49">
        <v>3</v>
      </c>
      <c r="FK107" s="8"/>
      <c r="FL107" s="42" t="str">
        <f t="shared" si="616"/>
        <v/>
      </c>
      <c r="FM107" s="43">
        <f>FH107-FJ107</f>
        <v>-2</v>
      </c>
      <c r="FN107" s="8"/>
      <c r="FO107" s="47">
        <v>2</v>
      </c>
      <c r="FP107" s="48" t="s">
        <v>4</v>
      </c>
      <c r="FQ107" s="49">
        <v>1</v>
      </c>
      <c r="FR107" s="8"/>
      <c r="FS107" s="42" t="str">
        <f t="shared" si="618"/>
        <v/>
      </c>
      <c r="FT107" s="43">
        <f>FO107-FQ107</f>
        <v>1</v>
      </c>
      <c r="FU107" s="8"/>
      <c r="FV107" s="47">
        <v>0</v>
      </c>
      <c r="FW107" s="48" t="s">
        <v>4</v>
      </c>
      <c r="FX107" s="49">
        <v>1</v>
      </c>
      <c r="FY107" s="8"/>
      <c r="FZ107" s="42" t="str">
        <f t="shared" si="620"/>
        <v/>
      </c>
      <c r="GA107" s="43">
        <f>FV107-FX107</f>
        <v>-1</v>
      </c>
      <c r="GB107" s="8"/>
      <c r="GC107" s="47">
        <v>1</v>
      </c>
      <c r="GD107" s="48" t="s">
        <v>4</v>
      </c>
      <c r="GE107" s="49">
        <v>2</v>
      </c>
      <c r="GF107" s="8"/>
      <c r="GG107" s="42" t="str">
        <f t="shared" si="622"/>
        <v/>
      </c>
      <c r="GH107" s="43">
        <f>GC107-GE107</f>
        <v>-1</v>
      </c>
      <c r="GI107" s="8"/>
      <c r="GJ107" s="47">
        <v>2</v>
      </c>
      <c r="GK107" s="48" t="s">
        <v>4</v>
      </c>
      <c r="GL107" s="49">
        <v>0</v>
      </c>
      <c r="GM107" s="8"/>
      <c r="GN107" s="42" t="str">
        <f t="shared" si="624"/>
        <v/>
      </c>
      <c r="GO107" s="43">
        <f>GJ107-GL107</f>
        <v>2</v>
      </c>
      <c r="GP107" s="8"/>
      <c r="GQ107" s="47">
        <v>4</v>
      </c>
      <c r="GR107" s="48" t="s">
        <v>4</v>
      </c>
      <c r="GS107" s="49">
        <v>5</v>
      </c>
      <c r="GT107" s="8"/>
      <c r="GU107" s="42" t="str">
        <f t="shared" si="626"/>
        <v/>
      </c>
      <c r="GV107" s="43">
        <f>GQ107-GS107</f>
        <v>-1</v>
      </c>
      <c r="GW107" s="8"/>
      <c r="GX107" s="47">
        <v>0</v>
      </c>
      <c r="GY107" s="48" t="s">
        <v>4</v>
      </c>
      <c r="GZ107" s="49">
        <v>1</v>
      </c>
      <c r="HA107" s="8"/>
      <c r="HB107" s="42" t="str">
        <f t="shared" si="628"/>
        <v/>
      </c>
      <c r="HC107" s="43">
        <f>GX107-GZ107</f>
        <v>-1</v>
      </c>
      <c r="HD107" s="8"/>
      <c r="HE107" s="47">
        <v>1</v>
      </c>
      <c r="HF107" s="48" t="s">
        <v>4</v>
      </c>
      <c r="HG107" s="49">
        <v>2</v>
      </c>
      <c r="HH107" s="8"/>
      <c r="HI107" s="42" t="str">
        <f t="shared" si="630"/>
        <v/>
      </c>
      <c r="HJ107" s="43">
        <f>HE107-HG107</f>
        <v>-1</v>
      </c>
      <c r="HK107" s="8"/>
      <c r="HL107" s="47">
        <v>6</v>
      </c>
      <c r="HM107" s="48" t="s">
        <v>4</v>
      </c>
      <c r="HN107" s="49">
        <v>5</v>
      </c>
      <c r="HO107" s="8"/>
      <c r="HP107" s="42" t="str">
        <f t="shared" si="632"/>
        <v/>
      </c>
      <c r="HQ107" s="43">
        <f>HL107-HN107</f>
        <v>1</v>
      </c>
      <c r="HR107" s="8"/>
      <c r="HS107" s="47">
        <v>1</v>
      </c>
      <c r="HT107" s="48" t="s">
        <v>4</v>
      </c>
      <c r="HU107" s="49">
        <v>2</v>
      </c>
      <c r="HV107" s="8"/>
      <c r="HW107" s="42" t="str">
        <f t="shared" si="634"/>
        <v/>
      </c>
      <c r="HX107" s="43">
        <f>HS107-HU107</f>
        <v>-1</v>
      </c>
      <c r="HY107" s="8"/>
      <c r="HZ107" s="47">
        <v>2</v>
      </c>
      <c r="IA107" s="48" t="s">
        <v>4</v>
      </c>
      <c r="IB107" s="49">
        <v>1</v>
      </c>
      <c r="IC107" s="8"/>
      <c r="ID107" s="42" t="str">
        <f t="shared" si="636"/>
        <v/>
      </c>
      <c r="IE107" s="43">
        <f>HZ107-IB107</f>
        <v>1</v>
      </c>
      <c r="IF107" s="8"/>
      <c r="IG107" s="47">
        <v>3</v>
      </c>
      <c r="IH107" s="48" t="s">
        <v>4</v>
      </c>
      <c r="II107" s="49">
        <v>2</v>
      </c>
      <c r="IJ107" s="8"/>
      <c r="IK107" s="42" t="str">
        <f t="shared" si="638"/>
        <v/>
      </c>
      <c r="IL107" s="43">
        <f>IG107-II107</f>
        <v>1</v>
      </c>
      <c r="IM107" s="8"/>
      <c r="IN107" s="47">
        <v>6</v>
      </c>
      <c r="IO107" s="48" t="s">
        <v>4</v>
      </c>
      <c r="IP107" s="49">
        <v>7</v>
      </c>
      <c r="IQ107" s="8"/>
      <c r="IR107" s="42" t="str">
        <f t="shared" si="640"/>
        <v/>
      </c>
      <c r="IS107" s="43">
        <f>IN107-IP107</f>
        <v>-1</v>
      </c>
      <c r="IT107" s="8"/>
      <c r="IU107" s="47">
        <v>2</v>
      </c>
      <c r="IV107" s="48" t="s">
        <v>4</v>
      </c>
      <c r="IW107" s="49">
        <v>1</v>
      </c>
      <c r="IX107" s="8"/>
      <c r="IY107" s="42" t="str">
        <f t="shared" si="642"/>
        <v/>
      </c>
      <c r="IZ107" s="43">
        <f>IU107-IW107</f>
        <v>1</v>
      </c>
      <c r="JA107" s="8"/>
      <c r="JB107" s="47">
        <v>2</v>
      </c>
      <c r="JC107" s="48" t="s">
        <v>4</v>
      </c>
      <c r="JD107" s="49">
        <v>1</v>
      </c>
      <c r="JE107" s="8"/>
      <c r="JF107" s="42" t="str">
        <f t="shared" si="644"/>
        <v/>
      </c>
      <c r="JG107" s="43">
        <f>JB107-JD107</f>
        <v>1</v>
      </c>
      <c r="JH107" s="8"/>
      <c r="JI107" s="47"/>
      <c r="JJ107" s="48" t="s">
        <v>4</v>
      </c>
      <c r="JK107" s="49"/>
      <c r="JL107" s="8"/>
      <c r="JM107" s="42" t="str">
        <f t="shared" si="646"/>
        <v/>
      </c>
      <c r="JN107" s="43">
        <f>JI107-JK107</f>
        <v>0</v>
      </c>
      <c r="JO107" s="8"/>
      <c r="JP107" s="47">
        <v>7</v>
      </c>
      <c r="JQ107" s="48" t="s">
        <v>4</v>
      </c>
      <c r="JR107" s="49">
        <v>6</v>
      </c>
      <c r="JS107" s="8"/>
      <c r="JT107" s="42" t="str">
        <f t="shared" si="648"/>
        <v/>
      </c>
      <c r="JU107" s="43">
        <f>JP107-JR107</f>
        <v>1</v>
      </c>
      <c r="JV107" s="8"/>
      <c r="JW107" s="47">
        <v>0</v>
      </c>
      <c r="JX107" s="48" t="s">
        <v>4</v>
      </c>
      <c r="JY107" s="49">
        <v>1</v>
      </c>
      <c r="JZ107" s="8"/>
      <c r="KA107" s="42" t="str">
        <f t="shared" si="650"/>
        <v/>
      </c>
      <c r="KB107" s="43">
        <f>JW107-JY107</f>
        <v>-1</v>
      </c>
      <c r="KC107" s="8"/>
      <c r="KD107" s="47"/>
      <c r="KE107" s="48" t="s">
        <v>4</v>
      </c>
      <c r="KF107" s="49"/>
      <c r="KG107" s="8"/>
      <c r="KH107" s="42" t="str">
        <f t="shared" si="652"/>
        <v/>
      </c>
      <c r="KI107" s="43">
        <f>KD107-KF107</f>
        <v>0</v>
      </c>
      <c r="KJ107" s="8"/>
      <c r="KK107" s="47">
        <v>1</v>
      </c>
      <c r="KL107" s="48" t="s">
        <v>4</v>
      </c>
      <c r="KM107" s="49">
        <v>2</v>
      </c>
      <c r="KN107" s="8"/>
      <c r="KO107" s="42" t="str">
        <f t="shared" si="654"/>
        <v/>
      </c>
      <c r="KP107" s="43">
        <f>KK107-KM107</f>
        <v>-1</v>
      </c>
      <c r="KQ107" s="8"/>
      <c r="KR107" s="47">
        <v>1</v>
      </c>
      <c r="KS107" s="48" t="s">
        <v>4</v>
      </c>
      <c r="KT107" s="49">
        <v>2</v>
      </c>
      <c r="KU107" s="8"/>
      <c r="KV107" s="42" t="str">
        <f t="shared" si="656"/>
        <v/>
      </c>
      <c r="KW107" s="43">
        <f>KR107-KT107</f>
        <v>-1</v>
      </c>
      <c r="KX107" s="8"/>
      <c r="KY107" s="47">
        <v>2</v>
      </c>
      <c r="KZ107" s="48" t="s">
        <v>4</v>
      </c>
      <c r="LA107" s="49">
        <v>1</v>
      </c>
      <c r="LB107" s="8"/>
      <c r="LC107" s="42" t="str">
        <f t="shared" si="658"/>
        <v/>
      </c>
      <c r="LD107" s="43">
        <f>KY107-LA107</f>
        <v>1</v>
      </c>
      <c r="LE107" s="8"/>
      <c r="LF107" s="47">
        <v>1</v>
      </c>
      <c r="LG107" s="48" t="s">
        <v>4</v>
      </c>
      <c r="LH107" s="49">
        <v>2</v>
      </c>
      <c r="LI107" s="8"/>
      <c r="LJ107" s="42" t="str">
        <f t="shared" si="660"/>
        <v/>
      </c>
      <c r="LK107" s="43">
        <f>LF107-LH107</f>
        <v>-1</v>
      </c>
      <c r="LL107" s="8"/>
      <c r="LM107" s="47">
        <v>4</v>
      </c>
      <c r="LN107" s="48" t="s">
        <v>4</v>
      </c>
      <c r="LO107" s="49">
        <v>5</v>
      </c>
      <c r="LP107" s="8"/>
      <c r="LQ107" s="42" t="str">
        <f t="shared" si="662"/>
        <v/>
      </c>
      <c r="LR107" s="43">
        <f>LM107-LO107</f>
        <v>-1</v>
      </c>
      <c r="LS107" s="8"/>
      <c r="LT107" s="47">
        <v>0</v>
      </c>
      <c r="LU107" s="48" t="s">
        <v>4</v>
      </c>
      <c r="LV107" s="49">
        <v>1</v>
      </c>
      <c r="LW107" s="8"/>
      <c r="LX107" s="42" t="str">
        <f t="shared" si="664"/>
        <v/>
      </c>
      <c r="LY107" s="43">
        <f>LT107-LV107</f>
        <v>-1</v>
      </c>
      <c r="LZ107" s="8"/>
      <c r="MA107" s="47">
        <v>0</v>
      </c>
      <c r="MB107" s="48" t="s">
        <v>4</v>
      </c>
      <c r="MC107" s="49">
        <v>2</v>
      </c>
      <c r="MD107" s="8"/>
      <c r="ME107" s="42" t="str">
        <f t="shared" si="666"/>
        <v/>
      </c>
      <c r="MF107" s="43">
        <f>MA107-MC107</f>
        <v>-2</v>
      </c>
      <c r="MG107" s="8"/>
      <c r="MH107" s="47">
        <v>1</v>
      </c>
      <c r="MI107" s="48" t="s">
        <v>4</v>
      </c>
      <c r="MJ107" s="49">
        <v>0</v>
      </c>
      <c r="MK107" s="8"/>
      <c r="ML107" s="42" t="str">
        <f t="shared" si="668"/>
        <v/>
      </c>
      <c r="MM107" s="43">
        <f>MH107-MJ107</f>
        <v>1</v>
      </c>
      <c r="MN107" s="8"/>
      <c r="MO107" s="47">
        <v>1</v>
      </c>
      <c r="MP107" s="48" t="s">
        <v>4</v>
      </c>
      <c r="MQ107" s="49">
        <v>0</v>
      </c>
      <c r="MR107" s="8"/>
      <c r="MS107" s="42" t="str">
        <f t="shared" si="670"/>
        <v/>
      </c>
      <c r="MT107" s="43">
        <f>MO107-MQ107</f>
        <v>1</v>
      </c>
      <c r="MU107" s="8"/>
      <c r="MV107" s="47">
        <v>2</v>
      </c>
      <c r="MW107" s="48" t="s">
        <v>4</v>
      </c>
      <c r="MX107" s="49">
        <v>1</v>
      </c>
      <c r="MY107" s="8"/>
      <c r="MZ107" s="42" t="str">
        <f t="shared" si="672"/>
        <v/>
      </c>
      <c r="NA107" s="43">
        <f>MV107-MX107</f>
        <v>1</v>
      </c>
      <c r="NB107" s="8"/>
      <c r="NC107" s="47">
        <v>1</v>
      </c>
      <c r="ND107" s="48" t="s">
        <v>4</v>
      </c>
      <c r="NE107" s="49">
        <v>2</v>
      </c>
      <c r="NF107" s="8"/>
      <c r="NG107" s="42" t="str">
        <f t="shared" si="674"/>
        <v/>
      </c>
      <c r="NH107" s="43">
        <f>NC107-NE107</f>
        <v>-1</v>
      </c>
      <c r="NI107" s="8"/>
      <c r="NJ107" s="47"/>
      <c r="NK107" s="48" t="s">
        <v>4</v>
      </c>
      <c r="NL107" s="49"/>
      <c r="NM107" s="8"/>
      <c r="NN107" s="42" t="str">
        <f t="shared" si="676"/>
        <v/>
      </c>
      <c r="NO107" s="43">
        <f>NJ107-NL107</f>
        <v>0</v>
      </c>
      <c r="NP107" s="8"/>
      <c r="NQ107" s="47"/>
      <c r="NR107" s="48" t="s">
        <v>4</v>
      </c>
      <c r="NS107" s="49"/>
      <c r="NT107" s="8"/>
      <c r="NU107" s="42" t="str">
        <f t="shared" si="678"/>
        <v/>
      </c>
      <c r="NV107" s="43">
        <f>NQ107-NS107</f>
        <v>0</v>
      </c>
      <c r="NW107" s="8"/>
      <c r="NX107" s="47"/>
      <c r="NY107" s="48" t="s">
        <v>4</v>
      </c>
      <c r="NZ107" s="49"/>
      <c r="OA107" s="8"/>
      <c r="OB107" s="42" t="str">
        <f t="shared" si="680"/>
        <v/>
      </c>
      <c r="OC107" s="43">
        <f>NX107-NZ107</f>
        <v>0</v>
      </c>
      <c r="OD107" s="8"/>
      <c r="OE107" s="47">
        <v>1</v>
      </c>
      <c r="OF107" s="48" t="s">
        <v>4</v>
      </c>
      <c r="OG107" s="49">
        <v>2</v>
      </c>
      <c r="OH107" s="8"/>
      <c r="OI107" s="42" t="str">
        <f t="shared" si="682"/>
        <v/>
      </c>
      <c r="OJ107" s="43">
        <f>OE107-OG107</f>
        <v>-1</v>
      </c>
      <c r="OK107" s="8"/>
      <c r="OL107" s="47">
        <v>4</v>
      </c>
      <c r="OM107" s="48" t="s">
        <v>4</v>
      </c>
      <c r="ON107" s="49">
        <v>5</v>
      </c>
      <c r="OO107" s="8"/>
      <c r="OP107" s="42" t="str">
        <f t="shared" si="684"/>
        <v/>
      </c>
      <c r="OQ107" s="43">
        <f>OL107-ON107</f>
        <v>-1</v>
      </c>
      <c r="OR107" s="8"/>
      <c r="OS107" s="47"/>
      <c r="OT107" s="48" t="s">
        <v>4</v>
      </c>
      <c r="OU107" s="49"/>
      <c r="OV107" s="8"/>
      <c r="OW107" s="42" t="str">
        <f t="shared" si="686"/>
        <v/>
      </c>
      <c r="OX107" s="43">
        <f>OS107-OU107</f>
        <v>0</v>
      </c>
      <c r="OY107" s="8"/>
      <c r="OZ107" s="47">
        <v>1</v>
      </c>
      <c r="PA107" s="48" t="s">
        <v>4</v>
      </c>
      <c r="PB107" s="49">
        <v>2</v>
      </c>
      <c r="PC107" s="8"/>
      <c r="PD107" s="42" t="str">
        <f t="shared" si="688"/>
        <v/>
      </c>
      <c r="PE107" s="43">
        <f>OZ107-PB107</f>
        <v>-1</v>
      </c>
      <c r="PF107" s="8"/>
      <c r="PG107" s="47">
        <v>1</v>
      </c>
      <c r="PH107" s="48" t="s">
        <v>4</v>
      </c>
      <c r="PI107" s="49">
        <v>2</v>
      </c>
      <c r="PJ107" s="8"/>
      <c r="PK107" s="42" t="str">
        <f t="shared" si="690"/>
        <v/>
      </c>
      <c r="PL107" s="43">
        <f>PG107-PI107</f>
        <v>-1</v>
      </c>
      <c r="PM107" s="8"/>
      <c r="PN107" s="47">
        <v>1</v>
      </c>
      <c r="PO107" s="48" t="s">
        <v>4</v>
      </c>
      <c r="PP107" s="49">
        <v>2</v>
      </c>
      <c r="PQ107" s="8"/>
      <c r="PR107" s="42" t="str">
        <f t="shared" si="692"/>
        <v/>
      </c>
      <c r="PS107" s="43">
        <f>PN107-PP107</f>
        <v>-1</v>
      </c>
      <c r="PT107" s="8"/>
      <c r="PU107" s="47">
        <v>3</v>
      </c>
      <c r="PV107" s="48" t="s">
        <v>4</v>
      </c>
      <c r="PW107" s="49">
        <v>2</v>
      </c>
      <c r="PX107" s="8"/>
      <c r="PY107" s="42" t="str">
        <f t="shared" si="694"/>
        <v/>
      </c>
      <c r="PZ107" s="43">
        <f>PU107-PW107</f>
        <v>1</v>
      </c>
      <c r="QA107" s="8"/>
      <c r="QB107" s="47">
        <v>1</v>
      </c>
      <c r="QC107" s="48" t="s">
        <v>4</v>
      </c>
      <c r="QD107" s="49">
        <v>3</v>
      </c>
      <c r="QE107" s="8"/>
      <c r="QF107" s="42" t="str">
        <f t="shared" si="696"/>
        <v/>
      </c>
      <c r="QG107" s="43">
        <f>QB107-QD107</f>
        <v>-2</v>
      </c>
      <c r="QH107" s="8"/>
      <c r="QI107" s="47">
        <v>2</v>
      </c>
      <c r="QJ107" s="48" t="s">
        <v>4</v>
      </c>
      <c r="QK107" s="49">
        <v>3</v>
      </c>
      <c r="QL107" s="8"/>
      <c r="QM107" s="42" t="str">
        <f t="shared" si="698"/>
        <v/>
      </c>
      <c r="QN107" s="43">
        <f>QI107-QK107</f>
        <v>-1</v>
      </c>
      <c r="QO107" s="8"/>
      <c r="QP107" s="47"/>
      <c r="QQ107" s="48" t="s">
        <v>4</v>
      </c>
      <c r="QR107" s="49"/>
      <c r="QS107" s="8"/>
      <c r="QT107" s="42" t="str">
        <f t="shared" si="700"/>
        <v/>
      </c>
      <c r="QU107" s="43">
        <f>QP107-QR107</f>
        <v>0</v>
      </c>
      <c r="QV107" s="8"/>
      <c r="QW107" s="47"/>
      <c r="QX107" s="48" t="s">
        <v>4</v>
      </c>
      <c r="QY107" s="49"/>
      <c r="QZ107" s="8"/>
      <c r="RA107" s="42" t="str">
        <f t="shared" si="702"/>
        <v/>
      </c>
      <c r="RB107" s="43">
        <f>QW107-QY107</f>
        <v>0</v>
      </c>
      <c r="RC107" s="8"/>
      <c r="RD107" s="47"/>
      <c r="RE107" s="48" t="s">
        <v>4</v>
      </c>
      <c r="RF107" s="49"/>
      <c r="RG107" s="8"/>
      <c r="RH107" s="42" t="str">
        <f t="shared" si="704"/>
        <v/>
      </c>
      <c r="RI107" s="43">
        <f>RD107-RF107</f>
        <v>0</v>
      </c>
      <c r="RJ107" s="8"/>
      <c r="RK107" s="47"/>
      <c r="RL107" s="48" t="s">
        <v>4</v>
      </c>
      <c r="RM107" s="49"/>
      <c r="RN107" s="8"/>
      <c r="RO107" s="42" t="str">
        <f t="shared" si="706"/>
        <v/>
      </c>
      <c r="RP107" s="43">
        <f>RK107-RM107</f>
        <v>0</v>
      </c>
      <c r="RQ107" s="8"/>
      <c r="RR107" s="47"/>
      <c r="RS107" s="48" t="s">
        <v>4</v>
      </c>
      <c r="RT107" s="49"/>
      <c r="RU107" s="8"/>
      <c r="RV107" s="42" t="str">
        <f t="shared" si="708"/>
        <v/>
      </c>
      <c r="RW107" s="43">
        <f>RR107-RT107</f>
        <v>0</v>
      </c>
      <c r="RX107" s="8"/>
      <c r="RY107" s="47"/>
      <c r="RZ107" s="48" t="s">
        <v>4</v>
      </c>
      <c r="SA107" s="49"/>
      <c r="SB107" s="8"/>
      <c r="SC107" s="42" t="str">
        <f t="shared" si="710"/>
        <v/>
      </c>
      <c r="SD107" s="43">
        <f>RY107-SA107</f>
        <v>0</v>
      </c>
      <c r="SE107" s="8"/>
      <c r="SF107" s="47"/>
      <c r="SG107" s="48" t="s">
        <v>4</v>
      </c>
      <c r="SH107" s="49"/>
      <c r="SI107" s="8"/>
      <c r="SJ107" s="42" t="str">
        <f t="shared" si="712"/>
        <v/>
      </c>
      <c r="SK107" s="43">
        <f>SF107-SH107</f>
        <v>0</v>
      </c>
      <c r="SL107" s="8"/>
      <c r="SM107" s="47"/>
      <c r="SN107" s="48" t="s">
        <v>4</v>
      </c>
      <c r="SO107" s="49"/>
      <c r="SP107" s="8"/>
      <c r="SQ107" s="42" t="str">
        <f t="shared" si="714"/>
        <v/>
      </c>
      <c r="SR107" s="43">
        <f>SM107-SO107</f>
        <v>0</v>
      </c>
    </row>
    <row r="108" spans="1:512" ht="16" customHeight="1" x14ac:dyDescent="0.15">
      <c r="A108" s="53"/>
      <c r="B108" s="46"/>
      <c r="C108" s="82"/>
      <c r="D108" s="83"/>
      <c r="E108" s="5"/>
      <c r="H108" s="8"/>
      <c r="I108" s="32"/>
      <c r="J108" s="8"/>
      <c r="K108" s="8"/>
      <c r="L108" s="8"/>
      <c r="M108" s="8"/>
      <c r="N108" s="42"/>
      <c r="O108" s="43"/>
      <c r="Q108" s="38"/>
      <c r="R108" s="39"/>
      <c r="S108" s="40"/>
      <c r="T108" s="8"/>
      <c r="U108" s="42"/>
      <c r="V108" s="43"/>
      <c r="W108" s="8"/>
      <c r="X108" s="38"/>
      <c r="Y108" s="39"/>
      <c r="Z108" s="40"/>
      <c r="AA108" s="8"/>
      <c r="AB108" s="42"/>
      <c r="AC108" s="43"/>
      <c r="AD108" s="8"/>
      <c r="AE108" s="38"/>
      <c r="AF108" s="39"/>
      <c r="AG108" s="40"/>
      <c r="AH108" s="8"/>
      <c r="AI108" s="42"/>
      <c r="AJ108" s="43"/>
      <c r="AK108" s="8"/>
      <c r="AL108" s="38"/>
      <c r="AM108" s="39"/>
      <c r="AN108" s="40"/>
      <c r="AO108" s="8"/>
      <c r="AP108" s="42"/>
      <c r="AQ108" s="43"/>
      <c r="AR108" s="8"/>
      <c r="AS108" s="38"/>
      <c r="AT108" s="39"/>
      <c r="AU108" s="40"/>
      <c r="AV108" s="8"/>
      <c r="AW108" s="42"/>
      <c r="AX108" s="43"/>
      <c r="AY108" s="8"/>
      <c r="AZ108" s="38"/>
      <c r="BA108" s="39"/>
      <c r="BB108" s="40"/>
      <c r="BC108" s="8"/>
      <c r="BD108" s="42"/>
      <c r="BE108" s="43"/>
      <c r="BF108" s="8"/>
      <c r="BG108" s="38"/>
      <c r="BH108" s="39"/>
      <c r="BI108" s="40"/>
      <c r="BJ108" s="8"/>
      <c r="BK108" s="42"/>
      <c r="BL108" s="43"/>
      <c r="BM108" s="8"/>
      <c r="BN108" s="38"/>
      <c r="BO108" s="39"/>
      <c r="BP108" s="40"/>
      <c r="BQ108" s="8"/>
      <c r="BR108" s="42"/>
      <c r="BS108" s="43"/>
      <c r="BT108" s="8"/>
      <c r="BU108" s="38"/>
      <c r="BV108" s="39"/>
      <c r="BW108" s="40"/>
      <c r="BX108" s="8"/>
      <c r="BY108" s="42"/>
      <c r="BZ108" s="43"/>
      <c r="CA108" s="8"/>
      <c r="CB108" s="38"/>
      <c r="CC108" s="39"/>
      <c r="CD108" s="40"/>
      <c r="CE108" s="8"/>
      <c r="CF108" s="42"/>
      <c r="CG108" s="43"/>
      <c r="CH108" s="8"/>
      <c r="CI108" s="38"/>
      <c r="CJ108" s="39"/>
      <c r="CK108" s="40"/>
      <c r="CL108" s="8"/>
      <c r="CM108" s="42"/>
      <c r="CN108" s="43"/>
      <c r="CO108" s="8"/>
      <c r="CP108" s="38"/>
      <c r="CQ108" s="39"/>
      <c r="CR108" s="40"/>
      <c r="CS108" s="8"/>
      <c r="CT108" s="42"/>
      <c r="CU108" s="43"/>
      <c r="CV108" s="8"/>
      <c r="CW108" s="38"/>
      <c r="CX108" s="39"/>
      <c r="CY108" s="40"/>
      <c r="CZ108" s="8"/>
      <c r="DA108" s="42"/>
      <c r="DB108" s="43"/>
      <c r="DC108" s="8"/>
      <c r="DD108" s="38"/>
      <c r="DE108" s="39"/>
      <c r="DF108" s="40"/>
      <c r="DG108" s="8"/>
      <c r="DH108" s="42"/>
      <c r="DI108" s="43"/>
      <c r="DJ108" s="8"/>
      <c r="DK108" s="38"/>
      <c r="DL108" s="39"/>
      <c r="DM108" s="40"/>
      <c r="DN108" s="8"/>
      <c r="DO108" s="42"/>
      <c r="DP108" s="43"/>
      <c r="DQ108" s="8"/>
      <c r="DR108" s="38"/>
      <c r="DS108" s="39"/>
      <c r="DT108" s="40"/>
      <c r="DU108" s="8"/>
      <c r="DV108" s="42"/>
      <c r="DW108" s="43"/>
      <c r="DX108" s="8"/>
      <c r="DY108" s="38"/>
      <c r="DZ108" s="39"/>
      <c r="EA108" s="40"/>
      <c r="EB108" s="8"/>
      <c r="EC108" s="42"/>
      <c r="ED108" s="43"/>
      <c r="EE108" s="8"/>
      <c r="EF108" s="38"/>
      <c r="EG108" s="39"/>
      <c r="EH108" s="40"/>
      <c r="EI108" s="8"/>
      <c r="EJ108" s="42"/>
      <c r="EK108" s="43"/>
      <c r="EL108" s="8"/>
      <c r="EM108" s="38"/>
      <c r="EN108" s="39"/>
      <c r="EO108" s="40"/>
      <c r="EP108" s="8"/>
      <c r="EQ108" s="42"/>
      <c r="ER108" s="43"/>
      <c r="ES108" s="8"/>
      <c r="ET108" s="38"/>
      <c r="EU108" s="39"/>
      <c r="EV108" s="40"/>
      <c r="EW108" s="8"/>
      <c r="EX108" s="42"/>
      <c r="EY108" s="43"/>
      <c r="EZ108" s="8"/>
      <c r="FA108" s="38"/>
      <c r="FB108" s="39"/>
      <c r="FC108" s="40"/>
      <c r="FD108" s="8"/>
      <c r="FE108" s="42"/>
      <c r="FF108" s="43"/>
      <c r="FG108" s="8"/>
      <c r="FH108" s="38"/>
      <c r="FI108" s="39"/>
      <c r="FJ108" s="40"/>
      <c r="FK108" s="8"/>
      <c r="FL108" s="42"/>
      <c r="FM108" s="43"/>
      <c r="FN108" s="8"/>
      <c r="FO108" s="38"/>
      <c r="FP108" s="39"/>
      <c r="FQ108" s="40"/>
      <c r="FR108" s="8"/>
      <c r="FS108" s="42"/>
      <c r="FT108" s="43"/>
      <c r="FU108" s="8"/>
      <c r="FV108" s="38"/>
      <c r="FW108" s="39"/>
      <c r="FX108" s="40"/>
      <c r="FY108" s="8"/>
      <c r="FZ108" s="42"/>
      <c r="GA108" s="43"/>
      <c r="GB108" s="8"/>
      <c r="GC108" s="38"/>
      <c r="GD108" s="39"/>
      <c r="GE108" s="40"/>
      <c r="GF108" s="8"/>
      <c r="GG108" s="42"/>
      <c r="GH108" s="43"/>
      <c r="GI108" s="8"/>
      <c r="GJ108" s="38"/>
      <c r="GK108" s="39"/>
      <c r="GL108" s="40"/>
      <c r="GM108" s="8"/>
      <c r="GN108" s="42"/>
      <c r="GO108" s="43"/>
      <c r="GP108" s="8"/>
      <c r="GQ108" s="38"/>
      <c r="GR108" s="39"/>
      <c r="GS108" s="40"/>
      <c r="GT108" s="8"/>
      <c r="GU108" s="42"/>
      <c r="GV108" s="43"/>
      <c r="GW108" s="8"/>
      <c r="GX108" s="38"/>
      <c r="GY108" s="39"/>
      <c r="GZ108" s="40"/>
      <c r="HA108" s="8"/>
      <c r="HB108" s="42"/>
      <c r="HC108" s="43"/>
      <c r="HD108" s="8"/>
      <c r="HE108" s="38"/>
      <c r="HF108" s="39"/>
      <c r="HG108" s="40"/>
      <c r="HH108" s="8"/>
      <c r="HI108" s="42"/>
      <c r="HJ108" s="43"/>
      <c r="HK108" s="8"/>
      <c r="HL108" s="38"/>
      <c r="HM108" s="39"/>
      <c r="HN108" s="40"/>
      <c r="HO108" s="8"/>
      <c r="HP108" s="42"/>
      <c r="HQ108" s="43"/>
      <c r="HR108" s="8"/>
      <c r="HS108" s="38"/>
      <c r="HT108" s="39"/>
      <c r="HU108" s="40"/>
      <c r="HV108" s="8"/>
      <c r="HW108" s="42"/>
      <c r="HX108" s="43"/>
      <c r="HY108" s="8"/>
      <c r="HZ108" s="38"/>
      <c r="IA108" s="39"/>
      <c r="IB108" s="40"/>
      <c r="IC108" s="8"/>
      <c r="ID108" s="42"/>
      <c r="IE108" s="43"/>
      <c r="IF108" s="8"/>
      <c r="IG108" s="38"/>
      <c r="IH108" s="39"/>
      <c r="II108" s="40"/>
      <c r="IJ108" s="8"/>
      <c r="IK108" s="42"/>
      <c r="IL108" s="43"/>
      <c r="IM108" s="8"/>
      <c r="IN108" s="38"/>
      <c r="IO108" s="39"/>
      <c r="IP108" s="40"/>
      <c r="IQ108" s="8"/>
      <c r="IR108" s="42"/>
      <c r="IS108" s="43"/>
      <c r="IT108" s="8"/>
      <c r="IU108" s="38"/>
      <c r="IV108" s="39"/>
      <c r="IW108" s="40"/>
      <c r="IX108" s="8"/>
      <c r="IY108" s="42"/>
      <c r="IZ108" s="43"/>
      <c r="JA108" s="8"/>
      <c r="JB108" s="38"/>
      <c r="JC108" s="39"/>
      <c r="JD108" s="40"/>
      <c r="JE108" s="8"/>
      <c r="JF108" s="42"/>
      <c r="JG108" s="43"/>
      <c r="JH108" s="8"/>
      <c r="JI108" s="38"/>
      <c r="JJ108" s="39"/>
      <c r="JK108" s="40"/>
      <c r="JL108" s="8"/>
      <c r="JM108" s="42"/>
      <c r="JN108" s="43"/>
      <c r="JO108" s="8"/>
      <c r="JP108" s="38"/>
      <c r="JQ108" s="39"/>
      <c r="JR108" s="40"/>
      <c r="JS108" s="8"/>
      <c r="JT108" s="42"/>
      <c r="JU108" s="43"/>
      <c r="JV108" s="8"/>
      <c r="JW108" s="38"/>
      <c r="JX108" s="39"/>
      <c r="JY108" s="40"/>
      <c r="JZ108" s="8"/>
      <c r="KA108" s="42"/>
      <c r="KB108" s="43"/>
      <c r="KC108" s="8"/>
      <c r="KD108" s="38"/>
      <c r="KE108" s="39"/>
      <c r="KF108" s="40"/>
      <c r="KG108" s="8"/>
      <c r="KH108" s="42"/>
      <c r="KI108" s="43"/>
      <c r="KJ108" s="8"/>
      <c r="KK108" s="38"/>
      <c r="KL108" s="39"/>
      <c r="KM108" s="40"/>
      <c r="KN108" s="8"/>
      <c r="KO108" s="42"/>
      <c r="KP108" s="43"/>
      <c r="KQ108" s="8"/>
      <c r="KR108" s="38"/>
      <c r="KS108" s="39"/>
      <c r="KT108" s="40"/>
      <c r="KU108" s="8"/>
      <c r="KV108" s="42"/>
      <c r="KW108" s="43"/>
      <c r="KX108" s="8"/>
      <c r="KY108" s="38"/>
      <c r="KZ108" s="39"/>
      <c r="LA108" s="40"/>
      <c r="LB108" s="8"/>
      <c r="LC108" s="42"/>
      <c r="LD108" s="43"/>
      <c r="LE108" s="8"/>
      <c r="LF108" s="38"/>
      <c r="LG108" s="39"/>
      <c r="LH108" s="40"/>
      <c r="LI108" s="8"/>
      <c r="LJ108" s="42"/>
      <c r="LK108" s="43"/>
      <c r="LL108" s="8"/>
      <c r="LM108" s="38"/>
      <c r="LN108" s="39"/>
      <c r="LO108" s="40"/>
      <c r="LP108" s="8"/>
      <c r="LQ108" s="42"/>
      <c r="LR108" s="43"/>
      <c r="LS108" s="8"/>
      <c r="LT108" s="38"/>
      <c r="LU108" s="39"/>
      <c r="LV108" s="40"/>
      <c r="LW108" s="8"/>
      <c r="LX108" s="42"/>
      <c r="LY108" s="43"/>
      <c r="LZ108" s="8"/>
      <c r="MA108" s="38"/>
      <c r="MB108" s="39"/>
      <c r="MC108" s="40"/>
      <c r="MD108" s="8"/>
      <c r="ME108" s="42"/>
      <c r="MF108" s="43"/>
      <c r="MG108" s="8"/>
      <c r="MH108" s="38"/>
      <c r="MI108" s="39"/>
      <c r="MJ108" s="40"/>
      <c r="MK108" s="8"/>
      <c r="ML108" s="42"/>
      <c r="MM108" s="43"/>
      <c r="MN108" s="8"/>
      <c r="MO108" s="38"/>
      <c r="MP108" s="39"/>
      <c r="MQ108" s="40"/>
      <c r="MR108" s="8"/>
      <c r="MS108" s="42"/>
      <c r="MT108" s="43"/>
      <c r="MU108" s="8"/>
      <c r="MV108" s="38"/>
      <c r="MW108" s="39"/>
      <c r="MX108" s="40"/>
      <c r="MY108" s="8"/>
      <c r="MZ108" s="42"/>
      <c r="NA108" s="43"/>
      <c r="NB108" s="8"/>
      <c r="NC108" s="38"/>
      <c r="ND108" s="39"/>
      <c r="NE108" s="40"/>
      <c r="NF108" s="8"/>
      <c r="NG108" s="42"/>
      <c r="NH108" s="43"/>
      <c r="NI108" s="8"/>
      <c r="NJ108" s="38"/>
      <c r="NK108" s="39"/>
      <c r="NL108" s="40"/>
      <c r="NM108" s="8"/>
      <c r="NN108" s="42"/>
      <c r="NO108" s="43"/>
      <c r="NP108" s="8"/>
      <c r="NQ108" s="38"/>
      <c r="NR108" s="39"/>
      <c r="NS108" s="40"/>
      <c r="NT108" s="8"/>
      <c r="NU108" s="42"/>
      <c r="NV108" s="43"/>
      <c r="NW108" s="8"/>
      <c r="NX108" s="38"/>
      <c r="NY108" s="39"/>
      <c r="NZ108" s="40"/>
      <c r="OA108" s="8"/>
      <c r="OB108" s="42"/>
      <c r="OC108" s="43"/>
      <c r="OD108" s="8"/>
      <c r="OE108" s="38"/>
      <c r="OF108" s="39"/>
      <c r="OG108" s="40"/>
      <c r="OH108" s="8"/>
      <c r="OI108" s="42"/>
      <c r="OJ108" s="43"/>
      <c r="OK108" s="8"/>
      <c r="OL108" s="38"/>
      <c r="OM108" s="39"/>
      <c r="ON108" s="40"/>
      <c r="OO108" s="8"/>
      <c r="OP108" s="42"/>
      <c r="OQ108" s="43"/>
      <c r="OR108" s="8"/>
      <c r="OS108" s="38"/>
      <c r="OT108" s="39"/>
      <c r="OU108" s="40"/>
      <c r="OV108" s="8"/>
      <c r="OW108" s="42"/>
      <c r="OX108" s="43"/>
      <c r="OY108" s="8"/>
      <c r="OZ108" s="38"/>
      <c r="PA108" s="39"/>
      <c r="PB108" s="40"/>
      <c r="PC108" s="8"/>
      <c r="PD108" s="42"/>
      <c r="PE108" s="43"/>
      <c r="PF108" s="8"/>
      <c r="PG108" s="38"/>
      <c r="PH108" s="39"/>
      <c r="PI108" s="40"/>
      <c r="PJ108" s="8"/>
      <c r="PK108" s="42"/>
      <c r="PL108" s="43"/>
      <c r="PM108" s="8"/>
      <c r="PN108" s="38"/>
      <c r="PO108" s="39"/>
      <c r="PP108" s="40"/>
      <c r="PQ108" s="8"/>
      <c r="PR108" s="42"/>
      <c r="PS108" s="43"/>
      <c r="PT108" s="8"/>
      <c r="PU108" s="38"/>
      <c r="PV108" s="39"/>
      <c r="PW108" s="40"/>
      <c r="PX108" s="8"/>
      <c r="PY108" s="42"/>
      <c r="PZ108" s="43"/>
      <c r="QA108" s="8"/>
      <c r="QB108" s="38"/>
      <c r="QC108" s="39"/>
      <c r="QD108" s="40"/>
      <c r="QE108" s="8"/>
      <c r="QF108" s="42"/>
      <c r="QG108" s="43"/>
      <c r="QH108" s="8"/>
      <c r="QI108" s="38"/>
      <c r="QJ108" s="39"/>
      <c r="QK108" s="40"/>
      <c r="QL108" s="8"/>
      <c r="QM108" s="42"/>
      <c r="QN108" s="43"/>
      <c r="QO108" s="8"/>
      <c r="QP108" s="38"/>
      <c r="QQ108" s="39"/>
      <c r="QR108" s="40"/>
      <c r="QS108" s="8"/>
      <c r="QT108" s="42"/>
      <c r="QU108" s="43"/>
      <c r="QV108" s="8"/>
      <c r="QW108" s="38"/>
      <c r="QX108" s="39"/>
      <c r="QY108" s="40"/>
      <c r="QZ108" s="8"/>
      <c r="RA108" s="42"/>
      <c r="RB108" s="43"/>
      <c r="RC108" s="8"/>
      <c r="RD108" s="38"/>
      <c r="RE108" s="39"/>
      <c r="RF108" s="40"/>
      <c r="RG108" s="8"/>
      <c r="RH108" s="42"/>
      <c r="RI108" s="43"/>
      <c r="RJ108" s="8"/>
      <c r="RK108" s="38"/>
      <c r="RL108" s="39"/>
      <c r="RM108" s="40"/>
      <c r="RN108" s="8"/>
      <c r="RO108" s="42"/>
      <c r="RP108" s="43"/>
      <c r="RQ108" s="8"/>
      <c r="RR108" s="38"/>
      <c r="RS108" s="39"/>
      <c r="RT108" s="40"/>
      <c r="RU108" s="8"/>
      <c r="RV108" s="42"/>
      <c r="RW108" s="43"/>
      <c r="RX108" s="8"/>
      <c r="RY108" s="38"/>
      <c r="RZ108" s="39"/>
      <c r="SA108" s="40"/>
      <c r="SB108" s="8"/>
      <c r="SC108" s="42"/>
      <c r="SD108" s="43"/>
      <c r="SE108" s="8"/>
      <c r="SF108" s="38"/>
      <c r="SG108" s="39"/>
      <c r="SH108" s="40"/>
      <c r="SI108" s="8"/>
      <c r="SJ108" s="42"/>
      <c r="SK108" s="43"/>
      <c r="SL108" s="8"/>
      <c r="SM108" s="38"/>
      <c r="SN108" s="39"/>
      <c r="SO108" s="40"/>
      <c r="SP108" s="8"/>
      <c r="SQ108" s="42"/>
      <c r="SR108" s="43"/>
    </row>
    <row r="109" spans="1:512" ht="16" customHeight="1" x14ac:dyDescent="0.15">
      <c r="A109" s="84" t="s">
        <v>7</v>
      </c>
      <c r="B109" s="46"/>
      <c r="C109" s="82"/>
      <c r="D109" s="82"/>
      <c r="E109" s="5"/>
      <c r="H109" s="8"/>
      <c r="I109" s="32"/>
      <c r="J109" s="8"/>
      <c r="K109" s="8"/>
      <c r="L109" s="8"/>
      <c r="M109" s="8"/>
      <c r="N109" s="42"/>
      <c r="O109" s="43"/>
      <c r="Q109" s="38"/>
      <c r="R109" s="44"/>
      <c r="S109" s="40"/>
      <c r="T109" s="8"/>
      <c r="U109" s="42"/>
      <c r="V109" s="43"/>
      <c r="W109" s="8"/>
      <c r="X109" s="38"/>
      <c r="Y109" s="44"/>
      <c r="Z109" s="40"/>
      <c r="AA109" s="8"/>
      <c r="AB109" s="42"/>
      <c r="AC109" s="43"/>
      <c r="AD109" s="8"/>
      <c r="AE109" s="38"/>
      <c r="AF109" s="44"/>
      <c r="AG109" s="40"/>
      <c r="AH109" s="8"/>
      <c r="AI109" s="42"/>
      <c r="AJ109" s="43"/>
      <c r="AK109" s="8"/>
      <c r="AL109" s="38"/>
      <c r="AM109" s="44"/>
      <c r="AN109" s="40"/>
      <c r="AO109" s="8"/>
      <c r="AP109" s="42"/>
      <c r="AQ109" s="43"/>
      <c r="AR109" s="8"/>
      <c r="AS109" s="38"/>
      <c r="AT109" s="44"/>
      <c r="AU109" s="40"/>
      <c r="AV109" s="8"/>
      <c r="AW109" s="42"/>
      <c r="AX109" s="43"/>
      <c r="AY109" s="8"/>
      <c r="AZ109" s="38"/>
      <c r="BA109" s="44"/>
      <c r="BB109" s="40"/>
      <c r="BC109" s="8"/>
      <c r="BD109" s="42"/>
      <c r="BE109" s="43"/>
      <c r="BF109" s="8"/>
      <c r="BG109" s="38"/>
      <c r="BH109" s="44"/>
      <c r="BI109" s="40"/>
      <c r="BJ109" s="8"/>
      <c r="BK109" s="42"/>
      <c r="BL109" s="43"/>
      <c r="BM109" s="8"/>
      <c r="BN109" s="38"/>
      <c r="BO109" s="44"/>
      <c r="BP109" s="40"/>
      <c r="BQ109" s="8"/>
      <c r="BR109" s="42"/>
      <c r="BS109" s="43"/>
      <c r="BT109" s="8"/>
      <c r="BU109" s="38"/>
      <c r="BV109" s="44"/>
      <c r="BW109" s="40"/>
      <c r="BX109" s="8"/>
      <c r="BY109" s="42"/>
      <c r="BZ109" s="43"/>
      <c r="CA109" s="8"/>
      <c r="CB109" s="38"/>
      <c r="CC109" s="44"/>
      <c r="CD109" s="40"/>
      <c r="CE109" s="8"/>
      <c r="CF109" s="42"/>
      <c r="CG109" s="43"/>
      <c r="CH109" s="8"/>
      <c r="CI109" s="38"/>
      <c r="CJ109" s="44"/>
      <c r="CK109" s="40"/>
      <c r="CL109" s="8"/>
      <c r="CM109" s="42"/>
      <c r="CN109" s="43"/>
      <c r="CO109" s="8"/>
      <c r="CP109" s="38"/>
      <c r="CQ109" s="44"/>
      <c r="CR109" s="40"/>
      <c r="CS109" s="8"/>
      <c r="CT109" s="42"/>
      <c r="CU109" s="43"/>
      <c r="CV109" s="8"/>
      <c r="CW109" s="38"/>
      <c r="CX109" s="44"/>
      <c r="CY109" s="40"/>
      <c r="CZ109" s="8"/>
      <c r="DA109" s="42"/>
      <c r="DB109" s="43"/>
      <c r="DC109" s="8"/>
      <c r="DD109" s="38"/>
      <c r="DE109" s="44"/>
      <c r="DF109" s="40"/>
      <c r="DG109" s="8"/>
      <c r="DH109" s="42"/>
      <c r="DI109" s="43"/>
      <c r="DJ109" s="8"/>
      <c r="DK109" s="38"/>
      <c r="DL109" s="44"/>
      <c r="DM109" s="40"/>
      <c r="DN109" s="8"/>
      <c r="DO109" s="42"/>
      <c r="DP109" s="43"/>
      <c r="DQ109" s="8"/>
      <c r="DR109" s="38"/>
      <c r="DS109" s="44"/>
      <c r="DT109" s="40"/>
      <c r="DU109" s="8"/>
      <c r="DV109" s="42"/>
      <c r="DW109" s="43"/>
      <c r="DX109" s="8"/>
      <c r="DY109" s="38"/>
      <c r="DZ109" s="44"/>
      <c r="EA109" s="40"/>
      <c r="EB109" s="8"/>
      <c r="EC109" s="42"/>
      <c r="ED109" s="43"/>
      <c r="EE109" s="8"/>
      <c r="EF109" s="38"/>
      <c r="EG109" s="44"/>
      <c r="EH109" s="40"/>
      <c r="EI109" s="8"/>
      <c r="EJ109" s="42"/>
      <c r="EK109" s="43"/>
      <c r="EL109" s="8"/>
      <c r="EM109" s="38"/>
      <c r="EN109" s="44"/>
      <c r="EO109" s="40"/>
      <c r="EP109" s="8"/>
      <c r="EQ109" s="42"/>
      <c r="ER109" s="43"/>
      <c r="ES109" s="8"/>
      <c r="ET109" s="38"/>
      <c r="EU109" s="44"/>
      <c r="EV109" s="40"/>
      <c r="EW109" s="8"/>
      <c r="EX109" s="42"/>
      <c r="EY109" s="43"/>
      <c r="EZ109" s="8"/>
      <c r="FA109" s="38"/>
      <c r="FB109" s="44"/>
      <c r="FC109" s="40"/>
      <c r="FD109" s="8"/>
      <c r="FE109" s="42"/>
      <c r="FF109" s="43"/>
      <c r="FG109" s="8"/>
      <c r="FH109" s="38"/>
      <c r="FI109" s="44"/>
      <c r="FJ109" s="40"/>
      <c r="FK109" s="8"/>
      <c r="FL109" s="42"/>
      <c r="FM109" s="43"/>
      <c r="FN109" s="8"/>
      <c r="FO109" s="38"/>
      <c r="FP109" s="44"/>
      <c r="FQ109" s="40"/>
      <c r="FR109" s="8"/>
      <c r="FS109" s="42"/>
      <c r="FT109" s="43"/>
      <c r="FU109" s="8"/>
      <c r="FV109" s="38"/>
      <c r="FW109" s="44"/>
      <c r="FX109" s="40"/>
      <c r="FY109" s="8"/>
      <c r="FZ109" s="42"/>
      <c r="GA109" s="43"/>
      <c r="GB109" s="8"/>
      <c r="GC109" s="38"/>
      <c r="GD109" s="44"/>
      <c r="GE109" s="40"/>
      <c r="GF109" s="8"/>
      <c r="GG109" s="42"/>
      <c r="GH109" s="43"/>
      <c r="GI109" s="8"/>
      <c r="GJ109" s="38"/>
      <c r="GK109" s="44"/>
      <c r="GL109" s="40"/>
      <c r="GM109" s="8"/>
      <c r="GN109" s="42"/>
      <c r="GO109" s="43"/>
      <c r="GP109" s="8"/>
      <c r="GQ109" s="38"/>
      <c r="GR109" s="44"/>
      <c r="GS109" s="40"/>
      <c r="GT109" s="8"/>
      <c r="GU109" s="42"/>
      <c r="GV109" s="43"/>
      <c r="GW109" s="8"/>
      <c r="GX109" s="38"/>
      <c r="GY109" s="44"/>
      <c r="GZ109" s="40"/>
      <c r="HA109" s="8"/>
      <c r="HB109" s="42"/>
      <c r="HC109" s="43"/>
      <c r="HD109" s="8"/>
      <c r="HE109" s="38"/>
      <c r="HF109" s="44"/>
      <c r="HG109" s="40"/>
      <c r="HH109" s="8"/>
      <c r="HI109" s="42"/>
      <c r="HJ109" s="43"/>
      <c r="HK109" s="8"/>
      <c r="HL109" s="38"/>
      <c r="HM109" s="44"/>
      <c r="HN109" s="40"/>
      <c r="HO109" s="8"/>
      <c r="HP109" s="42"/>
      <c r="HQ109" s="43"/>
      <c r="HR109" s="8"/>
      <c r="HS109" s="38"/>
      <c r="HT109" s="44"/>
      <c r="HU109" s="40"/>
      <c r="HV109" s="8"/>
      <c r="HW109" s="42"/>
      <c r="HX109" s="43"/>
      <c r="HY109" s="8"/>
      <c r="HZ109" s="38"/>
      <c r="IA109" s="44"/>
      <c r="IB109" s="40"/>
      <c r="IC109" s="8"/>
      <c r="ID109" s="42"/>
      <c r="IE109" s="43"/>
      <c r="IF109" s="8"/>
      <c r="IG109" s="38"/>
      <c r="IH109" s="44"/>
      <c r="II109" s="40"/>
      <c r="IJ109" s="8"/>
      <c r="IK109" s="42"/>
      <c r="IL109" s="43"/>
      <c r="IM109" s="8"/>
      <c r="IN109" s="38"/>
      <c r="IO109" s="44"/>
      <c r="IP109" s="40"/>
      <c r="IQ109" s="8"/>
      <c r="IR109" s="42"/>
      <c r="IS109" s="43"/>
      <c r="IT109" s="8"/>
      <c r="IU109" s="38"/>
      <c r="IV109" s="44"/>
      <c r="IW109" s="40"/>
      <c r="IX109" s="8"/>
      <c r="IY109" s="42"/>
      <c r="IZ109" s="43"/>
      <c r="JA109" s="8"/>
      <c r="JB109" s="38"/>
      <c r="JC109" s="44"/>
      <c r="JD109" s="40"/>
      <c r="JE109" s="8"/>
      <c r="JF109" s="42"/>
      <c r="JG109" s="43"/>
      <c r="JH109" s="8"/>
      <c r="JI109" s="38"/>
      <c r="JJ109" s="44"/>
      <c r="JK109" s="40"/>
      <c r="JL109" s="8"/>
      <c r="JM109" s="42"/>
      <c r="JN109" s="43"/>
      <c r="JO109" s="8"/>
      <c r="JP109" s="38"/>
      <c r="JQ109" s="44"/>
      <c r="JR109" s="40"/>
      <c r="JS109" s="8"/>
      <c r="JT109" s="42"/>
      <c r="JU109" s="43"/>
      <c r="JV109" s="8"/>
      <c r="JW109" s="38"/>
      <c r="JX109" s="44"/>
      <c r="JY109" s="40"/>
      <c r="JZ109" s="8"/>
      <c r="KA109" s="42"/>
      <c r="KB109" s="43"/>
      <c r="KC109" s="8"/>
      <c r="KD109" s="38"/>
      <c r="KE109" s="44"/>
      <c r="KF109" s="40"/>
      <c r="KG109" s="8"/>
      <c r="KH109" s="42"/>
      <c r="KI109" s="43"/>
      <c r="KJ109" s="8"/>
      <c r="KK109" s="38"/>
      <c r="KL109" s="44"/>
      <c r="KM109" s="40"/>
      <c r="KN109" s="8"/>
      <c r="KO109" s="42"/>
      <c r="KP109" s="43"/>
      <c r="KQ109" s="8"/>
      <c r="KR109" s="38"/>
      <c r="KS109" s="44"/>
      <c r="KT109" s="40"/>
      <c r="KU109" s="8"/>
      <c r="KV109" s="42"/>
      <c r="KW109" s="43"/>
      <c r="KX109" s="8"/>
      <c r="KY109" s="38"/>
      <c r="KZ109" s="44"/>
      <c r="LA109" s="40"/>
      <c r="LB109" s="8"/>
      <c r="LC109" s="42"/>
      <c r="LD109" s="43"/>
      <c r="LE109" s="8"/>
      <c r="LF109" s="38"/>
      <c r="LG109" s="44"/>
      <c r="LH109" s="40"/>
      <c r="LI109" s="8"/>
      <c r="LJ109" s="42"/>
      <c r="LK109" s="43"/>
      <c r="LL109" s="8"/>
      <c r="LM109" s="38"/>
      <c r="LN109" s="44"/>
      <c r="LO109" s="40"/>
      <c r="LP109" s="8"/>
      <c r="LQ109" s="42"/>
      <c r="LR109" s="43"/>
      <c r="LS109" s="8"/>
      <c r="LT109" s="38"/>
      <c r="LU109" s="44"/>
      <c r="LV109" s="40"/>
      <c r="LW109" s="8"/>
      <c r="LX109" s="42"/>
      <c r="LY109" s="43"/>
      <c r="LZ109" s="8"/>
      <c r="MA109" s="38"/>
      <c r="MB109" s="44"/>
      <c r="MC109" s="40"/>
      <c r="MD109" s="8"/>
      <c r="ME109" s="42"/>
      <c r="MF109" s="43"/>
      <c r="MG109" s="8"/>
      <c r="MH109" s="38"/>
      <c r="MI109" s="44"/>
      <c r="MJ109" s="40"/>
      <c r="MK109" s="8"/>
      <c r="ML109" s="42"/>
      <c r="MM109" s="43"/>
      <c r="MN109" s="8"/>
      <c r="MO109" s="38"/>
      <c r="MP109" s="44"/>
      <c r="MQ109" s="40"/>
      <c r="MR109" s="8"/>
      <c r="MS109" s="42"/>
      <c r="MT109" s="43"/>
      <c r="MU109" s="8"/>
      <c r="MV109" s="38"/>
      <c r="MW109" s="44"/>
      <c r="MX109" s="40"/>
      <c r="MY109" s="8"/>
      <c r="MZ109" s="42"/>
      <c r="NA109" s="43"/>
      <c r="NB109" s="8"/>
      <c r="NC109" s="38"/>
      <c r="ND109" s="44"/>
      <c r="NE109" s="40"/>
      <c r="NF109" s="8"/>
      <c r="NG109" s="42"/>
      <c r="NH109" s="43"/>
      <c r="NI109" s="8"/>
      <c r="NJ109" s="38"/>
      <c r="NK109" s="44"/>
      <c r="NL109" s="40"/>
      <c r="NM109" s="8"/>
      <c r="NN109" s="42"/>
      <c r="NO109" s="43"/>
      <c r="NP109" s="8"/>
      <c r="NQ109" s="38"/>
      <c r="NR109" s="44"/>
      <c r="NS109" s="40"/>
      <c r="NT109" s="8"/>
      <c r="NU109" s="42"/>
      <c r="NV109" s="43"/>
      <c r="NW109" s="8"/>
      <c r="NX109" s="38"/>
      <c r="NY109" s="44"/>
      <c r="NZ109" s="40"/>
      <c r="OA109" s="8"/>
      <c r="OB109" s="42"/>
      <c r="OC109" s="43"/>
      <c r="OD109" s="8"/>
      <c r="OE109" s="38"/>
      <c r="OF109" s="44"/>
      <c r="OG109" s="40"/>
      <c r="OH109" s="8"/>
      <c r="OI109" s="42"/>
      <c r="OJ109" s="43"/>
      <c r="OK109" s="8"/>
      <c r="OL109" s="38"/>
      <c r="OM109" s="44"/>
      <c r="ON109" s="40"/>
      <c r="OO109" s="8"/>
      <c r="OP109" s="42"/>
      <c r="OQ109" s="43"/>
      <c r="OR109" s="8"/>
      <c r="OS109" s="38"/>
      <c r="OT109" s="44"/>
      <c r="OU109" s="40"/>
      <c r="OV109" s="8"/>
      <c r="OW109" s="42"/>
      <c r="OX109" s="43"/>
      <c r="OY109" s="8"/>
      <c r="OZ109" s="38"/>
      <c r="PA109" s="44"/>
      <c r="PB109" s="40"/>
      <c r="PC109" s="8"/>
      <c r="PD109" s="42"/>
      <c r="PE109" s="43"/>
      <c r="PF109" s="8"/>
      <c r="PG109" s="38"/>
      <c r="PH109" s="44"/>
      <c r="PI109" s="40"/>
      <c r="PJ109" s="8"/>
      <c r="PK109" s="42"/>
      <c r="PL109" s="43"/>
      <c r="PM109" s="8"/>
      <c r="PN109" s="38"/>
      <c r="PO109" s="44"/>
      <c r="PP109" s="40"/>
      <c r="PQ109" s="8"/>
      <c r="PR109" s="42"/>
      <c r="PS109" s="43"/>
      <c r="PT109" s="8"/>
      <c r="PU109" s="38"/>
      <c r="PV109" s="44"/>
      <c r="PW109" s="40"/>
      <c r="PX109" s="8"/>
      <c r="PY109" s="42"/>
      <c r="PZ109" s="43"/>
      <c r="QA109" s="8"/>
      <c r="QB109" s="38"/>
      <c r="QC109" s="44"/>
      <c r="QD109" s="40"/>
      <c r="QE109" s="8"/>
      <c r="QF109" s="42"/>
      <c r="QG109" s="43"/>
      <c r="QH109" s="8"/>
      <c r="QI109" s="38"/>
      <c r="QJ109" s="44"/>
      <c r="QK109" s="40"/>
      <c r="QL109" s="8"/>
      <c r="QM109" s="42"/>
      <c r="QN109" s="43"/>
      <c r="QO109" s="8"/>
      <c r="QP109" s="38"/>
      <c r="QQ109" s="44"/>
      <c r="QR109" s="40"/>
      <c r="QS109" s="8"/>
      <c r="QT109" s="42"/>
      <c r="QU109" s="43"/>
      <c r="QV109" s="8"/>
      <c r="QW109" s="38"/>
      <c r="QX109" s="44"/>
      <c r="QY109" s="40"/>
      <c r="QZ109" s="8"/>
      <c r="RA109" s="42"/>
      <c r="RB109" s="43"/>
      <c r="RC109" s="8"/>
      <c r="RD109" s="38"/>
      <c r="RE109" s="44"/>
      <c r="RF109" s="40"/>
      <c r="RG109" s="8"/>
      <c r="RH109" s="42"/>
      <c r="RI109" s="43"/>
      <c r="RJ109" s="8"/>
      <c r="RK109" s="38"/>
      <c r="RL109" s="44"/>
      <c r="RM109" s="40"/>
      <c r="RN109" s="8"/>
      <c r="RO109" s="42"/>
      <c r="RP109" s="43"/>
      <c r="RQ109" s="8"/>
      <c r="RR109" s="38"/>
      <c r="RS109" s="44"/>
      <c r="RT109" s="40"/>
      <c r="RU109" s="8"/>
      <c r="RV109" s="42"/>
      <c r="RW109" s="43"/>
      <c r="RX109" s="8"/>
      <c r="RY109" s="38"/>
      <c r="RZ109" s="44"/>
      <c r="SA109" s="40"/>
      <c r="SB109" s="8"/>
      <c r="SC109" s="42"/>
      <c r="SD109" s="43"/>
      <c r="SE109" s="8"/>
      <c r="SF109" s="38"/>
      <c r="SG109" s="44"/>
      <c r="SH109" s="40"/>
      <c r="SI109" s="8"/>
      <c r="SJ109" s="42"/>
      <c r="SK109" s="43"/>
      <c r="SL109" s="8"/>
      <c r="SM109" s="38"/>
      <c r="SN109" s="44"/>
      <c r="SO109" s="40"/>
      <c r="SP109" s="8"/>
      <c r="SQ109" s="42"/>
      <c r="SR109" s="43"/>
    </row>
    <row r="110" spans="1:512" ht="16" customHeight="1" x14ac:dyDescent="0.15">
      <c r="A110" s="53">
        <v>46212</v>
      </c>
      <c r="B110" s="46">
        <v>0.91666666666666663</v>
      </c>
      <c r="C110" s="82"/>
      <c r="D110" s="83"/>
      <c r="E110" s="2"/>
      <c r="F110" s="50" t="s">
        <v>4</v>
      </c>
      <c r="G110" s="1"/>
      <c r="H110" s="16">
        <v>8.8000000000000007</v>
      </c>
      <c r="I110" s="32">
        <f t="shared" si="429"/>
        <v>0</v>
      </c>
      <c r="J110" s="47"/>
      <c r="K110" s="48" t="s">
        <v>4</v>
      </c>
      <c r="L110" s="49"/>
      <c r="M110" s="8"/>
      <c r="N110" s="42" t="str">
        <f t="shared" si="430"/>
        <v/>
      </c>
      <c r="O110" s="43">
        <f t="shared" si="431"/>
        <v>0</v>
      </c>
      <c r="Q110" s="38"/>
      <c r="R110" s="44" t="s">
        <v>4</v>
      </c>
      <c r="S110" s="40"/>
      <c r="T110" s="8"/>
      <c r="U110" s="42" t="str">
        <f t="shared" ref="U110:U113" si="716">IF(OR($G110="",S110=""),"",IF(AND($E110=Q110,$G110=S110),$H110*1.5,IF(AND($I110&gt;0,V110&gt;0),$H110,IF(AND($I110&lt;0,V110&lt;0),$H110,IF(AND($I110=0,V110=0),$H110,0)))))</f>
        <v/>
      </c>
      <c r="V110" s="43">
        <f t="shared" ref="V110:V113" si="717">Q110-S110</f>
        <v>0</v>
      </c>
      <c r="W110" s="8"/>
      <c r="X110" s="38"/>
      <c r="Y110" s="44" t="s">
        <v>4</v>
      </c>
      <c r="Z110" s="40"/>
      <c r="AA110" s="8"/>
      <c r="AB110" s="42" t="str">
        <f t="shared" ref="AB110:AB113" si="718">IF(OR($G110="",Z110=""),"",IF(AND($E110=X110,$G110=Z110),$H110*1.5,IF(AND($I110&gt;0,AC110&gt;0),$H110,IF(AND($I110&lt;0,AC110&lt;0),$H110,IF(AND($I110=0,AC110=0),$H110,0)))))</f>
        <v/>
      </c>
      <c r="AC110" s="43">
        <f t="shared" ref="AC110:AC113" si="719">X110-Z110</f>
        <v>0</v>
      </c>
      <c r="AD110" s="8"/>
      <c r="AE110" s="38"/>
      <c r="AF110" s="44" t="s">
        <v>4</v>
      </c>
      <c r="AG110" s="40"/>
      <c r="AH110" s="8"/>
      <c r="AI110" s="42" t="str">
        <f t="shared" ref="AI110:AI113" si="720">IF(OR($G110="",AG110=""),"",IF(AND($E110=AE110,$G110=AG110),$H110*1.5,IF(AND($I110&gt;0,AJ110&gt;0),$H110,IF(AND($I110&lt;0,AJ110&lt;0),$H110,IF(AND($I110=0,AJ110=0),$H110,0)))))</f>
        <v/>
      </c>
      <c r="AJ110" s="43">
        <f t="shared" ref="AJ110:AJ113" si="721">AE110-AG110</f>
        <v>0</v>
      </c>
      <c r="AK110" s="8"/>
      <c r="AL110" s="38"/>
      <c r="AM110" s="44" t="s">
        <v>4</v>
      </c>
      <c r="AN110" s="40"/>
      <c r="AO110" s="8"/>
      <c r="AP110" s="42" t="str">
        <f t="shared" ref="AP110:AP113" si="722">IF(OR($G110="",AN110=""),"",IF(AND($E110=AL110,$G110=AN110),$H110*1.5,IF(AND($I110&gt;0,AQ110&gt;0),$H110,IF(AND($I110&lt;0,AQ110&lt;0),$H110,IF(AND($I110=0,AQ110=0),$H110,0)))))</f>
        <v/>
      </c>
      <c r="AQ110" s="43">
        <f t="shared" ref="AQ110:AQ113" si="723">AL110-AN110</f>
        <v>0</v>
      </c>
      <c r="AR110" s="8"/>
      <c r="AS110" s="38"/>
      <c r="AT110" s="44" t="s">
        <v>4</v>
      </c>
      <c r="AU110" s="40"/>
      <c r="AV110" s="8"/>
      <c r="AW110" s="42" t="str">
        <f t="shared" ref="AW110:AW113" si="724">IF(OR($G110="",AU110=""),"",IF(AND($E110=AS110,$G110=AU110),$H110*1.5,IF(AND($I110&gt;0,AX110&gt;0),$H110,IF(AND($I110&lt;0,AX110&lt;0),$H110,IF(AND($I110=0,AX110=0),$H110,0)))))</f>
        <v/>
      </c>
      <c r="AX110" s="43">
        <f t="shared" ref="AX110:AX113" si="725">AS110-AU110</f>
        <v>0</v>
      </c>
      <c r="AY110" s="8"/>
      <c r="AZ110" s="38"/>
      <c r="BA110" s="44" t="s">
        <v>4</v>
      </c>
      <c r="BB110" s="40"/>
      <c r="BC110" s="8"/>
      <c r="BD110" s="42" t="str">
        <f t="shared" ref="BD110:BD113" si="726">IF(OR($G110="",BB110=""),"",IF(AND($E110=AZ110,$G110=BB110),$H110*1.5,IF(AND($I110&gt;0,BE110&gt;0),$H110,IF(AND($I110&lt;0,BE110&lt;0),$H110,IF(AND($I110=0,BE110=0),$H110,0)))))</f>
        <v/>
      </c>
      <c r="BE110" s="43">
        <f t="shared" ref="BE110:BE113" si="727">AZ110-BB110</f>
        <v>0</v>
      </c>
      <c r="BF110" s="8"/>
      <c r="BG110" s="38"/>
      <c r="BH110" s="44" t="s">
        <v>4</v>
      </c>
      <c r="BI110" s="40"/>
      <c r="BJ110" s="8"/>
      <c r="BK110" s="42" t="str">
        <f t="shared" ref="BK110:BK113" si="728">IF(OR($G110="",BI110=""),"",IF(AND($E110=BG110,$G110=BI110),$H110*1.5,IF(AND($I110&gt;0,BL110&gt;0),$H110,IF(AND($I110&lt;0,BL110&lt;0),$H110,IF(AND($I110=0,BL110=0),$H110,0)))))</f>
        <v/>
      </c>
      <c r="BL110" s="43">
        <f t="shared" ref="BL110:BL113" si="729">BG110-BI110</f>
        <v>0</v>
      </c>
      <c r="BM110" s="8"/>
      <c r="BN110" s="38"/>
      <c r="BO110" s="44" t="s">
        <v>4</v>
      </c>
      <c r="BP110" s="40"/>
      <c r="BQ110" s="8"/>
      <c r="BR110" s="42" t="str">
        <f t="shared" ref="BR110:BR113" si="730">IF(OR($G110="",BP110=""),"",IF(AND($E110=BN110,$G110=BP110),$H110*1.5,IF(AND($I110&gt;0,BS110&gt;0),$H110,IF(AND($I110&lt;0,BS110&lt;0),$H110,IF(AND($I110=0,BS110=0),$H110,0)))))</f>
        <v/>
      </c>
      <c r="BS110" s="43">
        <f t="shared" ref="BS110:BS113" si="731">BN110-BP110</f>
        <v>0</v>
      </c>
      <c r="BT110" s="8"/>
      <c r="BU110" s="38"/>
      <c r="BV110" s="44" t="s">
        <v>4</v>
      </c>
      <c r="BW110" s="40"/>
      <c r="BX110" s="8"/>
      <c r="BY110" s="42" t="str">
        <f t="shared" ref="BY110:BY113" si="732">IF(OR($G110="",BW110=""),"",IF(AND($E110=BU110,$G110=BW110),$H110*1.5,IF(AND($I110&gt;0,BZ110&gt;0),$H110,IF(AND($I110&lt;0,BZ110&lt;0),$H110,IF(AND($I110=0,BZ110=0),$H110,0)))))</f>
        <v/>
      </c>
      <c r="BZ110" s="43">
        <f t="shared" ref="BZ110:BZ113" si="733">BU110-BW110</f>
        <v>0</v>
      </c>
      <c r="CA110" s="8"/>
      <c r="CB110" s="38"/>
      <c r="CC110" s="44" t="s">
        <v>4</v>
      </c>
      <c r="CD110" s="40"/>
      <c r="CE110" s="8"/>
      <c r="CF110" s="42" t="str">
        <f t="shared" ref="CF110:CF113" si="734">IF(OR($G110="",CD110=""),"",IF(AND($E110=CB110,$G110=CD110),$H110*1.5,IF(AND($I110&gt;0,CG110&gt;0),$H110,IF(AND($I110&lt;0,CG110&lt;0),$H110,IF(AND($I110=0,CG110=0),$H110,0)))))</f>
        <v/>
      </c>
      <c r="CG110" s="43">
        <f t="shared" ref="CG110:CG113" si="735">CB110-CD110</f>
        <v>0</v>
      </c>
      <c r="CH110" s="8"/>
      <c r="CI110" s="38"/>
      <c r="CJ110" s="44" t="s">
        <v>4</v>
      </c>
      <c r="CK110" s="40"/>
      <c r="CL110" s="8"/>
      <c r="CM110" s="42" t="str">
        <f t="shared" ref="CM110:CM113" si="736">IF(OR($G110="",CK110=""),"",IF(AND($E110=CI110,$G110=CK110),$H110*1.5,IF(AND($I110&gt;0,CN110&gt;0),$H110,IF(AND($I110&lt;0,CN110&lt;0),$H110,IF(AND($I110=0,CN110=0),$H110,0)))))</f>
        <v/>
      </c>
      <c r="CN110" s="43">
        <f t="shared" ref="CN110:CN113" si="737">CI110-CK110</f>
        <v>0</v>
      </c>
      <c r="CO110" s="8"/>
      <c r="CP110" s="38"/>
      <c r="CQ110" s="44" t="s">
        <v>4</v>
      </c>
      <c r="CR110" s="40"/>
      <c r="CS110" s="8"/>
      <c r="CT110" s="42" t="str">
        <f t="shared" ref="CT110:CT113" si="738">IF(OR($G110="",CR110=""),"",IF(AND($E110=CP110,$G110=CR110),$H110*1.5,IF(AND($I110&gt;0,CU110&gt;0),$H110,IF(AND($I110&lt;0,CU110&lt;0),$H110,IF(AND($I110=0,CU110=0),$H110,0)))))</f>
        <v/>
      </c>
      <c r="CU110" s="43">
        <f t="shared" ref="CU110:CU113" si="739">CP110-CR110</f>
        <v>0</v>
      </c>
      <c r="CV110" s="8"/>
      <c r="CW110" s="38"/>
      <c r="CX110" s="44" t="s">
        <v>4</v>
      </c>
      <c r="CY110" s="40"/>
      <c r="CZ110" s="8"/>
      <c r="DA110" s="42" t="str">
        <f t="shared" ref="DA110:DA113" si="740">IF(OR($G110="",CY110=""),"",IF(AND($E110=CW110,$G110=CY110),$H110*1.5,IF(AND($I110&gt;0,DB110&gt;0),$H110,IF(AND($I110&lt;0,DB110&lt;0),$H110,IF(AND($I110=0,DB110=0),$H110,0)))))</f>
        <v/>
      </c>
      <c r="DB110" s="43">
        <f t="shared" ref="DB110:DB113" si="741">CW110-CY110</f>
        <v>0</v>
      </c>
      <c r="DC110" s="8"/>
      <c r="DD110" s="38"/>
      <c r="DE110" s="44" t="s">
        <v>4</v>
      </c>
      <c r="DF110" s="40"/>
      <c r="DG110" s="8"/>
      <c r="DH110" s="42" t="str">
        <f t="shared" ref="DH110:DH113" si="742">IF(OR($G110="",DF110=""),"",IF(AND($E110=DD110,$G110=DF110),$H110*1.5,IF(AND($I110&gt;0,DI110&gt;0),$H110,IF(AND($I110&lt;0,DI110&lt;0),$H110,IF(AND($I110=0,DI110=0),$H110,0)))))</f>
        <v/>
      </c>
      <c r="DI110" s="43">
        <f t="shared" ref="DI110:DI113" si="743">DD110-DF110</f>
        <v>0</v>
      </c>
      <c r="DJ110" s="8"/>
      <c r="DK110" s="38"/>
      <c r="DL110" s="44" t="s">
        <v>4</v>
      </c>
      <c r="DM110" s="40"/>
      <c r="DN110" s="8"/>
      <c r="DO110" s="42" t="str">
        <f t="shared" ref="DO110:DO113" si="744">IF(OR($G110="",DM110=""),"",IF(AND($E110=DK110,$G110=DM110),$H110*1.5,IF(AND($I110&gt;0,DP110&gt;0),$H110,IF(AND($I110&lt;0,DP110&lt;0),$H110,IF(AND($I110=0,DP110=0),$H110,0)))))</f>
        <v/>
      </c>
      <c r="DP110" s="43">
        <f t="shared" ref="DP110:DP113" si="745">DK110-DM110</f>
        <v>0</v>
      </c>
      <c r="DQ110" s="8"/>
      <c r="DR110" s="38"/>
      <c r="DS110" s="44" t="s">
        <v>4</v>
      </c>
      <c r="DT110" s="40"/>
      <c r="DU110" s="8"/>
      <c r="DV110" s="42" t="str">
        <f t="shared" ref="DV110:DV113" si="746">IF(OR($G110="",DT110=""),"",IF(AND($E110=DR110,$G110=DT110),$H110*1.5,IF(AND($I110&gt;0,DW110&gt;0),$H110,IF(AND($I110&lt;0,DW110&lt;0),$H110,IF(AND($I110=0,DW110=0),$H110,0)))))</f>
        <v/>
      </c>
      <c r="DW110" s="43">
        <f t="shared" ref="DW110:DW113" si="747">DR110-DT110</f>
        <v>0</v>
      </c>
      <c r="DX110" s="8"/>
      <c r="DY110" s="38"/>
      <c r="DZ110" s="44" t="s">
        <v>4</v>
      </c>
      <c r="EA110" s="40"/>
      <c r="EB110" s="8"/>
      <c r="EC110" s="42" t="str">
        <f t="shared" ref="EC110:EC113" si="748">IF(OR($G110="",EA110=""),"",IF(AND($E110=DY110,$G110=EA110),$H110*1.5,IF(AND($I110&gt;0,ED110&gt;0),$H110,IF(AND($I110&lt;0,ED110&lt;0),$H110,IF(AND($I110=0,ED110=0),$H110,0)))))</f>
        <v/>
      </c>
      <c r="ED110" s="43">
        <f t="shared" ref="ED110:ED113" si="749">DY110-EA110</f>
        <v>0</v>
      </c>
      <c r="EE110" s="8"/>
      <c r="EF110" s="38"/>
      <c r="EG110" s="44" t="s">
        <v>4</v>
      </c>
      <c r="EH110" s="40"/>
      <c r="EI110" s="8"/>
      <c r="EJ110" s="42" t="str">
        <f t="shared" ref="EJ110:EJ113" si="750">IF(OR($G110="",EH110=""),"",IF(AND($E110=EF110,$G110=EH110),$H110*1.5,IF(AND($I110&gt;0,EK110&gt;0),$H110,IF(AND($I110&lt;0,EK110&lt;0),$H110,IF(AND($I110=0,EK110=0),$H110,0)))))</f>
        <v/>
      </c>
      <c r="EK110" s="43">
        <f t="shared" ref="EK110:EK113" si="751">EF110-EH110</f>
        <v>0</v>
      </c>
      <c r="EL110" s="8"/>
      <c r="EM110" s="38"/>
      <c r="EN110" s="44" t="s">
        <v>4</v>
      </c>
      <c r="EO110" s="40"/>
      <c r="EP110" s="8"/>
      <c r="EQ110" s="42" t="str">
        <f t="shared" ref="EQ110:EQ113" si="752">IF(OR($G110="",EO110=""),"",IF(AND($E110=EM110,$G110=EO110),$H110*1.5,IF(AND($I110&gt;0,ER110&gt;0),$H110,IF(AND($I110&lt;0,ER110&lt;0),$H110,IF(AND($I110=0,ER110=0),$H110,0)))))</f>
        <v/>
      </c>
      <c r="ER110" s="43">
        <f t="shared" ref="ER110:ER113" si="753">EM110-EO110</f>
        <v>0</v>
      </c>
      <c r="ES110" s="8"/>
      <c r="ET110" s="38"/>
      <c r="EU110" s="44" t="s">
        <v>4</v>
      </c>
      <c r="EV110" s="40"/>
      <c r="EW110" s="8"/>
      <c r="EX110" s="42" t="str">
        <f t="shared" ref="EX110:EX113" si="754">IF(OR($G110="",EV110=""),"",IF(AND($E110=ET110,$G110=EV110),$H110*1.5,IF(AND($I110&gt;0,EY110&gt;0),$H110,IF(AND($I110&lt;0,EY110&lt;0),$H110,IF(AND($I110=0,EY110=0),$H110,0)))))</f>
        <v/>
      </c>
      <c r="EY110" s="43">
        <f t="shared" ref="EY110:EY113" si="755">ET110-EV110</f>
        <v>0</v>
      </c>
      <c r="EZ110" s="8"/>
      <c r="FA110" s="38"/>
      <c r="FB110" s="44" t="s">
        <v>4</v>
      </c>
      <c r="FC110" s="40"/>
      <c r="FD110" s="8"/>
      <c r="FE110" s="42" t="str">
        <f t="shared" ref="FE110:FE113" si="756">IF(OR($G110="",FC110=""),"",IF(AND($E110=FA110,$G110=FC110),$H110*1.5,IF(AND($I110&gt;0,FF110&gt;0),$H110,IF(AND($I110&lt;0,FF110&lt;0),$H110,IF(AND($I110=0,FF110=0),$H110,0)))))</f>
        <v/>
      </c>
      <c r="FF110" s="43">
        <f t="shared" ref="FF110:FF113" si="757">FA110-FC110</f>
        <v>0</v>
      </c>
      <c r="FG110" s="8"/>
      <c r="FH110" s="38"/>
      <c r="FI110" s="44" t="s">
        <v>4</v>
      </c>
      <c r="FJ110" s="40"/>
      <c r="FK110" s="8"/>
      <c r="FL110" s="42" t="str">
        <f t="shared" ref="FL110:FL113" si="758">IF(OR($G110="",FJ110=""),"",IF(AND($E110=FH110,$G110=FJ110),$H110*1.5,IF(AND($I110&gt;0,FM110&gt;0),$H110,IF(AND($I110&lt;0,FM110&lt;0),$H110,IF(AND($I110=0,FM110=0),$H110,0)))))</f>
        <v/>
      </c>
      <c r="FM110" s="43">
        <f t="shared" ref="FM110:FM113" si="759">FH110-FJ110</f>
        <v>0</v>
      </c>
      <c r="FN110" s="8"/>
      <c r="FO110" s="38"/>
      <c r="FP110" s="44" t="s">
        <v>4</v>
      </c>
      <c r="FQ110" s="40"/>
      <c r="FR110" s="8"/>
      <c r="FS110" s="42" t="str">
        <f t="shared" ref="FS110:FS113" si="760">IF(OR($G110="",FQ110=""),"",IF(AND($E110=FO110,$G110=FQ110),$H110*1.5,IF(AND($I110&gt;0,FT110&gt;0),$H110,IF(AND($I110&lt;0,FT110&lt;0),$H110,IF(AND($I110=0,FT110=0),$H110,0)))))</f>
        <v/>
      </c>
      <c r="FT110" s="43">
        <f t="shared" ref="FT110:FT113" si="761">FO110-FQ110</f>
        <v>0</v>
      </c>
      <c r="FU110" s="8"/>
      <c r="FV110" s="38"/>
      <c r="FW110" s="44" t="s">
        <v>4</v>
      </c>
      <c r="FX110" s="40"/>
      <c r="FY110" s="8"/>
      <c r="FZ110" s="42" t="str">
        <f t="shared" ref="FZ110:FZ113" si="762">IF(OR($G110="",FX110=""),"",IF(AND($E110=FV110,$G110=FX110),$H110*1.5,IF(AND($I110&gt;0,GA110&gt;0),$H110,IF(AND($I110&lt;0,GA110&lt;0),$H110,IF(AND($I110=0,GA110=0),$H110,0)))))</f>
        <v/>
      </c>
      <c r="GA110" s="43">
        <f t="shared" ref="GA110:GA113" si="763">FV110-FX110</f>
        <v>0</v>
      </c>
      <c r="GB110" s="8"/>
      <c r="GC110" s="38"/>
      <c r="GD110" s="44" t="s">
        <v>4</v>
      </c>
      <c r="GE110" s="40"/>
      <c r="GF110" s="8"/>
      <c r="GG110" s="42" t="str">
        <f t="shared" ref="GG110:GG113" si="764">IF(OR($G110="",GE110=""),"",IF(AND($E110=GC110,$G110=GE110),$H110*1.5,IF(AND($I110&gt;0,GH110&gt;0),$H110,IF(AND($I110&lt;0,GH110&lt;0),$H110,IF(AND($I110=0,GH110=0),$H110,0)))))</f>
        <v/>
      </c>
      <c r="GH110" s="43">
        <f t="shared" ref="GH110:GH113" si="765">GC110-GE110</f>
        <v>0</v>
      </c>
      <c r="GI110" s="8"/>
      <c r="GJ110" s="38"/>
      <c r="GK110" s="44" t="s">
        <v>4</v>
      </c>
      <c r="GL110" s="40"/>
      <c r="GM110" s="8"/>
      <c r="GN110" s="42" t="str">
        <f t="shared" ref="GN110:GN113" si="766">IF(OR($G110="",GL110=""),"",IF(AND($E110=GJ110,$G110=GL110),$H110*1.5,IF(AND($I110&gt;0,GO110&gt;0),$H110,IF(AND($I110&lt;0,GO110&lt;0),$H110,IF(AND($I110=0,GO110=0),$H110,0)))))</f>
        <v/>
      </c>
      <c r="GO110" s="43">
        <f t="shared" ref="GO110:GO113" si="767">GJ110-GL110</f>
        <v>0</v>
      </c>
      <c r="GP110" s="8"/>
      <c r="GQ110" s="38"/>
      <c r="GR110" s="44" t="s">
        <v>4</v>
      </c>
      <c r="GS110" s="40"/>
      <c r="GT110" s="8"/>
      <c r="GU110" s="42" t="str">
        <f t="shared" ref="GU110:GU113" si="768">IF(OR($G110="",GS110=""),"",IF(AND($E110=GQ110,$G110=GS110),$H110*1.5,IF(AND($I110&gt;0,GV110&gt;0),$H110,IF(AND($I110&lt;0,GV110&lt;0),$H110,IF(AND($I110=0,GV110=0),$H110,0)))))</f>
        <v/>
      </c>
      <c r="GV110" s="43">
        <f t="shared" ref="GV110:GV113" si="769">GQ110-GS110</f>
        <v>0</v>
      </c>
      <c r="GW110" s="8"/>
      <c r="GX110" s="38"/>
      <c r="GY110" s="44" t="s">
        <v>4</v>
      </c>
      <c r="GZ110" s="40"/>
      <c r="HA110" s="8"/>
      <c r="HB110" s="42" t="str">
        <f t="shared" ref="HB110:HB113" si="770">IF(OR($G110="",GZ110=""),"",IF(AND($E110=GX110,$G110=GZ110),$H110*1.5,IF(AND($I110&gt;0,HC110&gt;0),$H110,IF(AND($I110&lt;0,HC110&lt;0),$H110,IF(AND($I110=0,HC110=0),$H110,0)))))</f>
        <v/>
      </c>
      <c r="HC110" s="43">
        <f t="shared" ref="HC110:HC113" si="771">GX110-GZ110</f>
        <v>0</v>
      </c>
      <c r="HD110" s="8"/>
      <c r="HE110" s="38"/>
      <c r="HF110" s="44" t="s">
        <v>4</v>
      </c>
      <c r="HG110" s="40"/>
      <c r="HH110" s="8"/>
      <c r="HI110" s="42" t="str">
        <f t="shared" ref="HI110:HI113" si="772">IF(OR($G110="",HG110=""),"",IF(AND($E110=HE110,$G110=HG110),$H110*1.5,IF(AND($I110&gt;0,HJ110&gt;0),$H110,IF(AND($I110&lt;0,HJ110&lt;0),$H110,IF(AND($I110=0,HJ110=0),$H110,0)))))</f>
        <v/>
      </c>
      <c r="HJ110" s="43">
        <f t="shared" ref="HJ110:HJ113" si="773">HE110-HG110</f>
        <v>0</v>
      </c>
      <c r="HK110" s="8"/>
      <c r="HL110" s="38"/>
      <c r="HM110" s="44" t="s">
        <v>4</v>
      </c>
      <c r="HN110" s="40"/>
      <c r="HO110" s="8"/>
      <c r="HP110" s="42" t="str">
        <f t="shared" ref="HP110:HP113" si="774">IF(OR($G110="",HN110=""),"",IF(AND($E110=HL110,$G110=HN110),$H110*1.5,IF(AND($I110&gt;0,HQ110&gt;0),$H110,IF(AND($I110&lt;0,HQ110&lt;0),$H110,IF(AND($I110=0,HQ110=0),$H110,0)))))</f>
        <v/>
      </c>
      <c r="HQ110" s="43">
        <f t="shared" ref="HQ110:HQ113" si="775">HL110-HN110</f>
        <v>0</v>
      </c>
      <c r="HR110" s="8"/>
      <c r="HS110" s="38"/>
      <c r="HT110" s="44" t="s">
        <v>4</v>
      </c>
      <c r="HU110" s="40"/>
      <c r="HV110" s="8"/>
      <c r="HW110" s="42" t="str">
        <f t="shared" ref="HW110:HW113" si="776">IF(OR($G110="",HU110=""),"",IF(AND($E110=HS110,$G110=HU110),$H110*1.5,IF(AND($I110&gt;0,HX110&gt;0),$H110,IF(AND($I110&lt;0,HX110&lt;0),$H110,IF(AND($I110=0,HX110=0),$H110,0)))))</f>
        <v/>
      </c>
      <c r="HX110" s="43">
        <f t="shared" ref="HX110:HX113" si="777">HS110-HU110</f>
        <v>0</v>
      </c>
      <c r="HY110" s="8"/>
      <c r="HZ110" s="38"/>
      <c r="IA110" s="44" t="s">
        <v>4</v>
      </c>
      <c r="IB110" s="40"/>
      <c r="IC110" s="8"/>
      <c r="ID110" s="42" t="str">
        <f t="shared" ref="ID110:ID113" si="778">IF(OR($G110="",IB110=""),"",IF(AND($E110=HZ110,$G110=IB110),$H110*1.5,IF(AND($I110&gt;0,IE110&gt;0),$H110,IF(AND($I110&lt;0,IE110&lt;0),$H110,IF(AND($I110=0,IE110=0),$H110,0)))))</f>
        <v/>
      </c>
      <c r="IE110" s="43">
        <f t="shared" ref="IE110:IE113" si="779">HZ110-IB110</f>
        <v>0</v>
      </c>
      <c r="IF110" s="8"/>
      <c r="IG110" s="38"/>
      <c r="IH110" s="44" t="s">
        <v>4</v>
      </c>
      <c r="II110" s="40"/>
      <c r="IJ110" s="8"/>
      <c r="IK110" s="42" t="str">
        <f t="shared" ref="IK110:IK113" si="780">IF(OR($G110="",II110=""),"",IF(AND($E110=IG110,$G110=II110),$H110*1.5,IF(AND($I110&gt;0,IL110&gt;0),$H110,IF(AND($I110&lt;0,IL110&lt;0),$H110,IF(AND($I110=0,IL110=0),$H110,0)))))</f>
        <v/>
      </c>
      <c r="IL110" s="43">
        <f t="shared" ref="IL110:IL113" si="781">IG110-II110</f>
        <v>0</v>
      </c>
      <c r="IM110" s="8"/>
      <c r="IN110" s="38"/>
      <c r="IO110" s="44" t="s">
        <v>4</v>
      </c>
      <c r="IP110" s="40"/>
      <c r="IQ110" s="8"/>
      <c r="IR110" s="42" t="str">
        <f t="shared" ref="IR110:IR113" si="782">IF(OR($G110="",IP110=""),"",IF(AND($E110=IN110,$G110=IP110),$H110*1.5,IF(AND($I110&gt;0,IS110&gt;0),$H110,IF(AND($I110&lt;0,IS110&lt;0),$H110,IF(AND($I110=0,IS110=0),$H110,0)))))</f>
        <v/>
      </c>
      <c r="IS110" s="43">
        <f t="shared" ref="IS110:IS113" si="783">IN110-IP110</f>
        <v>0</v>
      </c>
      <c r="IT110" s="8"/>
      <c r="IU110" s="38"/>
      <c r="IV110" s="44" t="s">
        <v>4</v>
      </c>
      <c r="IW110" s="40"/>
      <c r="IX110" s="8"/>
      <c r="IY110" s="42" t="str">
        <f t="shared" ref="IY110:IY113" si="784">IF(OR($G110="",IW110=""),"",IF(AND($E110=IU110,$G110=IW110),$H110*1.5,IF(AND($I110&gt;0,IZ110&gt;0),$H110,IF(AND($I110&lt;0,IZ110&lt;0),$H110,IF(AND($I110=0,IZ110=0),$H110,0)))))</f>
        <v/>
      </c>
      <c r="IZ110" s="43">
        <f t="shared" ref="IZ110:IZ113" si="785">IU110-IW110</f>
        <v>0</v>
      </c>
      <c r="JA110" s="8"/>
      <c r="JB110" s="38"/>
      <c r="JC110" s="44" t="s">
        <v>4</v>
      </c>
      <c r="JD110" s="40"/>
      <c r="JE110" s="8"/>
      <c r="JF110" s="42" t="str">
        <f t="shared" ref="JF110:JF113" si="786">IF(OR($G110="",JD110=""),"",IF(AND($E110=JB110,$G110=JD110),$H110*1.5,IF(AND($I110&gt;0,JG110&gt;0),$H110,IF(AND($I110&lt;0,JG110&lt;0),$H110,IF(AND($I110=0,JG110=0),$H110,0)))))</f>
        <v/>
      </c>
      <c r="JG110" s="43">
        <f t="shared" ref="JG110:JG113" si="787">JB110-JD110</f>
        <v>0</v>
      </c>
      <c r="JH110" s="8"/>
      <c r="JI110" s="38"/>
      <c r="JJ110" s="44" t="s">
        <v>4</v>
      </c>
      <c r="JK110" s="40"/>
      <c r="JL110" s="8"/>
      <c r="JM110" s="42" t="str">
        <f t="shared" ref="JM110:JM113" si="788">IF(OR($G110="",JK110=""),"",IF(AND($E110=JI110,$G110=JK110),$H110*1.5,IF(AND($I110&gt;0,JN110&gt;0),$H110,IF(AND($I110&lt;0,JN110&lt;0),$H110,IF(AND($I110=0,JN110=0),$H110,0)))))</f>
        <v/>
      </c>
      <c r="JN110" s="43">
        <f t="shared" ref="JN110:JN113" si="789">JI110-JK110</f>
        <v>0</v>
      </c>
      <c r="JO110" s="8"/>
      <c r="JP110" s="38"/>
      <c r="JQ110" s="44" t="s">
        <v>4</v>
      </c>
      <c r="JR110" s="40"/>
      <c r="JS110" s="8"/>
      <c r="JT110" s="42" t="str">
        <f t="shared" ref="JT110:JT113" si="790">IF(OR($G110="",JR110=""),"",IF(AND($E110=JP110,$G110=JR110),$H110*1.5,IF(AND($I110&gt;0,JU110&gt;0),$H110,IF(AND($I110&lt;0,JU110&lt;0),$H110,IF(AND($I110=0,JU110=0),$H110,0)))))</f>
        <v/>
      </c>
      <c r="JU110" s="43">
        <f t="shared" ref="JU110:JU113" si="791">JP110-JR110</f>
        <v>0</v>
      </c>
      <c r="JV110" s="8"/>
      <c r="JW110" s="38"/>
      <c r="JX110" s="44" t="s">
        <v>4</v>
      </c>
      <c r="JY110" s="40"/>
      <c r="JZ110" s="8"/>
      <c r="KA110" s="42" t="str">
        <f t="shared" ref="KA110:KA113" si="792">IF(OR($G110="",JY110=""),"",IF(AND($E110=JW110,$G110=JY110),$H110*1.5,IF(AND($I110&gt;0,KB110&gt;0),$H110,IF(AND($I110&lt;0,KB110&lt;0),$H110,IF(AND($I110=0,KB110=0),$H110,0)))))</f>
        <v/>
      </c>
      <c r="KB110" s="43">
        <f t="shared" ref="KB110:KB113" si="793">JW110-JY110</f>
        <v>0</v>
      </c>
      <c r="KC110" s="8"/>
      <c r="KD110" s="38"/>
      <c r="KE110" s="44" t="s">
        <v>4</v>
      </c>
      <c r="KF110" s="40"/>
      <c r="KG110" s="8"/>
      <c r="KH110" s="42" t="str">
        <f t="shared" ref="KH110:KH113" si="794">IF(OR($G110="",KF110=""),"",IF(AND($E110=KD110,$G110=KF110),$H110*1.5,IF(AND($I110&gt;0,KI110&gt;0),$H110,IF(AND($I110&lt;0,KI110&lt;0),$H110,IF(AND($I110=0,KI110=0),$H110,0)))))</f>
        <v/>
      </c>
      <c r="KI110" s="43">
        <f t="shared" ref="KI110:KI113" si="795">KD110-KF110</f>
        <v>0</v>
      </c>
      <c r="KJ110" s="8"/>
      <c r="KK110" s="38"/>
      <c r="KL110" s="44" t="s">
        <v>4</v>
      </c>
      <c r="KM110" s="40"/>
      <c r="KN110" s="8"/>
      <c r="KO110" s="42" t="str">
        <f t="shared" ref="KO110:KO113" si="796">IF(OR($G110="",KM110=""),"",IF(AND($E110=KK110,$G110=KM110),$H110*1.5,IF(AND($I110&gt;0,KP110&gt;0),$H110,IF(AND($I110&lt;0,KP110&lt;0),$H110,IF(AND($I110=0,KP110=0),$H110,0)))))</f>
        <v/>
      </c>
      <c r="KP110" s="43">
        <f t="shared" ref="KP110:KP113" si="797">KK110-KM110</f>
        <v>0</v>
      </c>
      <c r="KQ110" s="8"/>
      <c r="KR110" s="38"/>
      <c r="KS110" s="44" t="s">
        <v>4</v>
      </c>
      <c r="KT110" s="40"/>
      <c r="KU110" s="8"/>
      <c r="KV110" s="42" t="str">
        <f t="shared" ref="KV110:KV113" si="798">IF(OR($G110="",KT110=""),"",IF(AND($E110=KR110,$G110=KT110),$H110*1.5,IF(AND($I110&gt;0,KW110&gt;0),$H110,IF(AND($I110&lt;0,KW110&lt;0),$H110,IF(AND($I110=0,KW110=0),$H110,0)))))</f>
        <v/>
      </c>
      <c r="KW110" s="43">
        <f t="shared" ref="KW110:KW113" si="799">KR110-KT110</f>
        <v>0</v>
      </c>
      <c r="KX110" s="8"/>
      <c r="KY110" s="38"/>
      <c r="KZ110" s="44" t="s">
        <v>4</v>
      </c>
      <c r="LA110" s="40"/>
      <c r="LB110" s="8"/>
      <c r="LC110" s="42" t="str">
        <f t="shared" ref="LC110:LC113" si="800">IF(OR($G110="",LA110=""),"",IF(AND($E110=KY110,$G110=LA110),$H110*1.5,IF(AND($I110&gt;0,LD110&gt;0),$H110,IF(AND($I110&lt;0,LD110&lt;0),$H110,IF(AND($I110=0,LD110=0),$H110,0)))))</f>
        <v/>
      </c>
      <c r="LD110" s="43">
        <f t="shared" ref="LD110:LD113" si="801">KY110-LA110</f>
        <v>0</v>
      </c>
      <c r="LE110" s="8"/>
      <c r="LF110" s="38"/>
      <c r="LG110" s="44" t="s">
        <v>4</v>
      </c>
      <c r="LH110" s="40"/>
      <c r="LI110" s="8"/>
      <c r="LJ110" s="42" t="str">
        <f t="shared" ref="LJ110:LJ113" si="802">IF(OR($G110="",LH110=""),"",IF(AND($E110=LF110,$G110=LH110),$H110*1.5,IF(AND($I110&gt;0,LK110&gt;0),$H110,IF(AND($I110&lt;0,LK110&lt;0),$H110,IF(AND($I110=0,LK110=0),$H110,0)))))</f>
        <v/>
      </c>
      <c r="LK110" s="43">
        <f t="shared" ref="LK110:LK113" si="803">LF110-LH110</f>
        <v>0</v>
      </c>
      <c r="LL110" s="8"/>
      <c r="LM110" s="38"/>
      <c r="LN110" s="44" t="s">
        <v>4</v>
      </c>
      <c r="LO110" s="40"/>
      <c r="LP110" s="8"/>
      <c r="LQ110" s="42" t="str">
        <f t="shared" ref="LQ110:LQ113" si="804">IF(OR($G110="",LO110=""),"",IF(AND($E110=LM110,$G110=LO110),$H110*1.5,IF(AND($I110&gt;0,LR110&gt;0),$H110,IF(AND($I110&lt;0,LR110&lt;0),$H110,IF(AND($I110=0,LR110=0),$H110,0)))))</f>
        <v/>
      </c>
      <c r="LR110" s="43">
        <f t="shared" ref="LR110:LR113" si="805">LM110-LO110</f>
        <v>0</v>
      </c>
      <c r="LS110" s="8"/>
      <c r="LT110" s="38"/>
      <c r="LU110" s="44" t="s">
        <v>4</v>
      </c>
      <c r="LV110" s="40"/>
      <c r="LW110" s="8"/>
      <c r="LX110" s="42" t="str">
        <f t="shared" ref="LX110:LX113" si="806">IF(OR($G110="",LV110=""),"",IF(AND($E110=LT110,$G110=LV110),$H110*1.5,IF(AND($I110&gt;0,LY110&gt;0),$H110,IF(AND($I110&lt;0,LY110&lt;0),$H110,IF(AND($I110=0,LY110=0),$H110,0)))))</f>
        <v/>
      </c>
      <c r="LY110" s="43">
        <f t="shared" ref="LY110:LY113" si="807">LT110-LV110</f>
        <v>0</v>
      </c>
      <c r="LZ110" s="8"/>
      <c r="MA110" s="38"/>
      <c r="MB110" s="44" t="s">
        <v>4</v>
      </c>
      <c r="MC110" s="40"/>
      <c r="MD110" s="8"/>
      <c r="ME110" s="42" t="str">
        <f t="shared" ref="ME110:ME113" si="808">IF(OR($G110="",MC110=""),"",IF(AND($E110=MA110,$G110=MC110),$H110*1.5,IF(AND($I110&gt;0,MF110&gt;0),$H110,IF(AND($I110&lt;0,MF110&lt;0),$H110,IF(AND($I110=0,MF110=0),$H110,0)))))</f>
        <v/>
      </c>
      <c r="MF110" s="43">
        <f t="shared" ref="MF110:MF113" si="809">MA110-MC110</f>
        <v>0</v>
      </c>
      <c r="MG110" s="8"/>
      <c r="MH110" s="38"/>
      <c r="MI110" s="44" t="s">
        <v>4</v>
      </c>
      <c r="MJ110" s="40"/>
      <c r="MK110" s="8"/>
      <c r="ML110" s="42" t="str">
        <f t="shared" ref="ML110:ML113" si="810">IF(OR($G110="",MJ110=""),"",IF(AND($E110=MH110,$G110=MJ110),$H110*1.5,IF(AND($I110&gt;0,MM110&gt;0),$H110,IF(AND($I110&lt;0,MM110&lt;0),$H110,IF(AND($I110=0,MM110=0),$H110,0)))))</f>
        <v/>
      </c>
      <c r="MM110" s="43">
        <f t="shared" ref="MM110:MM113" si="811">MH110-MJ110</f>
        <v>0</v>
      </c>
      <c r="MN110" s="8"/>
      <c r="MO110" s="38"/>
      <c r="MP110" s="44" t="s">
        <v>4</v>
      </c>
      <c r="MQ110" s="40"/>
      <c r="MR110" s="8"/>
      <c r="MS110" s="42" t="str">
        <f t="shared" ref="MS110:MS113" si="812">IF(OR($G110="",MQ110=""),"",IF(AND($E110=MO110,$G110=MQ110),$H110*1.5,IF(AND($I110&gt;0,MT110&gt;0),$H110,IF(AND($I110&lt;0,MT110&lt;0),$H110,IF(AND($I110=0,MT110=0),$H110,0)))))</f>
        <v/>
      </c>
      <c r="MT110" s="43">
        <f t="shared" ref="MT110:MT113" si="813">MO110-MQ110</f>
        <v>0</v>
      </c>
      <c r="MU110" s="8"/>
      <c r="MV110" s="38"/>
      <c r="MW110" s="44" t="s">
        <v>4</v>
      </c>
      <c r="MX110" s="40"/>
      <c r="MY110" s="8"/>
      <c r="MZ110" s="42" t="str">
        <f t="shared" ref="MZ110:MZ113" si="814">IF(OR($G110="",MX110=""),"",IF(AND($E110=MV110,$G110=MX110),$H110*1.5,IF(AND($I110&gt;0,NA110&gt;0),$H110,IF(AND($I110&lt;0,NA110&lt;0),$H110,IF(AND($I110=0,NA110=0),$H110,0)))))</f>
        <v/>
      </c>
      <c r="NA110" s="43">
        <f t="shared" ref="NA110:NA113" si="815">MV110-MX110</f>
        <v>0</v>
      </c>
      <c r="NB110" s="8"/>
      <c r="NC110" s="38"/>
      <c r="ND110" s="44" t="s">
        <v>4</v>
      </c>
      <c r="NE110" s="40"/>
      <c r="NF110" s="8"/>
      <c r="NG110" s="42" t="str">
        <f t="shared" ref="NG110:NG113" si="816">IF(OR($G110="",NE110=""),"",IF(AND($E110=NC110,$G110=NE110),$H110*1.5,IF(AND($I110&gt;0,NH110&gt;0),$H110,IF(AND($I110&lt;0,NH110&lt;0),$H110,IF(AND($I110=0,NH110=0),$H110,0)))))</f>
        <v/>
      </c>
      <c r="NH110" s="43">
        <f t="shared" ref="NH110:NH113" si="817">NC110-NE110</f>
        <v>0</v>
      </c>
      <c r="NI110" s="8"/>
      <c r="NJ110" s="38"/>
      <c r="NK110" s="44" t="s">
        <v>4</v>
      </c>
      <c r="NL110" s="40"/>
      <c r="NM110" s="8"/>
      <c r="NN110" s="42" t="str">
        <f t="shared" ref="NN110:NN113" si="818">IF(OR($G110="",NL110=""),"",IF(AND($E110=NJ110,$G110=NL110),$H110*1.5,IF(AND($I110&gt;0,NO110&gt;0),$H110,IF(AND($I110&lt;0,NO110&lt;0),$H110,IF(AND($I110=0,NO110=0),$H110,0)))))</f>
        <v/>
      </c>
      <c r="NO110" s="43">
        <f t="shared" ref="NO110:NO113" si="819">NJ110-NL110</f>
        <v>0</v>
      </c>
      <c r="NP110" s="8"/>
      <c r="NQ110" s="38"/>
      <c r="NR110" s="44" t="s">
        <v>4</v>
      </c>
      <c r="NS110" s="40"/>
      <c r="NT110" s="8"/>
      <c r="NU110" s="42" t="str">
        <f t="shared" ref="NU110:NU113" si="820">IF(OR($G110="",NS110=""),"",IF(AND($E110=NQ110,$G110=NS110),$H110*1.5,IF(AND($I110&gt;0,NV110&gt;0),$H110,IF(AND($I110&lt;0,NV110&lt;0),$H110,IF(AND($I110=0,NV110=0),$H110,0)))))</f>
        <v/>
      </c>
      <c r="NV110" s="43">
        <f t="shared" ref="NV110:NV113" si="821">NQ110-NS110</f>
        <v>0</v>
      </c>
      <c r="NW110" s="8"/>
      <c r="NX110" s="38"/>
      <c r="NY110" s="44" t="s">
        <v>4</v>
      </c>
      <c r="NZ110" s="40"/>
      <c r="OA110" s="8"/>
      <c r="OB110" s="42" t="str">
        <f t="shared" ref="OB110:OB113" si="822">IF(OR($G110="",NZ110=""),"",IF(AND($E110=NX110,$G110=NZ110),$H110*1.5,IF(AND($I110&gt;0,OC110&gt;0),$H110,IF(AND($I110&lt;0,OC110&lt;0),$H110,IF(AND($I110=0,OC110=0),$H110,0)))))</f>
        <v/>
      </c>
      <c r="OC110" s="43">
        <f t="shared" ref="OC110:OC113" si="823">NX110-NZ110</f>
        <v>0</v>
      </c>
      <c r="OD110" s="8"/>
      <c r="OE110" s="38"/>
      <c r="OF110" s="44" t="s">
        <v>4</v>
      </c>
      <c r="OG110" s="40"/>
      <c r="OH110" s="8"/>
      <c r="OI110" s="42" t="str">
        <f t="shared" ref="OI110:OI113" si="824">IF(OR($G110="",OG110=""),"",IF(AND($E110=OE110,$G110=OG110),$H110*1.5,IF(AND($I110&gt;0,OJ110&gt;0),$H110,IF(AND($I110&lt;0,OJ110&lt;0),$H110,IF(AND($I110=0,OJ110=0),$H110,0)))))</f>
        <v/>
      </c>
      <c r="OJ110" s="43">
        <f t="shared" ref="OJ110:OJ113" si="825">OE110-OG110</f>
        <v>0</v>
      </c>
      <c r="OK110" s="8"/>
      <c r="OL110" s="38"/>
      <c r="OM110" s="44" t="s">
        <v>4</v>
      </c>
      <c r="ON110" s="40"/>
      <c r="OO110" s="8"/>
      <c r="OP110" s="42" t="str">
        <f t="shared" ref="OP110:OP113" si="826">IF(OR($G110="",ON110=""),"",IF(AND($E110=OL110,$G110=ON110),$H110*1.5,IF(AND($I110&gt;0,OQ110&gt;0),$H110,IF(AND($I110&lt;0,OQ110&lt;0),$H110,IF(AND($I110=0,OQ110=0),$H110,0)))))</f>
        <v/>
      </c>
      <c r="OQ110" s="43">
        <f t="shared" ref="OQ110:OQ113" si="827">OL110-ON110</f>
        <v>0</v>
      </c>
      <c r="OR110" s="8"/>
      <c r="OS110" s="38"/>
      <c r="OT110" s="44" t="s">
        <v>4</v>
      </c>
      <c r="OU110" s="40"/>
      <c r="OV110" s="8"/>
      <c r="OW110" s="42" t="str">
        <f t="shared" ref="OW110:OW113" si="828">IF(OR($G110="",OU110=""),"",IF(AND($E110=OS110,$G110=OU110),$H110*1.5,IF(AND($I110&gt;0,OX110&gt;0),$H110,IF(AND($I110&lt;0,OX110&lt;0),$H110,IF(AND($I110=0,OX110=0),$H110,0)))))</f>
        <v/>
      </c>
      <c r="OX110" s="43">
        <f t="shared" ref="OX110:OX113" si="829">OS110-OU110</f>
        <v>0</v>
      </c>
      <c r="OY110" s="8"/>
      <c r="OZ110" s="38"/>
      <c r="PA110" s="44" t="s">
        <v>4</v>
      </c>
      <c r="PB110" s="40"/>
      <c r="PC110" s="8"/>
      <c r="PD110" s="42" t="str">
        <f t="shared" ref="PD110:PD113" si="830">IF(OR($G110="",PB110=""),"",IF(AND($E110=OZ110,$G110=PB110),$H110*1.5,IF(AND($I110&gt;0,PE110&gt;0),$H110,IF(AND($I110&lt;0,PE110&lt;0),$H110,IF(AND($I110=0,PE110=0),$H110,0)))))</f>
        <v/>
      </c>
      <c r="PE110" s="43">
        <f t="shared" ref="PE110:PE113" si="831">OZ110-PB110</f>
        <v>0</v>
      </c>
      <c r="PF110" s="8"/>
      <c r="PG110" s="38"/>
      <c r="PH110" s="44" t="s">
        <v>4</v>
      </c>
      <c r="PI110" s="40"/>
      <c r="PJ110" s="8"/>
      <c r="PK110" s="42" t="str">
        <f t="shared" ref="PK110:PK113" si="832">IF(OR($G110="",PI110=""),"",IF(AND($E110=PG110,$G110=PI110),$H110*1.5,IF(AND($I110&gt;0,PL110&gt;0),$H110,IF(AND($I110&lt;0,PL110&lt;0),$H110,IF(AND($I110=0,PL110=0),$H110,0)))))</f>
        <v/>
      </c>
      <c r="PL110" s="43">
        <f t="shared" ref="PL110:PL113" si="833">PG110-PI110</f>
        <v>0</v>
      </c>
      <c r="PM110" s="8"/>
      <c r="PN110" s="38"/>
      <c r="PO110" s="44" t="s">
        <v>4</v>
      </c>
      <c r="PP110" s="40"/>
      <c r="PQ110" s="8"/>
      <c r="PR110" s="42" t="str">
        <f t="shared" ref="PR110:PR113" si="834">IF(OR($G110="",PP110=""),"",IF(AND($E110=PN110,$G110=PP110),$H110*1.5,IF(AND($I110&gt;0,PS110&gt;0),$H110,IF(AND($I110&lt;0,PS110&lt;0),$H110,IF(AND($I110=0,PS110=0),$H110,0)))))</f>
        <v/>
      </c>
      <c r="PS110" s="43">
        <f t="shared" ref="PS110:PS113" si="835">PN110-PP110</f>
        <v>0</v>
      </c>
      <c r="PT110" s="8"/>
      <c r="PU110" s="38"/>
      <c r="PV110" s="44" t="s">
        <v>4</v>
      </c>
      <c r="PW110" s="40"/>
      <c r="PX110" s="8"/>
      <c r="PY110" s="42" t="str">
        <f t="shared" ref="PY110:PY113" si="836">IF(OR($G110="",PW110=""),"",IF(AND($E110=PU110,$G110=PW110),$H110*1.5,IF(AND($I110&gt;0,PZ110&gt;0),$H110,IF(AND($I110&lt;0,PZ110&lt;0),$H110,IF(AND($I110=0,PZ110=0),$H110,0)))))</f>
        <v/>
      </c>
      <c r="PZ110" s="43">
        <f t="shared" ref="PZ110:PZ113" si="837">PU110-PW110</f>
        <v>0</v>
      </c>
      <c r="QA110" s="8"/>
      <c r="QB110" s="38"/>
      <c r="QC110" s="44" t="s">
        <v>4</v>
      </c>
      <c r="QD110" s="40"/>
      <c r="QE110" s="8"/>
      <c r="QF110" s="42" t="str">
        <f t="shared" ref="QF110:QF113" si="838">IF(OR($G110="",QD110=""),"",IF(AND($E110=QB110,$G110=QD110),$H110*1.5,IF(AND($I110&gt;0,QG110&gt;0),$H110,IF(AND($I110&lt;0,QG110&lt;0),$H110,IF(AND($I110=0,QG110=0),$H110,0)))))</f>
        <v/>
      </c>
      <c r="QG110" s="43">
        <f t="shared" ref="QG110:QG113" si="839">QB110-QD110</f>
        <v>0</v>
      </c>
      <c r="QH110" s="8"/>
      <c r="QI110" s="38"/>
      <c r="QJ110" s="44" t="s">
        <v>4</v>
      </c>
      <c r="QK110" s="40"/>
      <c r="QL110" s="8"/>
      <c r="QM110" s="42" t="str">
        <f t="shared" ref="QM110:QM113" si="840">IF(OR($G110="",QK110=""),"",IF(AND($E110=QI110,$G110=QK110),$H110*1.5,IF(AND($I110&gt;0,QN110&gt;0),$H110,IF(AND($I110&lt;0,QN110&lt;0),$H110,IF(AND($I110=0,QN110=0),$H110,0)))))</f>
        <v/>
      </c>
      <c r="QN110" s="43">
        <f t="shared" ref="QN110:QN113" si="841">QI110-QK110</f>
        <v>0</v>
      </c>
      <c r="QO110" s="8"/>
      <c r="QP110" s="38"/>
      <c r="QQ110" s="44" t="s">
        <v>4</v>
      </c>
      <c r="QR110" s="40"/>
      <c r="QS110" s="8"/>
      <c r="QT110" s="42" t="str">
        <f t="shared" ref="QT110:QT113" si="842">IF(OR($G110="",QR110=""),"",IF(AND($E110=QP110,$G110=QR110),$H110*1.5,IF(AND($I110&gt;0,QU110&gt;0),$H110,IF(AND($I110&lt;0,QU110&lt;0),$H110,IF(AND($I110=0,QU110=0),$H110,0)))))</f>
        <v/>
      </c>
      <c r="QU110" s="43">
        <f t="shared" ref="QU110:QU113" si="843">QP110-QR110</f>
        <v>0</v>
      </c>
      <c r="QV110" s="8"/>
      <c r="QW110" s="38"/>
      <c r="QX110" s="44" t="s">
        <v>4</v>
      </c>
      <c r="QY110" s="40"/>
      <c r="QZ110" s="8"/>
      <c r="RA110" s="42" t="str">
        <f t="shared" ref="RA110:RA113" si="844">IF(OR($G110="",QY110=""),"",IF(AND($E110=QW110,$G110=QY110),$H110*1.5,IF(AND($I110&gt;0,RB110&gt;0),$H110,IF(AND($I110&lt;0,RB110&lt;0),$H110,IF(AND($I110=0,RB110=0),$H110,0)))))</f>
        <v/>
      </c>
      <c r="RB110" s="43">
        <f t="shared" ref="RB110:RB113" si="845">QW110-QY110</f>
        <v>0</v>
      </c>
      <c r="RC110" s="8"/>
      <c r="RD110" s="38"/>
      <c r="RE110" s="44" t="s">
        <v>4</v>
      </c>
      <c r="RF110" s="40"/>
      <c r="RG110" s="8"/>
      <c r="RH110" s="42" t="str">
        <f t="shared" ref="RH110:RH113" si="846">IF(OR($G110="",RF110=""),"",IF(AND($E110=RD110,$G110=RF110),$H110*1.5,IF(AND($I110&gt;0,RI110&gt;0),$H110,IF(AND($I110&lt;0,RI110&lt;0),$H110,IF(AND($I110=0,RI110=0),$H110,0)))))</f>
        <v/>
      </c>
      <c r="RI110" s="43">
        <f t="shared" ref="RI110:RI113" si="847">RD110-RF110</f>
        <v>0</v>
      </c>
      <c r="RJ110" s="8"/>
      <c r="RK110" s="38"/>
      <c r="RL110" s="44" t="s">
        <v>4</v>
      </c>
      <c r="RM110" s="40"/>
      <c r="RN110" s="8"/>
      <c r="RO110" s="42" t="str">
        <f t="shared" ref="RO110:RO113" si="848">IF(OR($G110="",RM110=""),"",IF(AND($E110=RK110,$G110=RM110),$H110*1.5,IF(AND($I110&gt;0,RP110&gt;0),$H110,IF(AND($I110&lt;0,RP110&lt;0),$H110,IF(AND($I110=0,RP110=0),$H110,0)))))</f>
        <v/>
      </c>
      <c r="RP110" s="43">
        <f t="shared" ref="RP110:RP113" si="849">RK110-RM110</f>
        <v>0</v>
      </c>
      <c r="RQ110" s="8"/>
      <c r="RR110" s="38"/>
      <c r="RS110" s="44" t="s">
        <v>4</v>
      </c>
      <c r="RT110" s="40"/>
      <c r="RU110" s="8"/>
      <c r="RV110" s="42" t="str">
        <f t="shared" ref="RV110:RV113" si="850">IF(OR($G110="",RT110=""),"",IF(AND($E110=RR110,$G110=RT110),$H110*1.5,IF(AND($I110&gt;0,RW110&gt;0),$H110,IF(AND($I110&lt;0,RW110&lt;0),$H110,IF(AND($I110=0,RW110=0),$H110,0)))))</f>
        <v/>
      </c>
      <c r="RW110" s="43">
        <f t="shared" ref="RW110:RW113" si="851">RR110-RT110</f>
        <v>0</v>
      </c>
      <c r="RX110" s="8"/>
      <c r="RY110" s="38"/>
      <c r="RZ110" s="44" t="s">
        <v>4</v>
      </c>
      <c r="SA110" s="40"/>
      <c r="SB110" s="8"/>
      <c r="SC110" s="42" t="str">
        <f t="shared" ref="SC110:SC113" si="852">IF(OR($G110="",SA110=""),"",IF(AND($E110=RY110,$G110=SA110),$H110*1.5,IF(AND($I110&gt;0,SD110&gt;0),$H110,IF(AND($I110&lt;0,SD110&lt;0),$H110,IF(AND($I110=0,SD110=0),$H110,0)))))</f>
        <v/>
      </c>
      <c r="SD110" s="43">
        <f t="shared" ref="SD110:SD113" si="853">RY110-SA110</f>
        <v>0</v>
      </c>
      <c r="SE110" s="8"/>
      <c r="SF110" s="38"/>
      <c r="SG110" s="44" t="s">
        <v>4</v>
      </c>
      <c r="SH110" s="40"/>
      <c r="SI110" s="8"/>
      <c r="SJ110" s="42" t="str">
        <f t="shared" ref="SJ110:SJ113" si="854">IF(OR($G110="",SH110=""),"",IF(AND($E110=SF110,$G110=SH110),$H110*1.5,IF(AND($I110&gt;0,SK110&gt;0),$H110,IF(AND($I110&lt;0,SK110&lt;0),$H110,IF(AND($I110=0,SK110=0),$H110,0)))))</f>
        <v/>
      </c>
      <c r="SK110" s="43">
        <f t="shared" ref="SK110:SK113" si="855">SF110-SH110</f>
        <v>0</v>
      </c>
      <c r="SL110" s="8"/>
      <c r="SM110" s="38"/>
      <c r="SN110" s="44" t="s">
        <v>4</v>
      </c>
      <c r="SO110" s="40"/>
      <c r="SP110" s="8"/>
      <c r="SQ110" s="42" t="str">
        <f t="shared" ref="SQ110:SQ113" si="856">IF(OR($G110="",SO110=""),"",IF(AND($E110=SM110,$G110=SO110),$H110*1.5,IF(AND($I110&gt;0,SR110&gt;0),$H110,IF(AND($I110&lt;0,SR110&lt;0),$H110,IF(AND($I110=0,SR110=0),$H110,0)))))</f>
        <v/>
      </c>
      <c r="SR110" s="43">
        <f t="shared" ref="SR110:SR113" si="857">SM110-SO110</f>
        <v>0</v>
      </c>
    </row>
    <row r="111" spans="1:512" ht="16" customHeight="1" x14ac:dyDescent="0.15">
      <c r="A111" s="53">
        <v>46213</v>
      </c>
      <c r="B111" s="46">
        <v>0.875</v>
      </c>
      <c r="C111" s="82"/>
      <c r="D111" s="82"/>
      <c r="E111" s="2"/>
      <c r="F111" s="50" t="s">
        <v>4</v>
      </c>
      <c r="G111" s="1"/>
      <c r="H111" s="16">
        <v>9.1999999999999993</v>
      </c>
      <c r="I111" s="32">
        <f t="shared" si="429"/>
        <v>0</v>
      </c>
      <c r="J111" s="47"/>
      <c r="K111" s="48" t="s">
        <v>4</v>
      </c>
      <c r="L111" s="49"/>
      <c r="M111" s="8"/>
      <c r="N111" s="42" t="str">
        <f t="shared" si="430"/>
        <v/>
      </c>
      <c r="O111" s="43">
        <f t="shared" si="431"/>
        <v>0</v>
      </c>
      <c r="Q111" s="38"/>
      <c r="R111" s="44" t="s">
        <v>4</v>
      </c>
      <c r="S111" s="40"/>
      <c r="T111" s="8"/>
      <c r="U111" s="42" t="str">
        <f t="shared" si="716"/>
        <v/>
      </c>
      <c r="V111" s="43">
        <f t="shared" si="717"/>
        <v>0</v>
      </c>
      <c r="W111" s="8"/>
      <c r="X111" s="38"/>
      <c r="Y111" s="44" t="s">
        <v>4</v>
      </c>
      <c r="Z111" s="40"/>
      <c r="AA111" s="8"/>
      <c r="AB111" s="42" t="str">
        <f t="shared" si="718"/>
        <v/>
      </c>
      <c r="AC111" s="43">
        <f t="shared" si="719"/>
        <v>0</v>
      </c>
      <c r="AD111" s="8"/>
      <c r="AE111" s="38"/>
      <c r="AF111" s="44" t="s">
        <v>4</v>
      </c>
      <c r="AG111" s="40"/>
      <c r="AH111" s="8"/>
      <c r="AI111" s="42" t="str">
        <f t="shared" si="720"/>
        <v/>
      </c>
      <c r="AJ111" s="43">
        <f t="shared" si="721"/>
        <v>0</v>
      </c>
      <c r="AK111" s="8"/>
      <c r="AL111" s="38"/>
      <c r="AM111" s="44" t="s">
        <v>4</v>
      </c>
      <c r="AN111" s="40"/>
      <c r="AO111" s="8"/>
      <c r="AP111" s="42" t="str">
        <f t="shared" si="722"/>
        <v/>
      </c>
      <c r="AQ111" s="43">
        <f t="shared" si="723"/>
        <v>0</v>
      </c>
      <c r="AR111" s="8"/>
      <c r="AS111" s="38"/>
      <c r="AT111" s="44" t="s">
        <v>4</v>
      </c>
      <c r="AU111" s="40"/>
      <c r="AV111" s="8"/>
      <c r="AW111" s="42" t="str">
        <f t="shared" si="724"/>
        <v/>
      </c>
      <c r="AX111" s="43">
        <f t="shared" si="725"/>
        <v>0</v>
      </c>
      <c r="AY111" s="8"/>
      <c r="AZ111" s="38"/>
      <c r="BA111" s="44" t="s">
        <v>4</v>
      </c>
      <c r="BB111" s="40"/>
      <c r="BC111" s="8"/>
      <c r="BD111" s="42" t="str">
        <f t="shared" si="726"/>
        <v/>
      </c>
      <c r="BE111" s="43">
        <f t="shared" si="727"/>
        <v>0</v>
      </c>
      <c r="BF111" s="8"/>
      <c r="BG111" s="38"/>
      <c r="BH111" s="44" t="s">
        <v>4</v>
      </c>
      <c r="BI111" s="40"/>
      <c r="BJ111" s="8"/>
      <c r="BK111" s="42" t="str">
        <f t="shared" si="728"/>
        <v/>
      </c>
      <c r="BL111" s="43">
        <f t="shared" si="729"/>
        <v>0</v>
      </c>
      <c r="BM111" s="8"/>
      <c r="BN111" s="38"/>
      <c r="BO111" s="44" t="s">
        <v>4</v>
      </c>
      <c r="BP111" s="40"/>
      <c r="BQ111" s="8"/>
      <c r="BR111" s="42" t="str">
        <f t="shared" si="730"/>
        <v/>
      </c>
      <c r="BS111" s="43">
        <f t="shared" si="731"/>
        <v>0</v>
      </c>
      <c r="BT111" s="8"/>
      <c r="BU111" s="38"/>
      <c r="BV111" s="44" t="s">
        <v>4</v>
      </c>
      <c r="BW111" s="40"/>
      <c r="BX111" s="8"/>
      <c r="BY111" s="42" t="str">
        <f t="shared" si="732"/>
        <v/>
      </c>
      <c r="BZ111" s="43">
        <f t="shared" si="733"/>
        <v>0</v>
      </c>
      <c r="CA111" s="8"/>
      <c r="CB111" s="38"/>
      <c r="CC111" s="44" t="s">
        <v>4</v>
      </c>
      <c r="CD111" s="40"/>
      <c r="CE111" s="8"/>
      <c r="CF111" s="42" t="str">
        <f t="shared" si="734"/>
        <v/>
      </c>
      <c r="CG111" s="43">
        <f t="shared" si="735"/>
        <v>0</v>
      </c>
      <c r="CH111" s="8"/>
      <c r="CI111" s="38"/>
      <c r="CJ111" s="44" t="s">
        <v>4</v>
      </c>
      <c r="CK111" s="40"/>
      <c r="CL111" s="8"/>
      <c r="CM111" s="42" t="str">
        <f t="shared" si="736"/>
        <v/>
      </c>
      <c r="CN111" s="43">
        <f t="shared" si="737"/>
        <v>0</v>
      </c>
      <c r="CO111" s="8"/>
      <c r="CP111" s="38"/>
      <c r="CQ111" s="44" t="s">
        <v>4</v>
      </c>
      <c r="CR111" s="40"/>
      <c r="CS111" s="8"/>
      <c r="CT111" s="42" t="str">
        <f t="shared" si="738"/>
        <v/>
      </c>
      <c r="CU111" s="43">
        <f t="shared" si="739"/>
        <v>0</v>
      </c>
      <c r="CV111" s="8"/>
      <c r="CW111" s="38"/>
      <c r="CX111" s="44" t="s">
        <v>4</v>
      </c>
      <c r="CY111" s="40"/>
      <c r="CZ111" s="8"/>
      <c r="DA111" s="42" t="str">
        <f t="shared" si="740"/>
        <v/>
      </c>
      <c r="DB111" s="43">
        <f t="shared" si="741"/>
        <v>0</v>
      </c>
      <c r="DC111" s="8"/>
      <c r="DD111" s="38"/>
      <c r="DE111" s="44" t="s">
        <v>4</v>
      </c>
      <c r="DF111" s="40"/>
      <c r="DG111" s="8"/>
      <c r="DH111" s="42" t="str">
        <f t="shared" si="742"/>
        <v/>
      </c>
      <c r="DI111" s="43">
        <f t="shared" si="743"/>
        <v>0</v>
      </c>
      <c r="DJ111" s="8"/>
      <c r="DK111" s="38"/>
      <c r="DL111" s="44" t="s">
        <v>4</v>
      </c>
      <c r="DM111" s="40"/>
      <c r="DN111" s="8"/>
      <c r="DO111" s="42" t="str">
        <f t="shared" si="744"/>
        <v/>
      </c>
      <c r="DP111" s="43">
        <f t="shared" si="745"/>
        <v>0</v>
      </c>
      <c r="DQ111" s="8"/>
      <c r="DR111" s="38"/>
      <c r="DS111" s="44" t="s">
        <v>4</v>
      </c>
      <c r="DT111" s="40"/>
      <c r="DU111" s="8"/>
      <c r="DV111" s="42" t="str">
        <f t="shared" si="746"/>
        <v/>
      </c>
      <c r="DW111" s="43">
        <f t="shared" si="747"/>
        <v>0</v>
      </c>
      <c r="DX111" s="8"/>
      <c r="DY111" s="38"/>
      <c r="DZ111" s="44" t="s">
        <v>4</v>
      </c>
      <c r="EA111" s="40"/>
      <c r="EB111" s="8"/>
      <c r="EC111" s="42" t="str">
        <f t="shared" si="748"/>
        <v/>
      </c>
      <c r="ED111" s="43">
        <f t="shared" si="749"/>
        <v>0</v>
      </c>
      <c r="EE111" s="8"/>
      <c r="EF111" s="38"/>
      <c r="EG111" s="44" t="s">
        <v>4</v>
      </c>
      <c r="EH111" s="40"/>
      <c r="EI111" s="8"/>
      <c r="EJ111" s="42" t="str">
        <f t="shared" si="750"/>
        <v/>
      </c>
      <c r="EK111" s="43">
        <f t="shared" si="751"/>
        <v>0</v>
      </c>
      <c r="EL111" s="8"/>
      <c r="EM111" s="38"/>
      <c r="EN111" s="44" t="s">
        <v>4</v>
      </c>
      <c r="EO111" s="40"/>
      <c r="EP111" s="8"/>
      <c r="EQ111" s="42" t="str">
        <f t="shared" si="752"/>
        <v/>
      </c>
      <c r="ER111" s="43">
        <f t="shared" si="753"/>
        <v>0</v>
      </c>
      <c r="ES111" s="8"/>
      <c r="ET111" s="38"/>
      <c r="EU111" s="44" t="s">
        <v>4</v>
      </c>
      <c r="EV111" s="40"/>
      <c r="EW111" s="8"/>
      <c r="EX111" s="42" t="str">
        <f t="shared" si="754"/>
        <v/>
      </c>
      <c r="EY111" s="43">
        <f t="shared" si="755"/>
        <v>0</v>
      </c>
      <c r="EZ111" s="8"/>
      <c r="FA111" s="38"/>
      <c r="FB111" s="44" t="s">
        <v>4</v>
      </c>
      <c r="FC111" s="40"/>
      <c r="FD111" s="8"/>
      <c r="FE111" s="42" t="str">
        <f t="shared" si="756"/>
        <v/>
      </c>
      <c r="FF111" s="43">
        <f t="shared" si="757"/>
        <v>0</v>
      </c>
      <c r="FG111" s="8"/>
      <c r="FH111" s="38"/>
      <c r="FI111" s="44" t="s">
        <v>4</v>
      </c>
      <c r="FJ111" s="40"/>
      <c r="FK111" s="8"/>
      <c r="FL111" s="42" t="str">
        <f t="shared" si="758"/>
        <v/>
      </c>
      <c r="FM111" s="43">
        <f t="shared" si="759"/>
        <v>0</v>
      </c>
      <c r="FN111" s="8"/>
      <c r="FO111" s="38"/>
      <c r="FP111" s="44" t="s">
        <v>4</v>
      </c>
      <c r="FQ111" s="40"/>
      <c r="FR111" s="8"/>
      <c r="FS111" s="42" t="str">
        <f t="shared" si="760"/>
        <v/>
      </c>
      <c r="FT111" s="43">
        <f t="shared" si="761"/>
        <v>0</v>
      </c>
      <c r="FU111" s="8"/>
      <c r="FV111" s="38"/>
      <c r="FW111" s="44" t="s">
        <v>4</v>
      </c>
      <c r="FX111" s="40"/>
      <c r="FY111" s="8"/>
      <c r="FZ111" s="42" t="str">
        <f t="shared" si="762"/>
        <v/>
      </c>
      <c r="GA111" s="43">
        <f t="shared" si="763"/>
        <v>0</v>
      </c>
      <c r="GB111" s="8"/>
      <c r="GC111" s="38"/>
      <c r="GD111" s="44" t="s">
        <v>4</v>
      </c>
      <c r="GE111" s="40"/>
      <c r="GF111" s="8"/>
      <c r="GG111" s="42" t="str">
        <f t="shared" si="764"/>
        <v/>
      </c>
      <c r="GH111" s="43">
        <f t="shared" si="765"/>
        <v>0</v>
      </c>
      <c r="GI111" s="8"/>
      <c r="GJ111" s="38"/>
      <c r="GK111" s="44" t="s">
        <v>4</v>
      </c>
      <c r="GL111" s="40"/>
      <c r="GM111" s="8"/>
      <c r="GN111" s="42" t="str">
        <f t="shared" si="766"/>
        <v/>
      </c>
      <c r="GO111" s="43">
        <f t="shared" si="767"/>
        <v>0</v>
      </c>
      <c r="GP111" s="8"/>
      <c r="GQ111" s="38"/>
      <c r="GR111" s="44" t="s">
        <v>4</v>
      </c>
      <c r="GS111" s="40"/>
      <c r="GT111" s="8"/>
      <c r="GU111" s="42" t="str">
        <f t="shared" si="768"/>
        <v/>
      </c>
      <c r="GV111" s="43">
        <f t="shared" si="769"/>
        <v>0</v>
      </c>
      <c r="GW111" s="8"/>
      <c r="GX111" s="38"/>
      <c r="GY111" s="44" t="s">
        <v>4</v>
      </c>
      <c r="GZ111" s="40"/>
      <c r="HA111" s="8"/>
      <c r="HB111" s="42" t="str">
        <f t="shared" si="770"/>
        <v/>
      </c>
      <c r="HC111" s="43">
        <f t="shared" si="771"/>
        <v>0</v>
      </c>
      <c r="HD111" s="8"/>
      <c r="HE111" s="38"/>
      <c r="HF111" s="44" t="s">
        <v>4</v>
      </c>
      <c r="HG111" s="40"/>
      <c r="HH111" s="8"/>
      <c r="HI111" s="42" t="str">
        <f t="shared" si="772"/>
        <v/>
      </c>
      <c r="HJ111" s="43">
        <f t="shared" si="773"/>
        <v>0</v>
      </c>
      <c r="HK111" s="8"/>
      <c r="HL111" s="38"/>
      <c r="HM111" s="44" t="s">
        <v>4</v>
      </c>
      <c r="HN111" s="40"/>
      <c r="HO111" s="8"/>
      <c r="HP111" s="42" t="str">
        <f t="shared" si="774"/>
        <v/>
      </c>
      <c r="HQ111" s="43">
        <f t="shared" si="775"/>
        <v>0</v>
      </c>
      <c r="HR111" s="8"/>
      <c r="HS111" s="38"/>
      <c r="HT111" s="44" t="s">
        <v>4</v>
      </c>
      <c r="HU111" s="40"/>
      <c r="HV111" s="8"/>
      <c r="HW111" s="42" t="str">
        <f t="shared" si="776"/>
        <v/>
      </c>
      <c r="HX111" s="43">
        <f t="shared" si="777"/>
        <v>0</v>
      </c>
      <c r="HY111" s="8"/>
      <c r="HZ111" s="38"/>
      <c r="IA111" s="44" t="s">
        <v>4</v>
      </c>
      <c r="IB111" s="40"/>
      <c r="IC111" s="8"/>
      <c r="ID111" s="42" t="str">
        <f t="shared" si="778"/>
        <v/>
      </c>
      <c r="IE111" s="43">
        <f t="shared" si="779"/>
        <v>0</v>
      </c>
      <c r="IF111" s="8"/>
      <c r="IG111" s="38"/>
      <c r="IH111" s="44" t="s">
        <v>4</v>
      </c>
      <c r="II111" s="40"/>
      <c r="IJ111" s="8"/>
      <c r="IK111" s="42" t="str">
        <f t="shared" si="780"/>
        <v/>
      </c>
      <c r="IL111" s="43">
        <f t="shared" si="781"/>
        <v>0</v>
      </c>
      <c r="IM111" s="8"/>
      <c r="IN111" s="38"/>
      <c r="IO111" s="44" t="s">
        <v>4</v>
      </c>
      <c r="IP111" s="40"/>
      <c r="IQ111" s="8"/>
      <c r="IR111" s="42" t="str">
        <f t="shared" si="782"/>
        <v/>
      </c>
      <c r="IS111" s="43">
        <f t="shared" si="783"/>
        <v>0</v>
      </c>
      <c r="IT111" s="8"/>
      <c r="IU111" s="38"/>
      <c r="IV111" s="44" t="s">
        <v>4</v>
      </c>
      <c r="IW111" s="40"/>
      <c r="IX111" s="8"/>
      <c r="IY111" s="42" t="str">
        <f t="shared" si="784"/>
        <v/>
      </c>
      <c r="IZ111" s="43">
        <f t="shared" si="785"/>
        <v>0</v>
      </c>
      <c r="JA111" s="8"/>
      <c r="JB111" s="38"/>
      <c r="JC111" s="44" t="s">
        <v>4</v>
      </c>
      <c r="JD111" s="40"/>
      <c r="JE111" s="8"/>
      <c r="JF111" s="42" t="str">
        <f t="shared" si="786"/>
        <v/>
      </c>
      <c r="JG111" s="43">
        <f t="shared" si="787"/>
        <v>0</v>
      </c>
      <c r="JH111" s="8"/>
      <c r="JI111" s="38"/>
      <c r="JJ111" s="44" t="s">
        <v>4</v>
      </c>
      <c r="JK111" s="40"/>
      <c r="JL111" s="8"/>
      <c r="JM111" s="42" t="str">
        <f t="shared" si="788"/>
        <v/>
      </c>
      <c r="JN111" s="43">
        <f t="shared" si="789"/>
        <v>0</v>
      </c>
      <c r="JO111" s="8"/>
      <c r="JP111" s="38"/>
      <c r="JQ111" s="44" t="s">
        <v>4</v>
      </c>
      <c r="JR111" s="40"/>
      <c r="JS111" s="8"/>
      <c r="JT111" s="42" t="str">
        <f t="shared" si="790"/>
        <v/>
      </c>
      <c r="JU111" s="43">
        <f t="shared" si="791"/>
        <v>0</v>
      </c>
      <c r="JV111" s="8"/>
      <c r="JW111" s="38"/>
      <c r="JX111" s="44" t="s">
        <v>4</v>
      </c>
      <c r="JY111" s="40"/>
      <c r="JZ111" s="8"/>
      <c r="KA111" s="42" t="str">
        <f t="shared" si="792"/>
        <v/>
      </c>
      <c r="KB111" s="43">
        <f t="shared" si="793"/>
        <v>0</v>
      </c>
      <c r="KC111" s="8"/>
      <c r="KD111" s="38"/>
      <c r="KE111" s="44" t="s">
        <v>4</v>
      </c>
      <c r="KF111" s="40"/>
      <c r="KG111" s="8"/>
      <c r="KH111" s="42" t="str">
        <f t="shared" si="794"/>
        <v/>
      </c>
      <c r="KI111" s="43">
        <f t="shared" si="795"/>
        <v>0</v>
      </c>
      <c r="KJ111" s="8"/>
      <c r="KK111" s="38"/>
      <c r="KL111" s="44" t="s">
        <v>4</v>
      </c>
      <c r="KM111" s="40"/>
      <c r="KN111" s="8"/>
      <c r="KO111" s="42" t="str">
        <f t="shared" si="796"/>
        <v/>
      </c>
      <c r="KP111" s="43">
        <f t="shared" si="797"/>
        <v>0</v>
      </c>
      <c r="KQ111" s="8"/>
      <c r="KR111" s="38"/>
      <c r="KS111" s="44" t="s">
        <v>4</v>
      </c>
      <c r="KT111" s="40"/>
      <c r="KU111" s="8"/>
      <c r="KV111" s="42" t="str">
        <f t="shared" si="798"/>
        <v/>
      </c>
      <c r="KW111" s="43">
        <f t="shared" si="799"/>
        <v>0</v>
      </c>
      <c r="KX111" s="8"/>
      <c r="KY111" s="38"/>
      <c r="KZ111" s="44" t="s">
        <v>4</v>
      </c>
      <c r="LA111" s="40"/>
      <c r="LB111" s="8"/>
      <c r="LC111" s="42" t="str">
        <f t="shared" si="800"/>
        <v/>
      </c>
      <c r="LD111" s="43">
        <f t="shared" si="801"/>
        <v>0</v>
      </c>
      <c r="LE111" s="8"/>
      <c r="LF111" s="38"/>
      <c r="LG111" s="44" t="s">
        <v>4</v>
      </c>
      <c r="LH111" s="40"/>
      <c r="LI111" s="8"/>
      <c r="LJ111" s="42" t="str">
        <f t="shared" si="802"/>
        <v/>
      </c>
      <c r="LK111" s="43">
        <f t="shared" si="803"/>
        <v>0</v>
      </c>
      <c r="LL111" s="8"/>
      <c r="LM111" s="38"/>
      <c r="LN111" s="44" t="s">
        <v>4</v>
      </c>
      <c r="LO111" s="40"/>
      <c r="LP111" s="8"/>
      <c r="LQ111" s="42" t="str">
        <f t="shared" si="804"/>
        <v/>
      </c>
      <c r="LR111" s="43">
        <f t="shared" si="805"/>
        <v>0</v>
      </c>
      <c r="LS111" s="8"/>
      <c r="LT111" s="38"/>
      <c r="LU111" s="44" t="s">
        <v>4</v>
      </c>
      <c r="LV111" s="40"/>
      <c r="LW111" s="8"/>
      <c r="LX111" s="42" t="str">
        <f t="shared" si="806"/>
        <v/>
      </c>
      <c r="LY111" s="43">
        <f t="shared" si="807"/>
        <v>0</v>
      </c>
      <c r="LZ111" s="8"/>
      <c r="MA111" s="38"/>
      <c r="MB111" s="44" t="s">
        <v>4</v>
      </c>
      <c r="MC111" s="40"/>
      <c r="MD111" s="8"/>
      <c r="ME111" s="42" t="str">
        <f t="shared" si="808"/>
        <v/>
      </c>
      <c r="MF111" s="43">
        <f t="shared" si="809"/>
        <v>0</v>
      </c>
      <c r="MG111" s="8"/>
      <c r="MH111" s="38"/>
      <c r="MI111" s="44" t="s">
        <v>4</v>
      </c>
      <c r="MJ111" s="40"/>
      <c r="MK111" s="8"/>
      <c r="ML111" s="42" t="str">
        <f t="shared" si="810"/>
        <v/>
      </c>
      <c r="MM111" s="43">
        <f t="shared" si="811"/>
        <v>0</v>
      </c>
      <c r="MN111" s="8"/>
      <c r="MO111" s="38"/>
      <c r="MP111" s="44" t="s">
        <v>4</v>
      </c>
      <c r="MQ111" s="40"/>
      <c r="MR111" s="8"/>
      <c r="MS111" s="42" t="str">
        <f t="shared" si="812"/>
        <v/>
      </c>
      <c r="MT111" s="43">
        <f t="shared" si="813"/>
        <v>0</v>
      </c>
      <c r="MU111" s="8"/>
      <c r="MV111" s="38"/>
      <c r="MW111" s="44" t="s">
        <v>4</v>
      </c>
      <c r="MX111" s="40"/>
      <c r="MY111" s="8"/>
      <c r="MZ111" s="42" t="str">
        <f t="shared" si="814"/>
        <v/>
      </c>
      <c r="NA111" s="43">
        <f t="shared" si="815"/>
        <v>0</v>
      </c>
      <c r="NB111" s="8"/>
      <c r="NC111" s="38"/>
      <c r="ND111" s="44" t="s">
        <v>4</v>
      </c>
      <c r="NE111" s="40"/>
      <c r="NF111" s="8"/>
      <c r="NG111" s="42" t="str">
        <f t="shared" si="816"/>
        <v/>
      </c>
      <c r="NH111" s="43">
        <f t="shared" si="817"/>
        <v>0</v>
      </c>
      <c r="NI111" s="8"/>
      <c r="NJ111" s="38"/>
      <c r="NK111" s="44" t="s">
        <v>4</v>
      </c>
      <c r="NL111" s="40"/>
      <c r="NM111" s="8"/>
      <c r="NN111" s="42" t="str">
        <f t="shared" si="818"/>
        <v/>
      </c>
      <c r="NO111" s="43">
        <f t="shared" si="819"/>
        <v>0</v>
      </c>
      <c r="NP111" s="8"/>
      <c r="NQ111" s="38"/>
      <c r="NR111" s="44" t="s">
        <v>4</v>
      </c>
      <c r="NS111" s="40"/>
      <c r="NT111" s="8"/>
      <c r="NU111" s="42" t="str">
        <f t="shared" si="820"/>
        <v/>
      </c>
      <c r="NV111" s="43">
        <f t="shared" si="821"/>
        <v>0</v>
      </c>
      <c r="NW111" s="8"/>
      <c r="NX111" s="38"/>
      <c r="NY111" s="44" t="s">
        <v>4</v>
      </c>
      <c r="NZ111" s="40"/>
      <c r="OA111" s="8"/>
      <c r="OB111" s="42" t="str">
        <f t="shared" si="822"/>
        <v/>
      </c>
      <c r="OC111" s="43">
        <f t="shared" si="823"/>
        <v>0</v>
      </c>
      <c r="OD111" s="8"/>
      <c r="OE111" s="38"/>
      <c r="OF111" s="44" t="s">
        <v>4</v>
      </c>
      <c r="OG111" s="40"/>
      <c r="OH111" s="8"/>
      <c r="OI111" s="42" t="str">
        <f t="shared" si="824"/>
        <v/>
      </c>
      <c r="OJ111" s="43">
        <f t="shared" si="825"/>
        <v>0</v>
      </c>
      <c r="OK111" s="8"/>
      <c r="OL111" s="38"/>
      <c r="OM111" s="44" t="s">
        <v>4</v>
      </c>
      <c r="ON111" s="40"/>
      <c r="OO111" s="8"/>
      <c r="OP111" s="42" t="str">
        <f t="shared" si="826"/>
        <v/>
      </c>
      <c r="OQ111" s="43">
        <f t="shared" si="827"/>
        <v>0</v>
      </c>
      <c r="OR111" s="8"/>
      <c r="OS111" s="38"/>
      <c r="OT111" s="44" t="s">
        <v>4</v>
      </c>
      <c r="OU111" s="40"/>
      <c r="OV111" s="8"/>
      <c r="OW111" s="42" t="str">
        <f t="shared" si="828"/>
        <v/>
      </c>
      <c r="OX111" s="43">
        <f t="shared" si="829"/>
        <v>0</v>
      </c>
      <c r="OY111" s="8"/>
      <c r="OZ111" s="38"/>
      <c r="PA111" s="44" t="s">
        <v>4</v>
      </c>
      <c r="PB111" s="40"/>
      <c r="PC111" s="8"/>
      <c r="PD111" s="42" t="str">
        <f t="shared" si="830"/>
        <v/>
      </c>
      <c r="PE111" s="43">
        <f t="shared" si="831"/>
        <v>0</v>
      </c>
      <c r="PF111" s="8"/>
      <c r="PG111" s="38"/>
      <c r="PH111" s="44" t="s">
        <v>4</v>
      </c>
      <c r="PI111" s="40"/>
      <c r="PJ111" s="8"/>
      <c r="PK111" s="42" t="str">
        <f t="shared" si="832"/>
        <v/>
      </c>
      <c r="PL111" s="43">
        <f t="shared" si="833"/>
        <v>0</v>
      </c>
      <c r="PM111" s="8"/>
      <c r="PN111" s="38"/>
      <c r="PO111" s="44" t="s">
        <v>4</v>
      </c>
      <c r="PP111" s="40"/>
      <c r="PQ111" s="8"/>
      <c r="PR111" s="42" t="str">
        <f t="shared" si="834"/>
        <v/>
      </c>
      <c r="PS111" s="43">
        <f t="shared" si="835"/>
        <v>0</v>
      </c>
      <c r="PT111" s="8"/>
      <c r="PU111" s="38"/>
      <c r="PV111" s="44" t="s">
        <v>4</v>
      </c>
      <c r="PW111" s="40"/>
      <c r="PX111" s="8"/>
      <c r="PY111" s="42" t="str">
        <f t="shared" si="836"/>
        <v/>
      </c>
      <c r="PZ111" s="43">
        <f t="shared" si="837"/>
        <v>0</v>
      </c>
      <c r="QA111" s="8"/>
      <c r="QB111" s="38"/>
      <c r="QC111" s="44" t="s">
        <v>4</v>
      </c>
      <c r="QD111" s="40"/>
      <c r="QE111" s="8"/>
      <c r="QF111" s="42" t="str">
        <f t="shared" si="838"/>
        <v/>
      </c>
      <c r="QG111" s="43">
        <f t="shared" si="839"/>
        <v>0</v>
      </c>
      <c r="QH111" s="8"/>
      <c r="QI111" s="38"/>
      <c r="QJ111" s="44" t="s">
        <v>4</v>
      </c>
      <c r="QK111" s="40"/>
      <c r="QL111" s="8"/>
      <c r="QM111" s="42" t="str">
        <f t="shared" si="840"/>
        <v/>
      </c>
      <c r="QN111" s="43">
        <f t="shared" si="841"/>
        <v>0</v>
      </c>
      <c r="QO111" s="8"/>
      <c r="QP111" s="38"/>
      <c r="QQ111" s="44" t="s">
        <v>4</v>
      </c>
      <c r="QR111" s="40"/>
      <c r="QS111" s="8"/>
      <c r="QT111" s="42" t="str">
        <f t="shared" si="842"/>
        <v/>
      </c>
      <c r="QU111" s="43">
        <f t="shared" si="843"/>
        <v>0</v>
      </c>
      <c r="QV111" s="8"/>
      <c r="QW111" s="38"/>
      <c r="QX111" s="44" t="s">
        <v>4</v>
      </c>
      <c r="QY111" s="40"/>
      <c r="QZ111" s="8"/>
      <c r="RA111" s="42" t="str">
        <f t="shared" si="844"/>
        <v/>
      </c>
      <c r="RB111" s="43">
        <f t="shared" si="845"/>
        <v>0</v>
      </c>
      <c r="RC111" s="8"/>
      <c r="RD111" s="38"/>
      <c r="RE111" s="44" t="s">
        <v>4</v>
      </c>
      <c r="RF111" s="40"/>
      <c r="RG111" s="8"/>
      <c r="RH111" s="42" t="str">
        <f t="shared" si="846"/>
        <v/>
      </c>
      <c r="RI111" s="43">
        <f t="shared" si="847"/>
        <v>0</v>
      </c>
      <c r="RJ111" s="8"/>
      <c r="RK111" s="38"/>
      <c r="RL111" s="44" t="s">
        <v>4</v>
      </c>
      <c r="RM111" s="40"/>
      <c r="RN111" s="8"/>
      <c r="RO111" s="42" t="str">
        <f t="shared" si="848"/>
        <v/>
      </c>
      <c r="RP111" s="43">
        <f t="shared" si="849"/>
        <v>0</v>
      </c>
      <c r="RQ111" s="8"/>
      <c r="RR111" s="38"/>
      <c r="RS111" s="44" t="s">
        <v>4</v>
      </c>
      <c r="RT111" s="40"/>
      <c r="RU111" s="8"/>
      <c r="RV111" s="42" t="str">
        <f t="shared" si="850"/>
        <v/>
      </c>
      <c r="RW111" s="43">
        <f t="shared" si="851"/>
        <v>0</v>
      </c>
      <c r="RX111" s="8"/>
      <c r="RY111" s="38"/>
      <c r="RZ111" s="44" t="s">
        <v>4</v>
      </c>
      <c r="SA111" s="40"/>
      <c r="SB111" s="8"/>
      <c r="SC111" s="42" t="str">
        <f t="shared" si="852"/>
        <v/>
      </c>
      <c r="SD111" s="43">
        <f t="shared" si="853"/>
        <v>0</v>
      </c>
      <c r="SE111" s="8"/>
      <c r="SF111" s="38"/>
      <c r="SG111" s="44" t="s">
        <v>4</v>
      </c>
      <c r="SH111" s="40"/>
      <c r="SI111" s="8"/>
      <c r="SJ111" s="42" t="str">
        <f t="shared" si="854"/>
        <v/>
      </c>
      <c r="SK111" s="43">
        <f t="shared" si="855"/>
        <v>0</v>
      </c>
      <c r="SL111" s="8"/>
      <c r="SM111" s="38"/>
      <c r="SN111" s="44" t="s">
        <v>4</v>
      </c>
      <c r="SO111" s="40"/>
      <c r="SP111" s="8"/>
      <c r="SQ111" s="42" t="str">
        <f t="shared" si="856"/>
        <v/>
      </c>
      <c r="SR111" s="43">
        <f t="shared" si="857"/>
        <v>0</v>
      </c>
    </row>
    <row r="112" spans="1:512" ht="16" customHeight="1" x14ac:dyDescent="0.15">
      <c r="A112" s="53">
        <v>46214</v>
      </c>
      <c r="B112" s="46">
        <v>0.95833333333333337</v>
      </c>
      <c r="C112" s="82"/>
      <c r="D112" s="83"/>
      <c r="E112" s="2"/>
      <c r="F112" s="50" t="s">
        <v>4</v>
      </c>
      <c r="G112" s="1"/>
      <c r="H112" s="16">
        <v>9.6</v>
      </c>
      <c r="I112" s="32">
        <f t="shared" si="429"/>
        <v>0</v>
      </c>
      <c r="J112" s="47"/>
      <c r="K112" s="48" t="s">
        <v>4</v>
      </c>
      <c r="L112" s="49"/>
      <c r="M112" s="8"/>
      <c r="N112" s="42" t="str">
        <f t="shared" si="430"/>
        <v/>
      </c>
      <c r="O112" s="43">
        <f t="shared" si="431"/>
        <v>0</v>
      </c>
      <c r="Q112" s="38"/>
      <c r="R112" s="44" t="s">
        <v>4</v>
      </c>
      <c r="S112" s="40"/>
      <c r="T112" s="8"/>
      <c r="U112" s="42" t="str">
        <f t="shared" si="716"/>
        <v/>
      </c>
      <c r="V112" s="43">
        <f t="shared" si="717"/>
        <v>0</v>
      </c>
      <c r="W112" s="8"/>
      <c r="X112" s="38"/>
      <c r="Y112" s="44" t="s">
        <v>4</v>
      </c>
      <c r="Z112" s="40"/>
      <c r="AA112" s="8"/>
      <c r="AB112" s="42" t="str">
        <f t="shared" si="718"/>
        <v/>
      </c>
      <c r="AC112" s="43">
        <f t="shared" si="719"/>
        <v>0</v>
      </c>
      <c r="AD112" s="8"/>
      <c r="AE112" s="38"/>
      <c r="AF112" s="44" t="s">
        <v>4</v>
      </c>
      <c r="AG112" s="40"/>
      <c r="AH112" s="8"/>
      <c r="AI112" s="42" t="str">
        <f t="shared" si="720"/>
        <v/>
      </c>
      <c r="AJ112" s="43">
        <f t="shared" si="721"/>
        <v>0</v>
      </c>
      <c r="AK112" s="8"/>
      <c r="AL112" s="38"/>
      <c r="AM112" s="44" t="s">
        <v>4</v>
      </c>
      <c r="AN112" s="40"/>
      <c r="AO112" s="8"/>
      <c r="AP112" s="42" t="str">
        <f t="shared" si="722"/>
        <v/>
      </c>
      <c r="AQ112" s="43">
        <f t="shared" si="723"/>
        <v>0</v>
      </c>
      <c r="AR112" s="8"/>
      <c r="AS112" s="38"/>
      <c r="AT112" s="44" t="s">
        <v>4</v>
      </c>
      <c r="AU112" s="40"/>
      <c r="AV112" s="8"/>
      <c r="AW112" s="42" t="str">
        <f t="shared" si="724"/>
        <v/>
      </c>
      <c r="AX112" s="43">
        <f t="shared" si="725"/>
        <v>0</v>
      </c>
      <c r="AY112" s="8"/>
      <c r="AZ112" s="38"/>
      <c r="BA112" s="44" t="s">
        <v>4</v>
      </c>
      <c r="BB112" s="40"/>
      <c r="BC112" s="8"/>
      <c r="BD112" s="42" t="str">
        <f t="shared" si="726"/>
        <v/>
      </c>
      <c r="BE112" s="43">
        <f t="shared" si="727"/>
        <v>0</v>
      </c>
      <c r="BF112" s="8"/>
      <c r="BG112" s="38"/>
      <c r="BH112" s="44" t="s">
        <v>4</v>
      </c>
      <c r="BI112" s="40"/>
      <c r="BJ112" s="8"/>
      <c r="BK112" s="42" t="str">
        <f t="shared" si="728"/>
        <v/>
      </c>
      <c r="BL112" s="43">
        <f t="shared" si="729"/>
        <v>0</v>
      </c>
      <c r="BM112" s="8"/>
      <c r="BN112" s="38"/>
      <c r="BO112" s="44" t="s">
        <v>4</v>
      </c>
      <c r="BP112" s="40"/>
      <c r="BQ112" s="8"/>
      <c r="BR112" s="42" t="str">
        <f t="shared" si="730"/>
        <v/>
      </c>
      <c r="BS112" s="43">
        <f t="shared" si="731"/>
        <v>0</v>
      </c>
      <c r="BT112" s="8"/>
      <c r="BU112" s="38"/>
      <c r="BV112" s="44" t="s">
        <v>4</v>
      </c>
      <c r="BW112" s="40"/>
      <c r="BX112" s="8"/>
      <c r="BY112" s="42" t="str">
        <f t="shared" si="732"/>
        <v/>
      </c>
      <c r="BZ112" s="43">
        <f t="shared" si="733"/>
        <v>0</v>
      </c>
      <c r="CA112" s="8"/>
      <c r="CB112" s="38"/>
      <c r="CC112" s="44" t="s">
        <v>4</v>
      </c>
      <c r="CD112" s="40"/>
      <c r="CE112" s="8"/>
      <c r="CF112" s="42" t="str">
        <f t="shared" si="734"/>
        <v/>
      </c>
      <c r="CG112" s="43">
        <f t="shared" si="735"/>
        <v>0</v>
      </c>
      <c r="CH112" s="8"/>
      <c r="CI112" s="38"/>
      <c r="CJ112" s="44" t="s">
        <v>4</v>
      </c>
      <c r="CK112" s="40"/>
      <c r="CL112" s="8"/>
      <c r="CM112" s="42" t="str">
        <f t="shared" si="736"/>
        <v/>
      </c>
      <c r="CN112" s="43">
        <f t="shared" si="737"/>
        <v>0</v>
      </c>
      <c r="CO112" s="8"/>
      <c r="CP112" s="38"/>
      <c r="CQ112" s="44" t="s">
        <v>4</v>
      </c>
      <c r="CR112" s="40"/>
      <c r="CS112" s="8"/>
      <c r="CT112" s="42" t="str">
        <f t="shared" si="738"/>
        <v/>
      </c>
      <c r="CU112" s="43">
        <f t="shared" si="739"/>
        <v>0</v>
      </c>
      <c r="CV112" s="8"/>
      <c r="CW112" s="38"/>
      <c r="CX112" s="44" t="s">
        <v>4</v>
      </c>
      <c r="CY112" s="40"/>
      <c r="CZ112" s="8"/>
      <c r="DA112" s="42" t="str">
        <f t="shared" si="740"/>
        <v/>
      </c>
      <c r="DB112" s="43">
        <f t="shared" si="741"/>
        <v>0</v>
      </c>
      <c r="DC112" s="8"/>
      <c r="DD112" s="38"/>
      <c r="DE112" s="44" t="s">
        <v>4</v>
      </c>
      <c r="DF112" s="40"/>
      <c r="DG112" s="8"/>
      <c r="DH112" s="42" t="str">
        <f t="shared" si="742"/>
        <v/>
      </c>
      <c r="DI112" s="43">
        <f t="shared" si="743"/>
        <v>0</v>
      </c>
      <c r="DJ112" s="8"/>
      <c r="DK112" s="38"/>
      <c r="DL112" s="44" t="s">
        <v>4</v>
      </c>
      <c r="DM112" s="40"/>
      <c r="DN112" s="8"/>
      <c r="DO112" s="42" t="str">
        <f t="shared" si="744"/>
        <v/>
      </c>
      <c r="DP112" s="43">
        <f t="shared" si="745"/>
        <v>0</v>
      </c>
      <c r="DQ112" s="8"/>
      <c r="DR112" s="38"/>
      <c r="DS112" s="44" t="s">
        <v>4</v>
      </c>
      <c r="DT112" s="40"/>
      <c r="DU112" s="8"/>
      <c r="DV112" s="42" t="str">
        <f t="shared" si="746"/>
        <v/>
      </c>
      <c r="DW112" s="43">
        <f t="shared" si="747"/>
        <v>0</v>
      </c>
      <c r="DX112" s="8"/>
      <c r="DY112" s="38"/>
      <c r="DZ112" s="44" t="s">
        <v>4</v>
      </c>
      <c r="EA112" s="40"/>
      <c r="EB112" s="8"/>
      <c r="EC112" s="42" t="str">
        <f t="shared" si="748"/>
        <v/>
      </c>
      <c r="ED112" s="43">
        <f t="shared" si="749"/>
        <v>0</v>
      </c>
      <c r="EE112" s="8"/>
      <c r="EF112" s="38"/>
      <c r="EG112" s="44" t="s">
        <v>4</v>
      </c>
      <c r="EH112" s="40"/>
      <c r="EI112" s="8"/>
      <c r="EJ112" s="42" t="str">
        <f t="shared" si="750"/>
        <v/>
      </c>
      <c r="EK112" s="43">
        <f t="shared" si="751"/>
        <v>0</v>
      </c>
      <c r="EL112" s="8"/>
      <c r="EM112" s="38"/>
      <c r="EN112" s="44" t="s">
        <v>4</v>
      </c>
      <c r="EO112" s="40"/>
      <c r="EP112" s="8"/>
      <c r="EQ112" s="42" t="str">
        <f t="shared" si="752"/>
        <v/>
      </c>
      <c r="ER112" s="43">
        <f t="shared" si="753"/>
        <v>0</v>
      </c>
      <c r="ES112" s="8"/>
      <c r="ET112" s="38"/>
      <c r="EU112" s="44" t="s">
        <v>4</v>
      </c>
      <c r="EV112" s="40"/>
      <c r="EW112" s="8"/>
      <c r="EX112" s="42" t="str">
        <f t="shared" si="754"/>
        <v/>
      </c>
      <c r="EY112" s="43">
        <f t="shared" si="755"/>
        <v>0</v>
      </c>
      <c r="EZ112" s="8"/>
      <c r="FA112" s="38"/>
      <c r="FB112" s="44" t="s">
        <v>4</v>
      </c>
      <c r="FC112" s="40"/>
      <c r="FD112" s="8"/>
      <c r="FE112" s="42" t="str">
        <f t="shared" si="756"/>
        <v/>
      </c>
      <c r="FF112" s="43">
        <f t="shared" si="757"/>
        <v>0</v>
      </c>
      <c r="FG112" s="8"/>
      <c r="FH112" s="38"/>
      <c r="FI112" s="44" t="s">
        <v>4</v>
      </c>
      <c r="FJ112" s="40"/>
      <c r="FK112" s="8"/>
      <c r="FL112" s="42" t="str">
        <f t="shared" si="758"/>
        <v/>
      </c>
      <c r="FM112" s="43">
        <f t="shared" si="759"/>
        <v>0</v>
      </c>
      <c r="FN112" s="8"/>
      <c r="FO112" s="38"/>
      <c r="FP112" s="44" t="s">
        <v>4</v>
      </c>
      <c r="FQ112" s="40"/>
      <c r="FR112" s="8"/>
      <c r="FS112" s="42" t="str">
        <f t="shared" si="760"/>
        <v/>
      </c>
      <c r="FT112" s="43">
        <f t="shared" si="761"/>
        <v>0</v>
      </c>
      <c r="FU112" s="8"/>
      <c r="FV112" s="38"/>
      <c r="FW112" s="44" t="s">
        <v>4</v>
      </c>
      <c r="FX112" s="40"/>
      <c r="FY112" s="8"/>
      <c r="FZ112" s="42" t="str">
        <f t="shared" si="762"/>
        <v/>
      </c>
      <c r="GA112" s="43">
        <f t="shared" si="763"/>
        <v>0</v>
      </c>
      <c r="GB112" s="8"/>
      <c r="GC112" s="38"/>
      <c r="GD112" s="44" t="s">
        <v>4</v>
      </c>
      <c r="GE112" s="40"/>
      <c r="GF112" s="8"/>
      <c r="GG112" s="42" t="str">
        <f t="shared" si="764"/>
        <v/>
      </c>
      <c r="GH112" s="43">
        <f t="shared" si="765"/>
        <v>0</v>
      </c>
      <c r="GI112" s="8"/>
      <c r="GJ112" s="38"/>
      <c r="GK112" s="44" t="s">
        <v>4</v>
      </c>
      <c r="GL112" s="40"/>
      <c r="GM112" s="8"/>
      <c r="GN112" s="42" t="str">
        <f t="shared" si="766"/>
        <v/>
      </c>
      <c r="GO112" s="43">
        <f t="shared" si="767"/>
        <v>0</v>
      </c>
      <c r="GP112" s="8"/>
      <c r="GQ112" s="38"/>
      <c r="GR112" s="44" t="s">
        <v>4</v>
      </c>
      <c r="GS112" s="40"/>
      <c r="GT112" s="8"/>
      <c r="GU112" s="42" t="str">
        <f t="shared" si="768"/>
        <v/>
      </c>
      <c r="GV112" s="43">
        <f t="shared" si="769"/>
        <v>0</v>
      </c>
      <c r="GW112" s="8"/>
      <c r="GX112" s="38"/>
      <c r="GY112" s="44" t="s">
        <v>4</v>
      </c>
      <c r="GZ112" s="40"/>
      <c r="HA112" s="8"/>
      <c r="HB112" s="42" t="str">
        <f t="shared" si="770"/>
        <v/>
      </c>
      <c r="HC112" s="43">
        <f t="shared" si="771"/>
        <v>0</v>
      </c>
      <c r="HD112" s="8"/>
      <c r="HE112" s="38"/>
      <c r="HF112" s="44" t="s">
        <v>4</v>
      </c>
      <c r="HG112" s="40"/>
      <c r="HH112" s="8"/>
      <c r="HI112" s="42" t="str">
        <f t="shared" si="772"/>
        <v/>
      </c>
      <c r="HJ112" s="43">
        <f t="shared" si="773"/>
        <v>0</v>
      </c>
      <c r="HK112" s="8"/>
      <c r="HL112" s="38"/>
      <c r="HM112" s="44" t="s">
        <v>4</v>
      </c>
      <c r="HN112" s="40"/>
      <c r="HO112" s="8"/>
      <c r="HP112" s="42" t="str">
        <f t="shared" si="774"/>
        <v/>
      </c>
      <c r="HQ112" s="43">
        <f t="shared" si="775"/>
        <v>0</v>
      </c>
      <c r="HR112" s="8"/>
      <c r="HS112" s="38"/>
      <c r="HT112" s="44" t="s">
        <v>4</v>
      </c>
      <c r="HU112" s="40"/>
      <c r="HV112" s="8"/>
      <c r="HW112" s="42" t="str">
        <f t="shared" si="776"/>
        <v/>
      </c>
      <c r="HX112" s="43">
        <f t="shared" si="777"/>
        <v>0</v>
      </c>
      <c r="HY112" s="8"/>
      <c r="HZ112" s="38"/>
      <c r="IA112" s="44" t="s">
        <v>4</v>
      </c>
      <c r="IB112" s="40"/>
      <c r="IC112" s="8"/>
      <c r="ID112" s="42" t="str">
        <f t="shared" si="778"/>
        <v/>
      </c>
      <c r="IE112" s="43">
        <f t="shared" si="779"/>
        <v>0</v>
      </c>
      <c r="IF112" s="8"/>
      <c r="IG112" s="38"/>
      <c r="IH112" s="44" t="s">
        <v>4</v>
      </c>
      <c r="II112" s="40"/>
      <c r="IJ112" s="8"/>
      <c r="IK112" s="42" t="str">
        <f t="shared" si="780"/>
        <v/>
      </c>
      <c r="IL112" s="43">
        <f t="shared" si="781"/>
        <v>0</v>
      </c>
      <c r="IM112" s="8"/>
      <c r="IN112" s="38"/>
      <c r="IO112" s="44" t="s">
        <v>4</v>
      </c>
      <c r="IP112" s="40"/>
      <c r="IQ112" s="8"/>
      <c r="IR112" s="42" t="str">
        <f t="shared" si="782"/>
        <v/>
      </c>
      <c r="IS112" s="43">
        <f t="shared" si="783"/>
        <v>0</v>
      </c>
      <c r="IT112" s="8"/>
      <c r="IU112" s="38"/>
      <c r="IV112" s="44" t="s">
        <v>4</v>
      </c>
      <c r="IW112" s="40"/>
      <c r="IX112" s="8"/>
      <c r="IY112" s="42" t="str">
        <f t="shared" si="784"/>
        <v/>
      </c>
      <c r="IZ112" s="43">
        <f t="shared" si="785"/>
        <v>0</v>
      </c>
      <c r="JA112" s="8"/>
      <c r="JB112" s="38"/>
      <c r="JC112" s="44" t="s">
        <v>4</v>
      </c>
      <c r="JD112" s="40"/>
      <c r="JE112" s="8"/>
      <c r="JF112" s="42" t="str">
        <f t="shared" si="786"/>
        <v/>
      </c>
      <c r="JG112" s="43">
        <f t="shared" si="787"/>
        <v>0</v>
      </c>
      <c r="JH112" s="8"/>
      <c r="JI112" s="38"/>
      <c r="JJ112" s="44" t="s">
        <v>4</v>
      </c>
      <c r="JK112" s="40"/>
      <c r="JL112" s="8"/>
      <c r="JM112" s="42" t="str">
        <f t="shared" si="788"/>
        <v/>
      </c>
      <c r="JN112" s="43">
        <f t="shared" si="789"/>
        <v>0</v>
      </c>
      <c r="JO112" s="8"/>
      <c r="JP112" s="38"/>
      <c r="JQ112" s="44" t="s">
        <v>4</v>
      </c>
      <c r="JR112" s="40"/>
      <c r="JS112" s="8"/>
      <c r="JT112" s="42" t="str">
        <f t="shared" si="790"/>
        <v/>
      </c>
      <c r="JU112" s="43">
        <f t="shared" si="791"/>
        <v>0</v>
      </c>
      <c r="JV112" s="8"/>
      <c r="JW112" s="38"/>
      <c r="JX112" s="44" t="s">
        <v>4</v>
      </c>
      <c r="JY112" s="40"/>
      <c r="JZ112" s="8"/>
      <c r="KA112" s="42" t="str">
        <f t="shared" si="792"/>
        <v/>
      </c>
      <c r="KB112" s="43">
        <f t="shared" si="793"/>
        <v>0</v>
      </c>
      <c r="KC112" s="8"/>
      <c r="KD112" s="38"/>
      <c r="KE112" s="44" t="s">
        <v>4</v>
      </c>
      <c r="KF112" s="40"/>
      <c r="KG112" s="8"/>
      <c r="KH112" s="42" t="str">
        <f t="shared" si="794"/>
        <v/>
      </c>
      <c r="KI112" s="43">
        <f t="shared" si="795"/>
        <v>0</v>
      </c>
      <c r="KJ112" s="8"/>
      <c r="KK112" s="38"/>
      <c r="KL112" s="44" t="s">
        <v>4</v>
      </c>
      <c r="KM112" s="40"/>
      <c r="KN112" s="8"/>
      <c r="KO112" s="42" t="str">
        <f t="shared" si="796"/>
        <v/>
      </c>
      <c r="KP112" s="43">
        <f t="shared" si="797"/>
        <v>0</v>
      </c>
      <c r="KQ112" s="8"/>
      <c r="KR112" s="38"/>
      <c r="KS112" s="44" t="s">
        <v>4</v>
      </c>
      <c r="KT112" s="40"/>
      <c r="KU112" s="8"/>
      <c r="KV112" s="42" t="str">
        <f t="shared" si="798"/>
        <v/>
      </c>
      <c r="KW112" s="43">
        <f t="shared" si="799"/>
        <v>0</v>
      </c>
      <c r="KX112" s="8"/>
      <c r="KY112" s="38"/>
      <c r="KZ112" s="44" t="s">
        <v>4</v>
      </c>
      <c r="LA112" s="40"/>
      <c r="LB112" s="8"/>
      <c r="LC112" s="42" t="str">
        <f t="shared" si="800"/>
        <v/>
      </c>
      <c r="LD112" s="43">
        <f t="shared" si="801"/>
        <v>0</v>
      </c>
      <c r="LE112" s="8"/>
      <c r="LF112" s="38"/>
      <c r="LG112" s="44" t="s">
        <v>4</v>
      </c>
      <c r="LH112" s="40"/>
      <c r="LI112" s="8"/>
      <c r="LJ112" s="42" t="str">
        <f t="shared" si="802"/>
        <v/>
      </c>
      <c r="LK112" s="43">
        <f t="shared" si="803"/>
        <v>0</v>
      </c>
      <c r="LL112" s="8"/>
      <c r="LM112" s="38"/>
      <c r="LN112" s="44" t="s">
        <v>4</v>
      </c>
      <c r="LO112" s="40"/>
      <c r="LP112" s="8"/>
      <c r="LQ112" s="42" t="str">
        <f t="shared" si="804"/>
        <v/>
      </c>
      <c r="LR112" s="43">
        <f t="shared" si="805"/>
        <v>0</v>
      </c>
      <c r="LS112" s="8"/>
      <c r="LT112" s="38"/>
      <c r="LU112" s="44" t="s">
        <v>4</v>
      </c>
      <c r="LV112" s="40"/>
      <c r="LW112" s="8"/>
      <c r="LX112" s="42" t="str">
        <f t="shared" si="806"/>
        <v/>
      </c>
      <c r="LY112" s="43">
        <f t="shared" si="807"/>
        <v>0</v>
      </c>
      <c r="LZ112" s="8"/>
      <c r="MA112" s="38"/>
      <c r="MB112" s="44" t="s">
        <v>4</v>
      </c>
      <c r="MC112" s="40"/>
      <c r="MD112" s="8"/>
      <c r="ME112" s="42" t="str">
        <f t="shared" si="808"/>
        <v/>
      </c>
      <c r="MF112" s="43">
        <f t="shared" si="809"/>
        <v>0</v>
      </c>
      <c r="MG112" s="8"/>
      <c r="MH112" s="38"/>
      <c r="MI112" s="44" t="s">
        <v>4</v>
      </c>
      <c r="MJ112" s="40"/>
      <c r="MK112" s="8"/>
      <c r="ML112" s="42" t="str">
        <f t="shared" si="810"/>
        <v/>
      </c>
      <c r="MM112" s="43">
        <f t="shared" si="811"/>
        <v>0</v>
      </c>
      <c r="MN112" s="8"/>
      <c r="MO112" s="38"/>
      <c r="MP112" s="44" t="s">
        <v>4</v>
      </c>
      <c r="MQ112" s="40"/>
      <c r="MR112" s="8"/>
      <c r="MS112" s="42" t="str">
        <f t="shared" si="812"/>
        <v/>
      </c>
      <c r="MT112" s="43">
        <f t="shared" si="813"/>
        <v>0</v>
      </c>
      <c r="MU112" s="8"/>
      <c r="MV112" s="38"/>
      <c r="MW112" s="44" t="s">
        <v>4</v>
      </c>
      <c r="MX112" s="40"/>
      <c r="MY112" s="8"/>
      <c r="MZ112" s="42" t="str">
        <f t="shared" si="814"/>
        <v/>
      </c>
      <c r="NA112" s="43">
        <f t="shared" si="815"/>
        <v>0</v>
      </c>
      <c r="NB112" s="8"/>
      <c r="NC112" s="38"/>
      <c r="ND112" s="44" t="s">
        <v>4</v>
      </c>
      <c r="NE112" s="40"/>
      <c r="NF112" s="8"/>
      <c r="NG112" s="42" t="str">
        <f t="shared" si="816"/>
        <v/>
      </c>
      <c r="NH112" s="43">
        <f t="shared" si="817"/>
        <v>0</v>
      </c>
      <c r="NI112" s="8"/>
      <c r="NJ112" s="38"/>
      <c r="NK112" s="44" t="s">
        <v>4</v>
      </c>
      <c r="NL112" s="40"/>
      <c r="NM112" s="8"/>
      <c r="NN112" s="42" t="str">
        <f t="shared" si="818"/>
        <v/>
      </c>
      <c r="NO112" s="43">
        <f t="shared" si="819"/>
        <v>0</v>
      </c>
      <c r="NP112" s="8"/>
      <c r="NQ112" s="38"/>
      <c r="NR112" s="44" t="s">
        <v>4</v>
      </c>
      <c r="NS112" s="40"/>
      <c r="NT112" s="8"/>
      <c r="NU112" s="42" t="str">
        <f t="shared" si="820"/>
        <v/>
      </c>
      <c r="NV112" s="43">
        <f t="shared" si="821"/>
        <v>0</v>
      </c>
      <c r="NW112" s="8"/>
      <c r="NX112" s="38"/>
      <c r="NY112" s="44" t="s">
        <v>4</v>
      </c>
      <c r="NZ112" s="40"/>
      <c r="OA112" s="8"/>
      <c r="OB112" s="42" t="str">
        <f t="shared" si="822"/>
        <v/>
      </c>
      <c r="OC112" s="43">
        <f t="shared" si="823"/>
        <v>0</v>
      </c>
      <c r="OD112" s="8"/>
      <c r="OE112" s="38"/>
      <c r="OF112" s="44" t="s">
        <v>4</v>
      </c>
      <c r="OG112" s="40"/>
      <c r="OH112" s="8"/>
      <c r="OI112" s="42" t="str">
        <f t="shared" si="824"/>
        <v/>
      </c>
      <c r="OJ112" s="43">
        <f t="shared" si="825"/>
        <v>0</v>
      </c>
      <c r="OK112" s="8"/>
      <c r="OL112" s="38"/>
      <c r="OM112" s="44" t="s">
        <v>4</v>
      </c>
      <c r="ON112" s="40"/>
      <c r="OO112" s="8"/>
      <c r="OP112" s="42" t="str">
        <f t="shared" si="826"/>
        <v/>
      </c>
      <c r="OQ112" s="43">
        <f t="shared" si="827"/>
        <v>0</v>
      </c>
      <c r="OR112" s="8"/>
      <c r="OS112" s="38"/>
      <c r="OT112" s="44" t="s">
        <v>4</v>
      </c>
      <c r="OU112" s="40"/>
      <c r="OV112" s="8"/>
      <c r="OW112" s="42" t="str">
        <f t="shared" si="828"/>
        <v/>
      </c>
      <c r="OX112" s="43">
        <f t="shared" si="829"/>
        <v>0</v>
      </c>
      <c r="OY112" s="8"/>
      <c r="OZ112" s="38"/>
      <c r="PA112" s="44" t="s">
        <v>4</v>
      </c>
      <c r="PB112" s="40"/>
      <c r="PC112" s="8"/>
      <c r="PD112" s="42" t="str">
        <f t="shared" si="830"/>
        <v/>
      </c>
      <c r="PE112" s="43">
        <f t="shared" si="831"/>
        <v>0</v>
      </c>
      <c r="PF112" s="8"/>
      <c r="PG112" s="38"/>
      <c r="PH112" s="44" t="s">
        <v>4</v>
      </c>
      <c r="PI112" s="40"/>
      <c r="PJ112" s="8"/>
      <c r="PK112" s="42" t="str">
        <f t="shared" si="832"/>
        <v/>
      </c>
      <c r="PL112" s="43">
        <f t="shared" si="833"/>
        <v>0</v>
      </c>
      <c r="PM112" s="8"/>
      <c r="PN112" s="38"/>
      <c r="PO112" s="44" t="s">
        <v>4</v>
      </c>
      <c r="PP112" s="40"/>
      <c r="PQ112" s="8"/>
      <c r="PR112" s="42" t="str">
        <f t="shared" si="834"/>
        <v/>
      </c>
      <c r="PS112" s="43">
        <f t="shared" si="835"/>
        <v>0</v>
      </c>
      <c r="PT112" s="8"/>
      <c r="PU112" s="38"/>
      <c r="PV112" s="44" t="s">
        <v>4</v>
      </c>
      <c r="PW112" s="40"/>
      <c r="PX112" s="8"/>
      <c r="PY112" s="42" t="str">
        <f t="shared" si="836"/>
        <v/>
      </c>
      <c r="PZ112" s="43">
        <f t="shared" si="837"/>
        <v>0</v>
      </c>
      <c r="QA112" s="8"/>
      <c r="QB112" s="38"/>
      <c r="QC112" s="44" t="s">
        <v>4</v>
      </c>
      <c r="QD112" s="40"/>
      <c r="QE112" s="8"/>
      <c r="QF112" s="42" t="str">
        <f t="shared" si="838"/>
        <v/>
      </c>
      <c r="QG112" s="43">
        <f t="shared" si="839"/>
        <v>0</v>
      </c>
      <c r="QH112" s="8"/>
      <c r="QI112" s="38"/>
      <c r="QJ112" s="44" t="s">
        <v>4</v>
      </c>
      <c r="QK112" s="40"/>
      <c r="QL112" s="8"/>
      <c r="QM112" s="42" t="str">
        <f t="shared" si="840"/>
        <v/>
      </c>
      <c r="QN112" s="43">
        <f t="shared" si="841"/>
        <v>0</v>
      </c>
      <c r="QO112" s="8"/>
      <c r="QP112" s="38"/>
      <c r="QQ112" s="44" t="s">
        <v>4</v>
      </c>
      <c r="QR112" s="40"/>
      <c r="QS112" s="8"/>
      <c r="QT112" s="42" t="str">
        <f t="shared" si="842"/>
        <v/>
      </c>
      <c r="QU112" s="43">
        <f t="shared" si="843"/>
        <v>0</v>
      </c>
      <c r="QV112" s="8"/>
      <c r="QW112" s="38"/>
      <c r="QX112" s="44" t="s">
        <v>4</v>
      </c>
      <c r="QY112" s="40"/>
      <c r="QZ112" s="8"/>
      <c r="RA112" s="42" t="str">
        <f t="shared" si="844"/>
        <v/>
      </c>
      <c r="RB112" s="43">
        <f t="shared" si="845"/>
        <v>0</v>
      </c>
      <c r="RC112" s="8"/>
      <c r="RD112" s="38"/>
      <c r="RE112" s="44" t="s">
        <v>4</v>
      </c>
      <c r="RF112" s="40"/>
      <c r="RG112" s="8"/>
      <c r="RH112" s="42" t="str">
        <f t="shared" si="846"/>
        <v/>
      </c>
      <c r="RI112" s="43">
        <f t="shared" si="847"/>
        <v>0</v>
      </c>
      <c r="RJ112" s="8"/>
      <c r="RK112" s="38"/>
      <c r="RL112" s="44" t="s">
        <v>4</v>
      </c>
      <c r="RM112" s="40"/>
      <c r="RN112" s="8"/>
      <c r="RO112" s="42" t="str">
        <f t="shared" si="848"/>
        <v/>
      </c>
      <c r="RP112" s="43">
        <f t="shared" si="849"/>
        <v>0</v>
      </c>
      <c r="RQ112" s="8"/>
      <c r="RR112" s="38"/>
      <c r="RS112" s="44" t="s">
        <v>4</v>
      </c>
      <c r="RT112" s="40"/>
      <c r="RU112" s="8"/>
      <c r="RV112" s="42" t="str">
        <f t="shared" si="850"/>
        <v/>
      </c>
      <c r="RW112" s="43">
        <f t="shared" si="851"/>
        <v>0</v>
      </c>
      <c r="RX112" s="8"/>
      <c r="RY112" s="38"/>
      <c r="RZ112" s="44" t="s">
        <v>4</v>
      </c>
      <c r="SA112" s="40"/>
      <c r="SB112" s="8"/>
      <c r="SC112" s="42" t="str">
        <f t="shared" si="852"/>
        <v/>
      </c>
      <c r="SD112" s="43">
        <f t="shared" si="853"/>
        <v>0</v>
      </c>
      <c r="SE112" s="8"/>
      <c r="SF112" s="38"/>
      <c r="SG112" s="44" t="s">
        <v>4</v>
      </c>
      <c r="SH112" s="40"/>
      <c r="SI112" s="8"/>
      <c r="SJ112" s="42" t="str">
        <f t="shared" si="854"/>
        <v/>
      </c>
      <c r="SK112" s="43">
        <f t="shared" si="855"/>
        <v>0</v>
      </c>
      <c r="SL112" s="8"/>
      <c r="SM112" s="38"/>
      <c r="SN112" s="44" t="s">
        <v>4</v>
      </c>
      <c r="SO112" s="40"/>
      <c r="SP112" s="8"/>
      <c r="SQ112" s="42" t="str">
        <f t="shared" si="856"/>
        <v/>
      </c>
      <c r="SR112" s="43">
        <f t="shared" si="857"/>
        <v>0</v>
      </c>
    </row>
    <row r="113" spans="1:512" ht="16" customHeight="1" x14ac:dyDescent="0.15">
      <c r="A113" s="53">
        <v>46215</v>
      </c>
      <c r="B113" s="46">
        <v>0.125</v>
      </c>
      <c r="C113" s="82"/>
      <c r="D113" s="82"/>
      <c r="E113" s="2"/>
      <c r="F113" s="50" t="s">
        <v>4</v>
      </c>
      <c r="G113" s="1"/>
      <c r="H113" s="16">
        <v>10</v>
      </c>
      <c r="I113" s="32">
        <f t="shared" si="429"/>
        <v>0</v>
      </c>
      <c r="J113" s="47"/>
      <c r="K113" s="48" t="s">
        <v>4</v>
      </c>
      <c r="L113" s="49"/>
      <c r="M113" s="8"/>
      <c r="N113" s="42" t="str">
        <f t="shared" si="430"/>
        <v/>
      </c>
      <c r="O113" s="43">
        <f t="shared" si="431"/>
        <v>0</v>
      </c>
      <c r="Q113" s="38"/>
      <c r="R113" s="44" t="s">
        <v>4</v>
      </c>
      <c r="S113" s="40"/>
      <c r="T113" s="8"/>
      <c r="U113" s="42" t="str">
        <f t="shared" si="716"/>
        <v/>
      </c>
      <c r="V113" s="43">
        <f t="shared" si="717"/>
        <v>0</v>
      </c>
      <c r="W113" s="8"/>
      <c r="X113" s="38"/>
      <c r="Y113" s="44" t="s">
        <v>4</v>
      </c>
      <c r="Z113" s="40"/>
      <c r="AA113" s="8"/>
      <c r="AB113" s="42" t="str">
        <f t="shared" si="718"/>
        <v/>
      </c>
      <c r="AC113" s="43">
        <f t="shared" si="719"/>
        <v>0</v>
      </c>
      <c r="AD113" s="8"/>
      <c r="AE113" s="38"/>
      <c r="AF113" s="44" t="s">
        <v>4</v>
      </c>
      <c r="AG113" s="40"/>
      <c r="AH113" s="8"/>
      <c r="AI113" s="42" t="str">
        <f t="shared" si="720"/>
        <v/>
      </c>
      <c r="AJ113" s="43">
        <f t="shared" si="721"/>
        <v>0</v>
      </c>
      <c r="AK113" s="8"/>
      <c r="AL113" s="38"/>
      <c r="AM113" s="44" t="s">
        <v>4</v>
      </c>
      <c r="AN113" s="40"/>
      <c r="AO113" s="8"/>
      <c r="AP113" s="42" t="str">
        <f t="shared" si="722"/>
        <v/>
      </c>
      <c r="AQ113" s="43">
        <f t="shared" si="723"/>
        <v>0</v>
      </c>
      <c r="AR113" s="8"/>
      <c r="AS113" s="38"/>
      <c r="AT113" s="44" t="s">
        <v>4</v>
      </c>
      <c r="AU113" s="40"/>
      <c r="AV113" s="8"/>
      <c r="AW113" s="42" t="str">
        <f t="shared" si="724"/>
        <v/>
      </c>
      <c r="AX113" s="43">
        <f t="shared" si="725"/>
        <v>0</v>
      </c>
      <c r="AY113" s="8"/>
      <c r="AZ113" s="38"/>
      <c r="BA113" s="44" t="s">
        <v>4</v>
      </c>
      <c r="BB113" s="40"/>
      <c r="BC113" s="8"/>
      <c r="BD113" s="42" t="str">
        <f t="shared" si="726"/>
        <v/>
      </c>
      <c r="BE113" s="43">
        <f t="shared" si="727"/>
        <v>0</v>
      </c>
      <c r="BF113" s="8"/>
      <c r="BG113" s="38"/>
      <c r="BH113" s="44" t="s">
        <v>4</v>
      </c>
      <c r="BI113" s="40"/>
      <c r="BJ113" s="8"/>
      <c r="BK113" s="42" t="str">
        <f t="shared" si="728"/>
        <v/>
      </c>
      <c r="BL113" s="43">
        <f t="shared" si="729"/>
        <v>0</v>
      </c>
      <c r="BM113" s="8"/>
      <c r="BN113" s="38"/>
      <c r="BO113" s="44" t="s">
        <v>4</v>
      </c>
      <c r="BP113" s="40"/>
      <c r="BQ113" s="8"/>
      <c r="BR113" s="42" t="str">
        <f t="shared" si="730"/>
        <v/>
      </c>
      <c r="BS113" s="43">
        <f t="shared" si="731"/>
        <v>0</v>
      </c>
      <c r="BT113" s="8"/>
      <c r="BU113" s="38"/>
      <c r="BV113" s="44" t="s">
        <v>4</v>
      </c>
      <c r="BW113" s="40"/>
      <c r="BX113" s="8"/>
      <c r="BY113" s="42" t="str">
        <f t="shared" si="732"/>
        <v/>
      </c>
      <c r="BZ113" s="43">
        <f t="shared" si="733"/>
        <v>0</v>
      </c>
      <c r="CA113" s="8"/>
      <c r="CB113" s="38"/>
      <c r="CC113" s="44" t="s">
        <v>4</v>
      </c>
      <c r="CD113" s="40"/>
      <c r="CE113" s="8"/>
      <c r="CF113" s="42" t="str">
        <f t="shared" si="734"/>
        <v/>
      </c>
      <c r="CG113" s="43">
        <f t="shared" si="735"/>
        <v>0</v>
      </c>
      <c r="CH113" s="8"/>
      <c r="CI113" s="38"/>
      <c r="CJ113" s="44" t="s">
        <v>4</v>
      </c>
      <c r="CK113" s="40"/>
      <c r="CL113" s="8"/>
      <c r="CM113" s="42" t="str">
        <f t="shared" si="736"/>
        <v/>
      </c>
      <c r="CN113" s="43">
        <f t="shared" si="737"/>
        <v>0</v>
      </c>
      <c r="CO113" s="8"/>
      <c r="CP113" s="38"/>
      <c r="CQ113" s="44" t="s">
        <v>4</v>
      </c>
      <c r="CR113" s="40"/>
      <c r="CS113" s="8"/>
      <c r="CT113" s="42" t="str">
        <f t="shared" si="738"/>
        <v/>
      </c>
      <c r="CU113" s="43">
        <f t="shared" si="739"/>
        <v>0</v>
      </c>
      <c r="CV113" s="8"/>
      <c r="CW113" s="38"/>
      <c r="CX113" s="44" t="s">
        <v>4</v>
      </c>
      <c r="CY113" s="40"/>
      <c r="CZ113" s="8"/>
      <c r="DA113" s="42" t="str">
        <f t="shared" si="740"/>
        <v/>
      </c>
      <c r="DB113" s="43">
        <f t="shared" si="741"/>
        <v>0</v>
      </c>
      <c r="DC113" s="8"/>
      <c r="DD113" s="38"/>
      <c r="DE113" s="44" t="s">
        <v>4</v>
      </c>
      <c r="DF113" s="40"/>
      <c r="DG113" s="8"/>
      <c r="DH113" s="42" t="str">
        <f t="shared" si="742"/>
        <v/>
      </c>
      <c r="DI113" s="43">
        <f t="shared" si="743"/>
        <v>0</v>
      </c>
      <c r="DJ113" s="8"/>
      <c r="DK113" s="38"/>
      <c r="DL113" s="44" t="s">
        <v>4</v>
      </c>
      <c r="DM113" s="40"/>
      <c r="DN113" s="8"/>
      <c r="DO113" s="42" t="str">
        <f t="shared" si="744"/>
        <v/>
      </c>
      <c r="DP113" s="43">
        <f t="shared" si="745"/>
        <v>0</v>
      </c>
      <c r="DQ113" s="8"/>
      <c r="DR113" s="38"/>
      <c r="DS113" s="44" t="s">
        <v>4</v>
      </c>
      <c r="DT113" s="40"/>
      <c r="DU113" s="8"/>
      <c r="DV113" s="42" t="str">
        <f t="shared" si="746"/>
        <v/>
      </c>
      <c r="DW113" s="43">
        <f t="shared" si="747"/>
        <v>0</v>
      </c>
      <c r="DX113" s="8"/>
      <c r="DY113" s="38"/>
      <c r="DZ113" s="44" t="s">
        <v>4</v>
      </c>
      <c r="EA113" s="40"/>
      <c r="EB113" s="8"/>
      <c r="EC113" s="42" t="str">
        <f t="shared" si="748"/>
        <v/>
      </c>
      <c r="ED113" s="43">
        <f t="shared" si="749"/>
        <v>0</v>
      </c>
      <c r="EE113" s="8"/>
      <c r="EF113" s="38"/>
      <c r="EG113" s="44" t="s">
        <v>4</v>
      </c>
      <c r="EH113" s="40"/>
      <c r="EI113" s="8"/>
      <c r="EJ113" s="42" t="str">
        <f t="shared" si="750"/>
        <v/>
      </c>
      <c r="EK113" s="43">
        <f t="shared" si="751"/>
        <v>0</v>
      </c>
      <c r="EL113" s="8"/>
      <c r="EM113" s="38"/>
      <c r="EN113" s="44" t="s">
        <v>4</v>
      </c>
      <c r="EO113" s="40"/>
      <c r="EP113" s="8"/>
      <c r="EQ113" s="42" t="str">
        <f t="shared" si="752"/>
        <v/>
      </c>
      <c r="ER113" s="43">
        <f t="shared" si="753"/>
        <v>0</v>
      </c>
      <c r="ES113" s="8"/>
      <c r="ET113" s="38"/>
      <c r="EU113" s="44" t="s">
        <v>4</v>
      </c>
      <c r="EV113" s="40"/>
      <c r="EW113" s="8"/>
      <c r="EX113" s="42" t="str">
        <f t="shared" si="754"/>
        <v/>
      </c>
      <c r="EY113" s="43">
        <f t="shared" si="755"/>
        <v>0</v>
      </c>
      <c r="EZ113" s="8"/>
      <c r="FA113" s="38"/>
      <c r="FB113" s="44" t="s">
        <v>4</v>
      </c>
      <c r="FC113" s="40"/>
      <c r="FD113" s="8"/>
      <c r="FE113" s="42" t="str">
        <f t="shared" si="756"/>
        <v/>
      </c>
      <c r="FF113" s="43">
        <f t="shared" si="757"/>
        <v>0</v>
      </c>
      <c r="FG113" s="8"/>
      <c r="FH113" s="38"/>
      <c r="FI113" s="44" t="s">
        <v>4</v>
      </c>
      <c r="FJ113" s="40"/>
      <c r="FK113" s="8"/>
      <c r="FL113" s="42" t="str">
        <f t="shared" si="758"/>
        <v/>
      </c>
      <c r="FM113" s="43">
        <f t="shared" si="759"/>
        <v>0</v>
      </c>
      <c r="FN113" s="8"/>
      <c r="FO113" s="38"/>
      <c r="FP113" s="44" t="s">
        <v>4</v>
      </c>
      <c r="FQ113" s="40"/>
      <c r="FR113" s="8"/>
      <c r="FS113" s="42" t="str">
        <f t="shared" si="760"/>
        <v/>
      </c>
      <c r="FT113" s="43">
        <f t="shared" si="761"/>
        <v>0</v>
      </c>
      <c r="FU113" s="8"/>
      <c r="FV113" s="38"/>
      <c r="FW113" s="44" t="s">
        <v>4</v>
      </c>
      <c r="FX113" s="40"/>
      <c r="FY113" s="8"/>
      <c r="FZ113" s="42" t="str">
        <f t="shared" si="762"/>
        <v/>
      </c>
      <c r="GA113" s="43">
        <f t="shared" si="763"/>
        <v>0</v>
      </c>
      <c r="GB113" s="8"/>
      <c r="GC113" s="38"/>
      <c r="GD113" s="44" t="s">
        <v>4</v>
      </c>
      <c r="GE113" s="40"/>
      <c r="GF113" s="8"/>
      <c r="GG113" s="42" t="str">
        <f t="shared" si="764"/>
        <v/>
      </c>
      <c r="GH113" s="43">
        <f t="shared" si="765"/>
        <v>0</v>
      </c>
      <c r="GI113" s="8"/>
      <c r="GJ113" s="38"/>
      <c r="GK113" s="44" t="s">
        <v>4</v>
      </c>
      <c r="GL113" s="40"/>
      <c r="GM113" s="8"/>
      <c r="GN113" s="42" t="str">
        <f t="shared" si="766"/>
        <v/>
      </c>
      <c r="GO113" s="43">
        <f t="shared" si="767"/>
        <v>0</v>
      </c>
      <c r="GP113" s="8"/>
      <c r="GQ113" s="38"/>
      <c r="GR113" s="44" t="s">
        <v>4</v>
      </c>
      <c r="GS113" s="40"/>
      <c r="GT113" s="8"/>
      <c r="GU113" s="42" t="str">
        <f t="shared" si="768"/>
        <v/>
      </c>
      <c r="GV113" s="43">
        <f t="shared" si="769"/>
        <v>0</v>
      </c>
      <c r="GW113" s="8"/>
      <c r="GX113" s="38"/>
      <c r="GY113" s="44" t="s">
        <v>4</v>
      </c>
      <c r="GZ113" s="40"/>
      <c r="HA113" s="8"/>
      <c r="HB113" s="42" t="str">
        <f t="shared" si="770"/>
        <v/>
      </c>
      <c r="HC113" s="43">
        <f t="shared" si="771"/>
        <v>0</v>
      </c>
      <c r="HD113" s="8"/>
      <c r="HE113" s="38"/>
      <c r="HF113" s="44" t="s">
        <v>4</v>
      </c>
      <c r="HG113" s="40"/>
      <c r="HH113" s="8"/>
      <c r="HI113" s="42" t="str">
        <f t="shared" si="772"/>
        <v/>
      </c>
      <c r="HJ113" s="43">
        <f t="shared" si="773"/>
        <v>0</v>
      </c>
      <c r="HK113" s="8"/>
      <c r="HL113" s="38"/>
      <c r="HM113" s="44" t="s">
        <v>4</v>
      </c>
      <c r="HN113" s="40"/>
      <c r="HO113" s="8"/>
      <c r="HP113" s="42" t="str">
        <f t="shared" si="774"/>
        <v/>
      </c>
      <c r="HQ113" s="43">
        <f t="shared" si="775"/>
        <v>0</v>
      </c>
      <c r="HR113" s="8"/>
      <c r="HS113" s="38"/>
      <c r="HT113" s="44" t="s">
        <v>4</v>
      </c>
      <c r="HU113" s="40"/>
      <c r="HV113" s="8"/>
      <c r="HW113" s="42" t="str">
        <f t="shared" si="776"/>
        <v/>
      </c>
      <c r="HX113" s="43">
        <f t="shared" si="777"/>
        <v>0</v>
      </c>
      <c r="HY113" s="8"/>
      <c r="HZ113" s="38"/>
      <c r="IA113" s="44" t="s">
        <v>4</v>
      </c>
      <c r="IB113" s="40"/>
      <c r="IC113" s="8"/>
      <c r="ID113" s="42" t="str">
        <f t="shared" si="778"/>
        <v/>
      </c>
      <c r="IE113" s="43">
        <f t="shared" si="779"/>
        <v>0</v>
      </c>
      <c r="IF113" s="8"/>
      <c r="IG113" s="38"/>
      <c r="IH113" s="44" t="s">
        <v>4</v>
      </c>
      <c r="II113" s="40"/>
      <c r="IJ113" s="8"/>
      <c r="IK113" s="42" t="str">
        <f t="shared" si="780"/>
        <v/>
      </c>
      <c r="IL113" s="43">
        <f t="shared" si="781"/>
        <v>0</v>
      </c>
      <c r="IM113" s="8"/>
      <c r="IN113" s="38"/>
      <c r="IO113" s="44" t="s">
        <v>4</v>
      </c>
      <c r="IP113" s="40"/>
      <c r="IQ113" s="8"/>
      <c r="IR113" s="42" t="str">
        <f t="shared" si="782"/>
        <v/>
      </c>
      <c r="IS113" s="43">
        <f t="shared" si="783"/>
        <v>0</v>
      </c>
      <c r="IT113" s="8"/>
      <c r="IU113" s="38"/>
      <c r="IV113" s="44" t="s">
        <v>4</v>
      </c>
      <c r="IW113" s="40"/>
      <c r="IX113" s="8"/>
      <c r="IY113" s="42" t="str">
        <f t="shared" si="784"/>
        <v/>
      </c>
      <c r="IZ113" s="43">
        <f t="shared" si="785"/>
        <v>0</v>
      </c>
      <c r="JA113" s="8"/>
      <c r="JB113" s="38"/>
      <c r="JC113" s="44" t="s">
        <v>4</v>
      </c>
      <c r="JD113" s="40"/>
      <c r="JE113" s="8"/>
      <c r="JF113" s="42" t="str">
        <f t="shared" si="786"/>
        <v/>
      </c>
      <c r="JG113" s="43">
        <f t="shared" si="787"/>
        <v>0</v>
      </c>
      <c r="JH113" s="8"/>
      <c r="JI113" s="38"/>
      <c r="JJ113" s="44" t="s">
        <v>4</v>
      </c>
      <c r="JK113" s="40"/>
      <c r="JL113" s="8"/>
      <c r="JM113" s="42" t="str">
        <f t="shared" si="788"/>
        <v/>
      </c>
      <c r="JN113" s="43">
        <f t="shared" si="789"/>
        <v>0</v>
      </c>
      <c r="JO113" s="8"/>
      <c r="JP113" s="38"/>
      <c r="JQ113" s="44" t="s">
        <v>4</v>
      </c>
      <c r="JR113" s="40"/>
      <c r="JS113" s="8"/>
      <c r="JT113" s="42" t="str">
        <f t="shared" si="790"/>
        <v/>
      </c>
      <c r="JU113" s="43">
        <f t="shared" si="791"/>
        <v>0</v>
      </c>
      <c r="JV113" s="8"/>
      <c r="JW113" s="38"/>
      <c r="JX113" s="44" t="s">
        <v>4</v>
      </c>
      <c r="JY113" s="40"/>
      <c r="JZ113" s="8"/>
      <c r="KA113" s="42" t="str">
        <f t="shared" si="792"/>
        <v/>
      </c>
      <c r="KB113" s="43">
        <f t="shared" si="793"/>
        <v>0</v>
      </c>
      <c r="KC113" s="8"/>
      <c r="KD113" s="38"/>
      <c r="KE113" s="44" t="s">
        <v>4</v>
      </c>
      <c r="KF113" s="40"/>
      <c r="KG113" s="8"/>
      <c r="KH113" s="42" t="str">
        <f t="shared" si="794"/>
        <v/>
      </c>
      <c r="KI113" s="43">
        <f t="shared" si="795"/>
        <v>0</v>
      </c>
      <c r="KJ113" s="8"/>
      <c r="KK113" s="38"/>
      <c r="KL113" s="44" t="s">
        <v>4</v>
      </c>
      <c r="KM113" s="40"/>
      <c r="KN113" s="8"/>
      <c r="KO113" s="42" t="str">
        <f t="shared" si="796"/>
        <v/>
      </c>
      <c r="KP113" s="43">
        <f t="shared" si="797"/>
        <v>0</v>
      </c>
      <c r="KQ113" s="8"/>
      <c r="KR113" s="38"/>
      <c r="KS113" s="44" t="s">
        <v>4</v>
      </c>
      <c r="KT113" s="40"/>
      <c r="KU113" s="8"/>
      <c r="KV113" s="42" t="str">
        <f t="shared" si="798"/>
        <v/>
      </c>
      <c r="KW113" s="43">
        <f t="shared" si="799"/>
        <v>0</v>
      </c>
      <c r="KX113" s="8"/>
      <c r="KY113" s="38"/>
      <c r="KZ113" s="44" t="s">
        <v>4</v>
      </c>
      <c r="LA113" s="40"/>
      <c r="LB113" s="8"/>
      <c r="LC113" s="42" t="str">
        <f t="shared" si="800"/>
        <v/>
      </c>
      <c r="LD113" s="43">
        <f t="shared" si="801"/>
        <v>0</v>
      </c>
      <c r="LE113" s="8"/>
      <c r="LF113" s="38"/>
      <c r="LG113" s="44" t="s">
        <v>4</v>
      </c>
      <c r="LH113" s="40"/>
      <c r="LI113" s="8"/>
      <c r="LJ113" s="42" t="str">
        <f t="shared" si="802"/>
        <v/>
      </c>
      <c r="LK113" s="43">
        <f t="shared" si="803"/>
        <v>0</v>
      </c>
      <c r="LL113" s="8"/>
      <c r="LM113" s="38"/>
      <c r="LN113" s="44" t="s">
        <v>4</v>
      </c>
      <c r="LO113" s="40"/>
      <c r="LP113" s="8"/>
      <c r="LQ113" s="42" t="str">
        <f t="shared" si="804"/>
        <v/>
      </c>
      <c r="LR113" s="43">
        <f t="shared" si="805"/>
        <v>0</v>
      </c>
      <c r="LS113" s="8"/>
      <c r="LT113" s="38"/>
      <c r="LU113" s="44" t="s">
        <v>4</v>
      </c>
      <c r="LV113" s="40"/>
      <c r="LW113" s="8"/>
      <c r="LX113" s="42" t="str">
        <f t="shared" si="806"/>
        <v/>
      </c>
      <c r="LY113" s="43">
        <f t="shared" si="807"/>
        <v>0</v>
      </c>
      <c r="LZ113" s="8"/>
      <c r="MA113" s="38"/>
      <c r="MB113" s="44" t="s">
        <v>4</v>
      </c>
      <c r="MC113" s="40"/>
      <c r="MD113" s="8"/>
      <c r="ME113" s="42" t="str">
        <f t="shared" si="808"/>
        <v/>
      </c>
      <c r="MF113" s="43">
        <f t="shared" si="809"/>
        <v>0</v>
      </c>
      <c r="MG113" s="8"/>
      <c r="MH113" s="38"/>
      <c r="MI113" s="44" t="s">
        <v>4</v>
      </c>
      <c r="MJ113" s="40"/>
      <c r="MK113" s="8"/>
      <c r="ML113" s="42" t="str">
        <f t="shared" si="810"/>
        <v/>
      </c>
      <c r="MM113" s="43">
        <f t="shared" si="811"/>
        <v>0</v>
      </c>
      <c r="MN113" s="8"/>
      <c r="MO113" s="38"/>
      <c r="MP113" s="44" t="s">
        <v>4</v>
      </c>
      <c r="MQ113" s="40"/>
      <c r="MR113" s="8"/>
      <c r="MS113" s="42" t="str">
        <f t="shared" si="812"/>
        <v/>
      </c>
      <c r="MT113" s="43">
        <f t="shared" si="813"/>
        <v>0</v>
      </c>
      <c r="MU113" s="8"/>
      <c r="MV113" s="38"/>
      <c r="MW113" s="44" t="s">
        <v>4</v>
      </c>
      <c r="MX113" s="40"/>
      <c r="MY113" s="8"/>
      <c r="MZ113" s="42" t="str">
        <f t="shared" si="814"/>
        <v/>
      </c>
      <c r="NA113" s="43">
        <f t="shared" si="815"/>
        <v>0</v>
      </c>
      <c r="NB113" s="8"/>
      <c r="NC113" s="38"/>
      <c r="ND113" s="44" t="s">
        <v>4</v>
      </c>
      <c r="NE113" s="40"/>
      <c r="NF113" s="8"/>
      <c r="NG113" s="42" t="str">
        <f t="shared" si="816"/>
        <v/>
      </c>
      <c r="NH113" s="43">
        <f t="shared" si="817"/>
        <v>0</v>
      </c>
      <c r="NI113" s="8"/>
      <c r="NJ113" s="38"/>
      <c r="NK113" s="44" t="s">
        <v>4</v>
      </c>
      <c r="NL113" s="40"/>
      <c r="NM113" s="8"/>
      <c r="NN113" s="42" t="str">
        <f t="shared" si="818"/>
        <v/>
      </c>
      <c r="NO113" s="43">
        <f t="shared" si="819"/>
        <v>0</v>
      </c>
      <c r="NP113" s="8"/>
      <c r="NQ113" s="38"/>
      <c r="NR113" s="44" t="s">
        <v>4</v>
      </c>
      <c r="NS113" s="40"/>
      <c r="NT113" s="8"/>
      <c r="NU113" s="42" t="str">
        <f t="shared" si="820"/>
        <v/>
      </c>
      <c r="NV113" s="43">
        <f t="shared" si="821"/>
        <v>0</v>
      </c>
      <c r="NW113" s="8"/>
      <c r="NX113" s="38"/>
      <c r="NY113" s="44" t="s">
        <v>4</v>
      </c>
      <c r="NZ113" s="40"/>
      <c r="OA113" s="8"/>
      <c r="OB113" s="42" t="str">
        <f t="shared" si="822"/>
        <v/>
      </c>
      <c r="OC113" s="43">
        <f t="shared" si="823"/>
        <v>0</v>
      </c>
      <c r="OD113" s="8"/>
      <c r="OE113" s="38"/>
      <c r="OF113" s="44" t="s">
        <v>4</v>
      </c>
      <c r="OG113" s="40"/>
      <c r="OH113" s="8"/>
      <c r="OI113" s="42" t="str">
        <f t="shared" si="824"/>
        <v/>
      </c>
      <c r="OJ113" s="43">
        <f t="shared" si="825"/>
        <v>0</v>
      </c>
      <c r="OK113" s="8"/>
      <c r="OL113" s="38"/>
      <c r="OM113" s="44" t="s">
        <v>4</v>
      </c>
      <c r="ON113" s="40"/>
      <c r="OO113" s="8"/>
      <c r="OP113" s="42" t="str">
        <f t="shared" si="826"/>
        <v/>
      </c>
      <c r="OQ113" s="43">
        <f t="shared" si="827"/>
        <v>0</v>
      </c>
      <c r="OR113" s="8"/>
      <c r="OS113" s="38"/>
      <c r="OT113" s="44" t="s">
        <v>4</v>
      </c>
      <c r="OU113" s="40"/>
      <c r="OV113" s="8"/>
      <c r="OW113" s="42" t="str">
        <f t="shared" si="828"/>
        <v/>
      </c>
      <c r="OX113" s="43">
        <f t="shared" si="829"/>
        <v>0</v>
      </c>
      <c r="OY113" s="8"/>
      <c r="OZ113" s="38"/>
      <c r="PA113" s="44" t="s">
        <v>4</v>
      </c>
      <c r="PB113" s="40"/>
      <c r="PC113" s="8"/>
      <c r="PD113" s="42" t="str">
        <f t="shared" si="830"/>
        <v/>
      </c>
      <c r="PE113" s="43">
        <f t="shared" si="831"/>
        <v>0</v>
      </c>
      <c r="PF113" s="8"/>
      <c r="PG113" s="38"/>
      <c r="PH113" s="44" t="s">
        <v>4</v>
      </c>
      <c r="PI113" s="40"/>
      <c r="PJ113" s="8"/>
      <c r="PK113" s="42" t="str">
        <f t="shared" si="832"/>
        <v/>
      </c>
      <c r="PL113" s="43">
        <f t="shared" si="833"/>
        <v>0</v>
      </c>
      <c r="PM113" s="8"/>
      <c r="PN113" s="38"/>
      <c r="PO113" s="44" t="s">
        <v>4</v>
      </c>
      <c r="PP113" s="40"/>
      <c r="PQ113" s="8"/>
      <c r="PR113" s="42" t="str">
        <f t="shared" si="834"/>
        <v/>
      </c>
      <c r="PS113" s="43">
        <f t="shared" si="835"/>
        <v>0</v>
      </c>
      <c r="PT113" s="8"/>
      <c r="PU113" s="38"/>
      <c r="PV113" s="44" t="s">
        <v>4</v>
      </c>
      <c r="PW113" s="40"/>
      <c r="PX113" s="8"/>
      <c r="PY113" s="42" t="str">
        <f t="shared" si="836"/>
        <v/>
      </c>
      <c r="PZ113" s="43">
        <f t="shared" si="837"/>
        <v>0</v>
      </c>
      <c r="QA113" s="8"/>
      <c r="QB113" s="38"/>
      <c r="QC113" s="44" t="s">
        <v>4</v>
      </c>
      <c r="QD113" s="40"/>
      <c r="QE113" s="8"/>
      <c r="QF113" s="42" t="str">
        <f t="shared" si="838"/>
        <v/>
      </c>
      <c r="QG113" s="43">
        <f t="shared" si="839"/>
        <v>0</v>
      </c>
      <c r="QH113" s="8"/>
      <c r="QI113" s="38"/>
      <c r="QJ113" s="44" t="s">
        <v>4</v>
      </c>
      <c r="QK113" s="40"/>
      <c r="QL113" s="8"/>
      <c r="QM113" s="42" t="str">
        <f t="shared" si="840"/>
        <v/>
      </c>
      <c r="QN113" s="43">
        <f t="shared" si="841"/>
        <v>0</v>
      </c>
      <c r="QO113" s="8"/>
      <c r="QP113" s="38"/>
      <c r="QQ113" s="44" t="s">
        <v>4</v>
      </c>
      <c r="QR113" s="40"/>
      <c r="QS113" s="8"/>
      <c r="QT113" s="42" t="str">
        <f t="shared" si="842"/>
        <v/>
      </c>
      <c r="QU113" s="43">
        <f t="shared" si="843"/>
        <v>0</v>
      </c>
      <c r="QV113" s="8"/>
      <c r="QW113" s="38"/>
      <c r="QX113" s="44" t="s">
        <v>4</v>
      </c>
      <c r="QY113" s="40"/>
      <c r="QZ113" s="8"/>
      <c r="RA113" s="42" t="str">
        <f t="shared" si="844"/>
        <v/>
      </c>
      <c r="RB113" s="43">
        <f t="shared" si="845"/>
        <v>0</v>
      </c>
      <c r="RC113" s="8"/>
      <c r="RD113" s="38"/>
      <c r="RE113" s="44" t="s">
        <v>4</v>
      </c>
      <c r="RF113" s="40"/>
      <c r="RG113" s="8"/>
      <c r="RH113" s="42" t="str">
        <f t="shared" si="846"/>
        <v/>
      </c>
      <c r="RI113" s="43">
        <f t="shared" si="847"/>
        <v>0</v>
      </c>
      <c r="RJ113" s="8"/>
      <c r="RK113" s="38"/>
      <c r="RL113" s="44" t="s">
        <v>4</v>
      </c>
      <c r="RM113" s="40"/>
      <c r="RN113" s="8"/>
      <c r="RO113" s="42" t="str">
        <f t="shared" si="848"/>
        <v/>
      </c>
      <c r="RP113" s="43">
        <f t="shared" si="849"/>
        <v>0</v>
      </c>
      <c r="RQ113" s="8"/>
      <c r="RR113" s="38"/>
      <c r="RS113" s="44" t="s">
        <v>4</v>
      </c>
      <c r="RT113" s="40"/>
      <c r="RU113" s="8"/>
      <c r="RV113" s="42" t="str">
        <f t="shared" si="850"/>
        <v/>
      </c>
      <c r="RW113" s="43">
        <f t="shared" si="851"/>
        <v>0</v>
      </c>
      <c r="RX113" s="8"/>
      <c r="RY113" s="38"/>
      <c r="RZ113" s="44" t="s">
        <v>4</v>
      </c>
      <c r="SA113" s="40"/>
      <c r="SB113" s="8"/>
      <c r="SC113" s="42" t="str">
        <f t="shared" si="852"/>
        <v/>
      </c>
      <c r="SD113" s="43">
        <f t="shared" si="853"/>
        <v>0</v>
      </c>
      <c r="SE113" s="8"/>
      <c r="SF113" s="38"/>
      <c r="SG113" s="44" t="s">
        <v>4</v>
      </c>
      <c r="SH113" s="40"/>
      <c r="SI113" s="8"/>
      <c r="SJ113" s="42" t="str">
        <f t="shared" si="854"/>
        <v/>
      </c>
      <c r="SK113" s="43">
        <f t="shared" si="855"/>
        <v>0</v>
      </c>
      <c r="SL113" s="8"/>
      <c r="SM113" s="38"/>
      <c r="SN113" s="44" t="s">
        <v>4</v>
      </c>
      <c r="SO113" s="40"/>
      <c r="SP113" s="8"/>
      <c r="SQ113" s="42" t="str">
        <f t="shared" si="856"/>
        <v/>
      </c>
      <c r="SR113" s="43">
        <f t="shared" si="857"/>
        <v>0</v>
      </c>
    </row>
    <row r="114" spans="1:512" ht="16" customHeight="1" x14ac:dyDescent="0.15">
      <c r="A114" s="53"/>
      <c r="B114" s="46"/>
      <c r="C114" s="82"/>
      <c r="D114" s="83"/>
      <c r="E114" s="5"/>
      <c r="H114" s="8"/>
      <c r="I114" s="32">
        <f t="shared" si="429"/>
        <v>0</v>
      </c>
      <c r="J114" s="47"/>
      <c r="K114" s="48"/>
      <c r="L114" s="49"/>
      <c r="M114" s="8"/>
      <c r="N114" s="42"/>
      <c r="O114" s="43"/>
      <c r="Q114" s="38"/>
      <c r="R114" s="44"/>
      <c r="S114" s="40"/>
      <c r="T114" s="8"/>
      <c r="U114" s="42"/>
      <c r="V114" s="43"/>
      <c r="W114" s="8"/>
      <c r="X114" s="38"/>
      <c r="Y114" s="44"/>
      <c r="Z114" s="40"/>
      <c r="AA114" s="8"/>
      <c r="AB114" s="42"/>
      <c r="AC114" s="43"/>
      <c r="AD114" s="8"/>
      <c r="AE114" s="38"/>
      <c r="AF114" s="44"/>
      <c r="AG114" s="40"/>
      <c r="AH114" s="8"/>
      <c r="AI114" s="42"/>
      <c r="AJ114" s="43"/>
      <c r="AK114" s="8"/>
      <c r="AL114" s="38"/>
      <c r="AM114" s="44"/>
      <c r="AN114" s="40"/>
      <c r="AO114" s="8"/>
      <c r="AP114" s="42"/>
      <c r="AQ114" s="43"/>
      <c r="AR114" s="8"/>
      <c r="AS114" s="38"/>
      <c r="AT114" s="44"/>
      <c r="AU114" s="40"/>
      <c r="AV114" s="8"/>
      <c r="AW114" s="42"/>
      <c r="AX114" s="43"/>
      <c r="AY114" s="8"/>
      <c r="AZ114" s="38"/>
      <c r="BA114" s="44"/>
      <c r="BB114" s="40"/>
      <c r="BC114" s="8"/>
      <c r="BD114" s="42"/>
      <c r="BE114" s="43"/>
      <c r="BF114" s="8"/>
      <c r="BG114" s="38"/>
      <c r="BH114" s="44"/>
      <c r="BI114" s="40"/>
      <c r="BJ114" s="8"/>
      <c r="BK114" s="42"/>
      <c r="BL114" s="43"/>
      <c r="BM114" s="8"/>
      <c r="BN114" s="38"/>
      <c r="BO114" s="44"/>
      <c r="BP114" s="40"/>
      <c r="BQ114" s="8"/>
      <c r="BR114" s="42"/>
      <c r="BS114" s="43"/>
      <c r="BT114" s="8"/>
      <c r="BU114" s="38"/>
      <c r="BV114" s="44"/>
      <c r="BW114" s="40"/>
      <c r="BX114" s="8"/>
      <c r="BY114" s="42"/>
      <c r="BZ114" s="43"/>
      <c r="CA114" s="8"/>
      <c r="CB114" s="38"/>
      <c r="CC114" s="44"/>
      <c r="CD114" s="40"/>
      <c r="CE114" s="8"/>
      <c r="CF114" s="42"/>
      <c r="CG114" s="43"/>
      <c r="CH114" s="8"/>
      <c r="CI114" s="38"/>
      <c r="CJ114" s="44"/>
      <c r="CK114" s="40"/>
      <c r="CL114" s="8"/>
      <c r="CM114" s="42"/>
      <c r="CN114" s="43"/>
      <c r="CO114" s="8"/>
      <c r="CP114" s="38"/>
      <c r="CQ114" s="44"/>
      <c r="CR114" s="40"/>
      <c r="CS114" s="8"/>
      <c r="CT114" s="42"/>
      <c r="CU114" s="43"/>
      <c r="CV114" s="8"/>
      <c r="CW114" s="38"/>
      <c r="CX114" s="44"/>
      <c r="CY114" s="40"/>
      <c r="CZ114" s="8"/>
      <c r="DA114" s="42"/>
      <c r="DB114" s="43"/>
      <c r="DC114" s="8"/>
      <c r="DD114" s="38"/>
      <c r="DE114" s="44"/>
      <c r="DF114" s="40"/>
      <c r="DG114" s="8"/>
      <c r="DH114" s="42"/>
      <c r="DI114" s="43"/>
      <c r="DJ114" s="8"/>
      <c r="DK114" s="38"/>
      <c r="DL114" s="44"/>
      <c r="DM114" s="40"/>
      <c r="DN114" s="8"/>
      <c r="DO114" s="42"/>
      <c r="DP114" s="43"/>
      <c r="DQ114" s="8"/>
      <c r="DR114" s="38"/>
      <c r="DS114" s="44"/>
      <c r="DT114" s="40"/>
      <c r="DU114" s="8"/>
      <c r="DV114" s="42"/>
      <c r="DW114" s="43"/>
      <c r="DX114" s="8"/>
      <c r="DY114" s="38"/>
      <c r="DZ114" s="44"/>
      <c r="EA114" s="40"/>
      <c r="EB114" s="8"/>
      <c r="EC114" s="42"/>
      <c r="ED114" s="43"/>
      <c r="EE114" s="8"/>
      <c r="EF114" s="38"/>
      <c r="EG114" s="44"/>
      <c r="EH114" s="40"/>
      <c r="EI114" s="8"/>
      <c r="EJ114" s="42"/>
      <c r="EK114" s="43"/>
      <c r="EL114" s="8"/>
      <c r="EM114" s="38"/>
      <c r="EN114" s="44"/>
      <c r="EO114" s="40"/>
      <c r="EP114" s="8"/>
      <c r="EQ114" s="42"/>
      <c r="ER114" s="43"/>
      <c r="ES114" s="8"/>
      <c r="ET114" s="38"/>
      <c r="EU114" s="44"/>
      <c r="EV114" s="40"/>
      <c r="EW114" s="8"/>
      <c r="EX114" s="42"/>
      <c r="EY114" s="43"/>
      <c r="EZ114" s="8"/>
      <c r="FA114" s="38"/>
      <c r="FB114" s="44"/>
      <c r="FC114" s="40"/>
      <c r="FD114" s="8"/>
      <c r="FE114" s="42"/>
      <c r="FF114" s="43"/>
      <c r="FG114" s="8"/>
      <c r="FH114" s="38"/>
      <c r="FI114" s="44"/>
      <c r="FJ114" s="40"/>
      <c r="FK114" s="8"/>
      <c r="FL114" s="42"/>
      <c r="FM114" s="43"/>
      <c r="FN114" s="8"/>
      <c r="FO114" s="38"/>
      <c r="FP114" s="44"/>
      <c r="FQ114" s="40"/>
      <c r="FR114" s="8"/>
      <c r="FS114" s="42"/>
      <c r="FT114" s="43"/>
      <c r="FU114" s="8"/>
      <c r="FV114" s="38"/>
      <c r="FW114" s="44"/>
      <c r="FX114" s="40"/>
      <c r="FY114" s="8"/>
      <c r="FZ114" s="42"/>
      <c r="GA114" s="43"/>
      <c r="GB114" s="8"/>
      <c r="GC114" s="38"/>
      <c r="GD114" s="44"/>
      <c r="GE114" s="40"/>
      <c r="GF114" s="8"/>
      <c r="GG114" s="42"/>
      <c r="GH114" s="43"/>
      <c r="GI114" s="8"/>
      <c r="GJ114" s="38"/>
      <c r="GK114" s="44"/>
      <c r="GL114" s="40"/>
      <c r="GM114" s="8"/>
      <c r="GN114" s="42"/>
      <c r="GO114" s="43"/>
      <c r="GP114" s="8"/>
      <c r="GQ114" s="38"/>
      <c r="GR114" s="44"/>
      <c r="GS114" s="40"/>
      <c r="GT114" s="8"/>
      <c r="GU114" s="42"/>
      <c r="GV114" s="43"/>
      <c r="GW114" s="8"/>
      <c r="GX114" s="38"/>
      <c r="GY114" s="44"/>
      <c r="GZ114" s="40"/>
      <c r="HA114" s="8"/>
      <c r="HB114" s="42"/>
      <c r="HC114" s="43"/>
      <c r="HD114" s="8"/>
      <c r="HE114" s="38"/>
      <c r="HF114" s="44"/>
      <c r="HG114" s="40"/>
      <c r="HH114" s="8"/>
      <c r="HI114" s="42"/>
      <c r="HJ114" s="43"/>
      <c r="HK114" s="8"/>
      <c r="HL114" s="38"/>
      <c r="HM114" s="44"/>
      <c r="HN114" s="40"/>
      <c r="HO114" s="8"/>
      <c r="HP114" s="42"/>
      <c r="HQ114" s="43"/>
      <c r="HR114" s="8"/>
      <c r="HS114" s="38"/>
      <c r="HT114" s="44"/>
      <c r="HU114" s="40"/>
      <c r="HV114" s="8"/>
      <c r="HW114" s="42"/>
      <c r="HX114" s="43"/>
      <c r="HY114" s="8"/>
      <c r="HZ114" s="38"/>
      <c r="IA114" s="44"/>
      <c r="IB114" s="40"/>
      <c r="IC114" s="8"/>
      <c r="ID114" s="42"/>
      <c r="IE114" s="43"/>
      <c r="IF114" s="8"/>
      <c r="IG114" s="38"/>
      <c r="IH114" s="44"/>
      <c r="II114" s="40"/>
      <c r="IJ114" s="8"/>
      <c r="IK114" s="42"/>
      <c r="IL114" s="43"/>
      <c r="IM114" s="8"/>
      <c r="IN114" s="38"/>
      <c r="IO114" s="44"/>
      <c r="IP114" s="40"/>
      <c r="IQ114" s="8"/>
      <c r="IR114" s="42"/>
      <c r="IS114" s="43"/>
      <c r="IT114" s="8"/>
      <c r="IU114" s="38"/>
      <c r="IV114" s="44"/>
      <c r="IW114" s="40"/>
      <c r="IX114" s="8"/>
      <c r="IY114" s="42"/>
      <c r="IZ114" s="43"/>
      <c r="JA114" s="8"/>
      <c r="JB114" s="38"/>
      <c r="JC114" s="44"/>
      <c r="JD114" s="40"/>
      <c r="JE114" s="8"/>
      <c r="JF114" s="42"/>
      <c r="JG114" s="43"/>
      <c r="JH114" s="8"/>
      <c r="JI114" s="38"/>
      <c r="JJ114" s="44"/>
      <c r="JK114" s="40"/>
      <c r="JL114" s="8"/>
      <c r="JM114" s="42"/>
      <c r="JN114" s="43"/>
      <c r="JO114" s="8"/>
      <c r="JP114" s="38"/>
      <c r="JQ114" s="44"/>
      <c r="JR114" s="40"/>
      <c r="JS114" s="8"/>
      <c r="JT114" s="42"/>
      <c r="JU114" s="43"/>
      <c r="JV114" s="8"/>
      <c r="JW114" s="38"/>
      <c r="JX114" s="44"/>
      <c r="JY114" s="40"/>
      <c r="JZ114" s="8"/>
      <c r="KA114" s="42"/>
      <c r="KB114" s="43"/>
      <c r="KC114" s="8"/>
      <c r="KD114" s="38"/>
      <c r="KE114" s="44"/>
      <c r="KF114" s="40"/>
      <c r="KG114" s="8"/>
      <c r="KH114" s="42"/>
      <c r="KI114" s="43"/>
      <c r="KJ114" s="8"/>
      <c r="KK114" s="38"/>
      <c r="KL114" s="44"/>
      <c r="KM114" s="40"/>
      <c r="KN114" s="8"/>
      <c r="KO114" s="42"/>
      <c r="KP114" s="43"/>
      <c r="KQ114" s="8"/>
      <c r="KR114" s="38"/>
      <c r="KS114" s="44"/>
      <c r="KT114" s="40"/>
      <c r="KU114" s="8"/>
      <c r="KV114" s="42"/>
      <c r="KW114" s="43"/>
      <c r="KX114" s="8"/>
      <c r="KY114" s="38"/>
      <c r="KZ114" s="44"/>
      <c r="LA114" s="40"/>
      <c r="LB114" s="8"/>
      <c r="LC114" s="42"/>
      <c r="LD114" s="43"/>
      <c r="LE114" s="8"/>
      <c r="LF114" s="38"/>
      <c r="LG114" s="44"/>
      <c r="LH114" s="40"/>
      <c r="LI114" s="8"/>
      <c r="LJ114" s="42"/>
      <c r="LK114" s="43"/>
      <c r="LL114" s="8"/>
      <c r="LM114" s="38"/>
      <c r="LN114" s="44"/>
      <c r="LO114" s="40"/>
      <c r="LP114" s="8"/>
      <c r="LQ114" s="42"/>
      <c r="LR114" s="43"/>
      <c r="LS114" s="8"/>
      <c r="LT114" s="38"/>
      <c r="LU114" s="44"/>
      <c r="LV114" s="40"/>
      <c r="LW114" s="8"/>
      <c r="LX114" s="42"/>
      <c r="LY114" s="43"/>
      <c r="LZ114" s="8"/>
      <c r="MA114" s="38"/>
      <c r="MB114" s="44"/>
      <c r="MC114" s="40"/>
      <c r="MD114" s="8"/>
      <c r="ME114" s="42"/>
      <c r="MF114" s="43"/>
      <c r="MG114" s="8"/>
      <c r="MH114" s="38"/>
      <c r="MI114" s="44"/>
      <c r="MJ114" s="40"/>
      <c r="MK114" s="8"/>
      <c r="ML114" s="42"/>
      <c r="MM114" s="43"/>
      <c r="MN114" s="8"/>
      <c r="MO114" s="38"/>
      <c r="MP114" s="44"/>
      <c r="MQ114" s="40"/>
      <c r="MR114" s="8"/>
      <c r="MS114" s="42"/>
      <c r="MT114" s="43"/>
      <c r="MU114" s="8"/>
      <c r="MV114" s="38"/>
      <c r="MW114" s="44"/>
      <c r="MX114" s="40"/>
      <c r="MY114" s="8"/>
      <c r="MZ114" s="42"/>
      <c r="NA114" s="43"/>
      <c r="NB114" s="8"/>
      <c r="NC114" s="38"/>
      <c r="ND114" s="44"/>
      <c r="NE114" s="40"/>
      <c r="NF114" s="8"/>
      <c r="NG114" s="42"/>
      <c r="NH114" s="43"/>
      <c r="NI114" s="8"/>
      <c r="NJ114" s="38"/>
      <c r="NK114" s="44"/>
      <c r="NL114" s="40"/>
      <c r="NM114" s="8"/>
      <c r="NN114" s="42"/>
      <c r="NO114" s="43"/>
      <c r="NP114" s="8"/>
      <c r="NQ114" s="38"/>
      <c r="NR114" s="44"/>
      <c r="NS114" s="40"/>
      <c r="NT114" s="8"/>
      <c r="NU114" s="42"/>
      <c r="NV114" s="43"/>
      <c r="NW114" s="8"/>
      <c r="NX114" s="38"/>
      <c r="NY114" s="44"/>
      <c r="NZ114" s="40"/>
      <c r="OA114" s="8"/>
      <c r="OB114" s="42"/>
      <c r="OC114" s="43"/>
      <c r="OD114" s="8"/>
      <c r="OE114" s="38"/>
      <c r="OF114" s="44"/>
      <c r="OG114" s="40"/>
      <c r="OH114" s="8"/>
      <c r="OI114" s="42"/>
      <c r="OJ114" s="43"/>
      <c r="OK114" s="8"/>
      <c r="OL114" s="38"/>
      <c r="OM114" s="44"/>
      <c r="ON114" s="40"/>
      <c r="OO114" s="8"/>
      <c r="OP114" s="42"/>
      <c r="OQ114" s="43"/>
      <c r="OR114" s="8"/>
      <c r="OS114" s="38"/>
      <c r="OT114" s="44"/>
      <c r="OU114" s="40"/>
      <c r="OV114" s="8"/>
      <c r="OW114" s="42"/>
      <c r="OX114" s="43"/>
      <c r="OY114" s="8"/>
      <c r="OZ114" s="38"/>
      <c r="PA114" s="44"/>
      <c r="PB114" s="40"/>
      <c r="PC114" s="8"/>
      <c r="PD114" s="42"/>
      <c r="PE114" s="43"/>
      <c r="PF114" s="8"/>
      <c r="PG114" s="38"/>
      <c r="PH114" s="44"/>
      <c r="PI114" s="40"/>
      <c r="PJ114" s="8"/>
      <c r="PK114" s="42"/>
      <c r="PL114" s="43"/>
      <c r="PM114" s="8"/>
      <c r="PN114" s="38"/>
      <c r="PO114" s="44"/>
      <c r="PP114" s="40"/>
      <c r="PQ114" s="8"/>
      <c r="PR114" s="42"/>
      <c r="PS114" s="43"/>
      <c r="PT114" s="8"/>
      <c r="PU114" s="38"/>
      <c r="PV114" s="44"/>
      <c r="PW114" s="40"/>
      <c r="PX114" s="8"/>
      <c r="PY114" s="42"/>
      <c r="PZ114" s="43"/>
      <c r="QA114" s="8"/>
      <c r="QB114" s="38"/>
      <c r="QC114" s="44"/>
      <c r="QD114" s="40"/>
      <c r="QE114" s="8"/>
      <c r="QF114" s="42"/>
      <c r="QG114" s="43"/>
      <c r="QH114" s="8"/>
      <c r="QI114" s="38"/>
      <c r="QJ114" s="44"/>
      <c r="QK114" s="40"/>
      <c r="QL114" s="8"/>
      <c r="QM114" s="42"/>
      <c r="QN114" s="43"/>
      <c r="QO114" s="8"/>
      <c r="QP114" s="38"/>
      <c r="QQ114" s="44"/>
      <c r="QR114" s="40"/>
      <c r="QS114" s="8"/>
      <c r="QT114" s="42"/>
      <c r="QU114" s="43"/>
      <c r="QV114" s="8"/>
      <c r="QW114" s="38"/>
      <c r="QX114" s="44"/>
      <c r="QY114" s="40"/>
      <c r="QZ114" s="8"/>
      <c r="RA114" s="42"/>
      <c r="RB114" s="43"/>
      <c r="RC114" s="8"/>
      <c r="RD114" s="38"/>
      <c r="RE114" s="44"/>
      <c r="RF114" s="40"/>
      <c r="RG114" s="8"/>
      <c r="RH114" s="42"/>
      <c r="RI114" s="43"/>
      <c r="RJ114" s="8"/>
      <c r="RK114" s="38"/>
      <c r="RL114" s="44"/>
      <c r="RM114" s="40"/>
      <c r="RN114" s="8"/>
      <c r="RO114" s="42"/>
      <c r="RP114" s="43"/>
      <c r="RQ114" s="8"/>
      <c r="RR114" s="38"/>
      <c r="RS114" s="44"/>
      <c r="RT114" s="40"/>
      <c r="RU114" s="8"/>
      <c r="RV114" s="42"/>
      <c r="RW114" s="43"/>
      <c r="RX114" s="8"/>
      <c r="RY114" s="38"/>
      <c r="RZ114" s="44"/>
      <c r="SA114" s="40"/>
      <c r="SB114" s="8"/>
      <c r="SC114" s="42"/>
      <c r="SD114" s="43"/>
      <c r="SE114" s="8"/>
      <c r="SF114" s="38"/>
      <c r="SG114" s="44"/>
      <c r="SH114" s="40"/>
      <c r="SI114" s="8"/>
      <c r="SJ114" s="42"/>
      <c r="SK114" s="43"/>
      <c r="SL114" s="8"/>
      <c r="SM114" s="38"/>
      <c r="SN114" s="44"/>
      <c r="SO114" s="40"/>
      <c r="SP114" s="8"/>
      <c r="SQ114" s="42"/>
      <c r="SR114" s="43"/>
    </row>
    <row r="115" spans="1:512" ht="16" customHeight="1" x14ac:dyDescent="0.15">
      <c r="A115" s="84" t="s">
        <v>6</v>
      </c>
      <c r="B115" s="46"/>
      <c r="C115" s="82"/>
      <c r="D115" s="82"/>
      <c r="E115" s="5"/>
      <c r="H115" s="8"/>
      <c r="I115" s="32"/>
      <c r="J115" s="47"/>
      <c r="K115" s="48"/>
      <c r="L115" s="49"/>
      <c r="M115" s="8"/>
      <c r="N115" s="42"/>
      <c r="O115" s="43"/>
      <c r="Q115" s="38"/>
      <c r="R115" s="44"/>
      <c r="S115" s="40"/>
      <c r="T115" s="8"/>
      <c r="U115" s="42"/>
      <c r="V115" s="43"/>
      <c r="W115" s="8"/>
      <c r="X115" s="38"/>
      <c r="Y115" s="44"/>
      <c r="Z115" s="40"/>
      <c r="AA115" s="8"/>
      <c r="AB115" s="42"/>
      <c r="AC115" s="43"/>
      <c r="AD115" s="8"/>
      <c r="AE115" s="38"/>
      <c r="AF115" s="44"/>
      <c r="AG115" s="40"/>
      <c r="AH115" s="8"/>
      <c r="AI115" s="42"/>
      <c r="AJ115" s="43"/>
      <c r="AK115" s="8"/>
      <c r="AL115" s="38"/>
      <c r="AM115" s="44"/>
      <c r="AN115" s="40"/>
      <c r="AO115" s="8"/>
      <c r="AP115" s="42"/>
      <c r="AQ115" s="43"/>
      <c r="AR115" s="8"/>
      <c r="AS115" s="38"/>
      <c r="AT115" s="44"/>
      <c r="AU115" s="40"/>
      <c r="AV115" s="8"/>
      <c r="AW115" s="42"/>
      <c r="AX115" s="43"/>
      <c r="AY115" s="8"/>
      <c r="AZ115" s="38"/>
      <c r="BA115" s="44"/>
      <c r="BB115" s="40"/>
      <c r="BC115" s="8"/>
      <c r="BD115" s="42"/>
      <c r="BE115" s="43"/>
      <c r="BF115" s="8"/>
      <c r="BG115" s="38"/>
      <c r="BH115" s="44"/>
      <c r="BI115" s="40"/>
      <c r="BJ115" s="8"/>
      <c r="BK115" s="42"/>
      <c r="BL115" s="43"/>
      <c r="BM115" s="8"/>
      <c r="BN115" s="38"/>
      <c r="BO115" s="44"/>
      <c r="BP115" s="40"/>
      <c r="BQ115" s="8"/>
      <c r="BR115" s="42"/>
      <c r="BS115" s="43"/>
      <c r="BT115" s="8"/>
      <c r="BU115" s="38"/>
      <c r="BV115" s="44"/>
      <c r="BW115" s="40"/>
      <c r="BX115" s="8"/>
      <c r="BY115" s="42"/>
      <c r="BZ115" s="43"/>
      <c r="CA115" s="8"/>
      <c r="CB115" s="38"/>
      <c r="CC115" s="44"/>
      <c r="CD115" s="40"/>
      <c r="CE115" s="8"/>
      <c r="CF115" s="42"/>
      <c r="CG115" s="43"/>
      <c r="CH115" s="8"/>
      <c r="CI115" s="38"/>
      <c r="CJ115" s="44"/>
      <c r="CK115" s="40"/>
      <c r="CL115" s="8"/>
      <c r="CM115" s="42"/>
      <c r="CN115" s="43"/>
      <c r="CO115" s="8"/>
      <c r="CP115" s="38"/>
      <c r="CQ115" s="44"/>
      <c r="CR115" s="40"/>
      <c r="CS115" s="8"/>
      <c r="CT115" s="42"/>
      <c r="CU115" s="43"/>
      <c r="CV115" s="8"/>
      <c r="CW115" s="38"/>
      <c r="CX115" s="44"/>
      <c r="CY115" s="40"/>
      <c r="CZ115" s="8"/>
      <c r="DA115" s="42"/>
      <c r="DB115" s="43"/>
      <c r="DC115" s="8"/>
      <c r="DD115" s="38"/>
      <c r="DE115" s="44"/>
      <c r="DF115" s="40"/>
      <c r="DG115" s="8"/>
      <c r="DH115" s="42"/>
      <c r="DI115" s="43"/>
      <c r="DJ115" s="8"/>
      <c r="DK115" s="38"/>
      <c r="DL115" s="44"/>
      <c r="DM115" s="40"/>
      <c r="DN115" s="8"/>
      <c r="DO115" s="42"/>
      <c r="DP115" s="43"/>
      <c r="DQ115" s="8"/>
      <c r="DR115" s="38"/>
      <c r="DS115" s="44"/>
      <c r="DT115" s="40"/>
      <c r="DU115" s="8"/>
      <c r="DV115" s="42"/>
      <c r="DW115" s="43"/>
      <c r="DX115" s="8"/>
      <c r="DY115" s="38"/>
      <c r="DZ115" s="44"/>
      <c r="EA115" s="40"/>
      <c r="EB115" s="8"/>
      <c r="EC115" s="42"/>
      <c r="ED115" s="43"/>
      <c r="EE115" s="8"/>
      <c r="EF115" s="38"/>
      <c r="EG115" s="44"/>
      <c r="EH115" s="40"/>
      <c r="EI115" s="8"/>
      <c r="EJ115" s="42"/>
      <c r="EK115" s="43"/>
      <c r="EL115" s="8"/>
      <c r="EM115" s="38"/>
      <c r="EN115" s="44"/>
      <c r="EO115" s="40"/>
      <c r="EP115" s="8"/>
      <c r="EQ115" s="42"/>
      <c r="ER115" s="43"/>
      <c r="ES115" s="8"/>
      <c r="ET115" s="38"/>
      <c r="EU115" s="44"/>
      <c r="EV115" s="40"/>
      <c r="EW115" s="8"/>
      <c r="EX115" s="42"/>
      <c r="EY115" s="43"/>
      <c r="EZ115" s="8"/>
      <c r="FA115" s="38"/>
      <c r="FB115" s="44"/>
      <c r="FC115" s="40"/>
      <c r="FD115" s="8"/>
      <c r="FE115" s="42"/>
      <c r="FF115" s="43"/>
      <c r="FG115" s="8"/>
      <c r="FH115" s="38"/>
      <c r="FI115" s="44"/>
      <c r="FJ115" s="40"/>
      <c r="FK115" s="8"/>
      <c r="FL115" s="42"/>
      <c r="FM115" s="43"/>
      <c r="FN115" s="8"/>
      <c r="FO115" s="38"/>
      <c r="FP115" s="44"/>
      <c r="FQ115" s="40"/>
      <c r="FR115" s="8"/>
      <c r="FS115" s="42"/>
      <c r="FT115" s="43"/>
      <c r="FU115" s="8"/>
      <c r="FV115" s="38"/>
      <c r="FW115" s="44"/>
      <c r="FX115" s="40"/>
      <c r="FY115" s="8"/>
      <c r="FZ115" s="42"/>
      <c r="GA115" s="43"/>
      <c r="GB115" s="8"/>
      <c r="GC115" s="38"/>
      <c r="GD115" s="44"/>
      <c r="GE115" s="40"/>
      <c r="GF115" s="8"/>
      <c r="GG115" s="42"/>
      <c r="GH115" s="43"/>
      <c r="GI115" s="8"/>
      <c r="GJ115" s="38"/>
      <c r="GK115" s="44"/>
      <c r="GL115" s="40"/>
      <c r="GM115" s="8"/>
      <c r="GN115" s="42"/>
      <c r="GO115" s="43"/>
      <c r="GP115" s="8"/>
      <c r="GQ115" s="38"/>
      <c r="GR115" s="44"/>
      <c r="GS115" s="40"/>
      <c r="GT115" s="8"/>
      <c r="GU115" s="42"/>
      <c r="GV115" s="43"/>
      <c r="GW115" s="8"/>
      <c r="GX115" s="38"/>
      <c r="GY115" s="44"/>
      <c r="GZ115" s="40"/>
      <c r="HA115" s="8"/>
      <c r="HB115" s="42"/>
      <c r="HC115" s="43"/>
      <c r="HD115" s="8"/>
      <c r="HE115" s="38"/>
      <c r="HF115" s="44"/>
      <c r="HG115" s="40"/>
      <c r="HH115" s="8"/>
      <c r="HI115" s="42"/>
      <c r="HJ115" s="43"/>
      <c r="HK115" s="8"/>
      <c r="HL115" s="38"/>
      <c r="HM115" s="44"/>
      <c r="HN115" s="40"/>
      <c r="HO115" s="8"/>
      <c r="HP115" s="42"/>
      <c r="HQ115" s="43"/>
      <c r="HR115" s="8"/>
      <c r="HS115" s="38"/>
      <c r="HT115" s="44"/>
      <c r="HU115" s="40"/>
      <c r="HV115" s="8"/>
      <c r="HW115" s="42"/>
      <c r="HX115" s="43"/>
      <c r="HY115" s="8"/>
      <c r="HZ115" s="38"/>
      <c r="IA115" s="44"/>
      <c r="IB115" s="40"/>
      <c r="IC115" s="8"/>
      <c r="ID115" s="42"/>
      <c r="IE115" s="43"/>
      <c r="IF115" s="8"/>
      <c r="IG115" s="38"/>
      <c r="IH115" s="44"/>
      <c r="II115" s="40"/>
      <c r="IJ115" s="8"/>
      <c r="IK115" s="42"/>
      <c r="IL115" s="43"/>
      <c r="IM115" s="8"/>
      <c r="IN115" s="38"/>
      <c r="IO115" s="44"/>
      <c r="IP115" s="40"/>
      <c r="IQ115" s="8"/>
      <c r="IR115" s="42"/>
      <c r="IS115" s="43"/>
      <c r="IT115" s="8"/>
      <c r="IU115" s="38"/>
      <c r="IV115" s="44"/>
      <c r="IW115" s="40"/>
      <c r="IX115" s="8"/>
      <c r="IY115" s="42"/>
      <c r="IZ115" s="43"/>
      <c r="JA115" s="8"/>
      <c r="JB115" s="38"/>
      <c r="JC115" s="44"/>
      <c r="JD115" s="40"/>
      <c r="JE115" s="8"/>
      <c r="JF115" s="42"/>
      <c r="JG115" s="43"/>
      <c r="JH115" s="8"/>
      <c r="JI115" s="38"/>
      <c r="JJ115" s="44"/>
      <c r="JK115" s="40"/>
      <c r="JL115" s="8"/>
      <c r="JM115" s="42"/>
      <c r="JN115" s="43"/>
      <c r="JO115" s="8"/>
      <c r="JP115" s="38"/>
      <c r="JQ115" s="44"/>
      <c r="JR115" s="40"/>
      <c r="JS115" s="8"/>
      <c r="JT115" s="42"/>
      <c r="JU115" s="43"/>
      <c r="JV115" s="8"/>
      <c r="JW115" s="38"/>
      <c r="JX115" s="44"/>
      <c r="JY115" s="40"/>
      <c r="JZ115" s="8"/>
      <c r="KA115" s="42"/>
      <c r="KB115" s="43"/>
      <c r="KC115" s="8"/>
      <c r="KD115" s="38"/>
      <c r="KE115" s="44"/>
      <c r="KF115" s="40"/>
      <c r="KG115" s="8"/>
      <c r="KH115" s="42"/>
      <c r="KI115" s="43"/>
      <c r="KJ115" s="8"/>
      <c r="KK115" s="38"/>
      <c r="KL115" s="44"/>
      <c r="KM115" s="40"/>
      <c r="KN115" s="8"/>
      <c r="KO115" s="42"/>
      <c r="KP115" s="43"/>
      <c r="KQ115" s="8"/>
      <c r="KR115" s="38"/>
      <c r="KS115" s="44"/>
      <c r="KT115" s="40"/>
      <c r="KU115" s="8"/>
      <c r="KV115" s="42"/>
      <c r="KW115" s="43"/>
      <c r="KX115" s="8"/>
      <c r="KY115" s="38"/>
      <c r="KZ115" s="44"/>
      <c r="LA115" s="40"/>
      <c r="LB115" s="8"/>
      <c r="LC115" s="42"/>
      <c r="LD115" s="43"/>
      <c r="LE115" s="8"/>
      <c r="LF115" s="38"/>
      <c r="LG115" s="44"/>
      <c r="LH115" s="40"/>
      <c r="LI115" s="8"/>
      <c r="LJ115" s="42"/>
      <c r="LK115" s="43"/>
      <c r="LL115" s="8"/>
      <c r="LM115" s="38"/>
      <c r="LN115" s="44"/>
      <c r="LO115" s="40"/>
      <c r="LP115" s="8"/>
      <c r="LQ115" s="42"/>
      <c r="LR115" s="43"/>
      <c r="LS115" s="8"/>
      <c r="LT115" s="38"/>
      <c r="LU115" s="44"/>
      <c r="LV115" s="40"/>
      <c r="LW115" s="8"/>
      <c r="LX115" s="42"/>
      <c r="LY115" s="43"/>
      <c r="LZ115" s="8"/>
      <c r="MA115" s="38"/>
      <c r="MB115" s="44"/>
      <c r="MC115" s="40"/>
      <c r="MD115" s="8"/>
      <c r="ME115" s="42"/>
      <c r="MF115" s="43"/>
      <c r="MG115" s="8"/>
      <c r="MH115" s="38"/>
      <c r="MI115" s="44"/>
      <c r="MJ115" s="40"/>
      <c r="MK115" s="8"/>
      <c r="ML115" s="42"/>
      <c r="MM115" s="43"/>
      <c r="MN115" s="8"/>
      <c r="MO115" s="38"/>
      <c r="MP115" s="44"/>
      <c r="MQ115" s="40"/>
      <c r="MR115" s="8"/>
      <c r="MS115" s="42"/>
      <c r="MT115" s="43"/>
      <c r="MU115" s="8"/>
      <c r="MV115" s="38"/>
      <c r="MW115" s="44"/>
      <c r="MX115" s="40"/>
      <c r="MY115" s="8"/>
      <c r="MZ115" s="42"/>
      <c r="NA115" s="43"/>
      <c r="NB115" s="8"/>
      <c r="NC115" s="38"/>
      <c r="ND115" s="44"/>
      <c r="NE115" s="40"/>
      <c r="NF115" s="8"/>
      <c r="NG115" s="42"/>
      <c r="NH115" s="43"/>
      <c r="NI115" s="8"/>
      <c r="NJ115" s="38"/>
      <c r="NK115" s="44"/>
      <c r="NL115" s="40"/>
      <c r="NM115" s="8"/>
      <c r="NN115" s="42"/>
      <c r="NO115" s="43"/>
      <c r="NP115" s="8"/>
      <c r="NQ115" s="38"/>
      <c r="NR115" s="44"/>
      <c r="NS115" s="40"/>
      <c r="NT115" s="8"/>
      <c r="NU115" s="42"/>
      <c r="NV115" s="43"/>
      <c r="NW115" s="8"/>
      <c r="NX115" s="38"/>
      <c r="NY115" s="44"/>
      <c r="NZ115" s="40"/>
      <c r="OA115" s="8"/>
      <c r="OB115" s="42"/>
      <c r="OC115" s="43"/>
      <c r="OD115" s="8"/>
      <c r="OE115" s="38"/>
      <c r="OF115" s="44"/>
      <c r="OG115" s="40"/>
      <c r="OH115" s="8"/>
      <c r="OI115" s="42"/>
      <c r="OJ115" s="43"/>
      <c r="OK115" s="8"/>
      <c r="OL115" s="38"/>
      <c r="OM115" s="44"/>
      <c r="ON115" s="40"/>
      <c r="OO115" s="8"/>
      <c r="OP115" s="42"/>
      <c r="OQ115" s="43"/>
      <c r="OR115" s="8"/>
      <c r="OS115" s="38"/>
      <c r="OT115" s="44"/>
      <c r="OU115" s="40"/>
      <c r="OV115" s="8"/>
      <c r="OW115" s="42"/>
      <c r="OX115" s="43"/>
      <c r="OY115" s="8"/>
      <c r="OZ115" s="38"/>
      <c r="PA115" s="44"/>
      <c r="PB115" s="40"/>
      <c r="PC115" s="8"/>
      <c r="PD115" s="42"/>
      <c r="PE115" s="43"/>
      <c r="PF115" s="8"/>
      <c r="PG115" s="38"/>
      <c r="PH115" s="44"/>
      <c r="PI115" s="40"/>
      <c r="PJ115" s="8"/>
      <c r="PK115" s="42"/>
      <c r="PL115" s="43"/>
      <c r="PM115" s="8"/>
      <c r="PN115" s="38"/>
      <c r="PO115" s="44"/>
      <c r="PP115" s="40"/>
      <c r="PQ115" s="8"/>
      <c r="PR115" s="42"/>
      <c r="PS115" s="43"/>
      <c r="PT115" s="8"/>
      <c r="PU115" s="38"/>
      <c r="PV115" s="44"/>
      <c r="PW115" s="40"/>
      <c r="PX115" s="8"/>
      <c r="PY115" s="42"/>
      <c r="PZ115" s="43"/>
      <c r="QA115" s="8"/>
      <c r="QB115" s="38"/>
      <c r="QC115" s="44"/>
      <c r="QD115" s="40"/>
      <c r="QE115" s="8"/>
      <c r="QF115" s="42"/>
      <c r="QG115" s="43"/>
      <c r="QH115" s="8"/>
      <c r="QI115" s="38"/>
      <c r="QJ115" s="44"/>
      <c r="QK115" s="40"/>
      <c r="QL115" s="8"/>
      <c r="QM115" s="42"/>
      <c r="QN115" s="43"/>
      <c r="QO115" s="8"/>
      <c r="QP115" s="38"/>
      <c r="QQ115" s="44"/>
      <c r="QR115" s="40"/>
      <c r="QS115" s="8"/>
      <c r="QT115" s="42"/>
      <c r="QU115" s="43"/>
      <c r="QV115" s="8"/>
      <c r="QW115" s="38"/>
      <c r="QX115" s="44"/>
      <c r="QY115" s="40"/>
      <c r="QZ115" s="8"/>
      <c r="RA115" s="42"/>
      <c r="RB115" s="43"/>
      <c r="RC115" s="8"/>
      <c r="RD115" s="38"/>
      <c r="RE115" s="44"/>
      <c r="RF115" s="40"/>
      <c r="RG115" s="8"/>
      <c r="RH115" s="42"/>
      <c r="RI115" s="43"/>
      <c r="RJ115" s="8"/>
      <c r="RK115" s="38"/>
      <c r="RL115" s="44"/>
      <c r="RM115" s="40"/>
      <c r="RN115" s="8"/>
      <c r="RO115" s="42"/>
      <c r="RP115" s="43"/>
      <c r="RQ115" s="8"/>
      <c r="RR115" s="38"/>
      <c r="RS115" s="44"/>
      <c r="RT115" s="40"/>
      <c r="RU115" s="8"/>
      <c r="RV115" s="42"/>
      <c r="RW115" s="43"/>
      <c r="RX115" s="8"/>
      <c r="RY115" s="38"/>
      <c r="RZ115" s="44"/>
      <c r="SA115" s="40"/>
      <c r="SB115" s="8"/>
      <c r="SC115" s="42"/>
      <c r="SD115" s="43"/>
      <c r="SE115" s="8"/>
      <c r="SF115" s="38"/>
      <c r="SG115" s="44"/>
      <c r="SH115" s="40"/>
      <c r="SI115" s="8"/>
      <c r="SJ115" s="42"/>
      <c r="SK115" s="43"/>
      <c r="SL115" s="8"/>
      <c r="SM115" s="38"/>
      <c r="SN115" s="44"/>
      <c r="SO115" s="40"/>
      <c r="SP115" s="8"/>
      <c r="SQ115" s="42"/>
      <c r="SR115" s="43"/>
    </row>
    <row r="116" spans="1:512" ht="16" customHeight="1" x14ac:dyDescent="0.15">
      <c r="A116" s="51">
        <v>46217</v>
      </c>
      <c r="B116" s="46">
        <v>0.875</v>
      </c>
      <c r="C116" s="82"/>
      <c r="D116" s="83"/>
      <c r="E116" s="2"/>
      <c r="F116" s="50" t="s">
        <v>4</v>
      </c>
      <c r="G116" s="1"/>
      <c r="H116" s="16">
        <v>10.4</v>
      </c>
      <c r="I116" s="32">
        <f t="shared" si="429"/>
        <v>0</v>
      </c>
      <c r="J116" s="47"/>
      <c r="K116" s="48" t="s">
        <v>4</v>
      </c>
      <c r="L116" s="49"/>
      <c r="M116" s="8"/>
      <c r="N116" s="42" t="str">
        <f t="shared" si="430"/>
        <v/>
      </c>
      <c r="O116" s="43">
        <f t="shared" si="431"/>
        <v>0</v>
      </c>
      <c r="Q116" s="38"/>
      <c r="R116" s="44" t="s">
        <v>4</v>
      </c>
      <c r="S116" s="40"/>
      <c r="T116" s="8"/>
      <c r="U116" s="42" t="str">
        <f t="shared" ref="U116:U117" si="858">IF(OR($G116="",S116=""),"",IF(AND($E116=Q116,$G116=S116),$H116*1.5,IF(AND($I116&gt;0,V116&gt;0),$H116,IF(AND($I116&lt;0,V116&lt;0),$H116,IF(AND($I116=0,V116=0),$H116,0)))))</f>
        <v/>
      </c>
      <c r="V116" s="43">
        <f t="shared" ref="V116:V117" si="859">Q116-S116</f>
        <v>0</v>
      </c>
      <c r="W116" s="8"/>
      <c r="X116" s="38"/>
      <c r="Y116" s="44" t="s">
        <v>4</v>
      </c>
      <c r="Z116" s="40"/>
      <c r="AA116" s="8"/>
      <c r="AB116" s="42" t="str">
        <f t="shared" ref="AB116:AB117" si="860">IF(OR($G116="",Z116=""),"",IF(AND($E116=X116,$G116=Z116),$H116*1.5,IF(AND($I116&gt;0,AC116&gt;0),$H116,IF(AND($I116&lt;0,AC116&lt;0),$H116,IF(AND($I116=0,AC116=0),$H116,0)))))</f>
        <v/>
      </c>
      <c r="AC116" s="43">
        <f t="shared" ref="AC116:AC117" si="861">X116-Z116</f>
        <v>0</v>
      </c>
      <c r="AD116" s="8"/>
      <c r="AE116" s="38"/>
      <c r="AF116" s="44" t="s">
        <v>4</v>
      </c>
      <c r="AG116" s="40"/>
      <c r="AH116" s="8"/>
      <c r="AI116" s="42" t="str">
        <f t="shared" ref="AI116:AI117" si="862">IF(OR($G116="",AG116=""),"",IF(AND($E116=AE116,$G116=AG116),$H116*1.5,IF(AND($I116&gt;0,AJ116&gt;0),$H116,IF(AND($I116&lt;0,AJ116&lt;0),$H116,IF(AND($I116=0,AJ116=0),$H116,0)))))</f>
        <v/>
      </c>
      <c r="AJ116" s="43">
        <f t="shared" ref="AJ116:AJ117" si="863">AE116-AG116</f>
        <v>0</v>
      </c>
      <c r="AK116" s="8"/>
      <c r="AL116" s="38"/>
      <c r="AM116" s="44" t="s">
        <v>4</v>
      </c>
      <c r="AN116" s="40"/>
      <c r="AO116" s="8"/>
      <c r="AP116" s="42" t="str">
        <f t="shared" ref="AP116:AP117" si="864">IF(OR($G116="",AN116=""),"",IF(AND($E116=AL116,$G116=AN116),$H116*1.5,IF(AND($I116&gt;0,AQ116&gt;0),$H116,IF(AND($I116&lt;0,AQ116&lt;0),$H116,IF(AND($I116=0,AQ116=0),$H116,0)))))</f>
        <v/>
      </c>
      <c r="AQ116" s="43">
        <f t="shared" ref="AQ116:AQ117" si="865">AL116-AN116</f>
        <v>0</v>
      </c>
      <c r="AR116" s="8"/>
      <c r="AS116" s="38"/>
      <c r="AT116" s="44" t="s">
        <v>4</v>
      </c>
      <c r="AU116" s="40"/>
      <c r="AV116" s="8"/>
      <c r="AW116" s="42" t="str">
        <f t="shared" ref="AW116:AW117" si="866">IF(OR($G116="",AU116=""),"",IF(AND($E116=AS116,$G116=AU116),$H116*1.5,IF(AND($I116&gt;0,AX116&gt;0),$H116,IF(AND($I116&lt;0,AX116&lt;0),$H116,IF(AND($I116=0,AX116=0),$H116,0)))))</f>
        <v/>
      </c>
      <c r="AX116" s="43">
        <f t="shared" ref="AX116:AX117" si="867">AS116-AU116</f>
        <v>0</v>
      </c>
      <c r="AY116" s="8"/>
      <c r="AZ116" s="38"/>
      <c r="BA116" s="44" t="s">
        <v>4</v>
      </c>
      <c r="BB116" s="40"/>
      <c r="BC116" s="8"/>
      <c r="BD116" s="42" t="str">
        <f t="shared" ref="BD116:BD117" si="868">IF(OR($G116="",BB116=""),"",IF(AND($E116=AZ116,$G116=BB116),$H116*1.5,IF(AND($I116&gt;0,BE116&gt;0),$H116,IF(AND($I116&lt;0,BE116&lt;0),$H116,IF(AND($I116=0,BE116=0),$H116,0)))))</f>
        <v/>
      </c>
      <c r="BE116" s="43">
        <f t="shared" ref="BE116:BE117" si="869">AZ116-BB116</f>
        <v>0</v>
      </c>
      <c r="BF116" s="8"/>
      <c r="BG116" s="38"/>
      <c r="BH116" s="44" t="s">
        <v>4</v>
      </c>
      <c r="BI116" s="40"/>
      <c r="BJ116" s="8"/>
      <c r="BK116" s="42" t="str">
        <f t="shared" ref="BK116:BK117" si="870">IF(OR($G116="",BI116=""),"",IF(AND($E116=BG116,$G116=BI116),$H116*1.5,IF(AND($I116&gt;0,BL116&gt;0),$H116,IF(AND($I116&lt;0,BL116&lt;0),$H116,IF(AND($I116=0,BL116=0),$H116,0)))))</f>
        <v/>
      </c>
      <c r="BL116" s="43">
        <f t="shared" ref="BL116:BL117" si="871">BG116-BI116</f>
        <v>0</v>
      </c>
      <c r="BM116" s="8"/>
      <c r="BN116" s="38"/>
      <c r="BO116" s="44" t="s">
        <v>4</v>
      </c>
      <c r="BP116" s="40"/>
      <c r="BQ116" s="8"/>
      <c r="BR116" s="42" t="str">
        <f t="shared" ref="BR116:BR117" si="872">IF(OR($G116="",BP116=""),"",IF(AND($E116=BN116,$G116=BP116),$H116*1.5,IF(AND($I116&gt;0,BS116&gt;0),$H116,IF(AND($I116&lt;0,BS116&lt;0),$H116,IF(AND($I116=0,BS116=0),$H116,0)))))</f>
        <v/>
      </c>
      <c r="BS116" s="43">
        <f t="shared" ref="BS116:BS117" si="873">BN116-BP116</f>
        <v>0</v>
      </c>
      <c r="BT116" s="8"/>
      <c r="BU116" s="38"/>
      <c r="BV116" s="44" t="s">
        <v>4</v>
      </c>
      <c r="BW116" s="40"/>
      <c r="BX116" s="8"/>
      <c r="BY116" s="42" t="str">
        <f t="shared" ref="BY116:BY117" si="874">IF(OR($G116="",BW116=""),"",IF(AND($E116=BU116,$G116=BW116),$H116*1.5,IF(AND($I116&gt;0,BZ116&gt;0),$H116,IF(AND($I116&lt;0,BZ116&lt;0),$H116,IF(AND($I116=0,BZ116=0),$H116,0)))))</f>
        <v/>
      </c>
      <c r="BZ116" s="43">
        <f t="shared" ref="BZ116:BZ117" si="875">BU116-BW116</f>
        <v>0</v>
      </c>
      <c r="CA116" s="8"/>
      <c r="CB116" s="38"/>
      <c r="CC116" s="44" t="s">
        <v>4</v>
      </c>
      <c r="CD116" s="40"/>
      <c r="CE116" s="8"/>
      <c r="CF116" s="42" t="str">
        <f t="shared" ref="CF116:CF117" si="876">IF(OR($G116="",CD116=""),"",IF(AND($E116=CB116,$G116=CD116),$H116*1.5,IF(AND($I116&gt;0,CG116&gt;0),$H116,IF(AND($I116&lt;0,CG116&lt;0),$H116,IF(AND($I116=0,CG116=0),$H116,0)))))</f>
        <v/>
      </c>
      <c r="CG116" s="43">
        <f t="shared" ref="CG116:CG117" si="877">CB116-CD116</f>
        <v>0</v>
      </c>
      <c r="CH116" s="8"/>
      <c r="CI116" s="38"/>
      <c r="CJ116" s="44" t="s">
        <v>4</v>
      </c>
      <c r="CK116" s="40"/>
      <c r="CL116" s="8"/>
      <c r="CM116" s="42" t="str">
        <f t="shared" ref="CM116:CM117" si="878">IF(OR($G116="",CK116=""),"",IF(AND($E116=CI116,$G116=CK116),$H116*1.5,IF(AND($I116&gt;0,CN116&gt;0),$H116,IF(AND($I116&lt;0,CN116&lt;0),$H116,IF(AND($I116=0,CN116=0),$H116,0)))))</f>
        <v/>
      </c>
      <c r="CN116" s="43">
        <f t="shared" ref="CN116:CN117" si="879">CI116-CK116</f>
        <v>0</v>
      </c>
      <c r="CO116" s="8"/>
      <c r="CP116" s="38"/>
      <c r="CQ116" s="44" t="s">
        <v>4</v>
      </c>
      <c r="CR116" s="40"/>
      <c r="CS116" s="8"/>
      <c r="CT116" s="42" t="str">
        <f t="shared" ref="CT116:CT117" si="880">IF(OR($G116="",CR116=""),"",IF(AND($E116=CP116,$G116=CR116),$H116*1.5,IF(AND($I116&gt;0,CU116&gt;0),$H116,IF(AND($I116&lt;0,CU116&lt;0),$H116,IF(AND($I116=0,CU116=0),$H116,0)))))</f>
        <v/>
      </c>
      <c r="CU116" s="43">
        <f t="shared" ref="CU116:CU117" si="881">CP116-CR116</f>
        <v>0</v>
      </c>
      <c r="CV116" s="8"/>
      <c r="CW116" s="38"/>
      <c r="CX116" s="44" t="s">
        <v>4</v>
      </c>
      <c r="CY116" s="40"/>
      <c r="CZ116" s="8"/>
      <c r="DA116" s="42" t="str">
        <f t="shared" ref="DA116:DA117" si="882">IF(OR($G116="",CY116=""),"",IF(AND($E116=CW116,$G116=CY116),$H116*1.5,IF(AND($I116&gt;0,DB116&gt;0),$H116,IF(AND($I116&lt;0,DB116&lt;0),$H116,IF(AND($I116=0,DB116=0),$H116,0)))))</f>
        <v/>
      </c>
      <c r="DB116" s="43">
        <f t="shared" ref="DB116:DB117" si="883">CW116-CY116</f>
        <v>0</v>
      </c>
      <c r="DC116" s="8"/>
      <c r="DD116" s="38"/>
      <c r="DE116" s="44" t="s">
        <v>4</v>
      </c>
      <c r="DF116" s="40"/>
      <c r="DG116" s="8"/>
      <c r="DH116" s="42" t="str">
        <f t="shared" ref="DH116:DH117" si="884">IF(OR($G116="",DF116=""),"",IF(AND($E116=DD116,$G116=DF116),$H116*1.5,IF(AND($I116&gt;0,DI116&gt;0),$H116,IF(AND($I116&lt;0,DI116&lt;0),$H116,IF(AND($I116=0,DI116=0),$H116,0)))))</f>
        <v/>
      </c>
      <c r="DI116" s="43">
        <f t="shared" ref="DI116:DI117" si="885">DD116-DF116</f>
        <v>0</v>
      </c>
      <c r="DJ116" s="8"/>
      <c r="DK116" s="38"/>
      <c r="DL116" s="44" t="s">
        <v>4</v>
      </c>
      <c r="DM116" s="40"/>
      <c r="DN116" s="8"/>
      <c r="DO116" s="42" t="str">
        <f t="shared" ref="DO116:DO117" si="886">IF(OR($G116="",DM116=""),"",IF(AND($E116=DK116,$G116=DM116),$H116*1.5,IF(AND($I116&gt;0,DP116&gt;0),$H116,IF(AND($I116&lt;0,DP116&lt;0),$H116,IF(AND($I116=0,DP116=0),$H116,0)))))</f>
        <v/>
      </c>
      <c r="DP116" s="43">
        <f t="shared" ref="DP116:DP117" si="887">DK116-DM116</f>
        <v>0</v>
      </c>
      <c r="DQ116" s="8"/>
      <c r="DR116" s="38"/>
      <c r="DS116" s="44" t="s">
        <v>4</v>
      </c>
      <c r="DT116" s="40"/>
      <c r="DU116" s="8"/>
      <c r="DV116" s="42" t="str">
        <f t="shared" ref="DV116:DV117" si="888">IF(OR($G116="",DT116=""),"",IF(AND($E116=DR116,$G116=DT116),$H116*1.5,IF(AND($I116&gt;0,DW116&gt;0),$H116,IF(AND($I116&lt;0,DW116&lt;0),$H116,IF(AND($I116=0,DW116=0),$H116,0)))))</f>
        <v/>
      </c>
      <c r="DW116" s="43">
        <f t="shared" ref="DW116:DW117" si="889">DR116-DT116</f>
        <v>0</v>
      </c>
      <c r="DX116" s="8"/>
      <c r="DY116" s="38"/>
      <c r="DZ116" s="44" t="s">
        <v>4</v>
      </c>
      <c r="EA116" s="40"/>
      <c r="EB116" s="8"/>
      <c r="EC116" s="42" t="str">
        <f t="shared" ref="EC116:EC117" si="890">IF(OR($G116="",EA116=""),"",IF(AND($E116=DY116,$G116=EA116),$H116*1.5,IF(AND($I116&gt;0,ED116&gt;0),$H116,IF(AND($I116&lt;0,ED116&lt;0),$H116,IF(AND($I116=0,ED116=0),$H116,0)))))</f>
        <v/>
      </c>
      <c r="ED116" s="43">
        <f t="shared" ref="ED116:ED117" si="891">DY116-EA116</f>
        <v>0</v>
      </c>
      <c r="EE116" s="8"/>
      <c r="EF116" s="38"/>
      <c r="EG116" s="44" t="s">
        <v>4</v>
      </c>
      <c r="EH116" s="40"/>
      <c r="EI116" s="8"/>
      <c r="EJ116" s="42" t="str">
        <f t="shared" ref="EJ116:EJ117" si="892">IF(OR($G116="",EH116=""),"",IF(AND($E116=EF116,$G116=EH116),$H116*1.5,IF(AND($I116&gt;0,EK116&gt;0),$H116,IF(AND($I116&lt;0,EK116&lt;0),$H116,IF(AND($I116=0,EK116=0),$H116,0)))))</f>
        <v/>
      </c>
      <c r="EK116" s="43">
        <f t="shared" ref="EK116:EK117" si="893">EF116-EH116</f>
        <v>0</v>
      </c>
      <c r="EL116" s="8"/>
      <c r="EM116" s="38"/>
      <c r="EN116" s="44" t="s">
        <v>4</v>
      </c>
      <c r="EO116" s="40"/>
      <c r="EP116" s="8"/>
      <c r="EQ116" s="42" t="str">
        <f t="shared" ref="EQ116:EQ117" si="894">IF(OR($G116="",EO116=""),"",IF(AND($E116=EM116,$G116=EO116),$H116*1.5,IF(AND($I116&gt;0,ER116&gt;0),$H116,IF(AND($I116&lt;0,ER116&lt;0),$H116,IF(AND($I116=0,ER116=0),$H116,0)))))</f>
        <v/>
      </c>
      <c r="ER116" s="43">
        <f t="shared" ref="ER116:ER117" si="895">EM116-EO116</f>
        <v>0</v>
      </c>
      <c r="ES116" s="8"/>
      <c r="ET116" s="38"/>
      <c r="EU116" s="44" t="s">
        <v>4</v>
      </c>
      <c r="EV116" s="40"/>
      <c r="EW116" s="8"/>
      <c r="EX116" s="42" t="str">
        <f t="shared" ref="EX116:EX117" si="896">IF(OR($G116="",EV116=""),"",IF(AND($E116=ET116,$G116=EV116),$H116*1.5,IF(AND($I116&gt;0,EY116&gt;0),$H116,IF(AND($I116&lt;0,EY116&lt;0),$H116,IF(AND($I116=0,EY116=0),$H116,0)))))</f>
        <v/>
      </c>
      <c r="EY116" s="43">
        <f t="shared" ref="EY116:EY117" si="897">ET116-EV116</f>
        <v>0</v>
      </c>
      <c r="EZ116" s="8"/>
      <c r="FA116" s="38"/>
      <c r="FB116" s="44" t="s">
        <v>4</v>
      </c>
      <c r="FC116" s="40"/>
      <c r="FD116" s="8"/>
      <c r="FE116" s="42" t="str">
        <f t="shared" ref="FE116:FE117" si="898">IF(OR($G116="",FC116=""),"",IF(AND($E116=FA116,$G116=FC116),$H116*1.5,IF(AND($I116&gt;0,FF116&gt;0),$H116,IF(AND($I116&lt;0,FF116&lt;0),$H116,IF(AND($I116=0,FF116=0),$H116,0)))))</f>
        <v/>
      </c>
      <c r="FF116" s="43">
        <f t="shared" ref="FF116:FF117" si="899">FA116-FC116</f>
        <v>0</v>
      </c>
      <c r="FG116" s="8"/>
      <c r="FH116" s="38"/>
      <c r="FI116" s="44" t="s">
        <v>4</v>
      </c>
      <c r="FJ116" s="40"/>
      <c r="FK116" s="8"/>
      <c r="FL116" s="42" t="str">
        <f t="shared" ref="FL116:FL117" si="900">IF(OR($G116="",FJ116=""),"",IF(AND($E116=FH116,$G116=FJ116),$H116*1.5,IF(AND($I116&gt;0,FM116&gt;0),$H116,IF(AND($I116&lt;0,FM116&lt;0),$H116,IF(AND($I116=0,FM116=0),$H116,0)))))</f>
        <v/>
      </c>
      <c r="FM116" s="43">
        <f t="shared" ref="FM116:FM117" si="901">FH116-FJ116</f>
        <v>0</v>
      </c>
      <c r="FN116" s="8"/>
      <c r="FO116" s="38"/>
      <c r="FP116" s="44" t="s">
        <v>4</v>
      </c>
      <c r="FQ116" s="40"/>
      <c r="FR116" s="8"/>
      <c r="FS116" s="42" t="str">
        <f t="shared" ref="FS116:FS117" si="902">IF(OR($G116="",FQ116=""),"",IF(AND($E116=FO116,$G116=FQ116),$H116*1.5,IF(AND($I116&gt;0,FT116&gt;0),$H116,IF(AND($I116&lt;0,FT116&lt;0),$H116,IF(AND($I116=0,FT116=0),$H116,0)))))</f>
        <v/>
      </c>
      <c r="FT116" s="43">
        <f t="shared" ref="FT116:FT117" si="903">FO116-FQ116</f>
        <v>0</v>
      </c>
      <c r="FU116" s="8"/>
      <c r="FV116" s="38"/>
      <c r="FW116" s="44" t="s">
        <v>4</v>
      </c>
      <c r="FX116" s="40"/>
      <c r="FY116" s="8"/>
      <c r="FZ116" s="42" t="str">
        <f t="shared" ref="FZ116:FZ117" si="904">IF(OR($G116="",FX116=""),"",IF(AND($E116=FV116,$G116=FX116),$H116*1.5,IF(AND($I116&gt;0,GA116&gt;0),$H116,IF(AND($I116&lt;0,GA116&lt;0),$H116,IF(AND($I116=0,GA116=0),$H116,0)))))</f>
        <v/>
      </c>
      <c r="GA116" s="43">
        <f t="shared" ref="GA116:GA117" si="905">FV116-FX116</f>
        <v>0</v>
      </c>
      <c r="GB116" s="8"/>
      <c r="GC116" s="38"/>
      <c r="GD116" s="44" t="s">
        <v>4</v>
      </c>
      <c r="GE116" s="40"/>
      <c r="GF116" s="8"/>
      <c r="GG116" s="42" t="str">
        <f t="shared" ref="GG116:GG117" si="906">IF(OR($G116="",GE116=""),"",IF(AND($E116=GC116,$G116=GE116),$H116*1.5,IF(AND($I116&gt;0,GH116&gt;0),$H116,IF(AND($I116&lt;0,GH116&lt;0),$H116,IF(AND($I116=0,GH116=0),$H116,0)))))</f>
        <v/>
      </c>
      <c r="GH116" s="43">
        <f t="shared" ref="GH116:GH117" si="907">GC116-GE116</f>
        <v>0</v>
      </c>
      <c r="GI116" s="8"/>
      <c r="GJ116" s="38"/>
      <c r="GK116" s="44" t="s">
        <v>4</v>
      </c>
      <c r="GL116" s="40"/>
      <c r="GM116" s="8"/>
      <c r="GN116" s="42" t="str">
        <f t="shared" ref="GN116:GN117" si="908">IF(OR($G116="",GL116=""),"",IF(AND($E116=GJ116,$G116=GL116),$H116*1.5,IF(AND($I116&gt;0,GO116&gt;0),$H116,IF(AND($I116&lt;0,GO116&lt;0),$H116,IF(AND($I116=0,GO116=0),$H116,0)))))</f>
        <v/>
      </c>
      <c r="GO116" s="43">
        <f t="shared" ref="GO116:GO117" si="909">GJ116-GL116</f>
        <v>0</v>
      </c>
      <c r="GP116" s="8"/>
      <c r="GQ116" s="38"/>
      <c r="GR116" s="44" t="s">
        <v>4</v>
      </c>
      <c r="GS116" s="40"/>
      <c r="GT116" s="8"/>
      <c r="GU116" s="42" t="str">
        <f t="shared" ref="GU116:GU117" si="910">IF(OR($G116="",GS116=""),"",IF(AND($E116=GQ116,$G116=GS116),$H116*1.5,IF(AND($I116&gt;0,GV116&gt;0),$H116,IF(AND($I116&lt;0,GV116&lt;0),$H116,IF(AND($I116=0,GV116=0),$H116,0)))))</f>
        <v/>
      </c>
      <c r="GV116" s="43">
        <f t="shared" ref="GV116:GV117" si="911">GQ116-GS116</f>
        <v>0</v>
      </c>
      <c r="GW116" s="8"/>
      <c r="GX116" s="38"/>
      <c r="GY116" s="44" t="s">
        <v>4</v>
      </c>
      <c r="GZ116" s="40"/>
      <c r="HA116" s="8"/>
      <c r="HB116" s="42" t="str">
        <f t="shared" ref="HB116:HB117" si="912">IF(OR($G116="",GZ116=""),"",IF(AND($E116=GX116,$G116=GZ116),$H116*1.5,IF(AND($I116&gt;0,HC116&gt;0),$H116,IF(AND($I116&lt;0,HC116&lt;0),$H116,IF(AND($I116=0,HC116=0),$H116,0)))))</f>
        <v/>
      </c>
      <c r="HC116" s="43">
        <f t="shared" ref="HC116:HC117" si="913">GX116-GZ116</f>
        <v>0</v>
      </c>
      <c r="HD116" s="8"/>
      <c r="HE116" s="38"/>
      <c r="HF116" s="44" t="s">
        <v>4</v>
      </c>
      <c r="HG116" s="40"/>
      <c r="HH116" s="8"/>
      <c r="HI116" s="42" t="str">
        <f t="shared" ref="HI116:HI117" si="914">IF(OR($G116="",HG116=""),"",IF(AND($E116=HE116,$G116=HG116),$H116*1.5,IF(AND($I116&gt;0,HJ116&gt;0),$H116,IF(AND($I116&lt;0,HJ116&lt;0),$H116,IF(AND($I116=0,HJ116=0),$H116,0)))))</f>
        <v/>
      </c>
      <c r="HJ116" s="43">
        <f t="shared" ref="HJ116:HJ117" si="915">HE116-HG116</f>
        <v>0</v>
      </c>
      <c r="HK116" s="8"/>
      <c r="HL116" s="38"/>
      <c r="HM116" s="44" t="s">
        <v>4</v>
      </c>
      <c r="HN116" s="40"/>
      <c r="HO116" s="8"/>
      <c r="HP116" s="42" t="str">
        <f t="shared" ref="HP116:HP117" si="916">IF(OR($G116="",HN116=""),"",IF(AND($E116=HL116,$G116=HN116),$H116*1.5,IF(AND($I116&gt;0,HQ116&gt;0),$H116,IF(AND($I116&lt;0,HQ116&lt;0),$H116,IF(AND($I116=0,HQ116=0),$H116,0)))))</f>
        <v/>
      </c>
      <c r="HQ116" s="43">
        <f t="shared" ref="HQ116:HQ117" si="917">HL116-HN116</f>
        <v>0</v>
      </c>
      <c r="HR116" s="8"/>
      <c r="HS116" s="38"/>
      <c r="HT116" s="44" t="s">
        <v>4</v>
      </c>
      <c r="HU116" s="40"/>
      <c r="HV116" s="8"/>
      <c r="HW116" s="42" t="str">
        <f t="shared" ref="HW116:HW117" si="918">IF(OR($G116="",HU116=""),"",IF(AND($E116=HS116,$G116=HU116),$H116*1.5,IF(AND($I116&gt;0,HX116&gt;0),$H116,IF(AND($I116&lt;0,HX116&lt;0),$H116,IF(AND($I116=0,HX116=0),$H116,0)))))</f>
        <v/>
      </c>
      <c r="HX116" s="43">
        <f t="shared" ref="HX116:HX117" si="919">HS116-HU116</f>
        <v>0</v>
      </c>
      <c r="HY116" s="8"/>
      <c r="HZ116" s="38"/>
      <c r="IA116" s="44" t="s">
        <v>4</v>
      </c>
      <c r="IB116" s="40"/>
      <c r="IC116" s="8"/>
      <c r="ID116" s="42" t="str">
        <f t="shared" ref="ID116:ID117" si="920">IF(OR($G116="",IB116=""),"",IF(AND($E116=HZ116,$G116=IB116),$H116*1.5,IF(AND($I116&gt;0,IE116&gt;0),$H116,IF(AND($I116&lt;0,IE116&lt;0),$H116,IF(AND($I116=0,IE116=0),$H116,0)))))</f>
        <v/>
      </c>
      <c r="IE116" s="43">
        <f t="shared" ref="IE116:IE117" si="921">HZ116-IB116</f>
        <v>0</v>
      </c>
      <c r="IF116" s="8"/>
      <c r="IG116" s="38"/>
      <c r="IH116" s="44" t="s">
        <v>4</v>
      </c>
      <c r="II116" s="40"/>
      <c r="IJ116" s="8"/>
      <c r="IK116" s="42" t="str">
        <f t="shared" ref="IK116:IK117" si="922">IF(OR($G116="",II116=""),"",IF(AND($E116=IG116,$G116=II116),$H116*1.5,IF(AND($I116&gt;0,IL116&gt;0),$H116,IF(AND($I116&lt;0,IL116&lt;0),$H116,IF(AND($I116=0,IL116=0),$H116,0)))))</f>
        <v/>
      </c>
      <c r="IL116" s="43">
        <f t="shared" ref="IL116:IL117" si="923">IG116-II116</f>
        <v>0</v>
      </c>
      <c r="IM116" s="8"/>
      <c r="IN116" s="38"/>
      <c r="IO116" s="44" t="s">
        <v>4</v>
      </c>
      <c r="IP116" s="40"/>
      <c r="IQ116" s="8"/>
      <c r="IR116" s="42" t="str">
        <f t="shared" ref="IR116:IR117" si="924">IF(OR($G116="",IP116=""),"",IF(AND($E116=IN116,$G116=IP116),$H116*1.5,IF(AND($I116&gt;0,IS116&gt;0),$H116,IF(AND($I116&lt;0,IS116&lt;0),$H116,IF(AND($I116=0,IS116=0),$H116,0)))))</f>
        <v/>
      </c>
      <c r="IS116" s="43">
        <f t="shared" ref="IS116:IS117" si="925">IN116-IP116</f>
        <v>0</v>
      </c>
      <c r="IT116" s="8"/>
      <c r="IU116" s="38"/>
      <c r="IV116" s="44" t="s">
        <v>4</v>
      </c>
      <c r="IW116" s="40"/>
      <c r="IX116" s="8"/>
      <c r="IY116" s="42" t="str">
        <f t="shared" ref="IY116:IY117" si="926">IF(OR($G116="",IW116=""),"",IF(AND($E116=IU116,$G116=IW116),$H116*1.5,IF(AND($I116&gt;0,IZ116&gt;0),$H116,IF(AND($I116&lt;0,IZ116&lt;0),$H116,IF(AND($I116=0,IZ116=0),$H116,0)))))</f>
        <v/>
      </c>
      <c r="IZ116" s="43">
        <f t="shared" ref="IZ116:IZ117" si="927">IU116-IW116</f>
        <v>0</v>
      </c>
      <c r="JA116" s="8"/>
      <c r="JB116" s="38"/>
      <c r="JC116" s="44" t="s">
        <v>4</v>
      </c>
      <c r="JD116" s="40"/>
      <c r="JE116" s="8"/>
      <c r="JF116" s="42" t="str">
        <f t="shared" ref="JF116:JF117" si="928">IF(OR($G116="",JD116=""),"",IF(AND($E116=JB116,$G116=JD116),$H116*1.5,IF(AND($I116&gt;0,JG116&gt;0),$H116,IF(AND($I116&lt;0,JG116&lt;0),$H116,IF(AND($I116=0,JG116=0),$H116,0)))))</f>
        <v/>
      </c>
      <c r="JG116" s="43">
        <f t="shared" ref="JG116:JG117" si="929">JB116-JD116</f>
        <v>0</v>
      </c>
      <c r="JH116" s="8"/>
      <c r="JI116" s="38"/>
      <c r="JJ116" s="44" t="s">
        <v>4</v>
      </c>
      <c r="JK116" s="40"/>
      <c r="JL116" s="8"/>
      <c r="JM116" s="42" t="str">
        <f t="shared" ref="JM116:JM117" si="930">IF(OR($G116="",JK116=""),"",IF(AND($E116=JI116,$G116=JK116),$H116*1.5,IF(AND($I116&gt;0,JN116&gt;0),$H116,IF(AND($I116&lt;0,JN116&lt;0),$H116,IF(AND($I116=0,JN116=0),$H116,0)))))</f>
        <v/>
      </c>
      <c r="JN116" s="43">
        <f t="shared" ref="JN116:JN117" si="931">JI116-JK116</f>
        <v>0</v>
      </c>
      <c r="JO116" s="8"/>
      <c r="JP116" s="38"/>
      <c r="JQ116" s="44" t="s">
        <v>4</v>
      </c>
      <c r="JR116" s="40"/>
      <c r="JS116" s="8"/>
      <c r="JT116" s="42" t="str">
        <f t="shared" ref="JT116:JT117" si="932">IF(OR($G116="",JR116=""),"",IF(AND($E116=JP116,$G116=JR116),$H116*1.5,IF(AND($I116&gt;0,JU116&gt;0),$H116,IF(AND($I116&lt;0,JU116&lt;0),$H116,IF(AND($I116=0,JU116=0),$H116,0)))))</f>
        <v/>
      </c>
      <c r="JU116" s="43">
        <f t="shared" ref="JU116:JU117" si="933">JP116-JR116</f>
        <v>0</v>
      </c>
      <c r="JV116" s="8"/>
      <c r="JW116" s="38"/>
      <c r="JX116" s="44" t="s">
        <v>4</v>
      </c>
      <c r="JY116" s="40"/>
      <c r="JZ116" s="8"/>
      <c r="KA116" s="42" t="str">
        <f t="shared" ref="KA116:KA117" si="934">IF(OR($G116="",JY116=""),"",IF(AND($E116=JW116,$G116=JY116),$H116*1.5,IF(AND($I116&gt;0,KB116&gt;0),$H116,IF(AND($I116&lt;0,KB116&lt;0),$H116,IF(AND($I116=0,KB116=0),$H116,0)))))</f>
        <v/>
      </c>
      <c r="KB116" s="43">
        <f t="shared" ref="KB116:KB117" si="935">JW116-JY116</f>
        <v>0</v>
      </c>
      <c r="KC116" s="8"/>
      <c r="KD116" s="38"/>
      <c r="KE116" s="44" t="s">
        <v>4</v>
      </c>
      <c r="KF116" s="40"/>
      <c r="KG116" s="8"/>
      <c r="KH116" s="42" t="str">
        <f t="shared" ref="KH116:KH117" si="936">IF(OR($G116="",KF116=""),"",IF(AND($E116=KD116,$G116=KF116),$H116*1.5,IF(AND($I116&gt;0,KI116&gt;0),$H116,IF(AND($I116&lt;0,KI116&lt;0),$H116,IF(AND($I116=0,KI116=0),$H116,0)))))</f>
        <v/>
      </c>
      <c r="KI116" s="43">
        <f t="shared" ref="KI116:KI117" si="937">KD116-KF116</f>
        <v>0</v>
      </c>
      <c r="KJ116" s="8"/>
      <c r="KK116" s="38"/>
      <c r="KL116" s="44" t="s">
        <v>4</v>
      </c>
      <c r="KM116" s="40"/>
      <c r="KN116" s="8"/>
      <c r="KO116" s="42" t="str">
        <f t="shared" ref="KO116:KO117" si="938">IF(OR($G116="",KM116=""),"",IF(AND($E116=KK116,$G116=KM116),$H116*1.5,IF(AND($I116&gt;0,KP116&gt;0),$H116,IF(AND($I116&lt;0,KP116&lt;0),$H116,IF(AND($I116=0,KP116=0),$H116,0)))))</f>
        <v/>
      </c>
      <c r="KP116" s="43">
        <f t="shared" ref="KP116:KP117" si="939">KK116-KM116</f>
        <v>0</v>
      </c>
      <c r="KQ116" s="8"/>
      <c r="KR116" s="38"/>
      <c r="KS116" s="44" t="s">
        <v>4</v>
      </c>
      <c r="KT116" s="40"/>
      <c r="KU116" s="8"/>
      <c r="KV116" s="42" t="str">
        <f t="shared" ref="KV116:KV117" si="940">IF(OR($G116="",KT116=""),"",IF(AND($E116=KR116,$G116=KT116),$H116*1.5,IF(AND($I116&gt;0,KW116&gt;0),$H116,IF(AND($I116&lt;0,KW116&lt;0),$H116,IF(AND($I116=0,KW116=0),$H116,0)))))</f>
        <v/>
      </c>
      <c r="KW116" s="43">
        <f t="shared" ref="KW116:KW117" si="941">KR116-KT116</f>
        <v>0</v>
      </c>
      <c r="KX116" s="8"/>
      <c r="KY116" s="38"/>
      <c r="KZ116" s="44" t="s">
        <v>4</v>
      </c>
      <c r="LA116" s="40"/>
      <c r="LB116" s="8"/>
      <c r="LC116" s="42" t="str">
        <f t="shared" ref="LC116:LC117" si="942">IF(OR($G116="",LA116=""),"",IF(AND($E116=KY116,$G116=LA116),$H116*1.5,IF(AND($I116&gt;0,LD116&gt;0),$H116,IF(AND($I116&lt;0,LD116&lt;0),$H116,IF(AND($I116=0,LD116=0),$H116,0)))))</f>
        <v/>
      </c>
      <c r="LD116" s="43">
        <f t="shared" ref="LD116:LD117" si="943">KY116-LA116</f>
        <v>0</v>
      </c>
      <c r="LE116" s="8"/>
      <c r="LF116" s="38"/>
      <c r="LG116" s="44" t="s">
        <v>4</v>
      </c>
      <c r="LH116" s="40"/>
      <c r="LI116" s="8"/>
      <c r="LJ116" s="42" t="str">
        <f t="shared" ref="LJ116:LJ117" si="944">IF(OR($G116="",LH116=""),"",IF(AND($E116=LF116,$G116=LH116),$H116*1.5,IF(AND($I116&gt;0,LK116&gt;0),$H116,IF(AND($I116&lt;0,LK116&lt;0),$H116,IF(AND($I116=0,LK116=0),$H116,0)))))</f>
        <v/>
      </c>
      <c r="LK116" s="43">
        <f t="shared" ref="LK116:LK117" si="945">LF116-LH116</f>
        <v>0</v>
      </c>
      <c r="LL116" s="8"/>
      <c r="LM116" s="38"/>
      <c r="LN116" s="44" t="s">
        <v>4</v>
      </c>
      <c r="LO116" s="40"/>
      <c r="LP116" s="8"/>
      <c r="LQ116" s="42" t="str">
        <f t="shared" ref="LQ116:LQ117" si="946">IF(OR($G116="",LO116=""),"",IF(AND($E116=LM116,$G116=LO116),$H116*1.5,IF(AND($I116&gt;0,LR116&gt;0),$H116,IF(AND($I116&lt;0,LR116&lt;0),$H116,IF(AND($I116=0,LR116=0),$H116,0)))))</f>
        <v/>
      </c>
      <c r="LR116" s="43">
        <f t="shared" ref="LR116:LR117" si="947">LM116-LO116</f>
        <v>0</v>
      </c>
      <c r="LS116" s="8"/>
      <c r="LT116" s="38"/>
      <c r="LU116" s="44" t="s">
        <v>4</v>
      </c>
      <c r="LV116" s="40"/>
      <c r="LW116" s="8"/>
      <c r="LX116" s="42" t="str">
        <f t="shared" ref="LX116:LX117" si="948">IF(OR($G116="",LV116=""),"",IF(AND($E116=LT116,$G116=LV116),$H116*1.5,IF(AND($I116&gt;0,LY116&gt;0),$H116,IF(AND($I116&lt;0,LY116&lt;0),$H116,IF(AND($I116=0,LY116=0),$H116,0)))))</f>
        <v/>
      </c>
      <c r="LY116" s="43">
        <f t="shared" ref="LY116:LY117" si="949">LT116-LV116</f>
        <v>0</v>
      </c>
      <c r="LZ116" s="8"/>
      <c r="MA116" s="38"/>
      <c r="MB116" s="44" t="s">
        <v>4</v>
      </c>
      <c r="MC116" s="40"/>
      <c r="MD116" s="8"/>
      <c r="ME116" s="42" t="str">
        <f t="shared" ref="ME116:ME117" si="950">IF(OR($G116="",MC116=""),"",IF(AND($E116=MA116,$G116=MC116),$H116*1.5,IF(AND($I116&gt;0,MF116&gt;0),$H116,IF(AND($I116&lt;0,MF116&lt;0),$H116,IF(AND($I116=0,MF116=0),$H116,0)))))</f>
        <v/>
      </c>
      <c r="MF116" s="43">
        <f t="shared" ref="MF116:MF117" si="951">MA116-MC116</f>
        <v>0</v>
      </c>
      <c r="MG116" s="8"/>
      <c r="MH116" s="38"/>
      <c r="MI116" s="44" t="s">
        <v>4</v>
      </c>
      <c r="MJ116" s="40"/>
      <c r="MK116" s="8"/>
      <c r="ML116" s="42" t="str">
        <f t="shared" ref="ML116:ML117" si="952">IF(OR($G116="",MJ116=""),"",IF(AND($E116=MH116,$G116=MJ116),$H116*1.5,IF(AND($I116&gt;0,MM116&gt;0),$H116,IF(AND($I116&lt;0,MM116&lt;0),$H116,IF(AND($I116=0,MM116=0),$H116,0)))))</f>
        <v/>
      </c>
      <c r="MM116" s="43">
        <f t="shared" ref="MM116:MM117" si="953">MH116-MJ116</f>
        <v>0</v>
      </c>
      <c r="MN116" s="8"/>
      <c r="MO116" s="38"/>
      <c r="MP116" s="44" t="s">
        <v>4</v>
      </c>
      <c r="MQ116" s="40"/>
      <c r="MR116" s="8"/>
      <c r="MS116" s="42" t="str">
        <f t="shared" ref="MS116:MS117" si="954">IF(OR($G116="",MQ116=""),"",IF(AND($E116=MO116,$G116=MQ116),$H116*1.5,IF(AND($I116&gt;0,MT116&gt;0),$H116,IF(AND($I116&lt;0,MT116&lt;0),$H116,IF(AND($I116=0,MT116=0),$H116,0)))))</f>
        <v/>
      </c>
      <c r="MT116" s="43">
        <f t="shared" ref="MT116:MT117" si="955">MO116-MQ116</f>
        <v>0</v>
      </c>
      <c r="MU116" s="8"/>
      <c r="MV116" s="38"/>
      <c r="MW116" s="44" t="s">
        <v>4</v>
      </c>
      <c r="MX116" s="40"/>
      <c r="MY116" s="8"/>
      <c r="MZ116" s="42" t="str">
        <f t="shared" ref="MZ116:MZ117" si="956">IF(OR($G116="",MX116=""),"",IF(AND($E116=MV116,$G116=MX116),$H116*1.5,IF(AND($I116&gt;0,NA116&gt;0),$H116,IF(AND($I116&lt;0,NA116&lt;0),$H116,IF(AND($I116=0,NA116=0),$H116,0)))))</f>
        <v/>
      </c>
      <c r="NA116" s="43">
        <f t="shared" ref="NA116:NA117" si="957">MV116-MX116</f>
        <v>0</v>
      </c>
      <c r="NB116" s="8"/>
      <c r="NC116" s="38"/>
      <c r="ND116" s="44" t="s">
        <v>4</v>
      </c>
      <c r="NE116" s="40"/>
      <c r="NF116" s="8"/>
      <c r="NG116" s="42" t="str">
        <f t="shared" ref="NG116:NG117" si="958">IF(OR($G116="",NE116=""),"",IF(AND($E116=NC116,$G116=NE116),$H116*1.5,IF(AND($I116&gt;0,NH116&gt;0),$H116,IF(AND($I116&lt;0,NH116&lt;0),$H116,IF(AND($I116=0,NH116=0),$H116,0)))))</f>
        <v/>
      </c>
      <c r="NH116" s="43">
        <f t="shared" ref="NH116:NH117" si="959">NC116-NE116</f>
        <v>0</v>
      </c>
      <c r="NI116" s="8"/>
      <c r="NJ116" s="38"/>
      <c r="NK116" s="44" t="s">
        <v>4</v>
      </c>
      <c r="NL116" s="40"/>
      <c r="NM116" s="8"/>
      <c r="NN116" s="42" t="str">
        <f t="shared" ref="NN116:NN117" si="960">IF(OR($G116="",NL116=""),"",IF(AND($E116=NJ116,$G116=NL116),$H116*1.5,IF(AND($I116&gt;0,NO116&gt;0),$H116,IF(AND($I116&lt;0,NO116&lt;0),$H116,IF(AND($I116=0,NO116=0),$H116,0)))))</f>
        <v/>
      </c>
      <c r="NO116" s="43">
        <f t="shared" ref="NO116:NO117" si="961">NJ116-NL116</f>
        <v>0</v>
      </c>
      <c r="NP116" s="8"/>
      <c r="NQ116" s="38"/>
      <c r="NR116" s="44" t="s">
        <v>4</v>
      </c>
      <c r="NS116" s="40"/>
      <c r="NT116" s="8"/>
      <c r="NU116" s="42" t="str">
        <f t="shared" ref="NU116:NU117" si="962">IF(OR($G116="",NS116=""),"",IF(AND($E116=NQ116,$G116=NS116),$H116*1.5,IF(AND($I116&gt;0,NV116&gt;0),$H116,IF(AND($I116&lt;0,NV116&lt;0),$H116,IF(AND($I116=0,NV116=0),$H116,0)))))</f>
        <v/>
      </c>
      <c r="NV116" s="43">
        <f t="shared" ref="NV116:NV117" si="963">NQ116-NS116</f>
        <v>0</v>
      </c>
      <c r="NW116" s="8"/>
      <c r="NX116" s="38"/>
      <c r="NY116" s="44" t="s">
        <v>4</v>
      </c>
      <c r="NZ116" s="40"/>
      <c r="OA116" s="8"/>
      <c r="OB116" s="42" t="str">
        <f t="shared" ref="OB116:OB117" si="964">IF(OR($G116="",NZ116=""),"",IF(AND($E116=NX116,$G116=NZ116),$H116*1.5,IF(AND($I116&gt;0,OC116&gt;0),$H116,IF(AND($I116&lt;0,OC116&lt;0),$H116,IF(AND($I116=0,OC116=0),$H116,0)))))</f>
        <v/>
      </c>
      <c r="OC116" s="43">
        <f t="shared" ref="OC116:OC117" si="965">NX116-NZ116</f>
        <v>0</v>
      </c>
      <c r="OD116" s="8"/>
      <c r="OE116" s="38"/>
      <c r="OF116" s="44" t="s">
        <v>4</v>
      </c>
      <c r="OG116" s="40"/>
      <c r="OH116" s="8"/>
      <c r="OI116" s="42" t="str">
        <f t="shared" ref="OI116:OI117" si="966">IF(OR($G116="",OG116=""),"",IF(AND($E116=OE116,$G116=OG116),$H116*1.5,IF(AND($I116&gt;0,OJ116&gt;0),$H116,IF(AND($I116&lt;0,OJ116&lt;0),$H116,IF(AND($I116=0,OJ116=0),$H116,0)))))</f>
        <v/>
      </c>
      <c r="OJ116" s="43">
        <f t="shared" ref="OJ116:OJ117" si="967">OE116-OG116</f>
        <v>0</v>
      </c>
      <c r="OK116" s="8"/>
      <c r="OL116" s="38"/>
      <c r="OM116" s="44" t="s">
        <v>4</v>
      </c>
      <c r="ON116" s="40"/>
      <c r="OO116" s="8"/>
      <c r="OP116" s="42" t="str">
        <f t="shared" ref="OP116:OP117" si="968">IF(OR($G116="",ON116=""),"",IF(AND($E116=OL116,$G116=ON116),$H116*1.5,IF(AND($I116&gt;0,OQ116&gt;0),$H116,IF(AND($I116&lt;0,OQ116&lt;0),$H116,IF(AND($I116=0,OQ116=0),$H116,0)))))</f>
        <v/>
      </c>
      <c r="OQ116" s="43">
        <f t="shared" ref="OQ116:OQ117" si="969">OL116-ON116</f>
        <v>0</v>
      </c>
      <c r="OR116" s="8"/>
      <c r="OS116" s="38"/>
      <c r="OT116" s="44" t="s">
        <v>4</v>
      </c>
      <c r="OU116" s="40"/>
      <c r="OV116" s="8"/>
      <c r="OW116" s="42" t="str">
        <f t="shared" ref="OW116:OW117" si="970">IF(OR($G116="",OU116=""),"",IF(AND($E116=OS116,$G116=OU116),$H116*1.5,IF(AND($I116&gt;0,OX116&gt;0),$H116,IF(AND($I116&lt;0,OX116&lt;0),$H116,IF(AND($I116=0,OX116=0),$H116,0)))))</f>
        <v/>
      </c>
      <c r="OX116" s="43">
        <f t="shared" ref="OX116:OX117" si="971">OS116-OU116</f>
        <v>0</v>
      </c>
      <c r="OY116" s="8"/>
      <c r="OZ116" s="38"/>
      <c r="PA116" s="44" t="s">
        <v>4</v>
      </c>
      <c r="PB116" s="40"/>
      <c r="PC116" s="8"/>
      <c r="PD116" s="42" t="str">
        <f t="shared" ref="PD116:PD117" si="972">IF(OR($G116="",PB116=""),"",IF(AND($E116=OZ116,$G116=PB116),$H116*1.5,IF(AND($I116&gt;0,PE116&gt;0),$H116,IF(AND($I116&lt;0,PE116&lt;0),$H116,IF(AND($I116=0,PE116=0),$H116,0)))))</f>
        <v/>
      </c>
      <c r="PE116" s="43">
        <f t="shared" ref="PE116:PE117" si="973">OZ116-PB116</f>
        <v>0</v>
      </c>
      <c r="PF116" s="8"/>
      <c r="PG116" s="38"/>
      <c r="PH116" s="44" t="s">
        <v>4</v>
      </c>
      <c r="PI116" s="40"/>
      <c r="PJ116" s="8"/>
      <c r="PK116" s="42" t="str">
        <f t="shared" ref="PK116:PK117" si="974">IF(OR($G116="",PI116=""),"",IF(AND($E116=PG116,$G116=PI116),$H116*1.5,IF(AND($I116&gt;0,PL116&gt;0),$H116,IF(AND($I116&lt;0,PL116&lt;0),$H116,IF(AND($I116=0,PL116=0),$H116,0)))))</f>
        <v/>
      </c>
      <c r="PL116" s="43">
        <f t="shared" ref="PL116:PL117" si="975">PG116-PI116</f>
        <v>0</v>
      </c>
      <c r="PM116" s="8"/>
      <c r="PN116" s="38"/>
      <c r="PO116" s="44" t="s">
        <v>4</v>
      </c>
      <c r="PP116" s="40"/>
      <c r="PQ116" s="8"/>
      <c r="PR116" s="42" t="str">
        <f t="shared" ref="PR116:PR117" si="976">IF(OR($G116="",PP116=""),"",IF(AND($E116=PN116,$G116=PP116),$H116*1.5,IF(AND($I116&gt;0,PS116&gt;0),$H116,IF(AND($I116&lt;0,PS116&lt;0),$H116,IF(AND($I116=0,PS116=0),$H116,0)))))</f>
        <v/>
      </c>
      <c r="PS116" s="43">
        <f t="shared" ref="PS116:PS117" si="977">PN116-PP116</f>
        <v>0</v>
      </c>
      <c r="PT116" s="8"/>
      <c r="PU116" s="38"/>
      <c r="PV116" s="44" t="s">
        <v>4</v>
      </c>
      <c r="PW116" s="40"/>
      <c r="PX116" s="8"/>
      <c r="PY116" s="42" t="str">
        <f t="shared" ref="PY116:PY117" si="978">IF(OR($G116="",PW116=""),"",IF(AND($E116=PU116,$G116=PW116),$H116*1.5,IF(AND($I116&gt;0,PZ116&gt;0),$H116,IF(AND($I116&lt;0,PZ116&lt;0),$H116,IF(AND($I116=0,PZ116=0),$H116,0)))))</f>
        <v/>
      </c>
      <c r="PZ116" s="43">
        <f t="shared" ref="PZ116:PZ117" si="979">PU116-PW116</f>
        <v>0</v>
      </c>
      <c r="QA116" s="8"/>
      <c r="QB116" s="38"/>
      <c r="QC116" s="44" t="s">
        <v>4</v>
      </c>
      <c r="QD116" s="40"/>
      <c r="QE116" s="8"/>
      <c r="QF116" s="42" t="str">
        <f t="shared" ref="QF116:QF117" si="980">IF(OR($G116="",QD116=""),"",IF(AND($E116=QB116,$G116=QD116),$H116*1.5,IF(AND($I116&gt;0,QG116&gt;0),$H116,IF(AND($I116&lt;0,QG116&lt;0),$H116,IF(AND($I116=0,QG116=0),$H116,0)))))</f>
        <v/>
      </c>
      <c r="QG116" s="43">
        <f t="shared" ref="QG116:QG117" si="981">QB116-QD116</f>
        <v>0</v>
      </c>
      <c r="QH116" s="8"/>
      <c r="QI116" s="38"/>
      <c r="QJ116" s="44" t="s">
        <v>4</v>
      </c>
      <c r="QK116" s="40"/>
      <c r="QL116" s="8"/>
      <c r="QM116" s="42" t="str">
        <f t="shared" ref="QM116:QM117" si="982">IF(OR($G116="",QK116=""),"",IF(AND($E116=QI116,$G116=QK116),$H116*1.5,IF(AND($I116&gt;0,QN116&gt;0),$H116,IF(AND($I116&lt;0,QN116&lt;0),$H116,IF(AND($I116=0,QN116=0),$H116,0)))))</f>
        <v/>
      </c>
      <c r="QN116" s="43">
        <f t="shared" ref="QN116:QN117" si="983">QI116-QK116</f>
        <v>0</v>
      </c>
      <c r="QO116" s="8"/>
      <c r="QP116" s="38"/>
      <c r="QQ116" s="44" t="s">
        <v>4</v>
      </c>
      <c r="QR116" s="40"/>
      <c r="QS116" s="8"/>
      <c r="QT116" s="42" t="str">
        <f t="shared" ref="QT116:QT117" si="984">IF(OR($G116="",QR116=""),"",IF(AND($E116=QP116,$G116=QR116),$H116*1.5,IF(AND($I116&gt;0,QU116&gt;0),$H116,IF(AND($I116&lt;0,QU116&lt;0),$H116,IF(AND($I116=0,QU116=0),$H116,0)))))</f>
        <v/>
      </c>
      <c r="QU116" s="43">
        <f t="shared" ref="QU116:QU117" si="985">QP116-QR116</f>
        <v>0</v>
      </c>
      <c r="QV116" s="8"/>
      <c r="QW116" s="38"/>
      <c r="QX116" s="44" t="s">
        <v>4</v>
      </c>
      <c r="QY116" s="40"/>
      <c r="QZ116" s="8"/>
      <c r="RA116" s="42" t="str">
        <f t="shared" ref="RA116:RA117" si="986">IF(OR($G116="",QY116=""),"",IF(AND($E116=QW116,$G116=QY116),$H116*1.5,IF(AND($I116&gt;0,RB116&gt;0),$H116,IF(AND($I116&lt;0,RB116&lt;0),$H116,IF(AND($I116=0,RB116=0),$H116,0)))))</f>
        <v/>
      </c>
      <c r="RB116" s="43">
        <f t="shared" ref="RB116:RB117" si="987">QW116-QY116</f>
        <v>0</v>
      </c>
      <c r="RC116" s="8"/>
      <c r="RD116" s="38"/>
      <c r="RE116" s="44" t="s">
        <v>4</v>
      </c>
      <c r="RF116" s="40"/>
      <c r="RG116" s="8"/>
      <c r="RH116" s="42" t="str">
        <f t="shared" ref="RH116:RH117" si="988">IF(OR($G116="",RF116=""),"",IF(AND($E116=RD116,$G116=RF116),$H116*1.5,IF(AND($I116&gt;0,RI116&gt;0),$H116,IF(AND($I116&lt;0,RI116&lt;0),$H116,IF(AND($I116=0,RI116=0),$H116,0)))))</f>
        <v/>
      </c>
      <c r="RI116" s="43">
        <f t="shared" ref="RI116:RI117" si="989">RD116-RF116</f>
        <v>0</v>
      </c>
      <c r="RJ116" s="8"/>
      <c r="RK116" s="38"/>
      <c r="RL116" s="44" t="s">
        <v>4</v>
      </c>
      <c r="RM116" s="40"/>
      <c r="RN116" s="8"/>
      <c r="RO116" s="42" t="str">
        <f t="shared" ref="RO116:RO117" si="990">IF(OR($G116="",RM116=""),"",IF(AND($E116=RK116,$G116=RM116),$H116*1.5,IF(AND($I116&gt;0,RP116&gt;0),$H116,IF(AND($I116&lt;0,RP116&lt;0),$H116,IF(AND($I116=0,RP116=0),$H116,0)))))</f>
        <v/>
      </c>
      <c r="RP116" s="43">
        <f t="shared" ref="RP116:RP117" si="991">RK116-RM116</f>
        <v>0</v>
      </c>
      <c r="RQ116" s="8"/>
      <c r="RR116" s="38"/>
      <c r="RS116" s="44" t="s">
        <v>4</v>
      </c>
      <c r="RT116" s="40"/>
      <c r="RU116" s="8"/>
      <c r="RV116" s="42" t="str">
        <f t="shared" ref="RV116:RV117" si="992">IF(OR($G116="",RT116=""),"",IF(AND($E116=RR116,$G116=RT116),$H116*1.5,IF(AND($I116&gt;0,RW116&gt;0),$H116,IF(AND($I116&lt;0,RW116&lt;0),$H116,IF(AND($I116=0,RW116=0),$H116,0)))))</f>
        <v/>
      </c>
      <c r="RW116" s="43">
        <f t="shared" ref="RW116:RW117" si="993">RR116-RT116</f>
        <v>0</v>
      </c>
      <c r="RX116" s="8"/>
      <c r="RY116" s="38"/>
      <c r="RZ116" s="44" t="s">
        <v>4</v>
      </c>
      <c r="SA116" s="40"/>
      <c r="SB116" s="8"/>
      <c r="SC116" s="42" t="str">
        <f t="shared" ref="SC116:SC117" si="994">IF(OR($G116="",SA116=""),"",IF(AND($E116=RY116,$G116=SA116),$H116*1.5,IF(AND($I116&gt;0,SD116&gt;0),$H116,IF(AND($I116&lt;0,SD116&lt;0),$H116,IF(AND($I116=0,SD116=0),$H116,0)))))</f>
        <v/>
      </c>
      <c r="SD116" s="43">
        <f t="shared" ref="SD116:SD117" si="995">RY116-SA116</f>
        <v>0</v>
      </c>
      <c r="SE116" s="8"/>
      <c r="SF116" s="38"/>
      <c r="SG116" s="44" t="s">
        <v>4</v>
      </c>
      <c r="SH116" s="40"/>
      <c r="SI116" s="8"/>
      <c r="SJ116" s="42" t="str">
        <f t="shared" ref="SJ116:SJ117" si="996">IF(OR($G116="",SH116=""),"",IF(AND($E116=SF116,$G116=SH116),$H116*1.5,IF(AND($I116&gt;0,SK116&gt;0),$H116,IF(AND($I116&lt;0,SK116&lt;0),$H116,IF(AND($I116=0,SK116=0),$H116,0)))))</f>
        <v/>
      </c>
      <c r="SK116" s="43">
        <f t="shared" ref="SK116:SK117" si="997">SF116-SH116</f>
        <v>0</v>
      </c>
      <c r="SL116" s="8"/>
      <c r="SM116" s="38"/>
      <c r="SN116" s="44" t="s">
        <v>4</v>
      </c>
      <c r="SO116" s="40"/>
      <c r="SP116" s="8"/>
      <c r="SQ116" s="42" t="str">
        <f t="shared" ref="SQ116:SQ117" si="998">IF(OR($G116="",SO116=""),"",IF(AND($E116=SM116,$G116=SO116),$H116*1.5,IF(AND($I116&gt;0,SR116&gt;0),$H116,IF(AND($I116&lt;0,SR116&lt;0),$H116,IF(AND($I116=0,SR116=0),$H116,0)))))</f>
        <v/>
      </c>
      <c r="SR116" s="43">
        <f t="shared" ref="SR116:SR117" si="999">SM116-SO116</f>
        <v>0</v>
      </c>
    </row>
    <row r="117" spans="1:512" ht="16" customHeight="1" x14ac:dyDescent="0.15">
      <c r="A117" s="51">
        <v>46218</v>
      </c>
      <c r="B117" s="46">
        <v>0.875</v>
      </c>
      <c r="C117" s="82"/>
      <c r="D117" s="82"/>
      <c r="E117" s="2"/>
      <c r="F117" s="50" t="s">
        <v>4</v>
      </c>
      <c r="G117" s="1"/>
      <c r="H117" s="16">
        <v>10.8</v>
      </c>
      <c r="I117" s="32">
        <f t="shared" si="429"/>
        <v>0</v>
      </c>
      <c r="J117" s="47"/>
      <c r="K117" s="48" t="s">
        <v>4</v>
      </c>
      <c r="L117" s="49"/>
      <c r="M117" s="8"/>
      <c r="N117" s="42" t="str">
        <f t="shared" si="430"/>
        <v/>
      </c>
      <c r="O117" s="43">
        <f t="shared" si="431"/>
        <v>0</v>
      </c>
      <c r="Q117" s="38"/>
      <c r="R117" s="44" t="s">
        <v>4</v>
      </c>
      <c r="S117" s="40"/>
      <c r="T117" s="8"/>
      <c r="U117" s="42" t="str">
        <f t="shared" si="858"/>
        <v/>
      </c>
      <c r="V117" s="43">
        <f t="shared" si="859"/>
        <v>0</v>
      </c>
      <c r="W117" s="8"/>
      <c r="X117" s="38"/>
      <c r="Y117" s="44" t="s">
        <v>4</v>
      </c>
      <c r="Z117" s="40"/>
      <c r="AA117" s="8"/>
      <c r="AB117" s="42" t="str">
        <f t="shared" si="860"/>
        <v/>
      </c>
      <c r="AC117" s="43">
        <f t="shared" si="861"/>
        <v>0</v>
      </c>
      <c r="AD117" s="8"/>
      <c r="AE117" s="38"/>
      <c r="AF117" s="44" t="s">
        <v>4</v>
      </c>
      <c r="AG117" s="40"/>
      <c r="AH117" s="8"/>
      <c r="AI117" s="42" t="str">
        <f t="shared" si="862"/>
        <v/>
      </c>
      <c r="AJ117" s="43">
        <f t="shared" si="863"/>
        <v>0</v>
      </c>
      <c r="AK117" s="8"/>
      <c r="AL117" s="38"/>
      <c r="AM117" s="44" t="s">
        <v>4</v>
      </c>
      <c r="AN117" s="40"/>
      <c r="AO117" s="8"/>
      <c r="AP117" s="42" t="str">
        <f t="shared" si="864"/>
        <v/>
      </c>
      <c r="AQ117" s="43">
        <f t="shared" si="865"/>
        <v>0</v>
      </c>
      <c r="AR117" s="8"/>
      <c r="AS117" s="38"/>
      <c r="AT117" s="44" t="s">
        <v>4</v>
      </c>
      <c r="AU117" s="40"/>
      <c r="AV117" s="8"/>
      <c r="AW117" s="42" t="str">
        <f t="shared" si="866"/>
        <v/>
      </c>
      <c r="AX117" s="43">
        <f t="shared" si="867"/>
        <v>0</v>
      </c>
      <c r="AY117" s="8"/>
      <c r="AZ117" s="38"/>
      <c r="BA117" s="44" t="s">
        <v>4</v>
      </c>
      <c r="BB117" s="40"/>
      <c r="BC117" s="8"/>
      <c r="BD117" s="42" t="str">
        <f t="shared" si="868"/>
        <v/>
      </c>
      <c r="BE117" s="43">
        <f t="shared" si="869"/>
        <v>0</v>
      </c>
      <c r="BF117" s="8"/>
      <c r="BG117" s="38"/>
      <c r="BH117" s="44" t="s">
        <v>4</v>
      </c>
      <c r="BI117" s="40"/>
      <c r="BJ117" s="8"/>
      <c r="BK117" s="42" t="str">
        <f t="shared" si="870"/>
        <v/>
      </c>
      <c r="BL117" s="43">
        <f t="shared" si="871"/>
        <v>0</v>
      </c>
      <c r="BM117" s="8"/>
      <c r="BN117" s="38"/>
      <c r="BO117" s="44" t="s">
        <v>4</v>
      </c>
      <c r="BP117" s="40"/>
      <c r="BQ117" s="8"/>
      <c r="BR117" s="42" t="str">
        <f t="shared" si="872"/>
        <v/>
      </c>
      <c r="BS117" s="43">
        <f t="shared" si="873"/>
        <v>0</v>
      </c>
      <c r="BT117" s="8"/>
      <c r="BU117" s="38"/>
      <c r="BV117" s="44" t="s">
        <v>4</v>
      </c>
      <c r="BW117" s="40"/>
      <c r="BX117" s="8"/>
      <c r="BY117" s="42" t="str">
        <f t="shared" si="874"/>
        <v/>
      </c>
      <c r="BZ117" s="43">
        <f t="shared" si="875"/>
        <v>0</v>
      </c>
      <c r="CA117" s="8"/>
      <c r="CB117" s="38"/>
      <c r="CC117" s="44" t="s">
        <v>4</v>
      </c>
      <c r="CD117" s="40"/>
      <c r="CE117" s="8"/>
      <c r="CF117" s="42" t="str">
        <f t="shared" si="876"/>
        <v/>
      </c>
      <c r="CG117" s="43">
        <f t="shared" si="877"/>
        <v>0</v>
      </c>
      <c r="CH117" s="8"/>
      <c r="CI117" s="38"/>
      <c r="CJ117" s="44" t="s">
        <v>4</v>
      </c>
      <c r="CK117" s="40"/>
      <c r="CL117" s="8"/>
      <c r="CM117" s="42" t="str">
        <f t="shared" si="878"/>
        <v/>
      </c>
      <c r="CN117" s="43">
        <f t="shared" si="879"/>
        <v>0</v>
      </c>
      <c r="CO117" s="8"/>
      <c r="CP117" s="38"/>
      <c r="CQ117" s="44" t="s">
        <v>4</v>
      </c>
      <c r="CR117" s="40"/>
      <c r="CS117" s="8"/>
      <c r="CT117" s="42" t="str">
        <f t="shared" si="880"/>
        <v/>
      </c>
      <c r="CU117" s="43">
        <f t="shared" si="881"/>
        <v>0</v>
      </c>
      <c r="CV117" s="8"/>
      <c r="CW117" s="38"/>
      <c r="CX117" s="44" t="s">
        <v>4</v>
      </c>
      <c r="CY117" s="40"/>
      <c r="CZ117" s="8"/>
      <c r="DA117" s="42" t="str">
        <f t="shared" si="882"/>
        <v/>
      </c>
      <c r="DB117" s="43">
        <f t="shared" si="883"/>
        <v>0</v>
      </c>
      <c r="DC117" s="8"/>
      <c r="DD117" s="38"/>
      <c r="DE117" s="44" t="s">
        <v>4</v>
      </c>
      <c r="DF117" s="40"/>
      <c r="DG117" s="8"/>
      <c r="DH117" s="42" t="str">
        <f t="shared" si="884"/>
        <v/>
      </c>
      <c r="DI117" s="43">
        <f t="shared" si="885"/>
        <v>0</v>
      </c>
      <c r="DJ117" s="8"/>
      <c r="DK117" s="38"/>
      <c r="DL117" s="44" t="s">
        <v>4</v>
      </c>
      <c r="DM117" s="40"/>
      <c r="DN117" s="8"/>
      <c r="DO117" s="42" t="str">
        <f t="shared" si="886"/>
        <v/>
      </c>
      <c r="DP117" s="43">
        <f t="shared" si="887"/>
        <v>0</v>
      </c>
      <c r="DQ117" s="8"/>
      <c r="DR117" s="38"/>
      <c r="DS117" s="44" t="s">
        <v>4</v>
      </c>
      <c r="DT117" s="40"/>
      <c r="DU117" s="8"/>
      <c r="DV117" s="42" t="str">
        <f t="shared" si="888"/>
        <v/>
      </c>
      <c r="DW117" s="43">
        <f t="shared" si="889"/>
        <v>0</v>
      </c>
      <c r="DX117" s="8"/>
      <c r="DY117" s="38"/>
      <c r="DZ117" s="44" t="s">
        <v>4</v>
      </c>
      <c r="EA117" s="40"/>
      <c r="EB117" s="8"/>
      <c r="EC117" s="42" t="str">
        <f t="shared" si="890"/>
        <v/>
      </c>
      <c r="ED117" s="43">
        <f t="shared" si="891"/>
        <v>0</v>
      </c>
      <c r="EE117" s="8"/>
      <c r="EF117" s="38"/>
      <c r="EG117" s="44" t="s">
        <v>4</v>
      </c>
      <c r="EH117" s="40"/>
      <c r="EI117" s="8"/>
      <c r="EJ117" s="42" t="str">
        <f t="shared" si="892"/>
        <v/>
      </c>
      <c r="EK117" s="43">
        <f t="shared" si="893"/>
        <v>0</v>
      </c>
      <c r="EL117" s="8"/>
      <c r="EM117" s="38"/>
      <c r="EN117" s="44" t="s">
        <v>4</v>
      </c>
      <c r="EO117" s="40"/>
      <c r="EP117" s="8"/>
      <c r="EQ117" s="42" t="str">
        <f t="shared" si="894"/>
        <v/>
      </c>
      <c r="ER117" s="43">
        <f t="shared" si="895"/>
        <v>0</v>
      </c>
      <c r="ES117" s="8"/>
      <c r="ET117" s="38"/>
      <c r="EU117" s="44" t="s">
        <v>4</v>
      </c>
      <c r="EV117" s="40"/>
      <c r="EW117" s="8"/>
      <c r="EX117" s="42" t="str">
        <f t="shared" si="896"/>
        <v/>
      </c>
      <c r="EY117" s="43">
        <f t="shared" si="897"/>
        <v>0</v>
      </c>
      <c r="EZ117" s="8"/>
      <c r="FA117" s="38"/>
      <c r="FB117" s="44" t="s">
        <v>4</v>
      </c>
      <c r="FC117" s="40"/>
      <c r="FD117" s="8"/>
      <c r="FE117" s="42" t="str">
        <f t="shared" si="898"/>
        <v/>
      </c>
      <c r="FF117" s="43">
        <f t="shared" si="899"/>
        <v>0</v>
      </c>
      <c r="FG117" s="8"/>
      <c r="FH117" s="38"/>
      <c r="FI117" s="44" t="s">
        <v>4</v>
      </c>
      <c r="FJ117" s="40"/>
      <c r="FK117" s="8"/>
      <c r="FL117" s="42" t="str">
        <f t="shared" si="900"/>
        <v/>
      </c>
      <c r="FM117" s="43">
        <f t="shared" si="901"/>
        <v>0</v>
      </c>
      <c r="FN117" s="8"/>
      <c r="FO117" s="38"/>
      <c r="FP117" s="44" t="s">
        <v>4</v>
      </c>
      <c r="FQ117" s="40"/>
      <c r="FR117" s="8"/>
      <c r="FS117" s="42" t="str">
        <f t="shared" si="902"/>
        <v/>
      </c>
      <c r="FT117" s="43">
        <f t="shared" si="903"/>
        <v>0</v>
      </c>
      <c r="FU117" s="8"/>
      <c r="FV117" s="38"/>
      <c r="FW117" s="44" t="s">
        <v>4</v>
      </c>
      <c r="FX117" s="40"/>
      <c r="FY117" s="8"/>
      <c r="FZ117" s="42" t="str">
        <f t="shared" si="904"/>
        <v/>
      </c>
      <c r="GA117" s="43">
        <f t="shared" si="905"/>
        <v>0</v>
      </c>
      <c r="GB117" s="8"/>
      <c r="GC117" s="38"/>
      <c r="GD117" s="44" t="s">
        <v>4</v>
      </c>
      <c r="GE117" s="40"/>
      <c r="GF117" s="8"/>
      <c r="GG117" s="42" t="str">
        <f t="shared" si="906"/>
        <v/>
      </c>
      <c r="GH117" s="43">
        <f t="shared" si="907"/>
        <v>0</v>
      </c>
      <c r="GI117" s="8"/>
      <c r="GJ117" s="38"/>
      <c r="GK117" s="44" t="s">
        <v>4</v>
      </c>
      <c r="GL117" s="40"/>
      <c r="GM117" s="8"/>
      <c r="GN117" s="42" t="str">
        <f t="shared" si="908"/>
        <v/>
      </c>
      <c r="GO117" s="43">
        <f t="shared" si="909"/>
        <v>0</v>
      </c>
      <c r="GP117" s="8"/>
      <c r="GQ117" s="38"/>
      <c r="GR117" s="44" t="s">
        <v>4</v>
      </c>
      <c r="GS117" s="40"/>
      <c r="GT117" s="8"/>
      <c r="GU117" s="42" t="str">
        <f t="shared" si="910"/>
        <v/>
      </c>
      <c r="GV117" s="43">
        <f t="shared" si="911"/>
        <v>0</v>
      </c>
      <c r="GW117" s="8"/>
      <c r="GX117" s="38"/>
      <c r="GY117" s="44" t="s">
        <v>4</v>
      </c>
      <c r="GZ117" s="40"/>
      <c r="HA117" s="8"/>
      <c r="HB117" s="42" t="str">
        <f t="shared" si="912"/>
        <v/>
      </c>
      <c r="HC117" s="43">
        <f t="shared" si="913"/>
        <v>0</v>
      </c>
      <c r="HD117" s="8"/>
      <c r="HE117" s="38"/>
      <c r="HF117" s="44" t="s">
        <v>4</v>
      </c>
      <c r="HG117" s="40"/>
      <c r="HH117" s="8"/>
      <c r="HI117" s="42" t="str">
        <f t="shared" si="914"/>
        <v/>
      </c>
      <c r="HJ117" s="43">
        <f t="shared" si="915"/>
        <v>0</v>
      </c>
      <c r="HK117" s="8"/>
      <c r="HL117" s="38"/>
      <c r="HM117" s="44" t="s">
        <v>4</v>
      </c>
      <c r="HN117" s="40"/>
      <c r="HO117" s="8"/>
      <c r="HP117" s="42" t="str">
        <f t="shared" si="916"/>
        <v/>
      </c>
      <c r="HQ117" s="43">
        <f t="shared" si="917"/>
        <v>0</v>
      </c>
      <c r="HR117" s="8"/>
      <c r="HS117" s="38"/>
      <c r="HT117" s="44" t="s">
        <v>4</v>
      </c>
      <c r="HU117" s="40"/>
      <c r="HV117" s="8"/>
      <c r="HW117" s="42" t="str">
        <f t="shared" si="918"/>
        <v/>
      </c>
      <c r="HX117" s="43">
        <f t="shared" si="919"/>
        <v>0</v>
      </c>
      <c r="HY117" s="8"/>
      <c r="HZ117" s="38"/>
      <c r="IA117" s="44" t="s">
        <v>4</v>
      </c>
      <c r="IB117" s="40"/>
      <c r="IC117" s="8"/>
      <c r="ID117" s="42" t="str">
        <f t="shared" si="920"/>
        <v/>
      </c>
      <c r="IE117" s="43">
        <f t="shared" si="921"/>
        <v>0</v>
      </c>
      <c r="IF117" s="8"/>
      <c r="IG117" s="38"/>
      <c r="IH117" s="44" t="s">
        <v>4</v>
      </c>
      <c r="II117" s="40"/>
      <c r="IJ117" s="8"/>
      <c r="IK117" s="42" t="str">
        <f t="shared" si="922"/>
        <v/>
      </c>
      <c r="IL117" s="43">
        <f t="shared" si="923"/>
        <v>0</v>
      </c>
      <c r="IM117" s="8"/>
      <c r="IN117" s="38"/>
      <c r="IO117" s="44" t="s">
        <v>4</v>
      </c>
      <c r="IP117" s="40"/>
      <c r="IQ117" s="8"/>
      <c r="IR117" s="42" t="str">
        <f t="shared" si="924"/>
        <v/>
      </c>
      <c r="IS117" s="43">
        <f t="shared" si="925"/>
        <v>0</v>
      </c>
      <c r="IT117" s="8"/>
      <c r="IU117" s="38"/>
      <c r="IV117" s="44" t="s">
        <v>4</v>
      </c>
      <c r="IW117" s="40"/>
      <c r="IX117" s="8"/>
      <c r="IY117" s="42" t="str">
        <f t="shared" si="926"/>
        <v/>
      </c>
      <c r="IZ117" s="43">
        <f t="shared" si="927"/>
        <v>0</v>
      </c>
      <c r="JA117" s="8"/>
      <c r="JB117" s="38"/>
      <c r="JC117" s="44" t="s">
        <v>4</v>
      </c>
      <c r="JD117" s="40"/>
      <c r="JE117" s="8"/>
      <c r="JF117" s="42" t="str">
        <f t="shared" si="928"/>
        <v/>
      </c>
      <c r="JG117" s="43">
        <f t="shared" si="929"/>
        <v>0</v>
      </c>
      <c r="JH117" s="8"/>
      <c r="JI117" s="38"/>
      <c r="JJ117" s="44" t="s">
        <v>4</v>
      </c>
      <c r="JK117" s="40"/>
      <c r="JL117" s="8"/>
      <c r="JM117" s="42" t="str">
        <f t="shared" si="930"/>
        <v/>
      </c>
      <c r="JN117" s="43">
        <f t="shared" si="931"/>
        <v>0</v>
      </c>
      <c r="JO117" s="8"/>
      <c r="JP117" s="38"/>
      <c r="JQ117" s="44" t="s">
        <v>4</v>
      </c>
      <c r="JR117" s="40"/>
      <c r="JS117" s="8"/>
      <c r="JT117" s="42" t="str">
        <f t="shared" si="932"/>
        <v/>
      </c>
      <c r="JU117" s="43">
        <f t="shared" si="933"/>
        <v>0</v>
      </c>
      <c r="JV117" s="8"/>
      <c r="JW117" s="38"/>
      <c r="JX117" s="44" t="s">
        <v>4</v>
      </c>
      <c r="JY117" s="40"/>
      <c r="JZ117" s="8"/>
      <c r="KA117" s="42" t="str">
        <f t="shared" si="934"/>
        <v/>
      </c>
      <c r="KB117" s="43">
        <f t="shared" si="935"/>
        <v>0</v>
      </c>
      <c r="KC117" s="8"/>
      <c r="KD117" s="38"/>
      <c r="KE117" s="44" t="s">
        <v>4</v>
      </c>
      <c r="KF117" s="40"/>
      <c r="KG117" s="8"/>
      <c r="KH117" s="42" t="str">
        <f t="shared" si="936"/>
        <v/>
      </c>
      <c r="KI117" s="43">
        <f t="shared" si="937"/>
        <v>0</v>
      </c>
      <c r="KJ117" s="8"/>
      <c r="KK117" s="38"/>
      <c r="KL117" s="44" t="s">
        <v>4</v>
      </c>
      <c r="KM117" s="40"/>
      <c r="KN117" s="8"/>
      <c r="KO117" s="42" t="str">
        <f t="shared" si="938"/>
        <v/>
      </c>
      <c r="KP117" s="43">
        <f t="shared" si="939"/>
        <v>0</v>
      </c>
      <c r="KQ117" s="8"/>
      <c r="KR117" s="38"/>
      <c r="KS117" s="44" t="s">
        <v>4</v>
      </c>
      <c r="KT117" s="40"/>
      <c r="KU117" s="8"/>
      <c r="KV117" s="42" t="str">
        <f t="shared" si="940"/>
        <v/>
      </c>
      <c r="KW117" s="43">
        <f t="shared" si="941"/>
        <v>0</v>
      </c>
      <c r="KX117" s="8"/>
      <c r="KY117" s="38"/>
      <c r="KZ117" s="44" t="s">
        <v>4</v>
      </c>
      <c r="LA117" s="40"/>
      <c r="LB117" s="8"/>
      <c r="LC117" s="42" t="str">
        <f t="shared" si="942"/>
        <v/>
      </c>
      <c r="LD117" s="43">
        <f t="shared" si="943"/>
        <v>0</v>
      </c>
      <c r="LE117" s="8"/>
      <c r="LF117" s="38"/>
      <c r="LG117" s="44" t="s">
        <v>4</v>
      </c>
      <c r="LH117" s="40"/>
      <c r="LI117" s="8"/>
      <c r="LJ117" s="42" t="str">
        <f t="shared" si="944"/>
        <v/>
      </c>
      <c r="LK117" s="43">
        <f t="shared" si="945"/>
        <v>0</v>
      </c>
      <c r="LL117" s="8"/>
      <c r="LM117" s="38"/>
      <c r="LN117" s="44" t="s">
        <v>4</v>
      </c>
      <c r="LO117" s="40"/>
      <c r="LP117" s="8"/>
      <c r="LQ117" s="42" t="str">
        <f t="shared" si="946"/>
        <v/>
      </c>
      <c r="LR117" s="43">
        <f t="shared" si="947"/>
        <v>0</v>
      </c>
      <c r="LS117" s="8"/>
      <c r="LT117" s="38"/>
      <c r="LU117" s="44" t="s">
        <v>4</v>
      </c>
      <c r="LV117" s="40"/>
      <c r="LW117" s="8"/>
      <c r="LX117" s="42" t="str">
        <f t="shared" si="948"/>
        <v/>
      </c>
      <c r="LY117" s="43">
        <f t="shared" si="949"/>
        <v>0</v>
      </c>
      <c r="LZ117" s="8"/>
      <c r="MA117" s="38"/>
      <c r="MB117" s="44" t="s">
        <v>4</v>
      </c>
      <c r="MC117" s="40"/>
      <c r="MD117" s="8"/>
      <c r="ME117" s="42" t="str">
        <f t="shared" si="950"/>
        <v/>
      </c>
      <c r="MF117" s="43">
        <f t="shared" si="951"/>
        <v>0</v>
      </c>
      <c r="MG117" s="8"/>
      <c r="MH117" s="38"/>
      <c r="MI117" s="44" t="s">
        <v>4</v>
      </c>
      <c r="MJ117" s="40"/>
      <c r="MK117" s="8"/>
      <c r="ML117" s="42" t="str">
        <f t="shared" si="952"/>
        <v/>
      </c>
      <c r="MM117" s="43">
        <f t="shared" si="953"/>
        <v>0</v>
      </c>
      <c r="MN117" s="8"/>
      <c r="MO117" s="38"/>
      <c r="MP117" s="44" t="s">
        <v>4</v>
      </c>
      <c r="MQ117" s="40"/>
      <c r="MR117" s="8"/>
      <c r="MS117" s="42" t="str">
        <f t="shared" si="954"/>
        <v/>
      </c>
      <c r="MT117" s="43">
        <f t="shared" si="955"/>
        <v>0</v>
      </c>
      <c r="MU117" s="8"/>
      <c r="MV117" s="38"/>
      <c r="MW117" s="44" t="s">
        <v>4</v>
      </c>
      <c r="MX117" s="40"/>
      <c r="MY117" s="8"/>
      <c r="MZ117" s="42" t="str">
        <f t="shared" si="956"/>
        <v/>
      </c>
      <c r="NA117" s="43">
        <f t="shared" si="957"/>
        <v>0</v>
      </c>
      <c r="NB117" s="8"/>
      <c r="NC117" s="38"/>
      <c r="ND117" s="44" t="s">
        <v>4</v>
      </c>
      <c r="NE117" s="40"/>
      <c r="NF117" s="8"/>
      <c r="NG117" s="42" t="str">
        <f t="shared" si="958"/>
        <v/>
      </c>
      <c r="NH117" s="43">
        <f t="shared" si="959"/>
        <v>0</v>
      </c>
      <c r="NI117" s="8"/>
      <c r="NJ117" s="38"/>
      <c r="NK117" s="44" t="s">
        <v>4</v>
      </c>
      <c r="NL117" s="40"/>
      <c r="NM117" s="8"/>
      <c r="NN117" s="42" t="str">
        <f t="shared" si="960"/>
        <v/>
      </c>
      <c r="NO117" s="43">
        <f t="shared" si="961"/>
        <v>0</v>
      </c>
      <c r="NP117" s="8"/>
      <c r="NQ117" s="38"/>
      <c r="NR117" s="44" t="s">
        <v>4</v>
      </c>
      <c r="NS117" s="40"/>
      <c r="NT117" s="8"/>
      <c r="NU117" s="42" t="str">
        <f t="shared" si="962"/>
        <v/>
      </c>
      <c r="NV117" s="43">
        <f t="shared" si="963"/>
        <v>0</v>
      </c>
      <c r="NW117" s="8"/>
      <c r="NX117" s="38"/>
      <c r="NY117" s="44" t="s">
        <v>4</v>
      </c>
      <c r="NZ117" s="40"/>
      <c r="OA117" s="8"/>
      <c r="OB117" s="42" t="str">
        <f t="shared" si="964"/>
        <v/>
      </c>
      <c r="OC117" s="43">
        <f t="shared" si="965"/>
        <v>0</v>
      </c>
      <c r="OD117" s="8"/>
      <c r="OE117" s="38"/>
      <c r="OF117" s="44" t="s">
        <v>4</v>
      </c>
      <c r="OG117" s="40"/>
      <c r="OH117" s="8"/>
      <c r="OI117" s="42" t="str">
        <f t="shared" si="966"/>
        <v/>
      </c>
      <c r="OJ117" s="43">
        <f t="shared" si="967"/>
        <v>0</v>
      </c>
      <c r="OK117" s="8"/>
      <c r="OL117" s="38"/>
      <c r="OM117" s="44" t="s">
        <v>4</v>
      </c>
      <c r="ON117" s="40"/>
      <c r="OO117" s="8"/>
      <c r="OP117" s="42" t="str">
        <f t="shared" si="968"/>
        <v/>
      </c>
      <c r="OQ117" s="43">
        <f t="shared" si="969"/>
        <v>0</v>
      </c>
      <c r="OR117" s="8"/>
      <c r="OS117" s="38"/>
      <c r="OT117" s="44" t="s">
        <v>4</v>
      </c>
      <c r="OU117" s="40"/>
      <c r="OV117" s="8"/>
      <c r="OW117" s="42" t="str">
        <f t="shared" si="970"/>
        <v/>
      </c>
      <c r="OX117" s="43">
        <f t="shared" si="971"/>
        <v>0</v>
      </c>
      <c r="OY117" s="8"/>
      <c r="OZ117" s="38"/>
      <c r="PA117" s="44" t="s">
        <v>4</v>
      </c>
      <c r="PB117" s="40"/>
      <c r="PC117" s="8"/>
      <c r="PD117" s="42" t="str">
        <f t="shared" si="972"/>
        <v/>
      </c>
      <c r="PE117" s="43">
        <f t="shared" si="973"/>
        <v>0</v>
      </c>
      <c r="PF117" s="8"/>
      <c r="PG117" s="38"/>
      <c r="PH117" s="44" t="s">
        <v>4</v>
      </c>
      <c r="PI117" s="40"/>
      <c r="PJ117" s="8"/>
      <c r="PK117" s="42" t="str">
        <f t="shared" si="974"/>
        <v/>
      </c>
      <c r="PL117" s="43">
        <f t="shared" si="975"/>
        <v>0</v>
      </c>
      <c r="PM117" s="8"/>
      <c r="PN117" s="38"/>
      <c r="PO117" s="44" t="s">
        <v>4</v>
      </c>
      <c r="PP117" s="40"/>
      <c r="PQ117" s="8"/>
      <c r="PR117" s="42" t="str">
        <f t="shared" si="976"/>
        <v/>
      </c>
      <c r="PS117" s="43">
        <f t="shared" si="977"/>
        <v>0</v>
      </c>
      <c r="PT117" s="8"/>
      <c r="PU117" s="38"/>
      <c r="PV117" s="44" t="s">
        <v>4</v>
      </c>
      <c r="PW117" s="40"/>
      <c r="PX117" s="8"/>
      <c r="PY117" s="42" t="str">
        <f t="shared" si="978"/>
        <v/>
      </c>
      <c r="PZ117" s="43">
        <f t="shared" si="979"/>
        <v>0</v>
      </c>
      <c r="QA117" s="8"/>
      <c r="QB117" s="38"/>
      <c r="QC117" s="44" t="s">
        <v>4</v>
      </c>
      <c r="QD117" s="40"/>
      <c r="QE117" s="8"/>
      <c r="QF117" s="42" t="str">
        <f t="shared" si="980"/>
        <v/>
      </c>
      <c r="QG117" s="43">
        <f t="shared" si="981"/>
        <v>0</v>
      </c>
      <c r="QH117" s="8"/>
      <c r="QI117" s="38"/>
      <c r="QJ117" s="44" t="s">
        <v>4</v>
      </c>
      <c r="QK117" s="40"/>
      <c r="QL117" s="8"/>
      <c r="QM117" s="42" t="str">
        <f t="shared" si="982"/>
        <v/>
      </c>
      <c r="QN117" s="43">
        <f t="shared" si="983"/>
        <v>0</v>
      </c>
      <c r="QO117" s="8"/>
      <c r="QP117" s="38"/>
      <c r="QQ117" s="44" t="s">
        <v>4</v>
      </c>
      <c r="QR117" s="40"/>
      <c r="QS117" s="8"/>
      <c r="QT117" s="42" t="str">
        <f t="shared" si="984"/>
        <v/>
      </c>
      <c r="QU117" s="43">
        <f t="shared" si="985"/>
        <v>0</v>
      </c>
      <c r="QV117" s="8"/>
      <c r="QW117" s="38"/>
      <c r="QX117" s="44" t="s">
        <v>4</v>
      </c>
      <c r="QY117" s="40"/>
      <c r="QZ117" s="8"/>
      <c r="RA117" s="42" t="str">
        <f t="shared" si="986"/>
        <v/>
      </c>
      <c r="RB117" s="43">
        <f t="shared" si="987"/>
        <v>0</v>
      </c>
      <c r="RC117" s="8"/>
      <c r="RD117" s="38"/>
      <c r="RE117" s="44" t="s">
        <v>4</v>
      </c>
      <c r="RF117" s="40"/>
      <c r="RG117" s="8"/>
      <c r="RH117" s="42" t="str">
        <f t="shared" si="988"/>
        <v/>
      </c>
      <c r="RI117" s="43">
        <f t="shared" si="989"/>
        <v>0</v>
      </c>
      <c r="RJ117" s="8"/>
      <c r="RK117" s="38"/>
      <c r="RL117" s="44" t="s">
        <v>4</v>
      </c>
      <c r="RM117" s="40"/>
      <c r="RN117" s="8"/>
      <c r="RO117" s="42" t="str">
        <f t="shared" si="990"/>
        <v/>
      </c>
      <c r="RP117" s="43">
        <f t="shared" si="991"/>
        <v>0</v>
      </c>
      <c r="RQ117" s="8"/>
      <c r="RR117" s="38"/>
      <c r="RS117" s="44" t="s">
        <v>4</v>
      </c>
      <c r="RT117" s="40"/>
      <c r="RU117" s="8"/>
      <c r="RV117" s="42" t="str">
        <f t="shared" si="992"/>
        <v/>
      </c>
      <c r="RW117" s="43">
        <f t="shared" si="993"/>
        <v>0</v>
      </c>
      <c r="RX117" s="8"/>
      <c r="RY117" s="38"/>
      <c r="RZ117" s="44" t="s">
        <v>4</v>
      </c>
      <c r="SA117" s="40"/>
      <c r="SB117" s="8"/>
      <c r="SC117" s="42" t="str">
        <f t="shared" si="994"/>
        <v/>
      </c>
      <c r="SD117" s="43">
        <f t="shared" si="995"/>
        <v>0</v>
      </c>
      <c r="SE117" s="8"/>
      <c r="SF117" s="38"/>
      <c r="SG117" s="44" t="s">
        <v>4</v>
      </c>
      <c r="SH117" s="40"/>
      <c r="SI117" s="8"/>
      <c r="SJ117" s="42" t="str">
        <f t="shared" si="996"/>
        <v/>
      </c>
      <c r="SK117" s="43">
        <f t="shared" si="997"/>
        <v>0</v>
      </c>
      <c r="SL117" s="8"/>
      <c r="SM117" s="38"/>
      <c r="SN117" s="44" t="s">
        <v>4</v>
      </c>
      <c r="SO117" s="40"/>
      <c r="SP117" s="8"/>
      <c r="SQ117" s="42" t="str">
        <f t="shared" si="998"/>
        <v/>
      </c>
      <c r="SR117" s="43">
        <f t="shared" si="999"/>
        <v>0</v>
      </c>
    </row>
    <row r="118" spans="1:512" ht="16" customHeight="1" x14ac:dyDescent="0.15">
      <c r="A118" s="53"/>
      <c r="B118" s="46"/>
      <c r="C118" s="82"/>
      <c r="D118" s="83"/>
      <c r="E118" s="5"/>
      <c r="H118" s="8"/>
      <c r="I118" s="32">
        <f t="shared" si="429"/>
        <v>0</v>
      </c>
      <c r="J118" s="47"/>
      <c r="K118" s="48"/>
      <c r="L118" s="49"/>
      <c r="M118" s="8"/>
      <c r="N118" s="42"/>
      <c r="O118" s="43"/>
      <c r="Q118" s="38"/>
      <c r="R118" s="44"/>
      <c r="S118" s="40"/>
      <c r="T118" s="8"/>
      <c r="U118" s="42"/>
      <c r="V118" s="43"/>
      <c r="W118" s="8"/>
      <c r="X118" s="38"/>
      <c r="Y118" s="44"/>
      <c r="Z118" s="40"/>
      <c r="AA118" s="8"/>
      <c r="AB118" s="42"/>
      <c r="AC118" s="43"/>
      <c r="AD118" s="8"/>
      <c r="AE118" s="38"/>
      <c r="AF118" s="44"/>
      <c r="AG118" s="40"/>
      <c r="AH118" s="8"/>
      <c r="AI118" s="42"/>
      <c r="AJ118" s="43"/>
      <c r="AK118" s="8"/>
      <c r="AL118" s="38"/>
      <c r="AM118" s="44"/>
      <c r="AN118" s="40"/>
      <c r="AO118" s="8"/>
      <c r="AP118" s="42"/>
      <c r="AQ118" s="43"/>
      <c r="AR118" s="8"/>
      <c r="AS118" s="38"/>
      <c r="AT118" s="44"/>
      <c r="AU118" s="40"/>
      <c r="AV118" s="8"/>
      <c r="AW118" s="42"/>
      <c r="AX118" s="43"/>
      <c r="AY118" s="8"/>
      <c r="AZ118" s="38"/>
      <c r="BA118" s="44"/>
      <c r="BB118" s="40"/>
      <c r="BC118" s="8"/>
      <c r="BD118" s="42"/>
      <c r="BE118" s="43"/>
      <c r="BF118" s="8"/>
      <c r="BG118" s="38"/>
      <c r="BH118" s="44"/>
      <c r="BI118" s="40"/>
      <c r="BJ118" s="8"/>
      <c r="BK118" s="42"/>
      <c r="BL118" s="43"/>
      <c r="BM118" s="8"/>
      <c r="BN118" s="38"/>
      <c r="BO118" s="44"/>
      <c r="BP118" s="40"/>
      <c r="BQ118" s="8"/>
      <c r="BR118" s="42"/>
      <c r="BS118" s="43"/>
      <c r="BT118" s="8"/>
      <c r="BU118" s="38"/>
      <c r="BV118" s="44"/>
      <c r="BW118" s="40"/>
      <c r="BX118" s="8"/>
      <c r="BY118" s="42"/>
      <c r="BZ118" s="43"/>
      <c r="CA118" s="8"/>
      <c r="CB118" s="38"/>
      <c r="CC118" s="44"/>
      <c r="CD118" s="40"/>
      <c r="CE118" s="8"/>
      <c r="CF118" s="42"/>
      <c r="CG118" s="43"/>
      <c r="CH118" s="8"/>
      <c r="CI118" s="38"/>
      <c r="CJ118" s="44"/>
      <c r="CK118" s="40"/>
      <c r="CL118" s="8"/>
      <c r="CM118" s="42"/>
      <c r="CN118" s="43"/>
      <c r="CO118" s="8"/>
      <c r="CP118" s="38"/>
      <c r="CQ118" s="44"/>
      <c r="CR118" s="40"/>
      <c r="CS118" s="8"/>
      <c r="CT118" s="42"/>
      <c r="CU118" s="43"/>
      <c r="CV118" s="8"/>
      <c r="CW118" s="38"/>
      <c r="CX118" s="44"/>
      <c r="CY118" s="40"/>
      <c r="CZ118" s="8"/>
      <c r="DA118" s="42"/>
      <c r="DB118" s="43"/>
      <c r="DC118" s="8"/>
      <c r="DD118" s="38"/>
      <c r="DE118" s="44"/>
      <c r="DF118" s="40"/>
      <c r="DG118" s="8"/>
      <c r="DH118" s="42"/>
      <c r="DI118" s="43"/>
      <c r="DJ118" s="8"/>
      <c r="DK118" s="38"/>
      <c r="DL118" s="44"/>
      <c r="DM118" s="40"/>
      <c r="DN118" s="8"/>
      <c r="DO118" s="42"/>
      <c r="DP118" s="43"/>
      <c r="DQ118" s="8"/>
      <c r="DR118" s="38"/>
      <c r="DS118" s="44"/>
      <c r="DT118" s="40"/>
      <c r="DU118" s="8"/>
      <c r="DV118" s="42"/>
      <c r="DW118" s="43"/>
      <c r="DX118" s="8"/>
      <c r="DY118" s="38"/>
      <c r="DZ118" s="44"/>
      <c r="EA118" s="40"/>
      <c r="EB118" s="8"/>
      <c r="EC118" s="42"/>
      <c r="ED118" s="43"/>
      <c r="EE118" s="8"/>
      <c r="EF118" s="38"/>
      <c r="EG118" s="44"/>
      <c r="EH118" s="40"/>
      <c r="EI118" s="8"/>
      <c r="EJ118" s="42"/>
      <c r="EK118" s="43"/>
      <c r="EL118" s="8"/>
      <c r="EM118" s="38"/>
      <c r="EN118" s="44"/>
      <c r="EO118" s="40"/>
      <c r="EP118" s="8"/>
      <c r="EQ118" s="42"/>
      <c r="ER118" s="43"/>
      <c r="ES118" s="8"/>
      <c r="ET118" s="38"/>
      <c r="EU118" s="44"/>
      <c r="EV118" s="40"/>
      <c r="EW118" s="8"/>
      <c r="EX118" s="42"/>
      <c r="EY118" s="43"/>
      <c r="EZ118" s="8"/>
      <c r="FA118" s="38"/>
      <c r="FB118" s="44"/>
      <c r="FC118" s="40"/>
      <c r="FD118" s="8"/>
      <c r="FE118" s="42"/>
      <c r="FF118" s="43"/>
      <c r="FG118" s="8"/>
      <c r="FH118" s="38"/>
      <c r="FI118" s="44"/>
      <c r="FJ118" s="40"/>
      <c r="FK118" s="8"/>
      <c r="FL118" s="42"/>
      <c r="FM118" s="43"/>
      <c r="FN118" s="8"/>
      <c r="FO118" s="38"/>
      <c r="FP118" s="44"/>
      <c r="FQ118" s="40"/>
      <c r="FR118" s="8"/>
      <c r="FS118" s="42"/>
      <c r="FT118" s="43"/>
      <c r="FU118" s="8"/>
      <c r="FV118" s="38"/>
      <c r="FW118" s="44"/>
      <c r="FX118" s="40"/>
      <c r="FY118" s="8"/>
      <c r="FZ118" s="42"/>
      <c r="GA118" s="43"/>
      <c r="GB118" s="8"/>
      <c r="GC118" s="38"/>
      <c r="GD118" s="44"/>
      <c r="GE118" s="40"/>
      <c r="GF118" s="8"/>
      <c r="GG118" s="42"/>
      <c r="GH118" s="43"/>
      <c r="GI118" s="8"/>
      <c r="GJ118" s="38"/>
      <c r="GK118" s="44"/>
      <c r="GL118" s="40"/>
      <c r="GM118" s="8"/>
      <c r="GN118" s="42"/>
      <c r="GO118" s="43"/>
      <c r="GP118" s="8"/>
      <c r="GQ118" s="38"/>
      <c r="GR118" s="44"/>
      <c r="GS118" s="40"/>
      <c r="GT118" s="8"/>
      <c r="GU118" s="42"/>
      <c r="GV118" s="43"/>
      <c r="GW118" s="8"/>
      <c r="GX118" s="38"/>
      <c r="GY118" s="44"/>
      <c r="GZ118" s="40"/>
      <c r="HA118" s="8"/>
      <c r="HB118" s="42"/>
      <c r="HC118" s="43"/>
      <c r="HD118" s="8"/>
      <c r="HE118" s="38"/>
      <c r="HF118" s="44"/>
      <c r="HG118" s="40"/>
      <c r="HH118" s="8"/>
      <c r="HI118" s="42"/>
      <c r="HJ118" s="43"/>
      <c r="HK118" s="8"/>
      <c r="HL118" s="38"/>
      <c r="HM118" s="44"/>
      <c r="HN118" s="40"/>
      <c r="HO118" s="8"/>
      <c r="HP118" s="42"/>
      <c r="HQ118" s="43"/>
      <c r="HR118" s="8"/>
      <c r="HS118" s="38"/>
      <c r="HT118" s="44"/>
      <c r="HU118" s="40"/>
      <c r="HV118" s="8"/>
      <c r="HW118" s="42"/>
      <c r="HX118" s="43"/>
      <c r="HY118" s="8"/>
      <c r="HZ118" s="38"/>
      <c r="IA118" s="44"/>
      <c r="IB118" s="40"/>
      <c r="IC118" s="8"/>
      <c r="ID118" s="42"/>
      <c r="IE118" s="43"/>
      <c r="IF118" s="8"/>
      <c r="IG118" s="38"/>
      <c r="IH118" s="44"/>
      <c r="II118" s="40"/>
      <c r="IJ118" s="8"/>
      <c r="IK118" s="42"/>
      <c r="IL118" s="43"/>
      <c r="IM118" s="8"/>
      <c r="IN118" s="38"/>
      <c r="IO118" s="44"/>
      <c r="IP118" s="40"/>
      <c r="IQ118" s="8"/>
      <c r="IR118" s="42"/>
      <c r="IS118" s="43"/>
      <c r="IT118" s="8"/>
      <c r="IU118" s="38"/>
      <c r="IV118" s="44"/>
      <c r="IW118" s="40"/>
      <c r="IX118" s="8"/>
      <c r="IY118" s="42"/>
      <c r="IZ118" s="43"/>
      <c r="JA118" s="8"/>
      <c r="JB118" s="38"/>
      <c r="JC118" s="44"/>
      <c r="JD118" s="40"/>
      <c r="JE118" s="8"/>
      <c r="JF118" s="42"/>
      <c r="JG118" s="43"/>
      <c r="JH118" s="8"/>
      <c r="JI118" s="38"/>
      <c r="JJ118" s="44"/>
      <c r="JK118" s="40"/>
      <c r="JL118" s="8"/>
      <c r="JM118" s="42"/>
      <c r="JN118" s="43"/>
      <c r="JO118" s="8"/>
      <c r="JP118" s="38"/>
      <c r="JQ118" s="44"/>
      <c r="JR118" s="40"/>
      <c r="JS118" s="8"/>
      <c r="JT118" s="42"/>
      <c r="JU118" s="43"/>
      <c r="JV118" s="8"/>
      <c r="JW118" s="38"/>
      <c r="JX118" s="44"/>
      <c r="JY118" s="40"/>
      <c r="JZ118" s="8"/>
      <c r="KA118" s="42"/>
      <c r="KB118" s="43"/>
      <c r="KC118" s="8"/>
      <c r="KD118" s="38"/>
      <c r="KE118" s="44"/>
      <c r="KF118" s="40"/>
      <c r="KG118" s="8"/>
      <c r="KH118" s="42"/>
      <c r="KI118" s="43"/>
      <c r="KJ118" s="8"/>
      <c r="KK118" s="38"/>
      <c r="KL118" s="44"/>
      <c r="KM118" s="40"/>
      <c r="KN118" s="8"/>
      <c r="KO118" s="42"/>
      <c r="KP118" s="43"/>
      <c r="KQ118" s="8"/>
      <c r="KR118" s="38"/>
      <c r="KS118" s="44"/>
      <c r="KT118" s="40"/>
      <c r="KU118" s="8"/>
      <c r="KV118" s="42"/>
      <c r="KW118" s="43"/>
      <c r="KX118" s="8"/>
      <c r="KY118" s="38"/>
      <c r="KZ118" s="44"/>
      <c r="LA118" s="40"/>
      <c r="LB118" s="8"/>
      <c r="LC118" s="42"/>
      <c r="LD118" s="43"/>
      <c r="LE118" s="8"/>
      <c r="LF118" s="38"/>
      <c r="LG118" s="44"/>
      <c r="LH118" s="40"/>
      <c r="LI118" s="8"/>
      <c r="LJ118" s="42"/>
      <c r="LK118" s="43"/>
      <c r="LL118" s="8"/>
      <c r="LM118" s="38"/>
      <c r="LN118" s="44"/>
      <c r="LO118" s="40"/>
      <c r="LP118" s="8"/>
      <c r="LQ118" s="42"/>
      <c r="LR118" s="43"/>
      <c r="LS118" s="8"/>
      <c r="LT118" s="38"/>
      <c r="LU118" s="44"/>
      <c r="LV118" s="40"/>
      <c r="LW118" s="8"/>
      <c r="LX118" s="42"/>
      <c r="LY118" s="43"/>
      <c r="LZ118" s="8"/>
      <c r="MA118" s="38"/>
      <c r="MB118" s="44"/>
      <c r="MC118" s="40"/>
      <c r="MD118" s="8"/>
      <c r="ME118" s="42"/>
      <c r="MF118" s="43"/>
      <c r="MG118" s="8"/>
      <c r="MH118" s="38"/>
      <c r="MI118" s="44"/>
      <c r="MJ118" s="40"/>
      <c r="MK118" s="8"/>
      <c r="ML118" s="42"/>
      <c r="MM118" s="43"/>
      <c r="MN118" s="8"/>
      <c r="MO118" s="38"/>
      <c r="MP118" s="44"/>
      <c r="MQ118" s="40"/>
      <c r="MR118" s="8"/>
      <c r="MS118" s="42"/>
      <c r="MT118" s="43"/>
      <c r="MU118" s="8"/>
      <c r="MV118" s="38"/>
      <c r="MW118" s="44"/>
      <c r="MX118" s="40"/>
      <c r="MY118" s="8"/>
      <c r="MZ118" s="42"/>
      <c r="NA118" s="43"/>
      <c r="NB118" s="8"/>
      <c r="NC118" s="38"/>
      <c r="ND118" s="44"/>
      <c r="NE118" s="40"/>
      <c r="NF118" s="8"/>
      <c r="NG118" s="42"/>
      <c r="NH118" s="43"/>
      <c r="NI118" s="8"/>
      <c r="NJ118" s="38"/>
      <c r="NK118" s="44"/>
      <c r="NL118" s="40"/>
      <c r="NM118" s="8"/>
      <c r="NN118" s="42"/>
      <c r="NO118" s="43"/>
      <c r="NP118" s="8"/>
      <c r="NQ118" s="38"/>
      <c r="NR118" s="44"/>
      <c r="NS118" s="40"/>
      <c r="NT118" s="8"/>
      <c r="NU118" s="42"/>
      <c r="NV118" s="43"/>
      <c r="NW118" s="8"/>
      <c r="NX118" s="38"/>
      <c r="NY118" s="44"/>
      <c r="NZ118" s="40"/>
      <c r="OA118" s="8"/>
      <c r="OB118" s="42"/>
      <c r="OC118" s="43"/>
      <c r="OD118" s="8"/>
      <c r="OE118" s="38"/>
      <c r="OF118" s="44"/>
      <c r="OG118" s="40"/>
      <c r="OH118" s="8"/>
      <c r="OI118" s="42"/>
      <c r="OJ118" s="43"/>
      <c r="OK118" s="8"/>
      <c r="OL118" s="38"/>
      <c r="OM118" s="44"/>
      <c r="ON118" s="40"/>
      <c r="OO118" s="8"/>
      <c r="OP118" s="42"/>
      <c r="OQ118" s="43"/>
      <c r="OR118" s="8"/>
      <c r="OS118" s="38"/>
      <c r="OT118" s="44"/>
      <c r="OU118" s="40"/>
      <c r="OV118" s="8"/>
      <c r="OW118" s="42"/>
      <c r="OX118" s="43"/>
      <c r="OY118" s="8"/>
      <c r="OZ118" s="38"/>
      <c r="PA118" s="44"/>
      <c r="PB118" s="40"/>
      <c r="PC118" s="8"/>
      <c r="PD118" s="42"/>
      <c r="PE118" s="43"/>
      <c r="PF118" s="8"/>
      <c r="PG118" s="38"/>
      <c r="PH118" s="44"/>
      <c r="PI118" s="40"/>
      <c r="PJ118" s="8"/>
      <c r="PK118" s="42"/>
      <c r="PL118" s="43"/>
      <c r="PM118" s="8"/>
      <c r="PN118" s="38"/>
      <c r="PO118" s="44"/>
      <c r="PP118" s="40"/>
      <c r="PQ118" s="8"/>
      <c r="PR118" s="42"/>
      <c r="PS118" s="43"/>
      <c r="PT118" s="8"/>
      <c r="PU118" s="38"/>
      <c r="PV118" s="44"/>
      <c r="PW118" s="40"/>
      <c r="PX118" s="8"/>
      <c r="PY118" s="42"/>
      <c r="PZ118" s="43"/>
      <c r="QA118" s="8"/>
      <c r="QB118" s="38"/>
      <c r="QC118" s="44"/>
      <c r="QD118" s="40"/>
      <c r="QE118" s="8"/>
      <c r="QF118" s="42"/>
      <c r="QG118" s="43"/>
      <c r="QH118" s="8"/>
      <c r="QI118" s="38"/>
      <c r="QJ118" s="44"/>
      <c r="QK118" s="40"/>
      <c r="QL118" s="8"/>
      <c r="QM118" s="42"/>
      <c r="QN118" s="43"/>
      <c r="QO118" s="8"/>
      <c r="QP118" s="38"/>
      <c r="QQ118" s="44"/>
      <c r="QR118" s="40"/>
      <c r="QS118" s="8"/>
      <c r="QT118" s="42"/>
      <c r="QU118" s="43"/>
      <c r="QV118" s="8"/>
      <c r="QW118" s="38"/>
      <c r="QX118" s="44"/>
      <c r="QY118" s="40"/>
      <c r="QZ118" s="8"/>
      <c r="RA118" s="42"/>
      <c r="RB118" s="43"/>
      <c r="RC118" s="8"/>
      <c r="RD118" s="38"/>
      <c r="RE118" s="44"/>
      <c r="RF118" s="40"/>
      <c r="RG118" s="8"/>
      <c r="RH118" s="42"/>
      <c r="RI118" s="43"/>
      <c r="RJ118" s="8"/>
      <c r="RK118" s="38"/>
      <c r="RL118" s="44"/>
      <c r="RM118" s="40"/>
      <c r="RN118" s="8"/>
      <c r="RO118" s="42"/>
      <c r="RP118" s="43"/>
      <c r="RQ118" s="8"/>
      <c r="RR118" s="38"/>
      <c r="RS118" s="44"/>
      <c r="RT118" s="40"/>
      <c r="RU118" s="8"/>
      <c r="RV118" s="42"/>
      <c r="RW118" s="43"/>
      <c r="RX118" s="8"/>
      <c r="RY118" s="38"/>
      <c r="RZ118" s="44"/>
      <c r="SA118" s="40"/>
      <c r="SB118" s="8"/>
      <c r="SC118" s="42"/>
      <c r="SD118" s="43"/>
      <c r="SE118" s="8"/>
      <c r="SF118" s="38"/>
      <c r="SG118" s="44"/>
      <c r="SH118" s="40"/>
      <c r="SI118" s="8"/>
      <c r="SJ118" s="42"/>
      <c r="SK118" s="43"/>
      <c r="SL118" s="8"/>
      <c r="SM118" s="38"/>
      <c r="SN118" s="44"/>
      <c r="SO118" s="40"/>
      <c r="SP118" s="8"/>
      <c r="SQ118" s="42"/>
      <c r="SR118" s="43"/>
    </row>
    <row r="119" spans="1:512" ht="16" customHeight="1" x14ac:dyDescent="0.15">
      <c r="A119" s="84" t="s">
        <v>64</v>
      </c>
      <c r="B119" s="46"/>
      <c r="C119" s="82"/>
      <c r="D119" s="82"/>
      <c r="E119" s="5"/>
      <c r="H119" s="8"/>
      <c r="I119" s="32">
        <f t="shared" si="429"/>
        <v>0</v>
      </c>
      <c r="J119" s="47"/>
      <c r="K119" s="48"/>
      <c r="L119" s="49"/>
      <c r="M119" s="8"/>
      <c r="N119" s="42"/>
      <c r="O119" s="43"/>
      <c r="Q119" s="38"/>
      <c r="R119" s="44"/>
      <c r="S119" s="40"/>
      <c r="T119" s="8"/>
      <c r="U119" s="42"/>
      <c r="V119" s="43"/>
      <c r="W119" s="8"/>
      <c r="X119" s="38"/>
      <c r="Y119" s="44"/>
      <c r="Z119" s="40"/>
      <c r="AA119" s="8"/>
      <c r="AB119" s="42"/>
      <c r="AC119" s="43"/>
      <c r="AD119" s="8"/>
      <c r="AE119" s="38"/>
      <c r="AF119" s="44"/>
      <c r="AG119" s="40"/>
      <c r="AH119" s="8"/>
      <c r="AI119" s="42"/>
      <c r="AJ119" s="43"/>
      <c r="AK119" s="8"/>
      <c r="AL119" s="38"/>
      <c r="AM119" s="44"/>
      <c r="AN119" s="40"/>
      <c r="AO119" s="8"/>
      <c r="AP119" s="42"/>
      <c r="AQ119" s="43"/>
      <c r="AR119" s="8"/>
      <c r="AS119" s="38"/>
      <c r="AT119" s="44"/>
      <c r="AU119" s="40"/>
      <c r="AV119" s="8"/>
      <c r="AW119" s="42"/>
      <c r="AX119" s="43"/>
      <c r="AY119" s="8"/>
      <c r="AZ119" s="38"/>
      <c r="BA119" s="44"/>
      <c r="BB119" s="40"/>
      <c r="BC119" s="8"/>
      <c r="BD119" s="42"/>
      <c r="BE119" s="43"/>
      <c r="BF119" s="8"/>
      <c r="BG119" s="38"/>
      <c r="BH119" s="44"/>
      <c r="BI119" s="40"/>
      <c r="BJ119" s="8"/>
      <c r="BK119" s="42"/>
      <c r="BL119" s="43"/>
      <c r="BM119" s="8"/>
      <c r="BN119" s="38"/>
      <c r="BO119" s="44"/>
      <c r="BP119" s="40"/>
      <c r="BQ119" s="8"/>
      <c r="BR119" s="42"/>
      <c r="BS119" s="43"/>
      <c r="BT119" s="8"/>
      <c r="BU119" s="38"/>
      <c r="BV119" s="44"/>
      <c r="BW119" s="40"/>
      <c r="BX119" s="8"/>
      <c r="BY119" s="42"/>
      <c r="BZ119" s="43"/>
      <c r="CA119" s="8"/>
      <c r="CB119" s="38"/>
      <c r="CC119" s="44"/>
      <c r="CD119" s="40"/>
      <c r="CE119" s="8"/>
      <c r="CF119" s="42"/>
      <c r="CG119" s="43"/>
      <c r="CH119" s="8"/>
      <c r="CI119" s="38"/>
      <c r="CJ119" s="44"/>
      <c r="CK119" s="40"/>
      <c r="CL119" s="8"/>
      <c r="CM119" s="42"/>
      <c r="CN119" s="43"/>
      <c r="CO119" s="8"/>
      <c r="CP119" s="38"/>
      <c r="CQ119" s="44"/>
      <c r="CR119" s="40"/>
      <c r="CS119" s="8"/>
      <c r="CT119" s="42"/>
      <c r="CU119" s="43"/>
      <c r="CV119" s="8"/>
      <c r="CW119" s="38"/>
      <c r="CX119" s="44"/>
      <c r="CY119" s="40"/>
      <c r="CZ119" s="8"/>
      <c r="DA119" s="42"/>
      <c r="DB119" s="43"/>
      <c r="DC119" s="8"/>
      <c r="DD119" s="38"/>
      <c r="DE119" s="44"/>
      <c r="DF119" s="40"/>
      <c r="DG119" s="8"/>
      <c r="DH119" s="42"/>
      <c r="DI119" s="43"/>
      <c r="DJ119" s="8"/>
      <c r="DK119" s="38"/>
      <c r="DL119" s="44"/>
      <c r="DM119" s="40"/>
      <c r="DN119" s="8"/>
      <c r="DO119" s="42"/>
      <c r="DP119" s="43"/>
      <c r="DQ119" s="8"/>
      <c r="DR119" s="38"/>
      <c r="DS119" s="44"/>
      <c r="DT119" s="40"/>
      <c r="DU119" s="8"/>
      <c r="DV119" s="42"/>
      <c r="DW119" s="43"/>
      <c r="DX119" s="8"/>
      <c r="DY119" s="38"/>
      <c r="DZ119" s="44"/>
      <c r="EA119" s="40"/>
      <c r="EB119" s="8"/>
      <c r="EC119" s="42"/>
      <c r="ED119" s="43"/>
      <c r="EE119" s="8"/>
      <c r="EF119" s="38"/>
      <c r="EG119" s="44"/>
      <c r="EH119" s="40"/>
      <c r="EI119" s="8"/>
      <c r="EJ119" s="42"/>
      <c r="EK119" s="43"/>
      <c r="EL119" s="8"/>
      <c r="EM119" s="38"/>
      <c r="EN119" s="44"/>
      <c r="EO119" s="40"/>
      <c r="EP119" s="8"/>
      <c r="EQ119" s="42"/>
      <c r="ER119" s="43"/>
      <c r="ES119" s="8"/>
      <c r="ET119" s="38"/>
      <c r="EU119" s="44"/>
      <c r="EV119" s="40"/>
      <c r="EW119" s="8"/>
      <c r="EX119" s="42"/>
      <c r="EY119" s="43"/>
      <c r="EZ119" s="8"/>
      <c r="FA119" s="38"/>
      <c r="FB119" s="44"/>
      <c r="FC119" s="40"/>
      <c r="FD119" s="8"/>
      <c r="FE119" s="42"/>
      <c r="FF119" s="43"/>
      <c r="FG119" s="8"/>
      <c r="FH119" s="38"/>
      <c r="FI119" s="44"/>
      <c r="FJ119" s="40"/>
      <c r="FK119" s="8"/>
      <c r="FL119" s="42"/>
      <c r="FM119" s="43"/>
      <c r="FN119" s="8"/>
      <c r="FO119" s="38"/>
      <c r="FP119" s="44"/>
      <c r="FQ119" s="40"/>
      <c r="FR119" s="8"/>
      <c r="FS119" s="42"/>
      <c r="FT119" s="43"/>
      <c r="FU119" s="8"/>
      <c r="FV119" s="38"/>
      <c r="FW119" s="44"/>
      <c r="FX119" s="40"/>
      <c r="FY119" s="8"/>
      <c r="FZ119" s="42"/>
      <c r="GA119" s="43"/>
      <c r="GB119" s="8"/>
      <c r="GC119" s="38"/>
      <c r="GD119" s="44"/>
      <c r="GE119" s="40"/>
      <c r="GF119" s="8"/>
      <c r="GG119" s="42"/>
      <c r="GH119" s="43"/>
      <c r="GI119" s="8"/>
      <c r="GJ119" s="38"/>
      <c r="GK119" s="44"/>
      <c r="GL119" s="40"/>
      <c r="GM119" s="8"/>
      <c r="GN119" s="42"/>
      <c r="GO119" s="43"/>
      <c r="GP119" s="8"/>
      <c r="GQ119" s="38"/>
      <c r="GR119" s="44"/>
      <c r="GS119" s="40"/>
      <c r="GT119" s="8"/>
      <c r="GU119" s="42"/>
      <c r="GV119" s="43"/>
      <c r="GW119" s="8"/>
      <c r="GX119" s="38"/>
      <c r="GY119" s="44"/>
      <c r="GZ119" s="40"/>
      <c r="HA119" s="8"/>
      <c r="HB119" s="42"/>
      <c r="HC119" s="43"/>
      <c r="HD119" s="8"/>
      <c r="HE119" s="38"/>
      <c r="HF119" s="44"/>
      <c r="HG119" s="40"/>
      <c r="HH119" s="8"/>
      <c r="HI119" s="42"/>
      <c r="HJ119" s="43"/>
      <c r="HK119" s="8"/>
      <c r="HL119" s="38"/>
      <c r="HM119" s="44"/>
      <c r="HN119" s="40"/>
      <c r="HO119" s="8"/>
      <c r="HP119" s="42"/>
      <c r="HQ119" s="43"/>
      <c r="HR119" s="8"/>
      <c r="HS119" s="38"/>
      <c r="HT119" s="44"/>
      <c r="HU119" s="40"/>
      <c r="HV119" s="8"/>
      <c r="HW119" s="42"/>
      <c r="HX119" s="43"/>
      <c r="HY119" s="8"/>
      <c r="HZ119" s="38"/>
      <c r="IA119" s="44"/>
      <c r="IB119" s="40"/>
      <c r="IC119" s="8"/>
      <c r="ID119" s="42"/>
      <c r="IE119" s="43"/>
      <c r="IF119" s="8"/>
      <c r="IG119" s="38"/>
      <c r="IH119" s="44"/>
      <c r="II119" s="40"/>
      <c r="IJ119" s="8"/>
      <c r="IK119" s="42"/>
      <c r="IL119" s="43"/>
      <c r="IM119" s="8"/>
      <c r="IN119" s="38"/>
      <c r="IO119" s="44"/>
      <c r="IP119" s="40"/>
      <c r="IQ119" s="8"/>
      <c r="IR119" s="42"/>
      <c r="IS119" s="43"/>
      <c r="IT119" s="8"/>
      <c r="IU119" s="38"/>
      <c r="IV119" s="44"/>
      <c r="IW119" s="40"/>
      <c r="IX119" s="8"/>
      <c r="IY119" s="42"/>
      <c r="IZ119" s="43"/>
      <c r="JA119" s="8"/>
      <c r="JB119" s="38"/>
      <c r="JC119" s="44"/>
      <c r="JD119" s="40"/>
      <c r="JE119" s="8"/>
      <c r="JF119" s="42"/>
      <c r="JG119" s="43"/>
      <c r="JH119" s="8"/>
      <c r="JI119" s="38"/>
      <c r="JJ119" s="44"/>
      <c r="JK119" s="40"/>
      <c r="JL119" s="8"/>
      <c r="JM119" s="42"/>
      <c r="JN119" s="43"/>
      <c r="JO119" s="8"/>
      <c r="JP119" s="38"/>
      <c r="JQ119" s="44"/>
      <c r="JR119" s="40"/>
      <c r="JS119" s="8"/>
      <c r="JT119" s="42"/>
      <c r="JU119" s="43"/>
      <c r="JV119" s="8"/>
      <c r="JW119" s="38"/>
      <c r="JX119" s="44"/>
      <c r="JY119" s="40"/>
      <c r="JZ119" s="8"/>
      <c r="KA119" s="42"/>
      <c r="KB119" s="43"/>
      <c r="KC119" s="8"/>
      <c r="KD119" s="38"/>
      <c r="KE119" s="44"/>
      <c r="KF119" s="40"/>
      <c r="KG119" s="8"/>
      <c r="KH119" s="42"/>
      <c r="KI119" s="43"/>
      <c r="KJ119" s="8"/>
      <c r="KK119" s="38"/>
      <c r="KL119" s="44"/>
      <c r="KM119" s="40"/>
      <c r="KN119" s="8"/>
      <c r="KO119" s="42"/>
      <c r="KP119" s="43"/>
      <c r="KQ119" s="8"/>
      <c r="KR119" s="38"/>
      <c r="KS119" s="44"/>
      <c r="KT119" s="40"/>
      <c r="KU119" s="8"/>
      <c r="KV119" s="42"/>
      <c r="KW119" s="43"/>
      <c r="KX119" s="8"/>
      <c r="KY119" s="38"/>
      <c r="KZ119" s="44"/>
      <c r="LA119" s="40"/>
      <c r="LB119" s="8"/>
      <c r="LC119" s="42"/>
      <c r="LD119" s="43"/>
      <c r="LE119" s="8"/>
      <c r="LF119" s="38"/>
      <c r="LG119" s="44"/>
      <c r="LH119" s="40"/>
      <c r="LI119" s="8"/>
      <c r="LJ119" s="42"/>
      <c r="LK119" s="43"/>
      <c r="LL119" s="8"/>
      <c r="LM119" s="38"/>
      <c r="LN119" s="44"/>
      <c r="LO119" s="40"/>
      <c r="LP119" s="8"/>
      <c r="LQ119" s="42"/>
      <c r="LR119" s="43"/>
      <c r="LS119" s="8"/>
      <c r="LT119" s="38"/>
      <c r="LU119" s="44"/>
      <c r="LV119" s="40"/>
      <c r="LW119" s="8"/>
      <c r="LX119" s="42"/>
      <c r="LY119" s="43"/>
      <c r="LZ119" s="8"/>
      <c r="MA119" s="38"/>
      <c r="MB119" s="44"/>
      <c r="MC119" s="40"/>
      <c r="MD119" s="8"/>
      <c r="ME119" s="42"/>
      <c r="MF119" s="43"/>
      <c r="MG119" s="8"/>
      <c r="MH119" s="38"/>
      <c r="MI119" s="44"/>
      <c r="MJ119" s="40"/>
      <c r="MK119" s="8"/>
      <c r="ML119" s="42"/>
      <c r="MM119" s="43"/>
      <c r="MN119" s="8"/>
      <c r="MO119" s="38"/>
      <c r="MP119" s="44"/>
      <c r="MQ119" s="40"/>
      <c r="MR119" s="8"/>
      <c r="MS119" s="42"/>
      <c r="MT119" s="43"/>
      <c r="MU119" s="8"/>
      <c r="MV119" s="38"/>
      <c r="MW119" s="44"/>
      <c r="MX119" s="40"/>
      <c r="MY119" s="8"/>
      <c r="MZ119" s="42"/>
      <c r="NA119" s="43"/>
      <c r="NB119" s="8"/>
      <c r="NC119" s="38"/>
      <c r="ND119" s="44"/>
      <c r="NE119" s="40"/>
      <c r="NF119" s="8"/>
      <c r="NG119" s="42"/>
      <c r="NH119" s="43"/>
      <c r="NI119" s="8"/>
      <c r="NJ119" s="38"/>
      <c r="NK119" s="44"/>
      <c r="NL119" s="40"/>
      <c r="NM119" s="8"/>
      <c r="NN119" s="42"/>
      <c r="NO119" s="43"/>
      <c r="NP119" s="8"/>
      <c r="NQ119" s="38"/>
      <c r="NR119" s="44"/>
      <c r="NS119" s="40"/>
      <c r="NT119" s="8"/>
      <c r="NU119" s="42"/>
      <c r="NV119" s="43"/>
      <c r="NW119" s="8"/>
      <c r="NX119" s="38"/>
      <c r="NY119" s="44"/>
      <c r="NZ119" s="40"/>
      <c r="OA119" s="8"/>
      <c r="OB119" s="42"/>
      <c r="OC119" s="43"/>
      <c r="OD119" s="8"/>
      <c r="OE119" s="38"/>
      <c r="OF119" s="44"/>
      <c r="OG119" s="40"/>
      <c r="OH119" s="8"/>
      <c r="OI119" s="42"/>
      <c r="OJ119" s="43"/>
      <c r="OK119" s="8"/>
      <c r="OL119" s="38"/>
      <c r="OM119" s="44"/>
      <c r="ON119" s="40"/>
      <c r="OO119" s="8"/>
      <c r="OP119" s="42"/>
      <c r="OQ119" s="43"/>
      <c r="OR119" s="8"/>
      <c r="OS119" s="38"/>
      <c r="OT119" s="44"/>
      <c r="OU119" s="40"/>
      <c r="OV119" s="8"/>
      <c r="OW119" s="42"/>
      <c r="OX119" s="43"/>
      <c r="OY119" s="8"/>
      <c r="OZ119" s="38"/>
      <c r="PA119" s="44"/>
      <c r="PB119" s="40"/>
      <c r="PC119" s="8"/>
      <c r="PD119" s="42"/>
      <c r="PE119" s="43"/>
      <c r="PF119" s="8"/>
      <c r="PG119" s="38"/>
      <c r="PH119" s="44"/>
      <c r="PI119" s="40"/>
      <c r="PJ119" s="8"/>
      <c r="PK119" s="42"/>
      <c r="PL119" s="43"/>
      <c r="PM119" s="8"/>
      <c r="PN119" s="38"/>
      <c r="PO119" s="44"/>
      <c r="PP119" s="40"/>
      <c r="PQ119" s="8"/>
      <c r="PR119" s="42"/>
      <c r="PS119" s="43"/>
      <c r="PT119" s="8"/>
      <c r="PU119" s="38"/>
      <c r="PV119" s="44"/>
      <c r="PW119" s="40"/>
      <c r="PX119" s="8"/>
      <c r="PY119" s="42"/>
      <c r="PZ119" s="43"/>
      <c r="QA119" s="8"/>
      <c r="QB119" s="38"/>
      <c r="QC119" s="44"/>
      <c r="QD119" s="40"/>
      <c r="QE119" s="8"/>
      <c r="QF119" s="42"/>
      <c r="QG119" s="43"/>
      <c r="QH119" s="8"/>
      <c r="QI119" s="38"/>
      <c r="QJ119" s="44"/>
      <c r="QK119" s="40"/>
      <c r="QL119" s="8"/>
      <c r="QM119" s="42"/>
      <c r="QN119" s="43"/>
      <c r="QO119" s="8"/>
      <c r="QP119" s="38"/>
      <c r="QQ119" s="44"/>
      <c r="QR119" s="40"/>
      <c r="QS119" s="8"/>
      <c r="QT119" s="42"/>
      <c r="QU119" s="43"/>
      <c r="QV119" s="8"/>
      <c r="QW119" s="38"/>
      <c r="QX119" s="44"/>
      <c r="QY119" s="40"/>
      <c r="QZ119" s="8"/>
      <c r="RA119" s="42"/>
      <c r="RB119" s="43"/>
      <c r="RC119" s="8"/>
      <c r="RD119" s="38"/>
      <c r="RE119" s="44"/>
      <c r="RF119" s="40"/>
      <c r="RG119" s="8"/>
      <c r="RH119" s="42"/>
      <c r="RI119" s="43"/>
      <c r="RJ119" s="8"/>
      <c r="RK119" s="38"/>
      <c r="RL119" s="44"/>
      <c r="RM119" s="40"/>
      <c r="RN119" s="8"/>
      <c r="RO119" s="42"/>
      <c r="RP119" s="43"/>
      <c r="RQ119" s="8"/>
      <c r="RR119" s="38"/>
      <c r="RS119" s="44"/>
      <c r="RT119" s="40"/>
      <c r="RU119" s="8"/>
      <c r="RV119" s="42"/>
      <c r="RW119" s="43"/>
      <c r="RX119" s="8"/>
      <c r="RY119" s="38"/>
      <c r="RZ119" s="44"/>
      <c r="SA119" s="40"/>
      <c r="SB119" s="8"/>
      <c r="SC119" s="42"/>
      <c r="SD119" s="43"/>
      <c r="SE119" s="8"/>
      <c r="SF119" s="38"/>
      <c r="SG119" s="44"/>
      <c r="SH119" s="40"/>
      <c r="SI119" s="8"/>
      <c r="SJ119" s="42"/>
      <c r="SK119" s="43"/>
      <c r="SL119" s="8"/>
      <c r="SM119" s="38"/>
      <c r="SN119" s="44"/>
      <c r="SO119" s="40"/>
      <c r="SP119" s="8"/>
      <c r="SQ119" s="42"/>
      <c r="SR119" s="43"/>
    </row>
    <row r="120" spans="1:512" ht="16" customHeight="1" x14ac:dyDescent="0.15">
      <c r="A120" s="51">
        <v>46221</v>
      </c>
      <c r="B120" s="46">
        <v>0.95833333333333337</v>
      </c>
      <c r="C120" s="82"/>
      <c r="D120" s="83"/>
      <c r="E120" s="2"/>
      <c r="F120" s="75" t="s">
        <v>4</v>
      </c>
      <c r="G120" s="1"/>
      <c r="H120" s="16">
        <v>11.2</v>
      </c>
      <c r="I120" s="32">
        <f t="shared" si="429"/>
        <v>0</v>
      </c>
      <c r="J120" s="47"/>
      <c r="K120" s="48" t="s">
        <v>4</v>
      </c>
      <c r="L120" s="49"/>
      <c r="M120" s="8"/>
      <c r="N120" s="42" t="str">
        <f t="shared" si="430"/>
        <v/>
      </c>
      <c r="O120" s="43">
        <f t="shared" si="431"/>
        <v>0</v>
      </c>
      <c r="Q120" s="38"/>
      <c r="R120" s="44" t="s">
        <v>4</v>
      </c>
      <c r="S120" s="40"/>
      <c r="T120" s="8"/>
      <c r="U120" s="42" t="str">
        <f t="shared" ref="U120" si="1000">IF(OR($G120="",S120=""),"",IF(AND($E120=Q120,$G120=S120),$H120*1.5,IF(AND($I120&gt;0,V120&gt;0),$H120,IF(AND($I120&lt;0,V120&lt;0),$H120,IF(AND($I120=0,V120=0),$H120,0)))))</f>
        <v/>
      </c>
      <c r="V120" s="43">
        <f t="shared" ref="V120" si="1001">Q120-S120</f>
        <v>0</v>
      </c>
      <c r="W120" s="8"/>
      <c r="X120" s="38"/>
      <c r="Y120" s="44" t="s">
        <v>4</v>
      </c>
      <c r="Z120" s="40"/>
      <c r="AA120" s="8"/>
      <c r="AB120" s="42" t="str">
        <f t="shared" ref="AB120" si="1002">IF(OR($G120="",Z120=""),"",IF(AND($E120=X120,$G120=Z120),$H120*1.5,IF(AND($I120&gt;0,AC120&gt;0),$H120,IF(AND($I120&lt;0,AC120&lt;0),$H120,IF(AND($I120=0,AC120=0),$H120,0)))))</f>
        <v/>
      </c>
      <c r="AC120" s="43">
        <f t="shared" ref="AC120" si="1003">X120-Z120</f>
        <v>0</v>
      </c>
      <c r="AD120" s="8"/>
      <c r="AE120" s="38"/>
      <c r="AF120" s="44" t="s">
        <v>4</v>
      </c>
      <c r="AG120" s="40"/>
      <c r="AH120" s="8"/>
      <c r="AI120" s="42" t="str">
        <f t="shared" ref="AI120" si="1004">IF(OR($G120="",AG120=""),"",IF(AND($E120=AE120,$G120=AG120),$H120*1.5,IF(AND($I120&gt;0,AJ120&gt;0),$H120,IF(AND($I120&lt;0,AJ120&lt;0),$H120,IF(AND($I120=0,AJ120=0),$H120,0)))))</f>
        <v/>
      </c>
      <c r="AJ120" s="43">
        <f t="shared" ref="AJ120" si="1005">AE120-AG120</f>
        <v>0</v>
      </c>
      <c r="AK120" s="8"/>
      <c r="AL120" s="38"/>
      <c r="AM120" s="44" t="s">
        <v>4</v>
      </c>
      <c r="AN120" s="40"/>
      <c r="AO120" s="8"/>
      <c r="AP120" s="42" t="str">
        <f t="shared" ref="AP120" si="1006">IF(OR($G120="",AN120=""),"",IF(AND($E120=AL120,$G120=AN120),$H120*1.5,IF(AND($I120&gt;0,AQ120&gt;0),$H120,IF(AND($I120&lt;0,AQ120&lt;0),$H120,IF(AND($I120=0,AQ120=0),$H120,0)))))</f>
        <v/>
      </c>
      <c r="AQ120" s="43">
        <f t="shared" ref="AQ120" si="1007">AL120-AN120</f>
        <v>0</v>
      </c>
      <c r="AR120" s="8"/>
      <c r="AS120" s="38"/>
      <c r="AT120" s="44" t="s">
        <v>4</v>
      </c>
      <c r="AU120" s="40"/>
      <c r="AV120" s="8"/>
      <c r="AW120" s="42" t="str">
        <f t="shared" ref="AW120" si="1008">IF(OR($G120="",AU120=""),"",IF(AND($E120=AS120,$G120=AU120),$H120*1.5,IF(AND($I120&gt;0,AX120&gt;0),$H120,IF(AND($I120&lt;0,AX120&lt;0),$H120,IF(AND($I120=0,AX120=0),$H120,0)))))</f>
        <v/>
      </c>
      <c r="AX120" s="43">
        <f t="shared" ref="AX120" si="1009">AS120-AU120</f>
        <v>0</v>
      </c>
      <c r="AY120" s="8"/>
      <c r="AZ120" s="38"/>
      <c r="BA120" s="44" t="s">
        <v>4</v>
      </c>
      <c r="BB120" s="40"/>
      <c r="BC120" s="8"/>
      <c r="BD120" s="42" t="str">
        <f t="shared" ref="BD120" si="1010">IF(OR($G120="",BB120=""),"",IF(AND($E120=AZ120,$G120=BB120),$H120*1.5,IF(AND($I120&gt;0,BE120&gt;0),$H120,IF(AND($I120&lt;0,BE120&lt;0),$H120,IF(AND($I120=0,BE120=0),$H120,0)))))</f>
        <v/>
      </c>
      <c r="BE120" s="43">
        <f t="shared" ref="BE120" si="1011">AZ120-BB120</f>
        <v>0</v>
      </c>
      <c r="BF120" s="8"/>
      <c r="BG120" s="38"/>
      <c r="BH120" s="44" t="s">
        <v>4</v>
      </c>
      <c r="BI120" s="40"/>
      <c r="BJ120" s="8"/>
      <c r="BK120" s="42" t="str">
        <f t="shared" ref="BK120" si="1012">IF(OR($G120="",BI120=""),"",IF(AND($E120=BG120,$G120=BI120),$H120*1.5,IF(AND($I120&gt;0,BL120&gt;0),$H120,IF(AND($I120&lt;0,BL120&lt;0),$H120,IF(AND($I120=0,BL120=0),$H120,0)))))</f>
        <v/>
      </c>
      <c r="BL120" s="43">
        <f t="shared" ref="BL120" si="1013">BG120-BI120</f>
        <v>0</v>
      </c>
      <c r="BM120" s="8"/>
      <c r="BN120" s="38"/>
      <c r="BO120" s="44" t="s">
        <v>4</v>
      </c>
      <c r="BP120" s="40"/>
      <c r="BQ120" s="8"/>
      <c r="BR120" s="42" t="str">
        <f t="shared" ref="BR120" si="1014">IF(OR($G120="",BP120=""),"",IF(AND($E120=BN120,$G120=BP120),$H120*1.5,IF(AND($I120&gt;0,BS120&gt;0),$H120,IF(AND($I120&lt;0,BS120&lt;0),$H120,IF(AND($I120=0,BS120=0),$H120,0)))))</f>
        <v/>
      </c>
      <c r="BS120" s="43">
        <f t="shared" ref="BS120" si="1015">BN120-BP120</f>
        <v>0</v>
      </c>
      <c r="BT120" s="8"/>
      <c r="BU120" s="38"/>
      <c r="BV120" s="44" t="s">
        <v>4</v>
      </c>
      <c r="BW120" s="40"/>
      <c r="BX120" s="8"/>
      <c r="BY120" s="42" t="str">
        <f t="shared" ref="BY120" si="1016">IF(OR($G120="",BW120=""),"",IF(AND($E120=BU120,$G120=BW120),$H120*1.5,IF(AND($I120&gt;0,BZ120&gt;0),$H120,IF(AND($I120&lt;0,BZ120&lt;0),$H120,IF(AND($I120=0,BZ120=0),$H120,0)))))</f>
        <v/>
      </c>
      <c r="BZ120" s="43">
        <f t="shared" ref="BZ120" si="1017">BU120-BW120</f>
        <v>0</v>
      </c>
      <c r="CA120" s="8"/>
      <c r="CB120" s="38"/>
      <c r="CC120" s="44" t="s">
        <v>4</v>
      </c>
      <c r="CD120" s="40"/>
      <c r="CE120" s="8"/>
      <c r="CF120" s="42" t="str">
        <f t="shared" ref="CF120" si="1018">IF(OR($G120="",CD120=""),"",IF(AND($E120=CB120,$G120=CD120),$H120*1.5,IF(AND($I120&gt;0,CG120&gt;0),$H120,IF(AND($I120&lt;0,CG120&lt;0),$H120,IF(AND($I120=0,CG120=0),$H120,0)))))</f>
        <v/>
      </c>
      <c r="CG120" s="43">
        <f t="shared" ref="CG120" si="1019">CB120-CD120</f>
        <v>0</v>
      </c>
      <c r="CH120" s="8"/>
      <c r="CI120" s="38"/>
      <c r="CJ120" s="44" t="s">
        <v>4</v>
      </c>
      <c r="CK120" s="40"/>
      <c r="CL120" s="8"/>
      <c r="CM120" s="42" t="str">
        <f t="shared" ref="CM120" si="1020">IF(OR($G120="",CK120=""),"",IF(AND($E120=CI120,$G120=CK120),$H120*1.5,IF(AND($I120&gt;0,CN120&gt;0),$H120,IF(AND($I120&lt;0,CN120&lt;0),$H120,IF(AND($I120=0,CN120=0),$H120,0)))))</f>
        <v/>
      </c>
      <c r="CN120" s="43">
        <f t="shared" ref="CN120" si="1021">CI120-CK120</f>
        <v>0</v>
      </c>
      <c r="CO120" s="8"/>
      <c r="CP120" s="38"/>
      <c r="CQ120" s="44" t="s">
        <v>4</v>
      </c>
      <c r="CR120" s="40"/>
      <c r="CS120" s="8"/>
      <c r="CT120" s="42" t="str">
        <f t="shared" ref="CT120" si="1022">IF(OR($G120="",CR120=""),"",IF(AND($E120=CP120,$G120=CR120),$H120*1.5,IF(AND($I120&gt;0,CU120&gt;0),$H120,IF(AND($I120&lt;0,CU120&lt;0),$H120,IF(AND($I120=0,CU120=0),$H120,0)))))</f>
        <v/>
      </c>
      <c r="CU120" s="43">
        <f t="shared" ref="CU120" si="1023">CP120-CR120</f>
        <v>0</v>
      </c>
      <c r="CV120" s="8"/>
      <c r="CW120" s="38"/>
      <c r="CX120" s="44" t="s">
        <v>4</v>
      </c>
      <c r="CY120" s="40"/>
      <c r="CZ120" s="8"/>
      <c r="DA120" s="42" t="str">
        <f t="shared" ref="DA120" si="1024">IF(OR($G120="",CY120=""),"",IF(AND($E120=CW120,$G120=CY120),$H120*1.5,IF(AND($I120&gt;0,DB120&gt;0),$H120,IF(AND($I120&lt;0,DB120&lt;0),$H120,IF(AND($I120=0,DB120=0),$H120,0)))))</f>
        <v/>
      </c>
      <c r="DB120" s="43">
        <f t="shared" ref="DB120" si="1025">CW120-CY120</f>
        <v>0</v>
      </c>
      <c r="DC120" s="8"/>
      <c r="DD120" s="38"/>
      <c r="DE120" s="44" t="s">
        <v>4</v>
      </c>
      <c r="DF120" s="40"/>
      <c r="DG120" s="8"/>
      <c r="DH120" s="42" t="str">
        <f t="shared" ref="DH120" si="1026">IF(OR($G120="",DF120=""),"",IF(AND($E120=DD120,$G120=DF120),$H120*1.5,IF(AND($I120&gt;0,DI120&gt;0),$H120,IF(AND($I120&lt;0,DI120&lt;0),$H120,IF(AND($I120=0,DI120=0),$H120,0)))))</f>
        <v/>
      </c>
      <c r="DI120" s="43">
        <f t="shared" ref="DI120" si="1027">DD120-DF120</f>
        <v>0</v>
      </c>
      <c r="DJ120" s="8"/>
      <c r="DK120" s="38"/>
      <c r="DL120" s="44" t="s">
        <v>4</v>
      </c>
      <c r="DM120" s="40"/>
      <c r="DN120" s="8"/>
      <c r="DO120" s="42" t="str">
        <f t="shared" ref="DO120" si="1028">IF(OR($G120="",DM120=""),"",IF(AND($E120=DK120,$G120=DM120),$H120*1.5,IF(AND($I120&gt;0,DP120&gt;0),$H120,IF(AND($I120&lt;0,DP120&lt;0),$H120,IF(AND($I120=0,DP120=0),$H120,0)))))</f>
        <v/>
      </c>
      <c r="DP120" s="43">
        <f t="shared" ref="DP120" si="1029">DK120-DM120</f>
        <v>0</v>
      </c>
      <c r="DQ120" s="8"/>
      <c r="DR120" s="38"/>
      <c r="DS120" s="44" t="s">
        <v>4</v>
      </c>
      <c r="DT120" s="40"/>
      <c r="DU120" s="8"/>
      <c r="DV120" s="42" t="str">
        <f t="shared" ref="DV120" si="1030">IF(OR($G120="",DT120=""),"",IF(AND($E120=DR120,$G120=DT120),$H120*1.5,IF(AND($I120&gt;0,DW120&gt;0),$H120,IF(AND($I120&lt;0,DW120&lt;0),$H120,IF(AND($I120=0,DW120=0),$H120,0)))))</f>
        <v/>
      </c>
      <c r="DW120" s="43">
        <f t="shared" ref="DW120" si="1031">DR120-DT120</f>
        <v>0</v>
      </c>
      <c r="DX120" s="8"/>
      <c r="DY120" s="38"/>
      <c r="DZ120" s="44" t="s">
        <v>4</v>
      </c>
      <c r="EA120" s="40"/>
      <c r="EB120" s="8"/>
      <c r="EC120" s="42" t="str">
        <f t="shared" ref="EC120" si="1032">IF(OR($G120="",EA120=""),"",IF(AND($E120=DY120,$G120=EA120),$H120*1.5,IF(AND($I120&gt;0,ED120&gt;0),$H120,IF(AND($I120&lt;0,ED120&lt;0),$H120,IF(AND($I120=0,ED120=0),$H120,0)))))</f>
        <v/>
      </c>
      <c r="ED120" s="43">
        <f t="shared" ref="ED120" si="1033">DY120-EA120</f>
        <v>0</v>
      </c>
      <c r="EE120" s="8"/>
      <c r="EF120" s="38"/>
      <c r="EG120" s="44" t="s">
        <v>4</v>
      </c>
      <c r="EH120" s="40"/>
      <c r="EI120" s="8"/>
      <c r="EJ120" s="42" t="str">
        <f t="shared" ref="EJ120" si="1034">IF(OR($G120="",EH120=""),"",IF(AND($E120=EF120,$G120=EH120),$H120*1.5,IF(AND($I120&gt;0,EK120&gt;0),$H120,IF(AND($I120&lt;0,EK120&lt;0),$H120,IF(AND($I120=0,EK120=0),$H120,0)))))</f>
        <v/>
      </c>
      <c r="EK120" s="43">
        <f t="shared" ref="EK120" si="1035">EF120-EH120</f>
        <v>0</v>
      </c>
      <c r="EL120" s="8"/>
      <c r="EM120" s="38"/>
      <c r="EN120" s="44" t="s">
        <v>4</v>
      </c>
      <c r="EO120" s="40"/>
      <c r="EP120" s="8"/>
      <c r="EQ120" s="42" t="str">
        <f t="shared" ref="EQ120" si="1036">IF(OR($G120="",EO120=""),"",IF(AND($E120=EM120,$G120=EO120),$H120*1.5,IF(AND($I120&gt;0,ER120&gt;0),$H120,IF(AND($I120&lt;0,ER120&lt;0),$H120,IF(AND($I120=0,ER120=0),$H120,0)))))</f>
        <v/>
      </c>
      <c r="ER120" s="43">
        <f t="shared" ref="ER120" si="1037">EM120-EO120</f>
        <v>0</v>
      </c>
      <c r="ES120" s="8"/>
      <c r="ET120" s="38"/>
      <c r="EU120" s="44" t="s">
        <v>4</v>
      </c>
      <c r="EV120" s="40"/>
      <c r="EW120" s="8"/>
      <c r="EX120" s="42" t="str">
        <f t="shared" ref="EX120" si="1038">IF(OR($G120="",EV120=""),"",IF(AND($E120=ET120,$G120=EV120),$H120*1.5,IF(AND($I120&gt;0,EY120&gt;0),$H120,IF(AND($I120&lt;0,EY120&lt;0),$H120,IF(AND($I120=0,EY120=0),$H120,0)))))</f>
        <v/>
      </c>
      <c r="EY120" s="43">
        <f t="shared" ref="EY120" si="1039">ET120-EV120</f>
        <v>0</v>
      </c>
      <c r="EZ120" s="8"/>
      <c r="FA120" s="38"/>
      <c r="FB120" s="44" t="s">
        <v>4</v>
      </c>
      <c r="FC120" s="40"/>
      <c r="FD120" s="8"/>
      <c r="FE120" s="42" t="str">
        <f t="shared" ref="FE120" si="1040">IF(OR($G120="",FC120=""),"",IF(AND($E120=FA120,$G120=FC120),$H120*1.5,IF(AND($I120&gt;0,FF120&gt;0),$H120,IF(AND($I120&lt;0,FF120&lt;0),$H120,IF(AND($I120=0,FF120=0),$H120,0)))))</f>
        <v/>
      </c>
      <c r="FF120" s="43">
        <f t="shared" ref="FF120" si="1041">FA120-FC120</f>
        <v>0</v>
      </c>
      <c r="FG120" s="8"/>
      <c r="FH120" s="38"/>
      <c r="FI120" s="44" t="s">
        <v>4</v>
      </c>
      <c r="FJ120" s="40"/>
      <c r="FK120" s="8"/>
      <c r="FL120" s="42" t="str">
        <f t="shared" ref="FL120" si="1042">IF(OR($G120="",FJ120=""),"",IF(AND($E120=FH120,$G120=FJ120),$H120*1.5,IF(AND($I120&gt;0,FM120&gt;0),$H120,IF(AND($I120&lt;0,FM120&lt;0),$H120,IF(AND($I120=0,FM120=0),$H120,0)))))</f>
        <v/>
      </c>
      <c r="FM120" s="43">
        <f t="shared" ref="FM120" si="1043">FH120-FJ120</f>
        <v>0</v>
      </c>
      <c r="FN120" s="8"/>
      <c r="FO120" s="38"/>
      <c r="FP120" s="44" t="s">
        <v>4</v>
      </c>
      <c r="FQ120" s="40"/>
      <c r="FR120" s="8"/>
      <c r="FS120" s="42" t="str">
        <f t="shared" ref="FS120" si="1044">IF(OR($G120="",FQ120=""),"",IF(AND($E120=FO120,$G120=FQ120),$H120*1.5,IF(AND($I120&gt;0,FT120&gt;0),$H120,IF(AND($I120&lt;0,FT120&lt;0),$H120,IF(AND($I120=0,FT120=0),$H120,0)))))</f>
        <v/>
      </c>
      <c r="FT120" s="43">
        <f t="shared" ref="FT120" si="1045">FO120-FQ120</f>
        <v>0</v>
      </c>
      <c r="FU120" s="8"/>
      <c r="FV120" s="38"/>
      <c r="FW120" s="44" t="s">
        <v>4</v>
      </c>
      <c r="FX120" s="40"/>
      <c r="FY120" s="8"/>
      <c r="FZ120" s="42" t="str">
        <f t="shared" ref="FZ120" si="1046">IF(OR($G120="",FX120=""),"",IF(AND($E120=FV120,$G120=FX120),$H120*1.5,IF(AND($I120&gt;0,GA120&gt;0),$H120,IF(AND($I120&lt;0,GA120&lt;0),$H120,IF(AND($I120=0,GA120=0),$H120,0)))))</f>
        <v/>
      </c>
      <c r="GA120" s="43">
        <f t="shared" ref="GA120" si="1047">FV120-FX120</f>
        <v>0</v>
      </c>
      <c r="GB120" s="8"/>
      <c r="GC120" s="38"/>
      <c r="GD120" s="44" t="s">
        <v>4</v>
      </c>
      <c r="GE120" s="40"/>
      <c r="GF120" s="8"/>
      <c r="GG120" s="42" t="str">
        <f t="shared" ref="GG120" si="1048">IF(OR($G120="",GE120=""),"",IF(AND($E120=GC120,$G120=GE120),$H120*1.5,IF(AND($I120&gt;0,GH120&gt;0),$H120,IF(AND($I120&lt;0,GH120&lt;0),$H120,IF(AND($I120=0,GH120=0),$H120,0)))))</f>
        <v/>
      </c>
      <c r="GH120" s="43">
        <f t="shared" ref="GH120" si="1049">GC120-GE120</f>
        <v>0</v>
      </c>
      <c r="GI120" s="8"/>
      <c r="GJ120" s="38"/>
      <c r="GK120" s="44" t="s">
        <v>4</v>
      </c>
      <c r="GL120" s="40"/>
      <c r="GM120" s="8"/>
      <c r="GN120" s="42" t="str">
        <f t="shared" ref="GN120" si="1050">IF(OR($G120="",GL120=""),"",IF(AND($E120=GJ120,$G120=GL120),$H120*1.5,IF(AND($I120&gt;0,GO120&gt;0),$H120,IF(AND($I120&lt;0,GO120&lt;0),$H120,IF(AND($I120=0,GO120=0),$H120,0)))))</f>
        <v/>
      </c>
      <c r="GO120" s="43">
        <f t="shared" ref="GO120" si="1051">GJ120-GL120</f>
        <v>0</v>
      </c>
      <c r="GP120" s="8"/>
      <c r="GQ120" s="38"/>
      <c r="GR120" s="44" t="s">
        <v>4</v>
      </c>
      <c r="GS120" s="40"/>
      <c r="GT120" s="8"/>
      <c r="GU120" s="42" t="str">
        <f t="shared" ref="GU120" si="1052">IF(OR($G120="",GS120=""),"",IF(AND($E120=GQ120,$G120=GS120),$H120*1.5,IF(AND($I120&gt;0,GV120&gt;0),$H120,IF(AND($I120&lt;0,GV120&lt;0),$H120,IF(AND($I120=0,GV120=0),$H120,0)))))</f>
        <v/>
      </c>
      <c r="GV120" s="43">
        <f t="shared" ref="GV120" si="1053">GQ120-GS120</f>
        <v>0</v>
      </c>
      <c r="GW120" s="8"/>
      <c r="GX120" s="38"/>
      <c r="GY120" s="44" t="s">
        <v>4</v>
      </c>
      <c r="GZ120" s="40"/>
      <c r="HA120" s="8"/>
      <c r="HB120" s="42" t="str">
        <f t="shared" ref="HB120" si="1054">IF(OR($G120="",GZ120=""),"",IF(AND($E120=GX120,$G120=GZ120),$H120*1.5,IF(AND($I120&gt;0,HC120&gt;0),$H120,IF(AND($I120&lt;0,HC120&lt;0),$H120,IF(AND($I120=0,HC120=0),$H120,0)))))</f>
        <v/>
      </c>
      <c r="HC120" s="43">
        <f t="shared" ref="HC120" si="1055">GX120-GZ120</f>
        <v>0</v>
      </c>
      <c r="HD120" s="8"/>
      <c r="HE120" s="38"/>
      <c r="HF120" s="44" t="s">
        <v>4</v>
      </c>
      <c r="HG120" s="40"/>
      <c r="HH120" s="8"/>
      <c r="HI120" s="42" t="str">
        <f t="shared" ref="HI120" si="1056">IF(OR($G120="",HG120=""),"",IF(AND($E120=HE120,$G120=HG120),$H120*1.5,IF(AND($I120&gt;0,HJ120&gt;0),$H120,IF(AND($I120&lt;0,HJ120&lt;0),$H120,IF(AND($I120=0,HJ120=0),$H120,0)))))</f>
        <v/>
      </c>
      <c r="HJ120" s="43">
        <f t="shared" ref="HJ120" si="1057">HE120-HG120</f>
        <v>0</v>
      </c>
      <c r="HK120" s="8"/>
      <c r="HL120" s="38"/>
      <c r="HM120" s="44" t="s">
        <v>4</v>
      </c>
      <c r="HN120" s="40"/>
      <c r="HO120" s="8"/>
      <c r="HP120" s="42" t="str">
        <f t="shared" ref="HP120" si="1058">IF(OR($G120="",HN120=""),"",IF(AND($E120=HL120,$G120=HN120),$H120*1.5,IF(AND($I120&gt;0,HQ120&gt;0),$H120,IF(AND($I120&lt;0,HQ120&lt;0),$H120,IF(AND($I120=0,HQ120=0),$H120,0)))))</f>
        <v/>
      </c>
      <c r="HQ120" s="43">
        <f t="shared" ref="HQ120" si="1059">HL120-HN120</f>
        <v>0</v>
      </c>
      <c r="HR120" s="8"/>
      <c r="HS120" s="38"/>
      <c r="HT120" s="44" t="s">
        <v>4</v>
      </c>
      <c r="HU120" s="40"/>
      <c r="HV120" s="8"/>
      <c r="HW120" s="42" t="str">
        <f t="shared" ref="HW120" si="1060">IF(OR($G120="",HU120=""),"",IF(AND($E120=HS120,$G120=HU120),$H120*1.5,IF(AND($I120&gt;0,HX120&gt;0),$H120,IF(AND($I120&lt;0,HX120&lt;0),$H120,IF(AND($I120=0,HX120=0),$H120,0)))))</f>
        <v/>
      </c>
      <c r="HX120" s="43">
        <f t="shared" ref="HX120" si="1061">HS120-HU120</f>
        <v>0</v>
      </c>
      <c r="HY120" s="8"/>
      <c r="HZ120" s="38"/>
      <c r="IA120" s="44" t="s">
        <v>4</v>
      </c>
      <c r="IB120" s="40"/>
      <c r="IC120" s="8"/>
      <c r="ID120" s="42" t="str">
        <f t="shared" ref="ID120" si="1062">IF(OR($G120="",IB120=""),"",IF(AND($E120=HZ120,$G120=IB120),$H120*1.5,IF(AND($I120&gt;0,IE120&gt;0),$H120,IF(AND($I120&lt;0,IE120&lt;0),$H120,IF(AND($I120=0,IE120=0),$H120,0)))))</f>
        <v/>
      </c>
      <c r="IE120" s="43">
        <f t="shared" ref="IE120" si="1063">HZ120-IB120</f>
        <v>0</v>
      </c>
      <c r="IF120" s="8"/>
      <c r="IG120" s="38"/>
      <c r="IH120" s="44" t="s">
        <v>4</v>
      </c>
      <c r="II120" s="40"/>
      <c r="IJ120" s="8"/>
      <c r="IK120" s="42" t="str">
        <f t="shared" ref="IK120" si="1064">IF(OR($G120="",II120=""),"",IF(AND($E120=IG120,$G120=II120),$H120*1.5,IF(AND($I120&gt;0,IL120&gt;0),$H120,IF(AND($I120&lt;0,IL120&lt;0),$H120,IF(AND($I120=0,IL120=0),$H120,0)))))</f>
        <v/>
      </c>
      <c r="IL120" s="43">
        <f t="shared" ref="IL120" si="1065">IG120-II120</f>
        <v>0</v>
      </c>
      <c r="IM120" s="8"/>
      <c r="IN120" s="38"/>
      <c r="IO120" s="44" t="s">
        <v>4</v>
      </c>
      <c r="IP120" s="40"/>
      <c r="IQ120" s="8"/>
      <c r="IR120" s="42" t="str">
        <f t="shared" ref="IR120" si="1066">IF(OR($G120="",IP120=""),"",IF(AND($E120=IN120,$G120=IP120),$H120*1.5,IF(AND($I120&gt;0,IS120&gt;0),$H120,IF(AND($I120&lt;0,IS120&lt;0),$H120,IF(AND($I120=0,IS120=0),$H120,0)))))</f>
        <v/>
      </c>
      <c r="IS120" s="43">
        <f t="shared" ref="IS120" si="1067">IN120-IP120</f>
        <v>0</v>
      </c>
      <c r="IT120" s="8"/>
      <c r="IU120" s="38"/>
      <c r="IV120" s="44" t="s">
        <v>4</v>
      </c>
      <c r="IW120" s="40"/>
      <c r="IX120" s="8"/>
      <c r="IY120" s="42" t="str">
        <f t="shared" ref="IY120" si="1068">IF(OR($G120="",IW120=""),"",IF(AND($E120=IU120,$G120=IW120),$H120*1.5,IF(AND($I120&gt;0,IZ120&gt;0),$H120,IF(AND($I120&lt;0,IZ120&lt;0),$H120,IF(AND($I120=0,IZ120=0),$H120,0)))))</f>
        <v/>
      </c>
      <c r="IZ120" s="43">
        <f t="shared" ref="IZ120" si="1069">IU120-IW120</f>
        <v>0</v>
      </c>
      <c r="JA120" s="8"/>
      <c r="JB120" s="38"/>
      <c r="JC120" s="44" t="s">
        <v>4</v>
      </c>
      <c r="JD120" s="40"/>
      <c r="JE120" s="8"/>
      <c r="JF120" s="42" t="str">
        <f t="shared" ref="JF120" si="1070">IF(OR($G120="",JD120=""),"",IF(AND($E120=JB120,$G120=JD120),$H120*1.5,IF(AND($I120&gt;0,JG120&gt;0),$H120,IF(AND($I120&lt;0,JG120&lt;0),$H120,IF(AND($I120=0,JG120=0),$H120,0)))))</f>
        <v/>
      </c>
      <c r="JG120" s="43">
        <f t="shared" ref="JG120" si="1071">JB120-JD120</f>
        <v>0</v>
      </c>
      <c r="JH120" s="8"/>
      <c r="JI120" s="38"/>
      <c r="JJ120" s="44" t="s">
        <v>4</v>
      </c>
      <c r="JK120" s="40"/>
      <c r="JL120" s="8"/>
      <c r="JM120" s="42" t="str">
        <f t="shared" ref="JM120" si="1072">IF(OR($G120="",JK120=""),"",IF(AND($E120=JI120,$G120=JK120),$H120*1.5,IF(AND($I120&gt;0,JN120&gt;0),$H120,IF(AND($I120&lt;0,JN120&lt;0),$H120,IF(AND($I120=0,JN120=0),$H120,0)))))</f>
        <v/>
      </c>
      <c r="JN120" s="43">
        <f t="shared" ref="JN120" si="1073">JI120-JK120</f>
        <v>0</v>
      </c>
      <c r="JO120" s="8"/>
      <c r="JP120" s="38"/>
      <c r="JQ120" s="44" t="s">
        <v>4</v>
      </c>
      <c r="JR120" s="40"/>
      <c r="JS120" s="8"/>
      <c r="JT120" s="42" t="str">
        <f t="shared" ref="JT120" si="1074">IF(OR($G120="",JR120=""),"",IF(AND($E120=JP120,$G120=JR120),$H120*1.5,IF(AND($I120&gt;0,JU120&gt;0),$H120,IF(AND($I120&lt;0,JU120&lt;0),$H120,IF(AND($I120=0,JU120=0),$H120,0)))))</f>
        <v/>
      </c>
      <c r="JU120" s="43">
        <f t="shared" ref="JU120" si="1075">JP120-JR120</f>
        <v>0</v>
      </c>
      <c r="JV120" s="8"/>
      <c r="JW120" s="38"/>
      <c r="JX120" s="44" t="s">
        <v>4</v>
      </c>
      <c r="JY120" s="40"/>
      <c r="JZ120" s="8"/>
      <c r="KA120" s="42" t="str">
        <f t="shared" ref="KA120" si="1076">IF(OR($G120="",JY120=""),"",IF(AND($E120=JW120,$G120=JY120),$H120*1.5,IF(AND($I120&gt;0,KB120&gt;0),$H120,IF(AND($I120&lt;0,KB120&lt;0),$H120,IF(AND($I120=0,KB120=0),$H120,0)))))</f>
        <v/>
      </c>
      <c r="KB120" s="43">
        <f t="shared" ref="KB120" si="1077">JW120-JY120</f>
        <v>0</v>
      </c>
      <c r="KC120" s="8"/>
      <c r="KD120" s="38"/>
      <c r="KE120" s="44" t="s">
        <v>4</v>
      </c>
      <c r="KF120" s="40"/>
      <c r="KG120" s="8"/>
      <c r="KH120" s="42" t="str">
        <f t="shared" ref="KH120" si="1078">IF(OR($G120="",KF120=""),"",IF(AND($E120=KD120,$G120=KF120),$H120*1.5,IF(AND($I120&gt;0,KI120&gt;0),$H120,IF(AND($I120&lt;0,KI120&lt;0),$H120,IF(AND($I120=0,KI120=0),$H120,0)))))</f>
        <v/>
      </c>
      <c r="KI120" s="43">
        <f t="shared" ref="KI120" si="1079">KD120-KF120</f>
        <v>0</v>
      </c>
      <c r="KJ120" s="8"/>
      <c r="KK120" s="38"/>
      <c r="KL120" s="44" t="s">
        <v>4</v>
      </c>
      <c r="KM120" s="40"/>
      <c r="KN120" s="8"/>
      <c r="KO120" s="42" t="str">
        <f t="shared" ref="KO120" si="1080">IF(OR($G120="",KM120=""),"",IF(AND($E120=KK120,$G120=KM120),$H120*1.5,IF(AND($I120&gt;0,KP120&gt;0),$H120,IF(AND($I120&lt;0,KP120&lt;0),$H120,IF(AND($I120=0,KP120=0),$H120,0)))))</f>
        <v/>
      </c>
      <c r="KP120" s="43">
        <f t="shared" ref="KP120" si="1081">KK120-KM120</f>
        <v>0</v>
      </c>
      <c r="KQ120" s="8"/>
      <c r="KR120" s="38"/>
      <c r="KS120" s="44" t="s">
        <v>4</v>
      </c>
      <c r="KT120" s="40"/>
      <c r="KU120" s="8"/>
      <c r="KV120" s="42" t="str">
        <f t="shared" ref="KV120" si="1082">IF(OR($G120="",KT120=""),"",IF(AND($E120=KR120,$G120=KT120),$H120*1.5,IF(AND($I120&gt;0,KW120&gt;0),$H120,IF(AND($I120&lt;0,KW120&lt;0),$H120,IF(AND($I120=0,KW120=0),$H120,0)))))</f>
        <v/>
      </c>
      <c r="KW120" s="43">
        <f t="shared" ref="KW120" si="1083">KR120-KT120</f>
        <v>0</v>
      </c>
      <c r="KX120" s="8"/>
      <c r="KY120" s="38"/>
      <c r="KZ120" s="44" t="s">
        <v>4</v>
      </c>
      <c r="LA120" s="40"/>
      <c r="LB120" s="8"/>
      <c r="LC120" s="42" t="str">
        <f t="shared" ref="LC120" si="1084">IF(OR($G120="",LA120=""),"",IF(AND($E120=KY120,$G120=LA120),$H120*1.5,IF(AND($I120&gt;0,LD120&gt;0),$H120,IF(AND($I120&lt;0,LD120&lt;0),$H120,IF(AND($I120=0,LD120=0),$H120,0)))))</f>
        <v/>
      </c>
      <c r="LD120" s="43">
        <f t="shared" ref="LD120" si="1085">KY120-LA120</f>
        <v>0</v>
      </c>
      <c r="LE120" s="8"/>
      <c r="LF120" s="38"/>
      <c r="LG120" s="44" t="s">
        <v>4</v>
      </c>
      <c r="LH120" s="40"/>
      <c r="LI120" s="8"/>
      <c r="LJ120" s="42" t="str">
        <f t="shared" ref="LJ120" si="1086">IF(OR($G120="",LH120=""),"",IF(AND($E120=LF120,$G120=LH120),$H120*1.5,IF(AND($I120&gt;0,LK120&gt;0),$H120,IF(AND($I120&lt;0,LK120&lt;0),$H120,IF(AND($I120=0,LK120=0),$H120,0)))))</f>
        <v/>
      </c>
      <c r="LK120" s="43">
        <f t="shared" ref="LK120" si="1087">LF120-LH120</f>
        <v>0</v>
      </c>
      <c r="LL120" s="8"/>
      <c r="LM120" s="38"/>
      <c r="LN120" s="44" t="s">
        <v>4</v>
      </c>
      <c r="LO120" s="40"/>
      <c r="LP120" s="8"/>
      <c r="LQ120" s="42" t="str">
        <f t="shared" ref="LQ120" si="1088">IF(OR($G120="",LO120=""),"",IF(AND($E120=LM120,$G120=LO120),$H120*1.5,IF(AND($I120&gt;0,LR120&gt;0),$H120,IF(AND($I120&lt;0,LR120&lt;0),$H120,IF(AND($I120=0,LR120=0),$H120,0)))))</f>
        <v/>
      </c>
      <c r="LR120" s="43">
        <f t="shared" ref="LR120" si="1089">LM120-LO120</f>
        <v>0</v>
      </c>
      <c r="LS120" s="8"/>
      <c r="LT120" s="38"/>
      <c r="LU120" s="44" t="s">
        <v>4</v>
      </c>
      <c r="LV120" s="40"/>
      <c r="LW120" s="8"/>
      <c r="LX120" s="42" t="str">
        <f t="shared" ref="LX120" si="1090">IF(OR($G120="",LV120=""),"",IF(AND($E120=LT120,$G120=LV120),$H120*1.5,IF(AND($I120&gt;0,LY120&gt;0),$H120,IF(AND($I120&lt;0,LY120&lt;0),$H120,IF(AND($I120=0,LY120=0),$H120,0)))))</f>
        <v/>
      </c>
      <c r="LY120" s="43">
        <f t="shared" ref="LY120" si="1091">LT120-LV120</f>
        <v>0</v>
      </c>
      <c r="LZ120" s="8"/>
      <c r="MA120" s="38"/>
      <c r="MB120" s="44" t="s">
        <v>4</v>
      </c>
      <c r="MC120" s="40"/>
      <c r="MD120" s="8"/>
      <c r="ME120" s="42" t="str">
        <f t="shared" ref="ME120" si="1092">IF(OR($G120="",MC120=""),"",IF(AND($E120=MA120,$G120=MC120),$H120*1.5,IF(AND($I120&gt;0,MF120&gt;0),$H120,IF(AND($I120&lt;0,MF120&lt;0),$H120,IF(AND($I120=0,MF120=0),$H120,0)))))</f>
        <v/>
      </c>
      <c r="MF120" s="43">
        <f t="shared" ref="MF120" si="1093">MA120-MC120</f>
        <v>0</v>
      </c>
      <c r="MG120" s="8"/>
      <c r="MH120" s="38"/>
      <c r="MI120" s="44" t="s">
        <v>4</v>
      </c>
      <c r="MJ120" s="40"/>
      <c r="MK120" s="8"/>
      <c r="ML120" s="42" t="str">
        <f t="shared" ref="ML120" si="1094">IF(OR($G120="",MJ120=""),"",IF(AND($E120=MH120,$G120=MJ120),$H120*1.5,IF(AND($I120&gt;0,MM120&gt;0),$H120,IF(AND($I120&lt;0,MM120&lt;0),$H120,IF(AND($I120=0,MM120=0),$H120,0)))))</f>
        <v/>
      </c>
      <c r="MM120" s="43">
        <f t="shared" ref="MM120" si="1095">MH120-MJ120</f>
        <v>0</v>
      </c>
      <c r="MN120" s="8"/>
      <c r="MO120" s="38"/>
      <c r="MP120" s="44" t="s">
        <v>4</v>
      </c>
      <c r="MQ120" s="40"/>
      <c r="MR120" s="8"/>
      <c r="MS120" s="42" t="str">
        <f t="shared" ref="MS120" si="1096">IF(OR($G120="",MQ120=""),"",IF(AND($E120=MO120,$G120=MQ120),$H120*1.5,IF(AND($I120&gt;0,MT120&gt;0),$H120,IF(AND($I120&lt;0,MT120&lt;0),$H120,IF(AND($I120=0,MT120=0),$H120,0)))))</f>
        <v/>
      </c>
      <c r="MT120" s="43">
        <f t="shared" ref="MT120" si="1097">MO120-MQ120</f>
        <v>0</v>
      </c>
      <c r="MU120" s="8"/>
      <c r="MV120" s="38"/>
      <c r="MW120" s="44" t="s">
        <v>4</v>
      </c>
      <c r="MX120" s="40"/>
      <c r="MY120" s="8"/>
      <c r="MZ120" s="42" t="str">
        <f t="shared" ref="MZ120" si="1098">IF(OR($G120="",MX120=""),"",IF(AND($E120=MV120,$G120=MX120),$H120*1.5,IF(AND($I120&gt;0,NA120&gt;0),$H120,IF(AND($I120&lt;0,NA120&lt;0),$H120,IF(AND($I120=0,NA120=0),$H120,0)))))</f>
        <v/>
      </c>
      <c r="NA120" s="43">
        <f t="shared" ref="NA120" si="1099">MV120-MX120</f>
        <v>0</v>
      </c>
      <c r="NB120" s="8"/>
      <c r="NC120" s="38"/>
      <c r="ND120" s="44" t="s">
        <v>4</v>
      </c>
      <c r="NE120" s="40"/>
      <c r="NF120" s="8"/>
      <c r="NG120" s="42" t="str">
        <f t="shared" ref="NG120" si="1100">IF(OR($G120="",NE120=""),"",IF(AND($E120=NC120,$G120=NE120),$H120*1.5,IF(AND($I120&gt;0,NH120&gt;0),$H120,IF(AND($I120&lt;0,NH120&lt;0),$H120,IF(AND($I120=0,NH120=0),$H120,0)))))</f>
        <v/>
      </c>
      <c r="NH120" s="43">
        <f t="shared" ref="NH120" si="1101">NC120-NE120</f>
        <v>0</v>
      </c>
      <c r="NI120" s="8"/>
      <c r="NJ120" s="38"/>
      <c r="NK120" s="44" t="s">
        <v>4</v>
      </c>
      <c r="NL120" s="40"/>
      <c r="NM120" s="8"/>
      <c r="NN120" s="42" t="str">
        <f t="shared" ref="NN120" si="1102">IF(OR($G120="",NL120=""),"",IF(AND($E120=NJ120,$G120=NL120),$H120*1.5,IF(AND($I120&gt;0,NO120&gt;0),$H120,IF(AND($I120&lt;0,NO120&lt;0),$H120,IF(AND($I120=0,NO120=0),$H120,0)))))</f>
        <v/>
      </c>
      <c r="NO120" s="43">
        <f t="shared" ref="NO120" si="1103">NJ120-NL120</f>
        <v>0</v>
      </c>
      <c r="NP120" s="8"/>
      <c r="NQ120" s="38"/>
      <c r="NR120" s="44" t="s">
        <v>4</v>
      </c>
      <c r="NS120" s="40"/>
      <c r="NT120" s="8"/>
      <c r="NU120" s="42" t="str">
        <f t="shared" ref="NU120" si="1104">IF(OR($G120="",NS120=""),"",IF(AND($E120=NQ120,$G120=NS120),$H120*1.5,IF(AND($I120&gt;0,NV120&gt;0),$H120,IF(AND($I120&lt;0,NV120&lt;0),$H120,IF(AND($I120=0,NV120=0),$H120,0)))))</f>
        <v/>
      </c>
      <c r="NV120" s="43">
        <f t="shared" ref="NV120" si="1105">NQ120-NS120</f>
        <v>0</v>
      </c>
      <c r="NW120" s="8"/>
      <c r="NX120" s="38"/>
      <c r="NY120" s="44" t="s">
        <v>4</v>
      </c>
      <c r="NZ120" s="40"/>
      <c r="OA120" s="8"/>
      <c r="OB120" s="42" t="str">
        <f t="shared" ref="OB120" si="1106">IF(OR($G120="",NZ120=""),"",IF(AND($E120=NX120,$G120=NZ120),$H120*1.5,IF(AND($I120&gt;0,OC120&gt;0),$H120,IF(AND($I120&lt;0,OC120&lt;0),$H120,IF(AND($I120=0,OC120=0),$H120,0)))))</f>
        <v/>
      </c>
      <c r="OC120" s="43">
        <f t="shared" ref="OC120" si="1107">NX120-NZ120</f>
        <v>0</v>
      </c>
      <c r="OD120" s="8"/>
      <c r="OE120" s="38"/>
      <c r="OF120" s="44" t="s">
        <v>4</v>
      </c>
      <c r="OG120" s="40"/>
      <c r="OH120" s="8"/>
      <c r="OI120" s="42" t="str">
        <f t="shared" ref="OI120" si="1108">IF(OR($G120="",OG120=""),"",IF(AND($E120=OE120,$G120=OG120),$H120*1.5,IF(AND($I120&gt;0,OJ120&gt;0),$H120,IF(AND($I120&lt;0,OJ120&lt;0),$H120,IF(AND($I120=0,OJ120=0),$H120,0)))))</f>
        <v/>
      </c>
      <c r="OJ120" s="43">
        <f t="shared" ref="OJ120" si="1109">OE120-OG120</f>
        <v>0</v>
      </c>
      <c r="OK120" s="8"/>
      <c r="OL120" s="38"/>
      <c r="OM120" s="44" t="s">
        <v>4</v>
      </c>
      <c r="ON120" s="40"/>
      <c r="OO120" s="8"/>
      <c r="OP120" s="42" t="str">
        <f t="shared" ref="OP120" si="1110">IF(OR($G120="",ON120=""),"",IF(AND($E120=OL120,$G120=ON120),$H120*1.5,IF(AND($I120&gt;0,OQ120&gt;0),$H120,IF(AND($I120&lt;0,OQ120&lt;0),$H120,IF(AND($I120=0,OQ120=0),$H120,0)))))</f>
        <v/>
      </c>
      <c r="OQ120" s="43">
        <f t="shared" ref="OQ120" si="1111">OL120-ON120</f>
        <v>0</v>
      </c>
      <c r="OR120" s="8"/>
      <c r="OS120" s="38"/>
      <c r="OT120" s="44" t="s">
        <v>4</v>
      </c>
      <c r="OU120" s="40"/>
      <c r="OV120" s="8"/>
      <c r="OW120" s="42" t="str">
        <f t="shared" ref="OW120" si="1112">IF(OR($G120="",OU120=""),"",IF(AND($E120=OS120,$G120=OU120),$H120*1.5,IF(AND($I120&gt;0,OX120&gt;0),$H120,IF(AND($I120&lt;0,OX120&lt;0),$H120,IF(AND($I120=0,OX120=0),$H120,0)))))</f>
        <v/>
      </c>
      <c r="OX120" s="43">
        <f t="shared" ref="OX120" si="1113">OS120-OU120</f>
        <v>0</v>
      </c>
      <c r="OY120" s="8"/>
      <c r="OZ120" s="38"/>
      <c r="PA120" s="44" t="s">
        <v>4</v>
      </c>
      <c r="PB120" s="40"/>
      <c r="PC120" s="8"/>
      <c r="PD120" s="42" t="str">
        <f t="shared" ref="PD120" si="1114">IF(OR($G120="",PB120=""),"",IF(AND($E120=OZ120,$G120=PB120),$H120*1.5,IF(AND($I120&gt;0,PE120&gt;0),$H120,IF(AND($I120&lt;0,PE120&lt;0),$H120,IF(AND($I120=0,PE120=0),$H120,0)))))</f>
        <v/>
      </c>
      <c r="PE120" s="43">
        <f t="shared" ref="PE120" si="1115">OZ120-PB120</f>
        <v>0</v>
      </c>
      <c r="PF120" s="8"/>
      <c r="PG120" s="38"/>
      <c r="PH120" s="44" t="s">
        <v>4</v>
      </c>
      <c r="PI120" s="40"/>
      <c r="PJ120" s="8"/>
      <c r="PK120" s="42" t="str">
        <f t="shared" ref="PK120" si="1116">IF(OR($G120="",PI120=""),"",IF(AND($E120=PG120,$G120=PI120),$H120*1.5,IF(AND($I120&gt;0,PL120&gt;0),$H120,IF(AND($I120&lt;0,PL120&lt;0),$H120,IF(AND($I120=0,PL120=0),$H120,0)))))</f>
        <v/>
      </c>
      <c r="PL120" s="43">
        <f t="shared" ref="PL120" si="1117">PG120-PI120</f>
        <v>0</v>
      </c>
      <c r="PM120" s="8"/>
      <c r="PN120" s="38"/>
      <c r="PO120" s="44" t="s">
        <v>4</v>
      </c>
      <c r="PP120" s="40"/>
      <c r="PQ120" s="8"/>
      <c r="PR120" s="42" t="str">
        <f t="shared" ref="PR120" si="1118">IF(OR($G120="",PP120=""),"",IF(AND($E120=PN120,$G120=PP120),$H120*1.5,IF(AND($I120&gt;0,PS120&gt;0),$H120,IF(AND($I120&lt;0,PS120&lt;0),$H120,IF(AND($I120=0,PS120=0),$H120,0)))))</f>
        <v/>
      </c>
      <c r="PS120" s="43">
        <f t="shared" ref="PS120" si="1119">PN120-PP120</f>
        <v>0</v>
      </c>
      <c r="PT120" s="8"/>
      <c r="PU120" s="38"/>
      <c r="PV120" s="44" t="s">
        <v>4</v>
      </c>
      <c r="PW120" s="40"/>
      <c r="PX120" s="8"/>
      <c r="PY120" s="42" t="str">
        <f t="shared" ref="PY120" si="1120">IF(OR($G120="",PW120=""),"",IF(AND($E120=PU120,$G120=PW120),$H120*1.5,IF(AND($I120&gt;0,PZ120&gt;0),$H120,IF(AND($I120&lt;0,PZ120&lt;0),$H120,IF(AND($I120=0,PZ120=0),$H120,0)))))</f>
        <v/>
      </c>
      <c r="PZ120" s="43">
        <f t="shared" ref="PZ120" si="1121">PU120-PW120</f>
        <v>0</v>
      </c>
      <c r="QA120" s="8"/>
      <c r="QB120" s="38"/>
      <c r="QC120" s="44" t="s">
        <v>4</v>
      </c>
      <c r="QD120" s="40"/>
      <c r="QE120" s="8"/>
      <c r="QF120" s="42" t="str">
        <f t="shared" ref="QF120" si="1122">IF(OR($G120="",QD120=""),"",IF(AND($E120=QB120,$G120=QD120),$H120*1.5,IF(AND($I120&gt;0,QG120&gt;0),$H120,IF(AND($I120&lt;0,QG120&lt;0),$H120,IF(AND($I120=0,QG120=0),$H120,0)))))</f>
        <v/>
      </c>
      <c r="QG120" s="43">
        <f t="shared" ref="QG120" si="1123">QB120-QD120</f>
        <v>0</v>
      </c>
      <c r="QH120" s="8"/>
      <c r="QI120" s="38"/>
      <c r="QJ120" s="44" t="s">
        <v>4</v>
      </c>
      <c r="QK120" s="40"/>
      <c r="QL120" s="8"/>
      <c r="QM120" s="42" t="str">
        <f t="shared" ref="QM120" si="1124">IF(OR($G120="",QK120=""),"",IF(AND($E120=QI120,$G120=QK120),$H120*1.5,IF(AND($I120&gt;0,QN120&gt;0),$H120,IF(AND($I120&lt;0,QN120&lt;0),$H120,IF(AND($I120=0,QN120=0),$H120,0)))))</f>
        <v/>
      </c>
      <c r="QN120" s="43">
        <f t="shared" ref="QN120" si="1125">QI120-QK120</f>
        <v>0</v>
      </c>
      <c r="QO120" s="8"/>
      <c r="QP120" s="38"/>
      <c r="QQ120" s="44" t="s">
        <v>4</v>
      </c>
      <c r="QR120" s="40"/>
      <c r="QS120" s="8"/>
      <c r="QT120" s="42" t="str">
        <f t="shared" ref="QT120" si="1126">IF(OR($G120="",QR120=""),"",IF(AND($E120=QP120,$G120=QR120),$H120*1.5,IF(AND($I120&gt;0,QU120&gt;0),$H120,IF(AND($I120&lt;0,QU120&lt;0),$H120,IF(AND($I120=0,QU120=0),$H120,0)))))</f>
        <v/>
      </c>
      <c r="QU120" s="43">
        <f t="shared" ref="QU120" si="1127">QP120-QR120</f>
        <v>0</v>
      </c>
      <c r="QV120" s="8"/>
      <c r="QW120" s="38"/>
      <c r="QX120" s="44" t="s">
        <v>4</v>
      </c>
      <c r="QY120" s="40"/>
      <c r="QZ120" s="8"/>
      <c r="RA120" s="42" t="str">
        <f t="shared" ref="RA120" si="1128">IF(OR($G120="",QY120=""),"",IF(AND($E120=QW120,$G120=QY120),$H120*1.5,IF(AND($I120&gt;0,RB120&gt;0),$H120,IF(AND($I120&lt;0,RB120&lt;0),$H120,IF(AND($I120=0,RB120=0),$H120,0)))))</f>
        <v/>
      </c>
      <c r="RB120" s="43">
        <f t="shared" ref="RB120" si="1129">QW120-QY120</f>
        <v>0</v>
      </c>
      <c r="RC120" s="8"/>
      <c r="RD120" s="38"/>
      <c r="RE120" s="44" t="s">
        <v>4</v>
      </c>
      <c r="RF120" s="40"/>
      <c r="RG120" s="8"/>
      <c r="RH120" s="42" t="str">
        <f t="shared" ref="RH120" si="1130">IF(OR($G120="",RF120=""),"",IF(AND($E120=RD120,$G120=RF120),$H120*1.5,IF(AND($I120&gt;0,RI120&gt;0),$H120,IF(AND($I120&lt;0,RI120&lt;0),$H120,IF(AND($I120=0,RI120=0),$H120,0)))))</f>
        <v/>
      </c>
      <c r="RI120" s="43">
        <f t="shared" ref="RI120" si="1131">RD120-RF120</f>
        <v>0</v>
      </c>
      <c r="RJ120" s="8"/>
      <c r="RK120" s="38"/>
      <c r="RL120" s="44" t="s">
        <v>4</v>
      </c>
      <c r="RM120" s="40"/>
      <c r="RN120" s="8"/>
      <c r="RO120" s="42" t="str">
        <f t="shared" ref="RO120" si="1132">IF(OR($G120="",RM120=""),"",IF(AND($E120=RK120,$G120=RM120),$H120*1.5,IF(AND($I120&gt;0,RP120&gt;0),$H120,IF(AND($I120&lt;0,RP120&lt;0),$H120,IF(AND($I120=0,RP120=0),$H120,0)))))</f>
        <v/>
      </c>
      <c r="RP120" s="43">
        <f t="shared" ref="RP120" si="1133">RK120-RM120</f>
        <v>0</v>
      </c>
      <c r="RQ120" s="8"/>
      <c r="RR120" s="38"/>
      <c r="RS120" s="44" t="s">
        <v>4</v>
      </c>
      <c r="RT120" s="40"/>
      <c r="RU120" s="8"/>
      <c r="RV120" s="42" t="str">
        <f t="shared" ref="RV120" si="1134">IF(OR($G120="",RT120=""),"",IF(AND($E120=RR120,$G120=RT120),$H120*1.5,IF(AND($I120&gt;0,RW120&gt;0),$H120,IF(AND($I120&lt;0,RW120&lt;0),$H120,IF(AND($I120=0,RW120=0),$H120,0)))))</f>
        <v/>
      </c>
      <c r="RW120" s="43">
        <f t="shared" ref="RW120" si="1135">RR120-RT120</f>
        <v>0</v>
      </c>
      <c r="RX120" s="8"/>
      <c r="RY120" s="38"/>
      <c r="RZ120" s="44" t="s">
        <v>4</v>
      </c>
      <c r="SA120" s="40"/>
      <c r="SB120" s="8"/>
      <c r="SC120" s="42" t="str">
        <f t="shared" ref="SC120" si="1136">IF(OR($G120="",SA120=""),"",IF(AND($E120=RY120,$G120=SA120),$H120*1.5,IF(AND($I120&gt;0,SD120&gt;0),$H120,IF(AND($I120&lt;0,SD120&lt;0),$H120,IF(AND($I120=0,SD120=0),$H120,0)))))</f>
        <v/>
      </c>
      <c r="SD120" s="43">
        <f t="shared" ref="SD120" si="1137">RY120-SA120</f>
        <v>0</v>
      </c>
      <c r="SE120" s="8"/>
      <c r="SF120" s="38"/>
      <c r="SG120" s="44" t="s">
        <v>4</v>
      </c>
      <c r="SH120" s="40"/>
      <c r="SI120" s="8"/>
      <c r="SJ120" s="42" t="str">
        <f t="shared" ref="SJ120" si="1138">IF(OR($G120="",SH120=""),"",IF(AND($E120=SF120,$G120=SH120),$H120*1.5,IF(AND($I120&gt;0,SK120&gt;0),$H120,IF(AND($I120&lt;0,SK120&lt;0),$H120,IF(AND($I120=0,SK120=0),$H120,0)))))</f>
        <v/>
      </c>
      <c r="SK120" s="43">
        <f t="shared" ref="SK120" si="1139">SF120-SH120</f>
        <v>0</v>
      </c>
      <c r="SL120" s="8"/>
      <c r="SM120" s="38"/>
      <c r="SN120" s="44" t="s">
        <v>4</v>
      </c>
      <c r="SO120" s="40"/>
      <c r="SP120" s="8"/>
      <c r="SQ120" s="42" t="str">
        <f t="shared" ref="SQ120" si="1140">IF(OR($G120="",SO120=""),"",IF(AND($E120=SM120,$G120=SO120),$H120*1.5,IF(AND($I120&gt;0,SR120&gt;0),$H120,IF(AND($I120&lt;0,SR120&lt;0),$H120,IF(AND($I120=0,SR120=0),$H120,0)))))</f>
        <v/>
      </c>
      <c r="SR120" s="43">
        <f t="shared" ref="SR120" si="1141">SM120-SO120</f>
        <v>0</v>
      </c>
    </row>
    <row r="121" spans="1:512" ht="16" customHeight="1" x14ac:dyDescent="0.15">
      <c r="A121" s="83"/>
      <c r="B121" s="46"/>
      <c r="C121" s="79"/>
      <c r="D121" s="79"/>
      <c r="H121" s="8"/>
      <c r="I121" s="32"/>
      <c r="J121" s="47"/>
      <c r="K121" s="48"/>
      <c r="L121" s="49"/>
      <c r="M121" s="8"/>
      <c r="N121" s="42"/>
      <c r="O121" s="43"/>
      <c r="Q121" s="47"/>
      <c r="R121" s="48"/>
      <c r="S121" s="49"/>
      <c r="T121" s="8"/>
      <c r="U121" s="42"/>
      <c r="V121" s="43"/>
      <c r="W121" s="8"/>
      <c r="X121" s="47"/>
      <c r="Y121" s="48"/>
      <c r="Z121" s="49"/>
      <c r="AA121" s="8"/>
      <c r="AB121" s="42"/>
      <c r="AC121" s="43"/>
      <c r="AD121" s="8"/>
      <c r="AE121" s="47"/>
      <c r="AF121" s="48"/>
      <c r="AG121" s="49"/>
      <c r="AH121" s="8"/>
      <c r="AI121" s="42"/>
      <c r="AJ121" s="43"/>
      <c r="AK121" s="8"/>
      <c r="AL121" s="47"/>
      <c r="AM121" s="48"/>
      <c r="AN121" s="49"/>
      <c r="AO121" s="8"/>
      <c r="AP121" s="42"/>
      <c r="AQ121" s="43"/>
      <c r="AR121" s="8"/>
      <c r="AS121" s="47"/>
      <c r="AT121" s="48"/>
      <c r="AU121" s="49"/>
      <c r="AV121" s="8"/>
      <c r="AW121" s="42"/>
      <c r="AX121" s="43"/>
      <c r="AY121" s="8"/>
      <c r="AZ121" s="47"/>
      <c r="BA121" s="48"/>
      <c r="BB121" s="49"/>
      <c r="BC121" s="8"/>
      <c r="BD121" s="42"/>
      <c r="BE121" s="43"/>
      <c r="BF121" s="8"/>
      <c r="BG121" s="47"/>
      <c r="BH121" s="48"/>
      <c r="BI121" s="49"/>
      <c r="BJ121" s="8"/>
      <c r="BK121" s="42"/>
      <c r="BL121" s="43"/>
      <c r="BM121" s="8"/>
      <c r="BN121" s="47"/>
      <c r="BO121" s="48"/>
      <c r="BP121" s="49"/>
      <c r="BQ121" s="8"/>
      <c r="BR121" s="42"/>
      <c r="BS121" s="43"/>
      <c r="BT121" s="8"/>
      <c r="BU121" s="47"/>
      <c r="BV121" s="48"/>
      <c r="BW121" s="49"/>
      <c r="BX121" s="8"/>
      <c r="BY121" s="42"/>
      <c r="BZ121" s="43"/>
      <c r="CA121" s="8"/>
      <c r="CB121" s="47"/>
      <c r="CC121" s="48"/>
      <c r="CD121" s="49"/>
      <c r="CE121" s="8"/>
      <c r="CF121" s="42"/>
      <c r="CG121" s="43"/>
      <c r="CH121" s="8"/>
      <c r="CI121" s="47"/>
      <c r="CJ121" s="48"/>
      <c r="CK121" s="49"/>
      <c r="CL121" s="8"/>
      <c r="CM121" s="42"/>
      <c r="CN121" s="43"/>
      <c r="CO121" s="8"/>
      <c r="CP121" s="47"/>
      <c r="CQ121" s="48"/>
      <c r="CR121" s="49"/>
      <c r="CS121" s="8"/>
      <c r="CT121" s="42"/>
      <c r="CU121" s="43"/>
      <c r="CV121" s="8"/>
      <c r="CW121" s="47"/>
      <c r="CX121" s="48"/>
      <c r="CY121" s="49"/>
      <c r="CZ121" s="8"/>
      <c r="DA121" s="42"/>
      <c r="DB121" s="43"/>
      <c r="DC121" s="8"/>
      <c r="DD121" s="47"/>
      <c r="DE121" s="48"/>
      <c r="DF121" s="49"/>
      <c r="DG121" s="8"/>
      <c r="DH121" s="42"/>
      <c r="DI121" s="43"/>
      <c r="DJ121" s="8"/>
      <c r="DK121" s="47"/>
      <c r="DL121" s="48"/>
      <c r="DM121" s="49"/>
      <c r="DN121" s="8"/>
      <c r="DO121" s="42"/>
      <c r="DP121" s="43"/>
      <c r="DQ121" s="8"/>
      <c r="DR121" s="47"/>
      <c r="DS121" s="48"/>
      <c r="DT121" s="49"/>
      <c r="DU121" s="8"/>
      <c r="DV121" s="42"/>
      <c r="DW121" s="43"/>
      <c r="DX121" s="8"/>
      <c r="DY121" s="47"/>
      <c r="DZ121" s="48"/>
      <c r="EA121" s="49"/>
      <c r="EB121" s="8"/>
      <c r="EC121" s="42"/>
      <c r="ED121" s="43"/>
      <c r="EE121" s="8"/>
      <c r="EF121" s="47"/>
      <c r="EG121" s="48"/>
      <c r="EH121" s="49"/>
      <c r="EI121" s="8"/>
      <c r="EJ121" s="42"/>
      <c r="EK121" s="43"/>
      <c r="EL121" s="8"/>
      <c r="EM121" s="47"/>
      <c r="EN121" s="48"/>
      <c r="EO121" s="49"/>
      <c r="EP121" s="8"/>
      <c r="EQ121" s="42"/>
      <c r="ER121" s="43"/>
      <c r="ES121" s="8"/>
      <c r="ET121" s="47"/>
      <c r="EU121" s="48"/>
      <c r="EV121" s="49"/>
      <c r="EW121" s="8"/>
      <c r="EX121" s="42"/>
      <c r="EY121" s="43"/>
      <c r="EZ121" s="8"/>
      <c r="FA121" s="47"/>
      <c r="FB121" s="48"/>
      <c r="FC121" s="49"/>
      <c r="FD121" s="8"/>
      <c r="FE121" s="42"/>
      <c r="FF121" s="43"/>
      <c r="FG121" s="8"/>
      <c r="FH121" s="47"/>
      <c r="FI121" s="48"/>
      <c r="FJ121" s="49"/>
      <c r="FK121" s="8"/>
      <c r="FL121" s="42"/>
      <c r="FM121" s="43"/>
      <c r="FN121" s="8"/>
      <c r="FO121" s="47"/>
      <c r="FP121" s="48"/>
      <c r="FQ121" s="49"/>
      <c r="FR121" s="8"/>
      <c r="FS121" s="42"/>
      <c r="FT121" s="43"/>
      <c r="FU121" s="8"/>
      <c r="FV121" s="47"/>
      <c r="FW121" s="48"/>
      <c r="FX121" s="49"/>
      <c r="FY121" s="8"/>
      <c r="FZ121" s="42"/>
      <c r="GA121" s="43"/>
      <c r="GB121" s="8"/>
      <c r="GC121" s="47"/>
      <c r="GD121" s="48"/>
      <c r="GE121" s="49"/>
      <c r="GF121" s="8"/>
      <c r="GG121" s="42"/>
      <c r="GH121" s="43"/>
      <c r="GI121" s="8"/>
      <c r="GJ121" s="47"/>
      <c r="GK121" s="48"/>
      <c r="GL121" s="49"/>
      <c r="GM121" s="8"/>
      <c r="GN121" s="42"/>
      <c r="GO121" s="43"/>
      <c r="GP121" s="8"/>
      <c r="GQ121" s="47"/>
      <c r="GR121" s="48"/>
      <c r="GS121" s="49"/>
      <c r="GT121" s="8"/>
      <c r="GU121" s="42"/>
      <c r="GV121" s="43"/>
      <c r="GW121" s="8"/>
      <c r="GX121" s="47"/>
      <c r="GY121" s="48"/>
      <c r="GZ121" s="49"/>
      <c r="HA121" s="8"/>
      <c r="HB121" s="42"/>
      <c r="HC121" s="43"/>
      <c r="HD121" s="8"/>
      <c r="HE121" s="47"/>
      <c r="HF121" s="48"/>
      <c r="HG121" s="49"/>
      <c r="HH121" s="8"/>
      <c r="HI121" s="42"/>
      <c r="HJ121" s="43"/>
      <c r="HK121" s="8"/>
      <c r="HL121" s="47"/>
      <c r="HM121" s="48"/>
      <c r="HN121" s="49"/>
      <c r="HO121" s="8"/>
      <c r="HP121" s="42"/>
      <c r="HQ121" s="43"/>
      <c r="HR121" s="8"/>
      <c r="HS121" s="47"/>
      <c r="HT121" s="48"/>
      <c r="HU121" s="49"/>
      <c r="HV121" s="8"/>
      <c r="HW121" s="42"/>
      <c r="HX121" s="43"/>
      <c r="HY121" s="8"/>
      <c r="HZ121" s="47"/>
      <c r="IA121" s="48"/>
      <c r="IB121" s="49"/>
      <c r="IC121" s="8"/>
      <c r="ID121" s="42"/>
      <c r="IE121" s="43"/>
      <c r="IF121" s="8"/>
      <c r="IG121" s="47"/>
      <c r="IH121" s="48"/>
      <c r="II121" s="49"/>
      <c r="IJ121" s="8"/>
      <c r="IK121" s="42"/>
      <c r="IL121" s="43"/>
      <c r="IM121" s="8"/>
      <c r="IN121" s="47"/>
      <c r="IO121" s="48"/>
      <c r="IP121" s="49"/>
      <c r="IQ121" s="8"/>
      <c r="IR121" s="42"/>
      <c r="IS121" s="43"/>
      <c r="IT121" s="8"/>
      <c r="IU121" s="47"/>
      <c r="IV121" s="48"/>
      <c r="IW121" s="49"/>
      <c r="IX121" s="8"/>
      <c r="IY121" s="42"/>
      <c r="IZ121" s="43"/>
      <c r="JA121" s="8"/>
      <c r="JB121" s="47"/>
      <c r="JC121" s="48"/>
      <c r="JD121" s="49"/>
      <c r="JE121" s="8"/>
      <c r="JF121" s="42"/>
      <c r="JG121" s="43"/>
      <c r="JH121" s="8"/>
      <c r="JI121" s="47"/>
      <c r="JJ121" s="48"/>
      <c r="JK121" s="49"/>
      <c r="JL121" s="8"/>
      <c r="JM121" s="42"/>
      <c r="JN121" s="43"/>
      <c r="JO121" s="8"/>
      <c r="JP121" s="47"/>
      <c r="JQ121" s="48"/>
      <c r="JR121" s="49"/>
      <c r="JS121" s="8"/>
      <c r="JT121" s="42"/>
      <c r="JU121" s="43"/>
      <c r="JV121" s="8"/>
      <c r="JW121" s="47"/>
      <c r="JX121" s="48"/>
      <c r="JY121" s="49"/>
      <c r="JZ121" s="8"/>
      <c r="KA121" s="42"/>
      <c r="KB121" s="43"/>
      <c r="KC121" s="8"/>
      <c r="KD121" s="47"/>
      <c r="KE121" s="48"/>
      <c r="KF121" s="49"/>
      <c r="KG121" s="8"/>
      <c r="KH121" s="42"/>
      <c r="KI121" s="43"/>
      <c r="KJ121" s="8"/>
      <c r="KK121" s="47"/>
      <c r="KL121" s="48"/>
      <c r="KM121" s="49"/>
      <c r="KN121" s="8"/>
      <c r="KO121" s="42"/>
      <c r="KP121" s="43"/>
      <c r="KQ121" s="8"/>
      <c r="KR121" s="47"/>
      <c r="KS121" s="48"/>
      <c r="KT121" s="49"/>
      <c r="KU121" s="8"/>
      <c r="KV121" s="42"/>
      <c r="KW121" s="43"/>
      <c r="KX121" s="8"/>
      <c r="KY121" s="47"/>
      <c r="KZ121" s="48"/>
      <c r="LA121" s="49"/>
      <c r="LB121" s="8"/>
      <c r="LC121" s="42"/>
      <c r="LD121" s="43"/>
      <c r="LE121" s="8"/>
      <c r="LF121" s="47"/>
      <c r="LG121" s="48"/>
      <c r="LH121" s="49"/>
      <c r="LI121" s="8"/>
      <c r="LJ121" s="42"/>
      <c r="LK121" s="43"/>
      <c r="LL121" s="8"/>
      <c r="LM121" s="47"/>
      <c r="LN121" s="48"/>
      <c r="LO121" s="49"/>
      <c r="LP121" s="8"/>
      <c r="LQ121" s="42"/>
      <c r="LR121" s="43"/>
      <c r="LS121" s="8"/>
      <c r="LT121" s="47"/>
      <c r="LU121" s="48"/>
      <c r="LV121" s="49"/>
      <c r="LW121" s="8"/>
      <c r="LX121" s="42"/>
      <c r="LY121" s="43"/>
      <c r="LZ121" s="8"/>
      <c r="MA121" s="47"/>
      <c r="MB121" s="48"/>
      <c r="MC121" s="49"/>
      <c r="MD121" s="8"/>
      <c r="ME121" s="42"/>
      <c r="MF121" s="43"/>
      <c r="MG121" s="8"/>
      <c r="MH121" s="47"/>
      <c r="MI121" s="48"/>
      <c r="MJ121" s="49"/>
      <c r="MK121" s="8"/>
      <c r="ML121" s="42"/>
      <c r="MM121" s="43"/>
      <c r="MN121" s="8"/>
      <c r="MO121" s="47"/>
      <c r="MP121" s="48"/>
      <c r="MQ121" s="49"/>
      <c r="MR121" s="8"/>
      <c r="MS121" s="42"/>
      <c r="MT121" s="43"/>
      <c r="MU121" s="8"/>
      <c r="MV121" s="47"/>
      <c r="MW121" s="48"/>
      <c r="MX121" s="49"/>
      <c r="MY121" s="8"/>
      <c r="MZ121" s="42"/>
      <c r="NA121" s="43"/>
      <c r="NB121" s="8"/>
      <c r="NC121" s="47"/>
      <c r="ND121" s="48"/>
      <c r="NE121" s="49"/>
      <c r="NF121" s="8"/>
      <c r="NG121" s="42"/>
      <c r="NH121" s="43"/>
      <c r="NI121" s="8"/>
      <c r="NJ121" s="47"/>
      <c r="NK121" s="48"/>
      <c r="NL121" s="49"/>
      <c r="NM121" s="8"/>
      <c r="NN121" s="42"/>
      <c r="NO121" s="43"/>
      <c r="NP121" s="8"/>
      <c r="NQ121" s="47"/>
      <c r="NR121" s="48"/>
      <c r="NS121" s="49"/>
      <c r="NT121" s="8"/>
      <c r="NU121" s="42"/>
      <c r="NV121" s="43"/>
      <c r="NW121" s="8"/>
      <c r="NX121" s="47"/>
      <c r="NY121" s="48"/>
      <c r="NZ121" s="49"/>
      <c r="OA121" s="8"/>
      <c r="OB121" s="42"/>
      <c r="OC121" s="43"/>
      <c r="OD121" s="8"/>
      <c r="OE121" s="47"/>
      <c r="OF121" s="48"/>
      <c r="OG121" s="49"/>
      <c r="OH121" s="8"/>
      <c r="OI121" s="42"/>
      <c r="OJ121" s="43"/>
      <c r="OK121" s="8"/>
      <c r="OL121" s="47"/>
      <c r="OM121" s="48"/>
      <c r="ON121" s="49"/>
      <c r="OO121" s="8"/>
      <c r="OP121" s="42"/>
      <c r="OQ121" s="43"/>
      <c r="OR121" s="8"/>
      <c r="OS121" s="47"/>
      <c r="OT121" s="48"/>
      <c r="OU121" s="49"/>
      <c r="OV121" s="8"/>
      <c r="OW121" s="42"/>
      <c r="OX121" s="43"/>
      <c r="OY121" s="8"/>
      <c r="OZ121" s="47"/>
      <c r="PA121" s="48"/>
      <c r="PB121" s="49"/>
      <c r="PC121" s="8"/>
      <c r="PD121" s="42"/>
      <c r="PE121" s="43"/>
      <c r="PF121" s="8"/>
      <c r="PG121" s="47"/>
      <c r="PH121" s="48"/>
      <c r="PI121" s="49"/>
      <c r="PJ121" s="8"/>
      <c r="PK121" s="42"/>
      <c r="PL121" s="43"/>
      <c r="PM121" s="8"/>
      <c r="PN121" s="47"/>
      <c r="PO121" s="48"/>
      <c r="PP121" s="49"/>
      <c r="PQ121" s="8"/>
      <c r="PR121" s="42"/>
      <c r="PS121" s="43"/>
      <c r="PT121" s="8"/>
      <c r="PU121" s="47"/>
      <c r="PV121" s="48"/>
      <c r="PW121" s="49"/>
      <c r="PX121" s="8"/>
      <c r="PY121" s="42"/>
      <c r="PZ121" s="43"/>
      <c r="QA121" s="8"/>
      <c r="QB121" s="47"/>
      <c r="QC121" s="48"/>
      <c r="QD121" s="49"/>
      <c r="QE121" s="8"/>
      <c r="QF121" s="42"/>
      <c r="QG121" s="43"/>
      <c r="QH121" s="8"/>
      <c r="QI121" s="47"/>
      <c r="QJ121" s="48"/>
      <c r="QK121" s="49"/>
      <c r="QL121" s="8"/>
      <c r="QM121" s="42"/>
      <c r="QN121" s="43"/>
      <c r="QO121" s="8"/>
      <c r="QP121" s="47"/>
      <c r="QQ121" s="48"/>
      <c r="QR121" s="49"/>
      <c r="QS121" s="8"/>
      <c r="QT121" s="42"/>
      <c r="QU121" s="43"/>
      <c r="QV121" s="8"/>
      <c r="QW121" s="47"/>
      <c r="QX121" s="48"/>
      <c r="QY121" s="49"/>
      <c r="QZ121" s="8"/>
      <c r="RA121" s="42"/>
      <c r="RB121" s="43"/>
      <c r="RC121" s="8"/>
      <c r="RD121" s="47"/>
      <c r="RE121" s="48"/>
      <c r="RF121" s="49"/>
      <c r="RG121" s="8"/>
      <c r="RH121" s="42"/>
      <c r="RI121" s="43"/>
      <c r="RJ121" s="8"/>
      <c r="RK121" s="47"/>
      <c r="RL121" s="48"/>
      <c r="RM121" s="49"/>
      <c r="RN121" s="8"/>
      <c r="RO121" s="42"/>
      <c r="RP121" s="43"/>
      <c r="RQ121" s="8"/>
      <c r="RR121" s="47"/>
      <c r="RS121" s="48"/>
      <c r="RT121" s="49"/>
      <c r="RU121" s="8"/>
      <c r="RV121" s="42"/>
      <c r="RW121" s="43"/>
      <c r="RX121" s="8"/>
      <c r="RY121" s="47"/>
      <c r="RZ121" s="48"/>
      <c r="SA121" s="49"/>
      <c r="SB121" s="8"/>
      <c r="SC121" s="42"/>
      <c r="SD121" s="43"/>
      <c r="SE121" s="8"/>
      <c r="SF121" s="47"/>
      <c r="SG121" s="48"/>
      <c r="SH121" s="49"/>
      <c r="SI121" s="8"/>
      <c r="SJ121" s="42"/>
      <c r="SK121" s="43"/>
      <c r="SL121" s="8"/>
      <c r="SM121" s="47"/>
      <c r="SN121" s="48"/>
      <c r="SO121" s="49"/>
      <c r="SP121" s="8"/>
      <c r="SQ121" s="42"/>
      <c r="SR121" s="43"/>
    </row>
    <row r="122" spans="1:512" ht="16" customHeight="1" x14ac:dyDescent="0.15">
      <c r="A122" s="84" t="s">
        <v>13</v>
      </c>
      <c r="B122" s="46"/>
      <c r="C122" s="79"/>
      <c r="D122" s="79"/>
      <c r="E122" s="5"/>
      <c r="H122" s="8"/>
      <c r="I122" s="32"/>
      <c r="J122" s="8"/>
      <c r="K122" s="8"/>
      <c r="L122" s="8"/>
      <c r="M122" s="8"/>
      <c r="N122" s="42"/>
      <c r="O122" s="43"/>
      <c r="Q122" s="47"/>
      <c r="R122" s="48"/>
      <c r="S122" s="49"/>
      <c r="T122" s="8"/>
      <c r="U122" s="42"/>
      <c r="V122" s="43"/>
      <c r="W122" s="8"/>
      <c r="X122" s="47"/>
      <c r="Y122" s="48"/>
      <c r="Z122" s="49"/>
      <c r="AA122" s="8"/>
      <c r="AB122" s="42"/>
      <c r="AC122" s="43"/>
      <c r="AD122" s="8"/>
      <c r="AE122" s="47"/>
      <c r="AF122" s="48"/>
      <c r="AG122" s="49"/>
      <c r="AH122" s="8"/>
      <c r="AI122" s="42"/>
      <c r="AJ122" s="43"/>
      <c r="AK122" s="8"/>
      <c r="AL122" s="47"/>
      <c r="AM122" s="48"/>
      <c r="AN122" s="49"/>
      <c r="AO122" s="8"/>
      <c r="AP122" s="42"/>
      <c r="AQ122" s="43"/>
      <c r="AR122" s="8"/>
      <c r="AS122" s="47"/>
      <c r="AT122" s="48"/>
      <c r="AU122" s="49"/>
      <c r="AV122" s="8"/>
      <c r="AW122" s="42"/>
      <c r="AX122" s="43"/>
      <c r="AY122" s="8"/>
      <c r="AZ122" s="47"/>
      <c r="BA122" s="48"/>
      <c r="BB122" s="49"/>
      <c r="BC122" s="8"/>
      <c r="BD122" s="42"/>
      <c r="BE122" s="43"/>
      <c r="BF122" s="8"/>
      <c r="BG122" s="47"/>
      <c r="BH122" s="48"/>
      <c r="BI122" s="49"/>
      <c r="BJ122" s="8"/>
      <c r="BK122" s="42"/>
      <c r="BL122" s="43"/>
      <c r="BM122" s="8"/>
      <c r="BN122" s="47"/>
      <c r="BO122" s="48"/>
      <c r="BP122" s="49"/>
      <c r="BQ122" s="8"/>
      <c r="BR122" s="42"/>
      <c r="BS122" s="43"/>
      <c r="BT122" s="8"/>
      <c r="BU122" s="47"/>
      <c r="BV122" s="48"/>
      <c r="BW122" s="49"/>
      <c r="BX122" s="8"/>
      <c r="BY122" s="42"/>
      <c r="BZ122" s="43"/>
      <c r="CA122" s="8"/>
      <c r="CB122" s="47"/>
      <c r="CC122" s="48"/>
      <c r="CD122" s="49"/>
      <c r="CE122" s="8"/>
      <c r="CF122" s="42"/>
      <c r="CG122" s="43"/>
      <c r="CH122" s="8"/>
      <c r="CI122" s="47"/>
      <c r="CJ122" s="48"/>
      <c r="CK122" s="49"/>
      <c r="CL122" s="8"/>
      <c r="CM122" s="42"/>
      <c r="CN122" s="43"/>
      <c r="CO122" s="8"/>
      <c r="CP122" s="47"/>
      <c r="CQ122" s="48"/>
      <c r="CR122" s="49"/>
      <c r="CS122" s="8"/>
      <c r="CT122" s="42"/>
      <c r="CU122" s="43"/>
      <c r="CV122" s="8"/>
      <c r="CW122" s="47"/>
      <c r="CX122" s="48"/>
      <c r="CY122" s="49"/>
      <c r="CZ122" s="8"/>
      <c r="DA122" s="42"/>
      <c r="DB122" s="43"/>
      <c r="DC122" s="8"/>
      <c r="DD122" s="47"/>
      <c r="DE122" s="48"/>
      <c r="DF122" s="49"/>
      <c r="DG122" s="8"/>
      <c r="DH122" s="42"/>
      <c r="DI122" s="43"/>
      <c r="DJ122" s="8"/>
      <c r="DK122" s="47"/>
      <c r="DL122" s="48"/>
      <c r="DM122" s="49"/>
      <c r="DN122" s="8"/>
      <c r="DO122" s="42"/>
      <c r="DP122" s="43"/>
      <c r="DQ122" s="8"/>
      <c r="DR122" s="47"/>
      <c r="DS122" s="48"/>
      <c r="DT122" s="49"/>
      <c r="DU122" s="8"/>
      <c r="DV122" s="42"/>
      <c r="DW122" s="43"/>
      <c r="DX122" s="8"/>
      <c r="DY122" s="47"/>
      <c r="DZ122" s="48"/>
      <c r="EA122" s="49"/>
      <c r="EB122" s="8"/>
      <c r="EC122" s="42"/>
      <c r="ED122" s="43"/>
      <c r="EE122" s="8"/>
      <c r="EF122" s="47"/>
      <c r="EG122" s="48"/>
      <c r="EH122" s="49"/>
      <c r="EI122" s="8"/>
      <c r="EJ122" s="42"/>
      <c r="EK122" s="43"/>
      <c r="EL122" s="8"/>
      <c r="EM122" s="47"/>
      <c r="EN122" s="48"/>
      <c r="EO122" s="49"/>
      <c r="EP122" s="8"/>
      <c r="EQ122" s="42"/>
      <c r="ER122" s="43"/>
      <c r="ES122" s="8"/>
      <c r="ET122" s="47"/>
      <c r="EU122" s="48"/>
      <c r="EV122" s="49"/>
      <c r="EW122" s="8"/>
      <c r="EX122" s="42"/>
      <c r="EY122" s="43"/>
      <c r="EZ122" s="8"/>
      <c r="FA122" s="47"/>
      <c r="FB122" s="48"/>
      <c r="FC122" s="49"/>
      <c r="FD122" s="8"/>
      <c r="FE122" s="42"/>
      <c r="FF122" s="43"/>
      <c r="FG122" s="8"/>
      <c r="FH122" s="47"/>
      <c r="FI122" s="48"/>
      <c r="FJ122" s="49"/>
      <c r="FK122" s="8"/>
      <c r="FL122" s="42"/>
      <c r="FM122" s="43"/>
      <c r="FN122" s="8"/>
      <c r="FO122" s="47"/>
      <c r="FP122" s="48"/>
      <c r="FQ122" s="49"/>
      <c r="FR122" s="8"/>
      <c r="FS122" s="42"/>
      <c r="FT122" s="43"/>
      <c r="FU122" s="8"/>
      <c r="FV122" s="47"/>
      <c r="FW122" s="48"/>
      <c r="FX122" s="49"/>
      <c r="FY122" s="8"/>
      <c r="FZ122" s="42"/>
      <c r="GA122" s="43"/>
      <c r="GB122" s="8"/>
      <c r="GC122" s="47"/>
      <c r="GD122" s="48"/>
      <c r="GE122" s="49"/>
      <c r="GF122" s="8"/>
      <c r="GG122" s="42"/>
      <c r="GH122" s="43"/>
      <c r="GI122" s="8"/>
      <c r="GJ122" s="47"/>
      <c r="GK122" s="48"/>
      <c r="GL122" s="49"/>
      <c r="GM122" s="8"/>
      <c r="GN122" s="42"/>
      <c r="GO122" s="43"/>
      <c r="GP122" s="8"/>
      <c r="GQ122" s="47"/>
      <c r="GR122" s="48"/>
      <c r="GS122" s="49"/>
      <c r="GT122" s="8"/>
      <c r="GU122" s="42"/>
      <c r="GV122" s="43"/>
      <c r="GW122" s="8"/>
      <c r="GX122" s="47"/>
      <c r="GY122" s="48"/>
      <c r="GZ122" s="49"/>
      <c r="HA122" s="8"/>
      <c r="HB122" s="42"/>
      <c r="HC122" s="43"/>
      <c r="HD122" s="8"/>
      <c r="HE122" s="47"/>
      <c r="HF122" s="48"/>
      <c r="HG122" s="49"/>
      <c r="HH122" s="8"/>
      <c r="HI122" s="42"/>
      <c r="HJ122" s="43"/>
      <c r="HK122" s="8"/>
      <c r="HL122" s="47"/>
      <c r="HM122" s="48"/>
      <c r="HN122" s="49"/>
      <c r="HO122" s="8"/>
      <c r="HP122" s="42"/>
      <c r="HQ122" s="43"/>
      <c r="HR122" s="8"/>
      <c r="HS122" s="47"/>
      <c r="HT122" s="48"/>
      <c r="HU122" s="49"/>
      <c r="HV122" s="8"/>
      <c r="HW122" s="42"/>
      <c r="HX122" s="43"/>
      <c r="HY122" s="8"/>
      <c r="HZ122" s="47"/>
      <c r="IA122" s="48"/>
      <c r="IB122" s="49"/>
      <c r="IC122" s="8"/>
      <c r="ID122" s="42"/>
      <c r="IE122" s="43"/>
      <c r="IF122" s="8"/>
      <c r="IG122" s="47"/>
      <c r="IH122" s="48"/>
      <c r="II122" s="49"/>
      <c r="IJ122" s="8"/>
      <c r="IK122" s="42"/>
      <c r="IL122" s="43"/>
      <c r="IM122" s="8"/>
      <c r="IN122" s="47"/>
      <c r="IO122" s="48"/>
      <c r="IP122" s="49"/>
      <c r="IQ122" s="8"/>
      <c r="IR122" s="42"/>
      <c r="IS122" s="43"/>
      <c r="IT122" s="8"/>
      <c r="IU122" s="47"/>
      <c r="IV122" s="48"/>
      <c r="IW122" s="49"/>
      <c r="IX122" s="8"/>
      <c r="IY122" s="42"/>
      <c r="IZ122" s="43"/>
      <c r="JA122" s="8"/>
      <c r="JB122" s="47"/>
      <c r="JC122" s="48"/>
      <c r="JD122" s="49"/>
      <c r="JE122" s="8"/>
      <c r="JF122" s="42"/>
      <c r="JG122" s="43"/>
      <c r="JH122" s="8"/>
      <c r="JI122" s="47"/>
      <c r="JJ122" s="48"/>
      <c r="JK122" s="49"/>
      <c r="JL122" s="8"/>
      <c r="JM122" s="42"/>
      <c r="JN122" s="43"/>
      <c r="JO122" s="8"/>
      <c r="JP122" s="47"/>
      <c r="JQ122" s="48"/>
      <c r="JR122" s="49"/>
      <c r="JS122" s="8"/>
      <c r="JT122" s="42"/>
      <c r="JU122" s="43"/>
      <c r="JV122" s="8"/>
      <c r="JW122" s="47"/>
      <c r="JX122" s="48"/>
      <c r="JY122" s="49"/>
      <c r="JZ122" s="8"/>
      <c r="KA122" s="42"/>
      <c r="KB122" s="43"/>
      <c r="KC122" s="8"/>
      <c r="KD122" s="47"/>
      <c r="KE122" s="48"/>
      <c r="KF122" s="49"/>
      <c r="KG122" s="8"/>
      <c r="KH122" s="42"/>
      <c r="KI122" s="43"/>
      <c r="KJ122" s="8"/>
      <c r="KK122" s="47"/>
      <c r="KL122" s="48"/>
      <c r="KM122" s="49"/>
      <c r="KN122" s="8"/>
      <c r="KO122" s="42"/>
      <c r="KP122" s="43"/>
      <c r="KQ122" s="8"/>
      <c r="KR122" s="47"/>
      <c r="KS122" s="48"/>
      <c r="KT122" s="49"/>
      <c r="KU122" s="8"/>
      <c r="KV122" s="42"/>
      <c r="KW122" s="43"/>
      <c r="KX122" s="8"/>
      <c r="KY122" s="47"/>
      <c r="KZ122" s="48"/>
      <c r="LA122" s="49"/>
      <c r="LB122" s="8"/>
      <c r="LC122" s="42"/>
      <c r="LD122" s="43"/>
      <c r="LE122" s="8"/>
      <c r="LF122" s="47"/>
      <c r="LG122" s="48"/>
      <c r="LH122" s="49"/>
      <c r="LI122" s="8"/>
      <c r="LJ122" s="42"/>
      <c r="LK122" s="43"/>
      <c r="LL122" s="8"/>
      <c r="LM122" s="47"/>
      <c r="LN122" s="48"/>
      <c r="LO122" s="49"/>
      <c r="LP122" s="8"/>
      <c r="LQ122" s="42"/>
      <c r="LR122" s="43"/>
      <c r="LS122" s="8"/>
      <c r="LT122" s="47"/>
      <c r="LU122" s="48"/>
      <c r="LV122" s="49"/>
      <c r="LW122" s="8"/>
      <c r="LX122" s="42"/>
      <c r="LY122" s="43"/>
      <c r="LZ122" s="8"/>
      <c r="MA122" s="47"/>
      <c r="MB122" s="48"/>
      <c r="MC122" s="49"/>
      <c r="MD122" s="8"/>
      <c r="ME122" s="42"/>
      <c r="MF122" s="43"/>
      <c r="MG122" s="8"/>
      <c r="MH122" s="47"/>
      <c r="MI122" s="48"/>
      <c r="MJ122" s="49"/>
      <c r="MK122" s="8"/>
      <c r="ML122" s="42"/>
      <c r="MM122" s="43"/>
      <c r="MN122" s="8"/>
      <c r="MO122" s="47"/>
      <c r="MP122" s="48"/>
      <c r="MQ122" s="49"/>
      <c r="MR122" s="8"/>
      <c r="MS122" s="42"/>
      <c r="MT122" s="43"/>
      <c r="MU122" s="8"/>
      <c r="MV122" s="47"/>
      <c r="MW122" s="48"/>
      <c r="MX122" s="49"/>
      <c r="MY122" s="8"/>
      <c r="MZ122" s="42"/>
      <c r="NA122" s="43"/>
      <c r="NB122" s="8"/>
      <c r="NC122" s="47"/>
      <c r="ND122" s="48"/>
      <c r="NE122" s="49"/>
      <c r="NF122" s="8"/>
      <c r="NG122" s="42"/>
      <c r="NH122" s="43"/>
      <c r="NI122" s="8"/>
      <c r="NJ122" s="47"/>
      <c r="NK122" s="48"/>
      <c r="NL122" s="49"/>
      <c r="NM122" s="8"/>
      <c r="NN122" s="42"/>
      <c r="NO122" s="43"/>
      <c r="NP122" s="8"/>
      <c r="NQ122" s="47"/>
      <c r="NR122" s="48"/>
      <c r="NS122" s="49"/>
      <c r="NT122" s="8"/>
      <c r="NU122" s="42"/>
      <c r="NV122" s="43"/>
      <c r="NW122" s="8"/>
      <c r="NX122" s="47"/>
      <c r="NY122" s="48"/>
      <c r="NZ122" s="49"/>
      <c r="OA122" s="8"/>
      <c r="OB122" s="42"/>
      <c r="OC122" s="43"/>
      <c r="OD122" s="8"/>
      <c r="OE122" s="47"/>
      <c r="OF122" s="48"/>
      <c r="OG122" s="49"/>
      <c r="OH122" s="8"/>
      <c r="OI122" s="42"/>
      <c r="OJ122" s="43"/>
      <c r="OK122" s="8"/>
      <c r="OL122" s="47"/>
      <c r="OM122" s="48"/>
      <c r="ON122" s="49"/>
      <c r="OO122" s="8"/>
      <c r="OP122" s="42"/>
      <c r="OQ122" s="43"/>
      <c r="OR122" s="8"/>
      <c r="OS122" s="47"/>
      <c r="OT122" s="48"/>
      <c r="OU122" s="49"/>
      <c r="OV122" s="8"/>
      <c r="OW122" s="42"/>
      <c r="OX122" s="43"/>
      <c r="OY122" s="8"/>
      <c r="OZ122" s="47"/>
      <c r="PA122" s="48"/>
      <c r="PB122" s="49"/>
      <c r="PC122" s="8"/>
      <c r="PD122" s="42"/>
      <c r="PE122" s="43"/>
      <c r="PF122" s="8"/>
      <c r="PG122" s="47"/>
      <c r="PH122" s="48"/>
      <c r="PI122" s="49"/>
      <c r="PJ122" s="8"/>
      <c r="PK122" s="42"/>
      <c r="PL122" s="43"/>
      <c r="PM122" s="8"/>
      <c r="PN122" s="47"/>
      <c r="PO122" s="48"/>
      <c r="PP122" s="49"/>
      <c r="PQ122" s="8"/>
      <c r="PR122" s="42"/>
      <c r="PS122" s="43"/>
      <c r="PT122" s="8"/>
      <c r="PU122" s="47"/>
      <c r="PV122" s="48"/>
      <c r="PW122" s="49"/>
      <c r="PX122" s="8"/>
      <c r="PY122" s="42"/>
      <c r="PZ122" s="43"/>
      <c r="QA122" s="8"/>
      <c r="QB122" s="47"/>
      <c r="QC122" s="48"/>
      <c r="QD122" s="49"/>
      <c r="QE122" s="8"/>
      <c r="QF122" s="42"/>
      <c r="QG122" s="43"/>
      <c r="QH122" s="8"/>
      <c r="QI122" s="47"/>
      <c r="QJ122" s="48"/>
      <c r="QK122" s="49"/>
      <c r="QL122" s="8"/>
      <c r="QM122" s="42"/>
      <c r="QN122" s="43"/>
      <c r="QO122" s="8"/>
      <c r="QP122" s="47"/>
      <c r="QQ122" s="48"/>
      <c r="QR122" s="49"/>
      <c r="QS122" s="8"/>
      <c r="QT122" s="42"/>
      <c r="QU122" s="43"/>
      <c r="QV122" s="8"/>
      <c r="QW122" s="47"/>
      <c r="QX122" s="48"/>
      <c r="QY122" s="49"/>
      <c r="QZ122" s="8"/>
      <c r="RA122" s="42"/>
      <c r="RB122" s="43"/>
      <c r="RC122" s="8"/>
      <c r="RD122" s="47"/>
      <c r="RE122" s="48"/>
      <c r="RF122" s="49"/>
      <c r="RG122" s="8"/>
      <c r="RH122" s="42"/>
      <c r="RI122" s="43"/>
      <c r="RJ122" s="8"/>
      <c r="RK122" s="47"/>
      <c r="RL122" s="48"/>
      <c r="RM122" s="49"/>
      <c r="RN122" s="8"/>
      <c r="RO122" s="42"/>
      <c r="RP122" s="43"/>
      <c r="RQ122" s="8"/>
      <c r="RR122" s="47"/>
      <c r="RS122" s="48"/>
      <c r="RT122" s="49"/>
      <c r="RU122" s="8"/>
      <c r="RV122" s="42"/>
      <c r="RW122" s="43"/>
      <c r="RX122" s="8"/>
      <c r="RY122" s="47"/>
      <c r="RZ122" s="48"/>
      <c r="SA122" s="49"/>
      <c r="SB122" s="8"/>
      <c r="SC122" s="42"/>
      <c r="SD122" s="43"/>
      <c r="SE122" s="8"/>
      <c r="SF122" s="47"/>
      <c r="SG122" s="48"/>
      <c r="SH122" s="49"/>
      <c r="SI122" s="8"/>
      <c r="SJ122" s="42"/>
      <c r="SK122" s="43"/>
      <c r="SL122" s="8"/>
      <c r="SM122" s="47"/>
      <c r="SN122" s="48"/>
      <c r="SO122" s="49"/>
      <c r="SP122" s="8"/>
      <c r="SQ122" s="42"/>
      <c r="SR122" s="43"/>
    </row>
    <row r="123" spans="1:512" ht="16" customHeight="1" x14ac:dyDescent="0.15">
      <c r="A123" s="51">
        <v>46222</v>
      </c>
      <c r="B123" s="46">
        <v>0.875</v>
      </c>
      <c r="C123" s="79"/>
      <c r="D123" s="79"/>
      <c r="E123" s="2"/>
      <c r="F123" s="75" t="s">
        <v>4</v>
      </c>
      <c r="G123" s="1"/>
      <c r="H123" s="16">
        <v>11.6</v>
      </c>
      <c r="I123" s="32">
        <f t="shared" ref="I123" si="1142">E123-G123</f>
        <v>0</v>
      </c>
      <c r="J123" s="47"/>
      <c r="K123" s="48" t="s">
        <v>4</v>
      </c>
      <c r="L123" s="49"/>
      <c r="M123" s="8"/>
      <c r="N123" s="42" t="str">
        <f t="shared" si="430"/>
        <v/>
      </c>
      <c r="O123" s="43">
        <f t="shared" si="431"/>
        <v>0</v>
      </c>
      <c r="Q123" s="47"/>
      <c r="R123" s="48" t="s">
        <v>4</v>
      </c>
      <c r="S123" s="49"/>
      <c r="T123" s="8"/>
      <c r="U123" s="42" t="str">
        <f t="shared" ref="U123" si="1143">IF(OR($G123="",S123=""),"",IF(AND($E123=Q123,$G123=S123),$H123*1.5,IF(AND($I123&gt;0,V123&gt;0),$H123,IF(AND($I123&lt;0,V123&lt;0),$H123,IF(AND($I123=0,V123=0),$H123,0)))))</f>
        <v/>
      </c>
      <c r="V123" s="43">
        <f t="shared" ref="V123" si="1144">Q123-S123</f>
        <v>0</v>
      </c>
      <c r="W123" s="8"/>
      <c r="X123" s="47"/>
      <c r="Y123" s="48" t="s">
        <v>4</v>
      </c>
      <c r="Z123" s="49"/>
      <c r="AA123" s="8"/>
      <c r="AB123" s="42" t="str">
        <f t="shared" ref="AB123" si="1145">IF(OR($G123="",Z123=""),"",IF(AND($E123=X123,$G123=Z123),$H123*1.5,IF(AND($I123&gt;0,AC123&gt;0),$H123,IF(AND($I123&lt;0,AC123&lt;0),$H123,IF(AND($I123=0,AC123=0),$H123,0)))))</f>
        <v/>
      </c>
      <c r="AC123" s="43">
        <f t="shared" ref="AC123" si="1146">X123-Z123</f>
        <v>0</v>
      </c>
      <c r="AD123" s="8"/>
      <c r="AE123" s="47"/>
      <c r="AF123" s="48" t="s">
        <v>4</v>
      </c>
      <c r="AG123" s="49"/>
      <c r="AH123" s="8"/>
      <c r="AI123" s="42" t="str">
        <f t="shared" ref="AI123" si="1147">IF(OR($G123="",AG123=""),"",IF(AND($E123=AE123,$G123=AG123),$H123*1.5,IF(AND($I123&gt;0,AJ123&gt;0),$H123,IF(AND($I123&lt;0,AJ123&lt;0),$H123,IF(AND($I123=0,AJ123=0),$H123,0)))))</f>
        <v/>
      </c>
      <c r="AJ123" s="43">
        <f t="shared" ref="AJ123" si="1148">AE123-AG123</f>
        <v>0</v>
      </c>
      <c r="AK123" s="8"/>
      <c r="AL123" s="47"/>
      <c r="AM123" s="48" t="s">
        <v>4</v>
      </c>
      <c r="AN123" s="49"/>
      <c r="AO123" s="8"/>
      <c r="AP123" s="42" t="str">
        <f t="shared" ref="AP123" si="1149">IF(OR($G123="",AN123=""),"",IF(AND($E123=AL123,$G123=AN123),$H123*1.5,IF(AND($I123&gt;0,AQ123&gt;0),$H123,IF(AND($I123&lt;0,AQ123&lt;0),$H123,IF(AND($I123=0,AQ123=0),$H123,0)))))</f>
        <v/>
      </c>
      <c r="AQ123" s="43">
        <f t="shared" ref="AQ123" si="1150">AL123-AN123</f>
        <v>0</v>
      </c>
      <c r="AR123" s="8"/>
      <c r="AS123" s="47"/>
      <c r="AT123" s="48" t="s">
        <v>4</v>
      </c>
      <c r="AU123" s="49"/>
      <c r="AV123" s="8"/>
      <c r="AW123" s="42" t="str">
        <f t="shared" ref="AW123" si="1151">IF(OR($G123="",AU123=""),"",IF(AND($E123=AS123,$G123=AU123),$H123*1.5,IF(AND($I123&gt;0,AX123&gt;0),$H123,IF(AND($I123&lt;0,AX123&lt;0),$H123,IF(AND($I123=0,AX123=0),$H123,0)))))</f>
        <v/>
      </c>
      <c r="AX123" s="43">
        <f t="shared" ref="AX123" si="1152">AS123-AU123</f>
        <v>0</v>
      </c>
      <c r="AY123" s="8"/>
      <c r="AZ123" s="47"/>
      <c r="BA123" s="48" t="s">
        <v>4</v>
      </c>
      <c r="BB123" s="49"/>
      <c r="BC123" s="8"/>
      <c r="BD123" s="42" t="str">
        <f t="shared" ref="BD123" si="1153">IF(OR($G123="",BB123=""),"",IF(AND($E123=AZ123,$G123=BB123),$H123*1.5,IF(AND($I123&gt;0,BE123&gt;0),$H123,IF(AND($I123&lt;0,BE123&lt;0),$H123,IF(AND($I123=0,BE123=0),$H123,0)))))</f>
        <v/>
      </c>
      <c r="BE123" s="43">
        <f t="shared" ref="BE123" si="1154">AZ123-BB123</f>
        <v>0</v>
      </c>
      <c r="BF123" s="8"/>
      <c r="BG123" s="47"/>
      <c r="BH123" s="48" t="s">
        <v>4</v>
      </c>
      <c r="BI123" s="49"/>
      <c r="BJ123" s="8"/>
      <c r="BK123" s="42" t="str">
        <f t="shared" ref="BK123" si="1155">IF(OR($G123="",BI123=""),"",IF(AND($E123=BG123,$G123=BI123),$H123*1.5,IF(AND($I123&gt;0,BL123&gt;0),$H123,IF(AND($I123&lt;0,BL123&lt;0),$H123,IF(AND($I123=0,BL123=0),$H123,0)))))</f>
        <v/>
      </c>
      <c r="BL123" s="43">
        <f t="shared" ref="BL123" si="1156">BG123-BI123</f>
        <v>0</v>
      </c>
      <c r="BM123" s="8"/>
      <c r="BN123" s="47"/>
      <c r="BO123" s="48" t="s">
        <v>4</v>
      </c>
      <c r="BP123" s="49"/>
      <c r="BQ123" s="8"/>
      <c r="BR123" s="42" t="str">
        <f t="shared" ref="BR123" si="1157">IF(OR($G123="",BP123=""),"",IF(AND($E123=BN123,$G123=BP123),$H123*1.5,IF(AND($I123&gt;0,BS123&gt;0),$H123,IF(AND($I123&lt;0,BS123&lt;0),$H123,IF(AND($I123=0,BS123=0),$H123,0)))))</f>
        <v/>
      </c>
      <c r="BS123" s="43">
        <f t="shared" ref="BS123" si="1158">BN123-BP123</f>
        <v>0</v>
      </c>
      <c r="BT123" s="8"/>
      <c r="BU123" s="47"/>
      <c r="BV123" s="48" t="s">
        <v>4</v>
      </c>
      <c r="BW123" s="49"/>
      <c r="BX123" s="8"/>
      <c r="BY123" s="42" t="str">
        <f t="shared" ref="BY123" si="1159">IF(OR($G123="",BW123=""),"",IF(AND($E123=BU123,$G123=BW123),$H123*1.5,IF(AND($I123&gt;0,BZ123&gt;0),$H123,IF(AND($I123&lt;0,BZ123&lt;0),$H123,IF(AND($I123=0,BZ123=0),$H123,0)))))</f>
        <v/>
      </c>
      <c r="BZ123" s="43">
        <f t="shared" ref="BZ123" si="1160">BU123-BW123</f>
        <v>0</v>
      </c>
      <c r="CA123" s="8"/>
      <c r="CB123" s="47"/>
      <c r="CC123" s="48" t="s">
        <v>4</v>
      </c>
      <c r="CD123" s="49"/>
      <c r="CE123" s="8"/>
      <c r="CF123" s="42" t="str">
        <f t="shared" ref="CF123" si="1161">IF(OR($G123="",CD123=""),"",IF(AND($E123=CB123,$G123=CD123),$H123*1.5,IF(AND($I123&gt;0,CG123&gt;0),$H123,IF(AND($I123&lt;0,CG123&lt;0),$H123,IF(AND($I123=0,CG123=0),$H123,0)))))</f>
        <v/>
      </c>
      <c r="CG123" s="43">
        <f t="shared" ref="CG123" si="1162">CB123-CD123</f>
        <v>0</v>
      </c>
      <c r="CH123" s="8"/>
      <c r="CI123" s="47"/>
      <c r="CJ123" s="48" t="s">
        <v>4</v>
      </c>
      <c r="CK123" s="49"/>
      <c r="CL123" s="8"/>
      <c r="CM123" s="42" t="str">
        <f t="shared" ref="CM123" si="1163">IF(OR($G123="",CK123=""),"",IF(AND($E123=CI123,$G123=CK123),$H123*1.5,IF(AND($I123&gt;0,CN123&gt;0),$H123,IF(AND($I123&lt;0,CN123&lt;0),$H123,IF(AND($I123=0,CN123=0),$H123,0)))))</f>
        <v/>
      </c>
      <c r="CN123" s="43">
        <f t="shared" ref="CN123" si="1164">CI123-CK123</f>
        <v>0</v>
      </c>
      <c r="CO123" s="8"/>
      <c r="CP123" s="47"/>
      <c r="CQ123" s="48" t="s">
        <v>4</v>
      </c>
      <c r="CR123" s="49"/>
      <c r="CS123" s="8"/>
      <c r="CT123" s="42" t="str">
        <f t="shared" ref="CT123" si="1165">IF(OR($G123="",CR123=""),"",IF(AND($E123=CP123,$G123=CR123),$H123*1.5,IF(AND($I123&gt;0,CU123&gt;0),$H123,IF(AND($I123&lt;0,CU123&lt;0),$H123,IF(AND($I123=0,CU123=0),$H123,0)))))</f>
        <v/>
      </c>
      <c r="CU123" s="43">
        <f t="shared" ref="CU123" si="1166">CP123-CR123</f>
        <v>0</v>
      </c>
      <c r="CV123" s="8"/>
      <c r="CW123" s="47"/>
      <c r="CX123" s="48" t="s">
        <v>4</v>
      </c>
      <c r="CY123" s="49"/>
      <c r="CZ123" s="8"/>
      <c r="DA123" s="42" t="str">
        <f t="shared" ref="DA123" si="1167">IF(OR($G123="",CY123=""),"",IF(AND($E123=CW123,$G123=CY123),$H123*1.5,IF(AND($I123&gt;0,DB123&gt;0),$H123,IF(AND($I123&lt;0,DB123&lt;0),$H123,IF(AND($I123=0,DB123=0),$H123,0)))))</f>
        <v/>
      </c>
      <c r="DB123" s="43">
        <f t="shared" ref="DB123" si="1168">CW123-CY123</f>
        <v>0</v>
      </c>
      <c r="DC123" s="8"/>
      <c r="DD123" s="47"/>
      <c r="DE123" s="48" t="s">
        <v>4</v>
      </c>
      <c r="DF123" s="49"/>
      <c r="DG123" s="8"/>
      <c r="DH123" s="42" t="str">
        <f t="shared" ref="DH123" si="1169">IF(OR($G123="",DF123=""),"",IF(AND($E123=DD123,$G123=DF123),$H123*1.5,IF(AND($I123&gt;0,DI123&gt;0),$H123,IF(AND($I123&lt;0,DI123&lt;0),$H123,IF(AND($I123=0,DI123=0),$H123,0)))))</f>
        <v/>
      </c>
      <c r="DI123" s="43">
        <f t="shared" ref="DI123" si="1170">DD123-DF123</f>
        <v>0</v>
      </c>
      <c r="DJ123" s="8"/>
      <c r="DK123" s="47"/>
      <c r="DL123" s="48" t="s">
        <v>4</v>
      </c>
      <c r="DM123" s="49"/>
      <c r="DN123" s="8"/>
      <c r="DO123" s="42" t="str">
        <f t="shared" ref="DO123" si="1171">IF(OR($G123="",DM123=""),"",IF(AND($E123=DK123,$G123=DM123),$H123*1.5,IF(AND($I123&gt;0,DP123&gt;0),$H123,IF(AND($I123&lt;0,DP123&lt;0),$H123,IF(AND($I123=0,DP123=0),$H123,0)))))</f>
        <v/>
      </c>
      <c r="DP123" s="43">
        <f t="shared" ref="DP123" si="1172">DK123-DM123</f>
        <v>0</v>
      </c>
      <c r="DQ123" s="8"/>
      <c r="DR123" s="47"/>
      <c r="DS123" s="48" t="s">
        <v>4</v>
      </c>
      <c r="DT123" s="49"/>
      <c r="DU123" s="8"/>
      <c r="DV123" s="42" t="str">
        <f t="shared" ref="DV123" si="1173">IF(OR($G123="",DT123=""),"",IF(AND($E123=DR123,$G123=DT123),$H123*1.5,IF(AND($I123&gt;0,DW123&gt;0),$H123,IF(AND($I123&lt;0,DW123&lt;0),$H123,IF(AND($I123=0,DW123=0),$H123,0)))))</f>
        <v/>
      </c>
      <c r="DW123" s="43">
        <f t="shared" ref="DW123" si="1174">DR123-DT123</f>
        <v>0</v>
      </c>
      <c r="DX123" s="8"/>
      <c r="DY123" s="47"/>
      <c r="DZ123" s="48" t="s">
        <v>4</v>
      </c>
      <c r="EA123" s="49"/>
      <c r="EB123" s="8"/>
      <c r="EC123" s="42" t="str">
        <f t="shared" ref="EC123" si="1175">IF(OR($G123="",EA123=""),"",IF(AND($E123=DY123,$G123=EA123),$H123*1.5,IF(AND($I123&gt;0,ED123&gt;0),$H123,IF(AND($I123&lt;0,ED123&lt;0),$H123,IF(AND($I123=0,ED123=0),$H123,0)))))</f>
        <v/>
      </c>
      <c r="ED123" s="43">
        <f t="shared" ref="ED123" si="1176">DY123-EA123</f>
        <v>0</v>
      </c>
      <c r="EE123" s="8"/>
      <c r="EF123" s="47"/>
      <c r="EG123" s="48" t="s">
        <v>4</v>
      </c>
      <c r="EH123" s="49"/>
      <c r="EI123" s="8"/>
      <c r="EJ123" s="42" t="str">
        <f t="shared" ref="EJ123" si="1177">IF(OR($G123="",EH123=""),"",IF(AND($E123=EF123,$G123=EH123),$H123*1.5,IF(AND($I123&gt;0,EK123&gt;0),$H123,IF(AND($I123&lt;0,EK123&lt;0),$H123,IF(AND($I123=0,EK123=0),$H123,0)))))</f>
        <v/>
      </c>
      <c r="EK123" s="43">
        <f t="shared" ref="EK123" si="1178">EF123-EH123</f>
        <v>0</v>
      </c>
      <c r="EL123" s="8"/>
      <c r="EM123" s="47"/>
      <c r="EN123" s="48" t="s">
        <v>4</v>
      </c>
      <c r="EO123" s="49"/>
      <c r="EP123" s="8"/>
      <c r="EQ123" s="42" t="str">
        <f t="shared" ref="EQ123" si="1179">IF(OR($G123="",EO123=""),"",IF(AND($E123=EM123,$G123=EO123),$H123*1.5,IF(AND($I123&gt;0,ER123&gt;0),$H123,IF(AND($I123&lt;0,ER123&lt;0),$H123,IF(AND($I123=0,ER123=0),$H123,0)))))</f>
        <v/>
      </c>
      <c r="ER123" s="43">
        <f t="shared" ref="ER123" si="1180">EM123-EO123</f>
        <v>0</v>
      </c>
      <c r="ES123" s="8"/>
      <c r="ET123" s="47"/>
      <c r="EU123" s="48" t="s">
        <v>4</v>
      </c>
      <c r="EV123" s="49"/>
      <c r="EW123" s="8"/>
      <c r="EX123" s="42" t="str">
        <f t="shared" ref="EX123" si="1181">IF(OR($G123="",EV123=""),"",IF(AND($E123=ET123,$G123=EV123),$H123*1.5,IF(AND($I123&gt;0,EY123&gt;0),$H123,IF(AND($I123&lt;0,EY123&lt;0),$H123,IF(AND($I123=0,EY123=0),$H123,0)))))</f>
        <v/>
      </c>
      <c r="EY123" s="43">
        <f t="shared" ref="EY123" si="1182">ET123-EV123</f>
        <v>0</v>
      </c>
      <c r="EZ123" s="8"/>
      <c r="FA123" s="47"/>
      <c r="FB123" s="48" t="s">
        <v>4</v>
      </c>
      <c r="FC123" s="49"/>
      <c r="FD123" s="8"/>
      <c r="FE123" s="42" t="str">
        <f t="shared" ref="FE123" si="1183">IF(OR($G123="",FC123=""),"",IF(AND($E123=FA123,$G123=FC123),$H123*1.5,IF(AND($I123&gt;0,FF123&gt;0),$H123,IF(AND($I123&lt;0,FF123&lt;0),$H123,IF(AND($I123=0,FF123=0),$H123,0)))))</f>
        <v/>
      </c>
      <c r="FF123" s="43">
        <f t="shared" ref="FF123" si="1184">FA123-FC123</f>
        <v>0</v>
      </c>
      <c r="FG123" s="8"/>
      <c r="FH123" s="47"/>
      <c r="FI123" s="48" t="s">
        <v>4</v>
      </c>
      <c r="FJ123" s="49"/>
      <c r="FK123" s="8"/>
      <c r="FL123" s="42" t="str">
        <f t="shared" ref="FL123" si="1185">IF(OR($G123="",FJ123=""),"",IF(AND($E123=FH123,$G123=FJ123),$H123*1.5,IF(AND($I123&gt;0,FM123&gt;0),$H123,IF(AND($I123&lt;0,FM123&lt;0),$H123,IF(AND($I123=0,FM123=0),$H123,0)))))</f>
        <v/>
      </c>
      <c r="FM123" s="43">
        <f t="shared" ref="FM123" si="1186">FH123-FJ123</f>
        <v>0</v>
      </c>
      <c r="FN123" s="8"/>
      <c r="FO123" s="47"/>
      <c r="FP123" s="48" t="s">
        <v>4</v>
      </c>
      <c r="FQ123" s="49"/>
      <c r="FR123" s="8"/>
      <c r="FS123" s="42" t="str">
        <f t="shared" ref="FS123" si="1187">IF(OR($G123="",FQ123=""),"",IF(AND($E123=FO123,$G123=FQ123),$H123*1.5,IF(AND($I123&gt;0,FT123&gt;0),$H123,IF(AND($I123&lt;0,FT123&lt;0),$H123,IF(AND($I123=0,FT123=0),$H123,0)))))</f>
        <v/>
      </c>
      <c r="FT123" s="43">
        <f t="shared" ref="FT123" si="1188">FO123-FQ123</f>
        <v>0</v>
      </c>
      <c r="FU123" s="8"/>
      <c r="FV123" s="47"/>
      <c r="FW123" s="48" t="s">
        <v>4</v>
      </c>
      <c r="FX123" s="49"/>
      <c r="FY123" s="8"/>
      <c r="FZ123" s="42" t="str">
        <f t="shared" ref="FZ123" si="1189">IF(OR($G123="",FX123=""),"",IF(AND($E123=FV123,$G123=FX123),$H123*1.5,IF(AND($I123&gt;0,GA123&gt;0),$H123,IF(AND($I123&lt;0,GA123&lt;0),$H123,IF(AND($I123=0,GA123=0),$H123,0)))))</f>
        <v/>
      </c>
      <c r="GA123" s="43">
        <f t="shared" ref="GA123" si="1190">FV123-FX123</f>
        <v>0</v>
      </c>
      <c r="GB123" s="8"/>
      <c r="GC123" s="47"/>
      <c r="GD123" s="48" t="s">
        <v>4</v>
      </c>
      <c r="GE123" s="49"/>
      <c r="GF123" s="8"/>
      <c r="GG123" s="42" t="str">
        <f t="shared" ref="GG123" si="1191">IF(OR($G123="",GE123=""),"",IF(AND($E123=GC123,$G123=GE123),$H123*1.5,IF(AND($I123&gt;0,GH123&gt;0),$H123,IF(AND($I123&lt;0,GH123&lt;0),$H123,IF(AND($I123=0,GH123=0),$H123,0)))))</f>
        <v/>
      </c>
      <c r="GH123" s="43">
        <f t="shared" ref="GH123" si="1192">GC123-GE123</f>
        <v>0</v>
      </c>
      <c r="GI123" s="8"/>
      <c r="GJ123" s="47"/>
      <c r="GK123" s="48" t="s">
        <v>4</v>
      </c>
      <c r="GL123" s="49"/>
      <c r="GM123" s="8"/>
      <c r="GN123" s="42" t="str">
        <f t="shared" ref="GN123" si="1193">IF(OR($G123="",GL123=""),"",IF(AND($E123=GJ123,$G123=GL123),$H123*1.5,IF(AND($I123&gt;0,GO123&gt;0),$H123,IF(AND($I123&lt;0,GO123&lt;0),$H123,IF(AND($I123=0,GO123=0),$H123,0)))))</f>
        <v/>
      </c>
      <c r="GO123" s="43">
        <f t="shared" ref="GO123" si="1194">GJ123-GL123</f>
        <v>0</v>
      </c>
      <c r="GP123" s="8"/>
      <c r="GQ123" s="47"/>
      <c r="GR123" s="48" t="s">
        <v>4</v>
      </c>
      <c r="GS123" s="49"/>
      <c r="GT123" s="8"/>
      <c r="GU123" s="42" t="str">
        <f t="shared" ref="GU123" si="1195">IF(OR($G123="",GS123=""),"",IF(AND($E123=GQ123,$G123=GS123),$H123*1.5,IF(AND($I123&gt;0,GV123&gt;0),$H123,IF(AND($I123&lt;0,GV123&lt;0),$H123,IF(AND($I123=0,GV123=0),$H123,0)))))</f>
        <v/>
      </c>
      <c r="GV123" s="43">
        <f t="shared" ref="GV123" si="1196">GQ123-GS123</f>
        <v>0</v>
      </c>
      <c r="GW123" s="8"/>
      <c r="GX123" s="47"/>
      <c r="GY123" s="48" t="s">
        <v>4</v>
      </c>
      <c r="GZ123" s="49"/>
      <c r="HA123" s="8"/>
      <c r="HB123" s="42" t="str">
        <f t="shared" ref="HB123" si="1197">IF(OR($G123="",GZ123=""),"",IF(AND($E123=GX123,$G123=GZ123),$H123*1.5,IF(AND($I123&gt;0,HC123&gt;0),$H123,IF(AND($I123&lt;0,HC123&lt;0),$H123,IF(AND($I123=0,HC123=0),$H123,0)))))</f>
        <v/>
      </c>
      <c r="HC123" s="43">
        <f t="shared" ref="HC123" si="1198">GX123-GZ123</f>
        <v>0</v>
      </c>
      <c r="HD123" s="8"/>
      <c r="HE123" s="47"/>
      <c r="HF123" s="48" t="s">
        <v>4</v>
      </c>
      <c r="HG123" s="49"/>
      <c r="HH123" s="8"/>
      <c r="HI123" s="42" t="str">
        <f t="shared" ref="HI123" si="1199">IF(OR($G123="",HG123=""),"",IF(AND($E123=HE123,$G123=HG123),$H123*1.5,IF(AND($I123&gt;0,HJ123&gt;0),$H123,IF(AND($I123&lt;0,HJ123&lt;0),$H123,IF(AND($I123=0,HJ123=0),$H123,0)))))</f>
        <v/>
      </c>
      <c r="HJ123" s="43">
        <f t="shared" ref="HJ123" si="1200">HE123-HG123</f>
        <v>0</v>
      </c>
      <c r="HK123" s="8"/>
      <c r="HL123" s="47"/>
      <c r="HM123" s="48" t="s">
        <v>4</v>
      </c>
      <c r="HN123" s="49"/>
      <c r="HO123" s="8"/>
      <c r="HP123" s="42" t="str">
        <f t="shared" ref="HP123" si="1201">IF(OR($G123="",HN123=""),"",IF(AND($E123=HL123,$G123=HN123),$H123*1.5,IF(AND($I123&gt;0,HQ123&gt;0),$H123,IF(AND($I123&lt;0,HQ123&lt;0),$H123,IF(AND($I123=0,HQ123=0),$H123,0)))))</f>
        <v/>
      </c>
      <c r="HQ123" s="43">
        <f t="shared" ref="HQ123" si="1202">HL123-HN123</f>
        <v>0</v>
      </c>
      <c r="HR123" s="8"/>
      <c r="HS123" s="47"/>
      <c r="HT123" s="48" t="s">
        <v>4</v>
      </c>
      <c r="HU123" s="49"/>
      <c r="HV123" s="8"/>
      <c r="HW123" s="42" t="str">
        <f t="shared" ref="HW123" si="1203">IF(OR($G123="",HU123=""),"",IF(AND($E123=HS123,$G123=HU123),$H123*1.5,IF(AND($I123&gt;0,HX123&gt;0),$H123,IF(AND($I123&lt;0,HX123&lt;0),$H123,IF(AND($I123=0,HX123=0),$H123,0)))))</f>
        <v/>
      </c>
      <c r="HX123" s="43">
        <f t="shared" ref="HX123" si="1204">HS123-HU123</f>
        <v>0</v>
      </c>
      <c r="HY123" s="8"/>
      <c r="HZ123" s="47"/>
      <c r="IA123" s="48" t="s">
        <v>4</v>
      </c>
      <c r="IB123" s="49"/>
      <c r="IC123" s="8"/>
      <c r="ID123" s="42" t="str">
        <f t="shared" ref="ID123" si="1205">IF(OR($G123="",IB123=""),"",IF(AND($E123=HZ123,$G123=IB123),$H123*1.5,IF(AND($I123&gt;0,IE123&gt;0),$H123,IF(AND($I123&lt;0,IE123&lt;0),$H123,IF(AND($I123=0,IE123=0),$H123,0)))))</f>
        <v/>
      </c>
      <c r="IE123" s="43">
        <f t="shared" ref="IE123" si="1206">HZ123-IB123</f>
        <v>0</v>
      </c>
      <c r="IF123" s="8"/>
      <c r="IG123" s="47"/>
      <c r="IH123" s="48" t="s">
        <v>4</v>
      </c>
      <c r="II123" s="49"/>
      <c r="IJ123" s="8"/>
      <c r="IK123" s="42" t="str">
        <f t="shared" ref="IK123" si="1207">IF(OR($G123="",II123=""),"",IF(AND($E123=IG123,$G123=II123),$H123*1.5,IF(AND($I123&gt;0,IL123&gt;0),$H123,IF(AND($I123&lt;0,IL123&lt;0),$H123,IF(AND($I123=0,IL123=0),$H123,0)))))</f>
        <v/>
      </c>
      <c r="IL123" s="43">
        <f t="shared" ref="IL123" si="1208">IG123-II123</f>
        <v>0</v>
      </c>
      <c r="IM123" s="8"/>
      <c r="IN123" s="47"/>
      <c r="IO123" s="48" t="s">
        <v>4</v>
      </c>
      <c r="IP123" s="49"/>
      <c r="IQ123" s="8"/>
      <c r="IR123" s="42" t="str">
        <f t="shared" ref="IR123" si="1209">IF(OR($G123="",IP123=""),"",IF(AND($E123=IN123,$G123=IP123),$H123*1.5,IF(AND($I123&gt;0,IS123&gt;0),$H123,IF(AND($I123&lt;0,IS123&lt;0),$H123,IF(AND($I123=0,IS123=0),$H123,0)))))</f>
        <v/>
      </c>
      <c r="IS123" s="43">
        <f t="shared" ref="IS123" si="1210">IN123-IP123</f>
        <v>0</v>
      </c>
      <c r="IT123" s="8"/>
      <c r="IU123" s="47"/>
      <c r="IV123" s="48" t="s">
        <v>4</v>
      </c>
      <c r="IW123" s="49"/>
      <c r="IX123" s="8"/>
      <c r="IY123" s="42" t="str">
        <f t="shared" ref="IY123" si="1211">IF(OR($G123="",IW123=""),"",IF(AND($E123=IU123,$G123=IW123),$H123*1.5,IF(AND($I123&gt;0,IZ123&gt;0),$H123,IF(AND($I123&lt;0,IZ123&lt;0),$H123,IF(AND($I123=0,IZ123=0),$H123,0)))))</f>
        <v/>
      </c>
      <c r="IZ123" s="43">
        <f t="shared" ref="IZ123" si="1212">IU123-IW123</f>
        <v>0</v>
      </c>
      <c r="JA123" s="8"/>
      <c r="JB123" s="47"/>
      <c r="JC123" s="48" t="s">
        <v>4</v>
      </c>
      <c r="JD123" s="49"/>
      <c r="JE123" s="8"/>
      <c r="JF123" s="42" t="str">
        <f t="shared" ref="JF123" si="1213">IF(OR($G123="",JD123=""),"",IF(AND($E123=JB123,$G123=JD123),$H123*1.5,IF(AND($I123&gt;0,JG123&gt;0),$H123,IF(AND($I123&lt;0,JG123&lt;0),$H123,IF(AND($I123=0,JG123=0),$H123,0)))))</f>
        <v/>
      </c>
      <c r="JG123" s="43">
        <f t="shared" ref="JG123" si="1214">JB123-JD123</f>
        <v>0</v>
      </c>
      <c r="JH123" s="8"/>
      <c r="JI123" s="47"/>
      <c r="JJ123" s="48" t="s">
        <v>4</v>
      </c>
      <c r="JK123" s="49"/>
      <c r="JL123" s="8"/>
      <c r="JM123" s="42" t="str">
        <f t="shared" ref="JM123" si="1215">IF(OR($G123="",JK123=""),"",IF(AND($E123=JI123,$G123=JK123),$H123*1.5,IF(AND($I123&gt;0,JN123&gt;0),$H123,IF(AND($I123&lt;0,JN123&lt;0),$H123,IF(AND($I123=0,JN123=0),$H123,0)))))</f>
        <v/>
      </c>
      <c r="JN123" s="43">
        <f t="shared" ref="JN123" si="1216">JI123-JK123</f>
        <v>0</v>
      </c>
      <c r="JO123" s="8"/>
      <c r="JP123" s="47"/>
      <c r="JQ123" s="48" t="s">
        <v>4</v>
      </c>
      <c r="JR123" s="49"/>
      <c r="JS123" s="8"/>
      <c r="JT123" s="42" t="str">
        <f t="shared" ref="JT123" si="1217">IF(OR($G123="",JR123=""),"",IF(AND($E123=JP123,$G123=JR123),$H123*1.5,IF(AND($I123&gt;0,JU123&gt;0),$H123,IF(AND($I123&lt;0,JU123&lt;0),$H123,IF(AND($I123=0,JU123=0),$H123,0)))))</f>
        <v/>
      </c>
      <c r="JU123" s="43">
        <f t="shared" ref="JU123" si="1218">JP123-JR123</f>
        <v>0</v>
      </c>
      <c r="JV123" s="8"/>
      <c r="JW123" s="47"/>
      <c r="JX123" s="48" t="s">
        <v>4</v>
      </c>
      <c r="JY123" s="49"/>
      <c r="JZ123" s="8"/>
      <c r="KA123" s="42" t="str">
        <f t="shared" ref="KA123" si="1219">IF(OR($G123="",JY123=""),"",IF(AND($E123=JW123,$G123=JY123),$H123*1.5,IF(AND($I123&gt;0,KB123&gt;0),$H123,IF(AND($I123&lt;0,KB123&lt;0),$H123,IF(AND($I123=0,KB123=0),$H123,0)))))</f>
        <v/>
      </c>
      <c r="KB123" s="43">
        <f t="shared" ref="KB123" si="1220">JW123-JY123</f>
        <v>0</v>
      </c>
      <c r="KC123" s="8"/>
      <c r="KD123" s="47"/>
      <c r="KE123" s="48" t="s">
        <v>4</v>
      </c>
      <c r="KF123" s="49"/>
      <c r="KG123" s="8"/>
      <c r="KH123" s="42" t="str">
        <f t="shared" ref="KH123" si="1221">IF(OR($G123="",KF123=""),"",IF(AND($E123=KD123,$G123=KF123),$H123*1.5,IF(AND($I123&gt;0,KI123&gt;0),$H123,IF(AND($I123&lt;0,KI123&lt;0),$H123,IF(AND($I123=0,KI123=0),$H123,0)))))</f>
        <v/>
      </c>
      <c r="KI123" s="43">
        <f t="shared" ref="KI123" si="1222">KD123-KF123</f>
        <v>0</v>
      </c>
      <c r="KJ123" s="8"/>
      <c r="KK123" s="47"/>
      <c r="KL123" s="48" t="s">
        <v>4</v>
      </c>
      <c r="KM123" s="49"/>
      <c r="KN123" s="8"/>
      <c r="KO123" s="42" t="str">
        <f t="shared" ref="KO123" si="1223">IF(OR($G123="",KM123=""),"",IF(AND($E123=KK123,$G123=KM123),$H123*1.5,IF(AND($I123&gt;0,KP123&gt;0),$H123,IF(AND($I123&lt;0,KP123&lt;0),$H123,IF(AND($I123=0,KP123=0),$H123,0)))))</f>
        <v/>
      </c>
      <c r="KP123" s="43">
        <f t="shared" ref="KP123" si="1224">KK123-KM123</f>
        <v>0</v>
      </c>
      <c r="KQ123" s="8"/>
      <c r="KR123" s="47"/>
      <c r="KS123" s="48" t="s">
        <v>4</v>
      </c>
      <c r="KT123" s="49"/>
      <c r="KU123" s="8"/>
      <c r="KV123" s="42" t="str">
        <f t="shared" ref="KV123" si="1225">IF(OR($G123="",KT123=""),"",IF(AND($E123=KR123,$G123=KT123),$H123*1.5,IF(AND($I123&gt;0,KW123&gt;0),$H123,IF(AND($I123&lt;0,KW123&lt;0),$H123,IF(AND($I123=0,KW123=0),$H123,0)))))</f>
        <v/>
      </c>
      <c r="KW123" s="43">
        <f t="shared" ref="KW123" si="1226">KR123-KT123</f>
        <v>0</v>
      </c>
      <c r="KX123" s="8"/>
      <c r="KY123" s="47"/>
      <c r="KZ123" s="48" t="s">
        <v>4</v>
      </c>
      <c r="LA123" s="49"/>
      <c r="LB123" s="8"/>
      <c r="LC123" s="42" t="str">
        <f t="shared" ref="LC123" si="1227">IF(OR($G123="",LA123=""),"",IF(AND($E123=KY123,$G123=LA123),$H123*1.5,IF(AND($I123&gt;0,LD123&gt;0),$H123,IF(AND($I123&lt;0,LD123&lt;0),$H123,IF(AND($I123=0,LD123=0),$H123,0)))))</f>
        <v/>
      </c>
      <c r="LD123" s="43">
        <f t="shared" ref="LD123" si="1228">KY123-LA123</f>
        <v>0</v>
      </c>
      <c r="LE123" s="8"/>
      <c r="LF123" s="47"/>
      <c r="LG123" s="48" t="s">
        <v>4</v>
      </c>
      <c r="LH123" s="49"/>
      <c r="LI123" s="8"/>
      <c r="LJ123" s="42" t="str">
        <f t="shared" ref="LJ123" si="1229">IF(OR($G123="",LH123=""),"",IF(AND($E123=LF123,$G123=LH123),$H123*1.5,IF(AND($I123&gt;0,LK123&gt;0),$H123,IF(AND($I123&lt;0,LK123&lt;0),$H123,IF(AND($I123=0,LK123=0),$H123,0)))))</f>
        <v/>
      </c>
      <c r="LK123" s="43">
        <f t="shared" ref="LK123" si="1230">LF123-LH123</f>
        <v>0</v>
      </c>
      <c r="LL123" s="8"/>
      <c r="LM123" s="47"/>
      <c r="LN123" s="48" t="s">
        <v>4</v>
      </c>
      <c r="LO123" s="49"/>
      <c r="LP123" s="8"/>
      <c r="LQ123" s="42" t="str">
        <f t="shared" ref="LQ123" si="1231">IF(OR($G123="",LO123=""),"",IF(AND($E123=LM123,$G123=LO123),$H123*1.5,IF(AND($I123&gt;0,LR123&gt;0),$H123,IF(AND($I123&lt;0,LR123&lt;0),$H123,IF(AND($I123=0,LR123=0),$H123,0)))))</f>
        <v/>
      </c>
      <c r="LR123" s="43">
        <f t="shared" ref="LR123" si="1232">LM123-LO123</f>
        <v>0</v>
      </c>
      <c r="LS123" s="8"/>
      <c r="LT123" s="47"/>
      <c r="LU123" s="48" t="s">
        <v>4</v>
      </c>
      <c r="LV123" s="49"/>
      <c r="LW123" s="8"/>
      <c r="LX123" s="42" t="str">
        <f t="shared" ref="LX123" si="1233">IF(OR($G123="",LV123=""),"",IF(AND($E123=LT123,$G123=LV123),$H123*1.5,IF(AND($I123&gt;0,LY123&gt;0),$H123,IF(AND($I123&lt;0,LY123&lt;0),$H123,IF(AND($I123=0,LY123=0),$H123,0)))))</f>
        <v/>
      </c>
      <c r="LY123" s="43">
        <f t="shared" ref="LY123" si="1234">LT123-LV123</f>
        <v>0</v>
      </c>
      <c r="LZ123" s="8"/>
      <c r="MA123" s="47"/>
      <c r="MB123" s="48" t="s">
        <v>4</v>
      </c>
      <c r="MC123" s="49"/>
      <c r="MD123" s="8"/>
      <c r="ME123" s="42" t="str">
        <f t="shared" ref="ME123" si="1235">IF(OR($G123="",MC123=""),"",IF(AND($E123=MA123,$G123=MC123),$H123*1.5,IF(AND($I123&gt;0,MF123&gt;0),$H123,IF(AND($I123&lt;0,MF123&lt;0),$H123,IF(AND($I123=0,MF123=0),$H123,0)))))</f>
        <v/>
      </c>
      <c r="MF123" s="43">
        <f t="shared" ref="MF123" si="1236">MA123-MC123</f>
        <v>0</v>
      </c>
      <c r="MG123" s="8"/>
      <c r="MH123" s="47"/>
      <c r="MI123" s="48" t="s">
        <v>4</v>
      </c>
      <c r="MJ123" s="49"/>
      <c r="MK123" s="8"/>
      <c r="ML123" s="42" t="str">
        <f t="shared" ref="ML123" si="1237">IF(OR($G123="",MJ123=""),"",IF(AND($E123=MH123,$G123=MJ123),$H123*1.5,IF(AND($I123&gt;0,MM123&gt;0),$H123,IF(AND($I123&lt;0,MM123&lt;0),$H123,IF(AND($I123=0,MM123=0),$H123,0)))))</f>
        <v/>
      </c>
      <c r="MM123" s="43">
        <f t="shared" ref="MM123" si="1238">MH123-MJ123</f>
        <v>0</v>
      </c>
      <c r="MN123" s="8"/>
      <c r="MO123" s="47"/>
      <c r="MP123" s="48" t="s">
        <v>4</v>
      </c>
      <c r="MQ123" s="49"/>
      <c r="MR123" s="8"/>
      <c r="MS123" s="42" t="str">
        <f t="shared" ref="MS123" si="1239">IF(OR($G123="",MQ123=""),"",IF(AND($E123=MO123,$G123=MQ123),$H123*1.5,IF(AND($I123&gt;0,MT123&gt;0),$H123,IF(AND($I123&lt;0,MT123&lt;0),$H123,IF(AND($I123=0,MT123=0),$H123,0)))))</f>
        <v/>
      </c>
      <c r="MT123" s="43">
        <f t="shared" ref="MT123" si="1240">MO123-MQ123</f>
        <v>0</v>
      </c>
      <c r="MU123" s="8"/>
      <c r="MV123" s="47"/>
      <c r="MW123" s="48" t="s">
        <v>4</v>
      </c>
      <c r="MX123" s="49"/>
      <c r="MY123" s="8"/>
      <c r="MZ123" s="42" t="str">
        <f t="shared" ref="MZ123" si="1241">IF(OR($G123="",MX123=""),"",IF(AND($E123=MV123,$G123=MX123),$H123*1.5,IF(AND($I123&gt;0,NA123&gt;0),$H123,IF(AND($I123&lt;0,NA123&lt;0),$H123,IF(AND($I123=0,NA123=0),$H123,0)))))</f>
        <v/>
      </c>
      <c r="NA123" s="43">
        <f t="shared" ref="NA123" si="1242">MV123-MX123</f>
        <v>0</v>
      </c>
      <c r="NB123" s="8"/>
      <c r="NC123" s="47"/>
      <c r="ND123" s="48" t="s">
        <v>4</v>
      </c>
      <c r="NE123" s="49"/>
      <c r="NF123" s="8"/>
      <c r="NG123" s="42" t="str">
        <f t="shared" ref="NG123" si="1243">IF(OR($G123="",NE123=""),"",IF(AND($E123=NC123,$G123=NE123),$H123*1.5,IF(AND($I123&gt;0,NH123&gt;0),$H123,IF(AND($I123&lt;0,NH123&lt;0),$H123,IF(AND($I123=0,NH123=0),$H123,0)))))</f>
        <v/>
      </c>
      <c r="NH123" s="43">
        <f t="shared" ref="NH123" si="1244">NC123-NE123</f>
        <v>0</v>
      </c>
      <c r="NI123" s="8"/>
      <c r="NJ123" s="47"/>
      <c r="NK123" s="48" t="s">
        <v>4</v>
      </c>
      <c r="NL123" s="49"/>
      <c r="NM123" s="8"/>
      <c r="NN123" s="42" t="str">
        <f t="shared" ref="NN123" si="1245">IF(OR($G123="",NL123=""),"",IF(AND($E123=NJ123,$G123=NL123),$H123*1.5,IF(AND($I123&gt;0,NO123&gt;0),$H123,IF(AND($I123&lt;0,NO123&lt;0),$H123,IF(AND($I123=0,NO123=0),$H123,0)))))</f>
        <v/>
      </c>
      <c r="NO123" s="43">
        <f t="shared" ref="NO123" si="1246">NJ123-NL123</f>
        <v>0</v>
      </c>
      <c r="NP123" s="8"/>
      <c r="NQ123" s="47"/>
      <c r="NR123" s="48" t="s">
        <v>4</v>
      </c>
      <c r="NS123" s="49"/>
      <c r="NT123" s="8"/>
      <c r="NU123" s="42" t="str">
        <f t="shared" ref="NU123" si="1247">IF(OR($G123="",NS123=""),"",IF(AND($E123=NQ123,$G123=NS123),$H123*1.5,IF(AND($I123&gt;0,NV123&gt;0),$H123,IF(AND($I123&lt;0,NV123&lt;0),$H123,IF(AND($I123=0,NV123=0),$H123,0)))))</f>
        <v/>
      </c>
      <c r="NV123" s="43">
        <f t="shared" ref="NV123" si="1248">NQ123-NS123</f>
        <v>0</v>
      </c>
      <c r="NW123" s="8"/>
      <c r="NX123" s="47"/>
      <c r="NY123" s="48" t="s">
        <v>4</v>
      </c>
      <c r="NZ123" s="49"/>
      <c r="OA123" s="8"/>
      <c r="OB123" s="42" t="str">
        <f t="shared" ref="OB123" si="1249">IF(OR($G123="",NZ123=""),"",IF(AND($E123=NX123,$G123=NZ123),$H123*1.5,IF(AND($I123&gt;0,OC123&gt;0),$H123,IF(AND($I123&lt;0,OC123&lt;0),$H123,IF(AND($I123=0,OC123=0),$H123,0)))))</f>
        <v/>
      </c>
      <c r="OC123" s="43">
        <f t="shared" ref="OC123" si="1250">NX123-NZ123</f>
        <v>0</v>
      </c>
      <c r="OD123" s="8"/>
      <c r="OE123" s="47"/>
      <c r="OF123" s="48" t="s">
        <v>4</v>
      </c>
      <c r="OG123" s="49"/>
      <c r="OH123" s="8"/>
      <c r="OI123" s="42" t="str">
        <f t="shared" ref="OI123" si="1251">IF(OR($G123="",OG123=""),"",IF(AND($E123=OE123,$G123=OG123),$H123*1.5,IF(AND($I123&gt;0,OJ123&gt;0),$H123,IF(AND($I123&lt;0,OJ123&lt;0),$H123,IF(AND($I123=0,OJ123=0),$H123,0)))))</f>
        <v/>
      </c>
      <c r="OJ123" s="43">
        <f t="shared" ref="OJ123" si="1252">OE123-OG123</f>
        <v>0</v>
      </c>
      <c r="OK123" s="8"/>
      <c r="OL123" s="47"/>
      <c r="OM123" s="48" t="s">
        <v>4</v>
      </c>
      <c r="ON123" s="49"/>
      <c r="OO123" s="8"/>
      <c r="OP123" s="42" t="str">
        <f t="shared" ref="OP123" si="1253">IF(OR($G123="",ON123=""),"",IF(AND($E123=OL123,$G123=ON123),$H123*1.5,IF(AND($I123&gt;0,OQ123&gt;0),$H123,IF(AND($I123&lt;0,OQ123&lt;0),$H123,IF(AND($I123=0,OQ123=0),$H123,0)))))</f>
        <v/>
      </c>
      <c r="OQ123" s="43">
        <f t="shared" ref="OQ123" si="1254">OL123-ON123</f>
        <v>0</v>
      </c>
      <c r="OR123" s="8"/>
      <c r="OS123" s="47"/>
      <c r="OT123" s="48" t="s">
        <v>4</v>
      </c>
      <c r="OU123" s="49"/>
      <c r="OV123" s="8"/>
      <c r="OW123" s="42" t="str">
        <f t="shared" ref="OW123" si="1255">IF(OR($G123="",OU123=""),"",IF(AND($E123=OS123,$G123=OU123),$H123*1.5,IF(AND($I123&gt;0,OX123&gt;0),$H123,IF(AND($I123&lt;0,OX123&lt;0),$H123,IF(AND($I123=0,OX123=0),$H123,0)))))</f>
        <v/>
      </c>
      <c r="OX123" s="43">
        <f t="shared" ref="OX123" si="1256">OS123-OU123</f>
        <v>0</v>
      </c>
      <c r="OY123" s="8"/>
      <c r="OZ123" s="47"/>
      <c r="PA123" s="48" t="s">
        <v>4</v>
      </c>
      <c r="PB123" s="49"/>
      <c r="PC123" s="8"/>
      <c r="PD123" s="42" t="str">
        <f t="shared" ref="PD123" si="1257">IF(OR($G123="",PB123=""),"",IF(AND($E123=OZ123,$G123=PB123),$H123*1.5,IF(AND($I123&gt;0,PE123&gt;0),$H123,IF(AND($I123&lt;0,PE123&lt;0),$H123,IF(AND($I123=0,PE123=0),$H123,0)))))</f>
        <v/>
      </c>
      <c r="PE123" s="43">
        <f t="shared" ref="PE123" si="1258">OZ123-PB123</f>
        <v>0</v>
      </c>
      <c r="PF123" s="8"/>
      <c r="PG123" s="47"/>
      <c r="PH123" s="48" t="s">
        <v>4</v>
      </c>
      <c r="PI123" s="49"/>
      <c r="PJ123" s="8"/>
      <c r="PK123" s="42" t="str">
        <f t="shared" ref="PK123" si="1259">IF(OR($G123="",PI123=""),"",IF(AND($E123=PG123,$G123=PI123),$H123*1.5,IF(AND($I123&gt;0,PL123&gt;0),$H123,IF(AND($I123&lt;0,PL123&lt;0),$H123,IF(AND($I123=0,PL123=0),$H123,0)))))</f>
        <v/>
      </c>
      <c r="PL123" s="43">
        <f t="shared" ref="PL123" si="1260">PG123-PI123</f>
        <v>0</v>
      </c>
      <c r="PM123" s="8"/>
      <c r="PN123" s="47"/>
      <c r="PO123" s="48" t="s">
        <v>4</v>
      </c>
      <c r="PP123" s="49"/>
      <c r="PQ123" s="8"/>
      <c r="PR123" s="42" t="str">
        <f t="shared" ref="PR123" si="1261">IF(OR($G123="",PP123=""),"",IF(AND($E123=PN123,$G123=PP123),$H123*1.5,IF(AND($I123&gt;0,PS123&gt;0),$H123,IF(AND($I123&lt;0,PS123&lt;0),$H123,IF(AND($I123=0,PS123=0),$H123,0)))))</f>
        <v/>
      </c>
      <c r="PS123" s="43">
        <f t="shared" ref="PS123" si="1262">PN123-PP123</f>
        <v>0</v>
      </c>
      <c r="PT123" s="8"/>
      <c r="PU123" s="47"/>
      <c r="PV123" s="48" t="s">
        <v>4</v>
      </c>
      <c r="PW123" s="49"/>
      <c r="PX123" s="8"/>
      <c r="PY123" s="42" t="str">
        <f t="shared" ref="PY123" si="1263">IF(OR($G123="",PW123=""),"",IF(AND($E123=PU123,$G123=PW123),$H123*1.5,IF(AND($I123&gt;0,PZ123&gt;0),$H123,IF(AND($I123&lt;0,PZ123&lt;0),$H123,IF(AND($I123=0,PZ123=0),$H123,0)))))</f>
        <v/>
      </c>
      <c r="PZ123" s="43">
        <f t="shared" ref="PZ123" si="1264">PU123-PW123</f>
        <v>0</v>
      </c>
      <c r="QA123" s="8"/>
      <c r="QB123" s="47"/>
      <c r="QC123" s="48" t="s">
        <v>4</v>
      </c>
      <c r="QD123" s="49"/>
      <c r="QE123" s="8"/>
      <c r="QF123" s="42" t="str">
        <f t="shared" ref="QF123" si="1265">IF(OR($G123="",QD123=""),"",IF(AND($E123=QB123,$G123=QD123),$H123*1.5,IF(AND($I123&gt;0,QG123&gt;0),$H123,IF(AND($I123&lt;0,QG123&lt;0),$H123,IF(AND($I123=0,QG123=0),$H123,0)))))</f>
        <v/>
      </c>
      <c r="QG123" s="43">
        <f t="shared" ref="QG123" si="1266">QB123-QD123</f>
        <v>0</v>
      </c>
      <c r="QH123" s="8"/>
      <c r="QI123" s="47"/>
      <c r="QJ123" s="48" t="s">
        <v>4</v>
      </c>
      <c r="QK123" s="49"/>
      <c r="QL123" s="8"/>
      <c r="QM123" s="42" t="str">
        <f t="shared" ref="QM123" si="1267">IF(OR($G123="",QK123=""),"",IF(AND($E123=QI123,$G123=QK123),$H123*1.5,IF(AND($I123&gt;0,QN123&gt;0),$H123,IF(AND($I123&lt;0,QN123&lt;0),$H123,IF(AND($I123=0,QN123=0),$H123,0)))))</f>
        <v/>
      </c>
      <c r="QN123" s="43">
        <f t="shared" ref="QN123" si="1268">QI123-QK123</f>
        <v>0</v>
      </c>
      <c r="QO123" s="8"/>
      <c r="QP123" s="47"/>
      <c r="QQ123" s="48" t="s">
        <v>4</v>
      </c>
      <c r="QR123" s="49"/>
      <c r="QS123" s="8"/>
      <c r="QT123" s="42" t="str">
        <f t="shared" ref="QT123" si="1269">IF(OR($G123="",QR123=""),"",IF(AND($E123=QP123,$G123=QR123),$H123*1.5,IF(AND($I123&gt;0,QU123&gt;0),$H123,IF(AND($I123&lt;0,QU123&lt;0),$H123,IF(AND($I123=0,QU123=0),$H123,0)))))</f>
        <v/>
      </c>
      <c r="QU123" s="43">
        <f t="shared" ref="QU123" si="1270">QP123-QR123</f>
        <v>0</v>
      </c>
      <c r="QV123" s="8"/>
      <c r="QW123" s="47"/>
      <c r="QX123" s="48" t="s">
        <v>4</v>
      </c>
      <c r="QY123" s="49"/>
      <c r="QZ123" s="8"/>
      <c r="RA123" s="42" t="str">
        <f t="shared" ref="RA123" si="1271">IF(OR($G123="",QY123=""),"",IF(AND($E123=QW123,$G123=QY123),$H123*1.5,IF(AND($I123&gt;0,RB123&gt;0),$H123,IF(AND($I123&lt;0,RB123&lt;0),$H123,IF(AND($I123=0,RB123=0),$H123,0)))))</f>
        <v/>
      </c>
      <c r="RB123" s="43">
        <f t="shared" ref="RB123" si="1272">QW123-QY123</f>
        <v>0</v>
      </c>
      <c r="RC123" s="8"/>
      <c r="RD123" s="47"/>
      <c r="RE123" s="48" t="s">
        <v>4</v>
      </c>
      <c r="RF123" s="49"/>
      <c r="RG123" s="8"/>
      <c r="RH123" s="42" t="str">
        <f t="shared" ref="RH123" si="1273">IF(OR($G123="",RF123=""),"",IF(AND($E123=RD123,$G123=RF123),$H123*1.5,IF(AND($I123&gt;0,RI123&gt;0),$H123,IF(AND($I123&lt;0,RI123&lt;0),$H123,IF(AND($I123=0,RI123=0),$H123,0)))))</f>
        <v/>
      </c>
      <c r="RI123" s="43">
        <f t="shared" ref="RI123" si="1274">RD123-RF123</f>
        <v>0</v>
      </c>
      <c r="RJ123" s="8"/>
      <c r="RK123" s="47"/>
      <c r="RL123" s="48" t="s">
        <v>4</v>
      </c>
      <c r="RM123" s="49"/>
      <c r="RN123" s="8"/>
      <c r="RO123" s="42" t="str">
        <f t="shared" ref="RO123" si="1275">IF(OR($G123="",RM123=""),"",IF(AND($E123=RK123,$G123=RM123),$H123*1.5,IF(AND($I123&gt;0,RP123&gt;0),$H123,IF(AND($I123&lt;0,RP123&lt;0),$H123,IF(AND($I123=0,RP123=0),$H123,0)))))</f>
        <v/>
      </c>
      <c r="RP123" s="43">
        <f t="shared" ref="RP123" si="1276">RK123-RM123</f>
        <v>0</v>
      </c>
      <c r="RQ123" s="8"/>
      <c r="RR123" s="47"/>
      <c r="RS123" s="48" t="s">
        <v>4</v>
      </c>
      <c r="RT123" s="49"/>
      <c r="RU123" s="8"/>
      <c r="RV123" s="42" t="str">
        <f t="shared" ref="RV123" si="1277">IF(OR($G123="",RT123=""),"",IF(AND($E123=RR123,$G123=RT123),$H123*1.5,IF(AND($I123&gt;0,RW123&gt;0),$H123,IF(AND($I123&lt;0,RW123&lt;0),$H123,IF(AND($I123=0,RW123=0),$H123,0)))))</f>
        <v/>
      </c>
      <c r="RW123" s="43">
        <f t="shared" ref="RW123" si="1278">RR123-RT123</f>
        <v>0</v>
      </c>
      <c r="RX123" s="8"/>
      <c r="RY123" s="47"/>
      <c r="RZ123" s="48" t="s">
        <v>4</v>
      </c>
      <c r="SA123" s="49"/>
      <c r="SB123" s="8"/>
      <c r="SC123" s="42" t="str">
        <f t="shared" ref="SC123" si="1279">IF(OR($G123="",SA123=""),"",IF(AND($E123=RY123,$G123=SA123),$H123*1.5,IF(AND($I123&gt;0,SD123&gt;0),$H123,IF(AND($I123&lt;0,SD123&lt;0),$H123,IF(AND($I123=0,SD123=0),$H123,0)))))</f>
        <v/>
      </c>
      <c r="SD123" s="43">
        <f t="shared" ref="SD123" si="1280">RY123-SA123</f>
        <v>0</v>
      </c>
      <c r="SE123" s="8"/>
      <c r="SF123" s="47"/>
      <c r="SG123" s="48" t="s">
        <v>4</v>
      </c>
      <c r="SH123" s="49"/>
      <c r="SI123" s="8"/>
      <c r="SJ123" s="42" t="str">
        <f t="shared" ref="SJ123" si="1281">IF(OR($G123="",SH123=""),"",IF(AND($E123=SF123,$G123=SH123),$H123*1.5,IF(AND($I123&gt;0,SK123&gt;0),$H123,IF(AND($I123&lt;0,SK123&lt;0),$H123,IF(AND($I123=0,SK123=0),$H123,0)))))</f>
        <v/>
      </c>
      <c r="SK123" s="43">
        <f t="shared" ref="SK123" si="1282">SF123-SH123</f>
        <v>0</v>
      </c>
      <c r="SL123" s="8"/>
      <c r="SM123" s="47"/>
      <c r="SN123" s="48" t="s">
        <v>4</v>
      </c>
      <c r="SO123" s="49"/>
      <c r="SP123" s="8"/>
      <c r="SQ123" s="42" t="str">
        <f t="shared" ref="SQ123" si="1283">IF(OR($G123="",SO123=""),"",IF(AND($E123=SM123,$G123=SO123),$H123*1.5,IF(AND($I123&gt;0,SR123&gt;0),$H123,IF(AND($I123&lt;0,SR123&lt;0),$H123,IF(AND($I123=0,SR123=0),$H123,0)))))</f>
        <v/>
      </c>
      <c r="SR123" s="43">
        <f t="shared" ref="SR123" si="1284">SM123-SO123</f>
        <v>0</v>
      </c>
    </row>
    <row r="124" spans="1:512" ht="16" customHeight="1" x14ac:dyDescent="0.15">
      <c r="A124" s="53"/>
      <c r="B124" s="46"/>
      <c r="C124" s="5"/>
      <c r="D124" s="5"/>
      <c r="E124" s="5"/>
      <c r="F124" s="5"/>
      <c r="H124" s="8"/>
      <c r="I124" s="25"/>
      <c r="J124" s="8"/>
      <c r="K124" s="8"/>
      <c r="L124" s="8"/>
      <c r="M124" s="8"/>
      <c r="N124" s="42"/>
      <c r="O124" s="55"/>
      <c r="Q124" s="8"/>
      <c r="R124" s="8"/>
      <c r="S124" s="8"/>
      <c r="T124" s="8"/>
      <c r="U124" s="42"/>
      <c r="V124" s="55"/>
      <c r="W124" s="8"/>
      <c r="X124" s="8"/>
      <c r="Y124" s="8"/>
      <c r="Z124" s="8"/>
      <c r="AA124" s="8"/>
      <c r="AB124" s="42"/>
      <c r="AC124" s="55"/>
      <c r="AD124" s="8"/>
      <c r="AE124" s="8"/>
      <c r="AF124" s="8"/>
      <c r="AG124" s="8"/>
      <c r="AH124" s="8"/>
      <c r="AI124" s="42"/>
      <c r="AJ124" s="55"/>
      <c r="AK124" s="8"/>
      <c r="AL124" s="8"/>
      <c r="AM124" s="8"/>
      <c r="AN124" s="8"/>
      <c r="AO124" s="8"/>
      <c r="AP124" s="42"/>
      <c r="AQ124" s="55"/>
      <c r="AR124" s="8"/>
      <c r="AS124" s="8"/>
      <c r="AT124" s="8"/>
      <c r="AU124" s="8"/>
      <c r="AV124" s="8"/>
      <c r="AW124" s="42"/>
      <c r="AX124" s="55"/>
      <c r="AY124" s="8"/>
      <c r="AZ124" s="8"/>
      <c r="BA124" s="8"/>
      <c r="BB124" s="8"/>
      <c r="BC124" s="8"/>
      <c r="BD124" s="42"/>
      <c r="BE124" s="55"/>
      <c r="BF124" s="8"/>
      <c r="BG124" s="8"/>
      <c r="BH124" s="8"/>
      <c r="BI124" s="8"/>
      <c r="BJ124" s="8"/>
      <c r="BK124" s="42"/>
      <c r="BL124" s="55"/>
      <c r="BM124" s="8"/>
      <c r="BN124" s="8"/>
      <c r="BO124" s="8"/>
      <c r="BP124" s="8"/>
      <c r="BQ124" s="8"/>
      <c r="BR124" s="42"/>
      <c r="BS124" s="55"/>
      <c r="BT124" s="8"/>
      <c r="BU124" s="8"/>
      <c r="BV124" s="8"/>
      <c r="BW124" s="8"/>
      <c r="BX124" s="8"/>
      <c r="BY124" s="42"/>
      <c r="BZ124" s="55"/>
      <c r="CA124" s="8"/>
      <c r="CB124" s="8"/>
      <c r="CC124" s="8"/>
      <c r="CD124" s="8"/>
      <c r="CE124" s="8"/>
      <c r="CF124" s="42"/>
      <c r="CG124" s="55"/>
      <c r="CH124" s="8"/>
      <c r="CI124" s="8"/>
      <c r="CJ124" s="8"/>
      <c r="CK124" s="8"/>
      <c r="CL124" s="8"/>
      <c r="CM124" s="42"/>
      <c r="CN124" s="55"/>
      <c r="CO124" s="8"/>
      <c r="CP124" s="8"/>
      <c r="CQ124" s="8"/>
      <c r="CR124" s="8"/>
      <c r="CS124" s="8"/>
      <c r="CT124" s="42"/>
      <c r="CU124" s="55"/>
      <c r="CV124" s="8"/>
      <c r="CW124" s="8"/>
      <c r="CX124" s="8"/>
      <c r="CY124" s="8"/>
      <c r="CZ124" s="8"/>
      <c r="DA124" s="42"/>
      <c r="DB124" s="55"/>
      <c r="DC124" s="8"/>
      <c r="DD124" s="8"/>
      <c r="DE124" s="8"/>
      <c r="DF124" s="8"/>
      <c r="DG124" s="8"/>
      <c r="DH124" s="42"/>
      <c r="DI124" s="55"/>
      <c r="DJ124" s="8"/>
      <c r="DK124" s="8"/>
      <c r="DL124" s="8"/>
      <c r="DM124" s="8"/>
      <c r="DN124" s="8"/>
      <c r="DO124" s="42"/>
      <c r="DP124" s="55"/>
      <c r="DQ124" s="8"/>
      <c r="DR124" s="8"/>
      <c r="DS124" s="8"/>
      <c r="DT124" s="8"/>
      <c r="DU124" s="8"/>
      <c r="DV124" s="42"/>
      <c r="DW124" s="55"/>
      <c r="DX124" s="8"/>
      <c r="DY124" s="8"/>
      <c r="DZ124" s="8"/>
      <c r="EA124" s="8"/>
      <c r="EB124" s="8"/>
      <c r="EC124" s="42"/>
      <c r="ED124" s="55"/>
      <c r="EE124" s="8"/>
      <c r="EF124" s="8"/>
      <c r="EG124" s="8"/>
      <c r="EH124" s="8"/>
      <c r="EI124" s="8"/>
      <c r="EJ124" s="42"/>
      <c r="EK124" s="55"/>
      <c r="EL124" s="8"/>
      <c r="EM124" s="8"/>
      <c r="EN124" s="8"/>
      <c r="EO124" s="8"/>
      <c r="EP124" s="8"/>
      <c r="EQ124" s="42"/>
      <c r="ER124" s="55"/>
      <c r="ES124" s="8"/>
      <c r="ET124" s="8"/>
      <c r="EU124" s="8"/>
      <c r="EV124" s="8"/>
      <c r="EW124" s="8"/>
      <c r="EX124" s="42"/>
      <c r="EY124" s="55"/>
      <c r="EZ124" s="8"/>
      <c r="FA124" s="8"/>
      <c r="FB124" s="8"/>
      <c r="FC124" s="8"/>
      <c r="FD124" s="8"/>
      <c r="FE124" s="42"/>
      <c r="FF124" s="55"/>
      <c r="FG124" s="8"/>
      <c r="FH124" s="8"/>
      <c r="FI124" s="8"/>
      <c r="FJ124" s="8"/>
      <c r="FK124" s="8"/>
      <c r="FL124" s="42"/>
      <c r="FM124" s="55"/>
      <c r="FN124" s="8"/>
      <c r="FO124" s="8"/>
      <c r="FP124" s="8"/>
      <c r="FQ124" s="8"/>
      <c r="FR124" s="8"/>
      <c r="FS124" s="42"/>
      <c r="FT124" s="55"/>
      <c r="FU124" s="8"/>
      <c r="FV124" s="8"/>
      <c r="FW124" s="8"/>
      <c r="FX124" s="8"/>
      <c r="FY124" s="8"/>
      <c r="FZ124" s="42"/>
      <c r="GA124" s="55"/>
      <c r="GB124" s="8"/>
      <c r="GC124" s="8"/>
      <c r="GD124" s="8"/>
      <c r="GE124" s="8"/>
      <c r="GF124" s="8"/>
      <c r="GG124" s="42"/>
      <c r="GH124" s="55"/>
      <c r="GI124" s="8"/>
      <c r="GJ124" s="8"/>
      <c r="GK124" s="8"/>
      <c r="GL124" s="8"/>
      <c r="GM124" s="8"/>
      <c r="GN124" s="42"/>
      <c r="GO124" s="55"/>
      <c r="GP124" s="8"/>
      <c r="GQ124" s="8"/>
      <c r="GR124" s="8"/>
      <c r="GS124" s="8"/>
      <c r="GT124" s="8"/>
      <c r="GU124" s="42"/>
      <c r="GV124" s="55"/>
      <c r="GW124" s="8"/>
      <c r="GX124" s="8"/>
      <c r="GY124" s="8"/>
      <c r="GZ124" s="8"/>
      <c r="HA124" s="8"/>
      <c r="HB124" s="42"/>
      <c r="HC124" s="55"/>
      <c r="HD124" s="8"/>
      <c r="HE124" s="8"/>
      <c r="HF124" s="8"/>
      <c r="HG124" s="8"/>
      <c r="HH124" s="8"/>
      <c r="HI124" s="42"/>
      <c r="HJ124" s="55"/>
      <c r="HK124" s="8"/>
      <c r="HL124" s="8"/>
      <c r="HM124" s="8"/>
      <c r="HN124" s="8"/>
      <c r="HO124" s="8"/>
      <c r="HP124" s="42"/>
      <c r="HQ124" s="55"/>
      <c r="HR124" s="8"/>
      <c r="HS124" s="8"/>
      <c r="HT124" s="8"/>
      <c r="HU124" s="8"/>
      <c r="HV124" s="8"/>
      <c r="HW124" s="42"/>
      <c r="HX124" s="55"/>
      <c r="HY124" s="8"/>
      <c r="HZ124" s="8"/>
      <c r="IA124" s="8"/>
      <c r="IB124" s="8"/>
      <c r="IC124" s="8"/>
      <c r="ID124" s="42"/>
      <c r="IE124" s="55"/>
      <c r="IF124" s="8"/>
      <c r="IG124" s="8"/>
      <c r="IH124" s="8"/>
      <c r="II124" s="8"/>
      <c r="IJ124" s="8"/>
      <c r="IK124" s="42"/>
      <c r="IL124" s="55"/>
      <c r="IM124" s="8"/>
      <c r="IN124" s="8"/>
      <c r="IO124" s="8"/>
      <c r="IP124" s="8"/>
      <c r="IQ124" s="8"/>
      <c r="IR124" s="42"/>
      <c r="IS124" s="55"/>
      <c r="IT124" s="8"/>
      <c r="IU124" s="8"/>
      <c r="IV124" s="8"/>
      <c r="IW124" s="8"/>
      <c r="IX124" s="8"/>
      <c r="IY124" s="42"/>
      <c r="IZ124" s="55"/>
      <c r="JA124" s="8"/>
      <c r="JB124" s="8"/>
      <c r="JC124" s="8"/>
      <c r="JD124" s="8"/>
      <c r="JE124" s="8"/>
      <c r="JF124" s="42"/>
      <c r="JG124" s="55"/>
      <c r="JH124" s="8"/>
      <c r="JI124" s="8"/>
      <c r="JJ124" s="8"/>
      <c r="JK124" s="8"/>
      <c r="JL124" s="8"/>
      <c r="JM124" s="42"/>
      <c r="JN124" s="55"/>
      <c r="JO124" s="8"/>
      <c r="JP124" s="8"/>
      <c r="JQ124" s="8"/>
      <c r="JR124" s="8"/>
      <c r="JS124" s="8"/>
      <c r="JT124" s="42"/>
      <c r="JU124" s="55"/>
      <c r="JV124" s="8"/>
      <c r="JW124" s="8"/>
      <c r="JX124" s="8"/>
      <c r="JY124" s="8"/>
      <c r="JZ124" s="8"/>
      <c r="KA124" s="42"/>
      <c r="KB124" s="55"/>
      <c r="KC124" s="8"/>
      <c r="KD124" s="8"/>
      <c r="KE124" s="8"/>
      <c r="KF124" s="8"/>
      <c r="KG124" s="8"/>
      <c r="KH124" s="42"/>
      <c r="KI124" s="55"/>
      <c r="KJ124" s="8"/>
      <c r="KK124" s="8"/>
      <c r="KL124" s="8"/>
      <c r="KM124" s="8"/>
      <c r="KN124" s="8"/>
      <c r="KO124" s="42"/>
      <c r="KP124" s="55"/>
      <c r="KQ124" s="8"/>
      <c r="KR124" s="8"/>
      <c r="KS124" s="8"/>
      <c r="KT124" s="8"/>
      <c r="KU124" s="8"/>
      <c r="KV124" s="42"/>
      <c r="KW124" s="55"/>
      <c r="KX124" s="8"/>
      <c r="KY124" s="8"/>
      <c r="KZ124" s="8"/>
      <c r="LA124" s="8"/>
      <c r="LB124" s="8"/>
      <c r="LC124" s="42"/>
      <c r="LD124" s="55"/>
      <c r="LE124" s="8"/>
      <c r="LF124" s="8"/>
      <c r="LG124" s="8"/>
      <c r="LH124" s="8"/>
      <c r="LI124" s="8"/>
      <c r="LJ124" s="42"/>
      <c r="LK124" s="55"/>
      <c r="LL124" s="8"/>
      <c r="LM124" s="8"/>
      <c r="LN124" s="8"/>
      <c r="LO124" s="8"/>
      <c r="LP124" s="8"/>
      <c r="LQ124" s="42"/>
      <c r="LR124" s="55"/>
      <c r="LS124" s="8"/>
      <c r="LT124" s="8"/>
      <c r="LU124" s="8"/>
      <c r="LV124" s="8"/>
      <c r="LW124" s="8"/>
      <c r="LX124" s="42"/>
      <c r="LY124" s="55"/>
      <c r="LZ124" s="8"/>
      <c r="MA124" s="8"/>
      <c r="MB124" s="8"/>
      <c r="MC124" s="8"/>
      <c r="MD124" s="8"/>
      <c r="ME124" s="42"/>
      <c r="MF124" s="55"/>
      <c r="MG124" s="8"/>
      <c r="MH124" s="8"/>
      <c r="MI124" s="8"/>
      <c r="MJ124" s="8"/>
      <c r="MK124" s="8"/>
      <c r="ML124" s="42"/>
      <c r="MM124" s="55"/>
      <c r="MN124" s="8"/>
      <c r="MO124" s="8"/>
      <c r="MP124" s="8"/>
      <c r="MQ124" s="8"/>
      <c r="MR124" s="8"/>
      <c r="MS124" s="42"/>
      <c r="MT124" s="55"/>
      <c r="MU124" s="8"/>
      <c r="MV124" s="8"/>
      <c r="MW124" s="8"/>
      <c r="MX124" s="8"/>
      <c r="MY124" s="8"/>
      <c r="MZ124" s="42"/>
      <c r="NA124" s="55"/>
      <c r="NB124" s="8"/>
      <c r="NC124" s="8"/>
      <c r="ND124" s="8"/>
      <c r="NE124" s="8"/>
      <c r="NF124" s="8"/>
      <c r="NG124" s="42"/>
      <c r="NH124" s="55"/>
      <c r="NI124" s="8"/>
      <c r="NJ124" s="8"/>
      <c r="NK124" s="8"/>
      <c r="NL124" s="8"/>
      <c r="NM124" s="8"/>
      <c r="NN124" s="42"/>
      <c r="NO124" s="55"/>
      <c r="NP124" s="8"/>
      <c r="NQ124" s="8"/>
      <c r="NR124" s="8"/>
      <c r="NS124" s="8"/>
      <c r="NT124" s="8"/>
      <c r="NU124" s="42"/>
      <c r="NV124" s="55"/>
      <c r="NW124" s="8"/>
      <c r="NX124" s="8"/>
      <c r="NY124" s="8"/>
      <c r="NZ124" s="8"/>
      <c r="OA124" s="8"/>
      <c r="OB124" s="42"/>
      <c r="OC124" s="55"/>
      <c r="OD124" s="8"/>
      <c r="OE124" s="8"/>
      <c r="OF124" s="8"/>
      <c r="OG124" s="8"/>
      <c r="OH124" s="8"/>
      <c r="OI124" s="42"/>
      <c r="OJ124" s="55"/>
      <c r="OK124" s="8"/>
      <c r="OL124" s="8"/>
      <c r="OM124" s="8"/>
      <c r="ON124" s="8"/>
      <c r="OO124" s="8"/>
      <c r="OP124" s="42"/>
      <c r="OQ124" s="55"/>
      <c r="OR124" s="8"/>
      <c r="OS124" s="8"/>
      <c r="OT124" s="8"/>
      <c r="OU124" s="8"/>
      <c r="OV124" s="8"/>
      <c r="OW124" s="42"/>
      <c r="OX124" s="55"/>
      <c r="OY124" s="8"/>
      <c r="OZ124" s="8"/>
      <c r="PA124" s="8"/>
      <c r="PB124" s="8"/>
      <c r="PC124" s="8"/>
      <c r="PD124" s="42"/>
      <c r="PE124" s="55"/>
      <c r="PF124" s="8"/>
      <c r="PG124" s="8"/>
      <c r="PH124" s="8"/>
      <c r="PI124" s="8"/>
      <c r="PJ124" s="8"/>
      <c r="PK124" s="42"/>
      <c r="PL124" s="55"/>
      <c r="PM124" s="8"/>
      <c r="PN124" s="8"/>
      <c r="PO124" s="8"/>
      <c r="PP124" s="8"/>
      <c r="PQ124" s="8"/>
      <c r="PR124" s="42"/>
      <c r="PS124" s="55"/>
      <c r="PT124" s="8"/>
      <c r="PU124" s="8"/>
      <c r="PV124" s="8"/>
      <c r="PW124" s="8"/>
      <c r="PX124" s="8"/>
      <c r="PY124" s="42"/>
      <c r="PZ124" s="55"/>
      <c r="QA124" s="8"/>
      <c r="QB124" s="8"/>
      <c r="QC124" s="8"/>
      <c r="QD124" s="8"/>
      <c r="QE124" s="8"/>
      <c r="QF124" s="42"/>
      <c r="QG124" s="55"/>
      <c r="QH124" s="8"/>
      <c r="QI124" s="8"/>
      <c r="QJ124" s="8"/>
      <c r="QK124" s="8"/>
      <c r="QL124" s="8"/>
      <c r="QM124" s="42"/>
      <c r="QN124" s="55"/>
      <c r="QO124" s="8"/>
      <c r="QP124" s="8"/>
      <c r="QQ124" s="8"/>
      <c r="QR124" s="8"/>
      <c r="QS124" s="8"/>
      <c r="QT124" s="42"/>
      <c r="QU124" s="55"/>
      <c r="QV124" s="8"/>
      <c r="QW124" s="8"/>
      <c r="QX124" s="8"/>
      <c r="QY124" s="8"/>
      <c r="QZ124" s="8"/>
      <c r="RA124" s="42"/>
      <c r="RB124" s="55"/>
      <c r="RC124" s="8"/>
      <c r="RD124" s="8"/>
      <c r="RE124" s="8"/>
      <c r="RF124" s="8"/>
      <c r="RG124" s="8"/>
      <c r="RH124" s="42"/>
      <c r="RI124" s="55"/>
      <c r="RJ124" s="8"/>
      <c r="RK124" s="8"/>
      <c r="RL124" s="8"/>
      <c r="RM124" s="8"/>
      <c r="RN124" s="8"/>
      <c r="RO124" s="42"/>
      <c r="RP124" s="55"/>
      <c r="RQ124" s="8"/>
      <c r="RR124" s="8"/>
      <c r="RS124" s="8"/>
      <c r="RT124" s="8"/>
      <c r="RU124" s="8"/>
      <c r="RV124" s="42"/>
      <c r="RW124" s="55"/>
      <c r="RX124" s="8"/>
      <c r="RY124" s="8"/>
      <c r="RZ124" s="8"/>
      <c r="SA124" s="8"/>
      <c r="SB124" s="8"/>
      <c r="SC124" s="42"/>
      <c r="SD124" s="55"/>
      <c r="SE124" s="8"/>
      <c r="SF124" s="8"/>
      <c r="SG124" s="8"/>
      <c r="SH124" s="8"/>
      <c r="SI124" s="8"/>
      <c r="SJ124" s="42"/>
      <c r="SK124" s="55"/>
      <c r="SL124" s="8"/>
      <c r="SM124" s="8"/>
      <c r="SN124" s="8"/>
      <c r="SO124" s="8"/>
      <c r="SP124" s="8"/>
      <c r="SQ124" s="42"/>
      <c r="SR124" s="55"/>
    </row>
    <row r="125" spans="1:512" ht="16" customHeight="1" x14ac:dyDescent="0.15">
      <c r="A125" s="51"/>
      <c r="B125" s="5"/>
      <c r="C125" s="5"/>
      <c r="D125" s="85" t="s">
        <v>324</v>
      </c>
      <c r="E125" s="5"/>
      <c r="F125" s="5"/>
      <c r="H125" s="8"/>
      <c r="I125" s="25"/>
      <c r="J125" s="8"/>
      <c r="K125" s="8"/>
      <c r="L125" s="8"/>
      <c r="M125" s="8"/>
      <c r="N125" s="42"/>
      <c r="O125" s="55"/>
      <c r="Q125" s="8"/>
      <c r="R125" s="8"/>
      <c r="S125" s="8"/>
      <c r="T125" s="8"/>
      <c r="U125" s="42"/>
      <c r="V125" s="55"/>
      <c r="W125" s="54"/>
      <c r="X125" s="8"/>
      <c r="Y125" s="8"/>
      <c r="Z125" s="8"/>
      <c r="AA125" s="8"/>
      <c r="AB125" s="42"/>
      <c r="AC125" s="55"/>
      <c r="AD125" s="54"/>
      <c r="AE125" s="8"/>
      <c r="AF125" s="8"/>
      <c r="AG125" s="8"/>
      <c r="AH125" s="8"/>
      <c r="AI125" s="42"/>
      <c r="AJ125" s="55"/>
      <c r="AK125" s="54"/>
      <c r="AL125" s="8"/>
      <c r="AM125" s="8"/>
      <c r="AN125" s="8"/>
      <c r="AO125" s="8"/>
      <c r="AP125" s="42"/>
      <c r="AQ125" s="55"/>
      <c r="AR125" s="54"/>
      <c r="AS125" s="8"/>
      <c r="AT125" s="8"/>
      <c r="AU125" s="8"/>
      <c r="AV125" s="8"/>
      <c r="AW125" s="42"/>
      <c r="AX125" s="55"/>
      <c r="AY125" s="54"/>
      <c r="AZ125" s="8"/>
      <c r="BA125" s="8"/>
      <c r="BB125" s="8"/>
      <c r="BC125" s="8"/>
      <c r="BD125" s="42"/>
      <c r="BE125" s="55"/>
      <c r="BF125" s="54"/>
      <c r="BG125" s="8"/>
      <c r="BH125" s="8"/>
      <c r="BI125" s="8"/>
      <c r="BJ125" s="8"/>
      <c r="BK125" s="42"/>
      <c r="BL125" s="55"/>
      <c r="BM125" s="54"/>
      <c r="BN125" s="8"/>
      <c r="BO125" s="8"/>
      <c r="BP125" s="8"/>
      <c r="BQ125" s="8"/>
      <c r="BR125" s="42"/>
      <c r="BS125" s="55"/>
      <c r="BT125" s="54"/>
      <c r="BU125" s="8"/>
      <c r="BV125" s="8"/>
      <c r="BW125" s="8"/>
      <c r="BX125" s="8"/>
      <c r="BY125" s="42"/>
      <c r="BZ125" s="55"/>
      <c r="CA125" s="54"/>
      <c r="CB125" s="8"/>
      <c r="CC125" s="8"/>
      <c r="CD125" s="8"/>
      <c r="CE125" s="8"/>
      <c r="CF125" s="42"/>
      <c r="CG125" s="55"/>
      <c r="CH125" s="54"/>
      <c r="CI125" s="8"/>
      <c r="CJ125" s="8"/>
      <c r="CK125" s="8"/>
      <c r="CL125" s="8"/>
      <c r="CM125" s="42"/>
      <c r="CN125" s="55"/>
      <c r="CO125" s="54"/>
      <c r="CP125" s="8"/>
      <c r="CQ125" s="8"/>
      <c r="CR125" s="8"/>
      <c r="CS125" s="8"/>
      <c r="CT125" s="42"/>
      <c r="CU125" s="55"/>
      <c r="CV125" s="54"/>
      <c r="CW125" s="8"/>
      <c r="CX125" s="8"/>
      <c r="CY125" s="8"/>
      <c r="CZ125" s="8"/>
      <c r="DA125" s="42"/>
      <c r="DB125" s="55"/>
      <c r="DC125" s="54"/>
      <c r="DD125" s="8"/>
      <c r="DE125" s="8"/>
      <c r="DF125" s="8"/>
      <c r="DG125" s="8"/>
      <c r="DH125" s="42"/>
      <c r="DI125" s="55"/>
      <c r="DJ125" s="54"/>
      <c r="DK125" s="8"/>
      <c r="DL125" s="8"/>
      <c r="DM125" s="8"/>
      <c r="DN125" s="8"/>
      <c r="DO125" s="42"/>
      <c r="DP125" s="55"/>
      <c r="DQ125" s="54"/>
      <c r="DR125" s="8"/>
      <c r="DS125" s="8"/>
      <c r="DT125" s="8"/>
      <c r="DU125" s="8"/>
      <c r="DV125" s="42"/>
      <c r="DW125" s="55"/>
      <c r="DX125" s="54"/>
      <c r="DY125" s="8"/>
      <c r="DZ125" s="8"/>
      <c r="EA125" s="8"/>
      <c r="EB125" s="8"/>
      <c r="EC125" s="42"/>
      <c r="ED125" s="55"/>
      <c r="EE125" s="54"/>
      <c r="EF125" s="8"/>
      <c r="EG125" s="8"/>
      <c r="EH125" s="8"/>
      <c r="EI125" s="8"/>
      <c r="EJ125" s="42"/>
      <c r="EK125" s="55"/>
      <c r="EL125" s="54"/>
      <c r="EM125" s="8"/>
      <c r="EN125" s="8"/>
      <c r="EO125" s="8"/>
      <c r="EP125" s="8"/>
      <c r="EQ125" s="42"/>
      <c r="ER125" s="55"/>
      <c r="ES125" s="54"/>
      <c r="ET125" s="8"/>
      <c r="EU125" s="8"/>
      <c r="EV125" s="8"/>
      <c r="EW125" s="8"/>
      <c r="EX125" s="42"/>
      <c r="EY125" s="55"/>
      <c r="EZ125" s="54"/>
      <c r="FA125" s="8"/>
      <c r="FB125" s="8"/>
      <c r="FC125" s="8"/>
      <c r="FD125" s="8"/>
      <c r="FE125" s="42"/>
      <c r="FF125" s="55"/>
      <c r="FG125" s="54"/>
      <c r="FH125" s="8"/>
      <c r="FI125" s="8"/>
      <c r="FJ125" s="8"/>
      <c r="FK125" s="8"/>
      <c r="FL125" s="42"/>
      <c r="FM125" s="55"/>
      <c r="FN125" s="54"/>
      <c r="FO125" s="8"/>
      <c r="FP125" s="8"/>
      <c r="FQ125" s="8"/>
      <c r="FR125" s="8"/>
      <c r="FS125" s="42"/>
      <c r="FT125" s="55"/>
      <c r="FU125" s="54"/>
      <c r="FV125" s="8"/>
      <c r="FW125" s="8"/>
      <c r="FX125" s="8"/>
      <c r="FY125" s="8"/>
      <c r="FZ125" s="42"/>
      <c r="GA125" s="55"/>
      <c r="GB125" s="54"/>
      <c r="GC125" s="8"/>
      <c r="GD125" s="8"/>
      <c r="GE125" s="8"/>
      <c r="GF125" s="8"/>
      <c r="GG125" s="42"/>
      <c r="GH125" s="55"/>
      <c r="GI125" s="54"/>
      <c r="GJ125" s="8"/>
      <c r="GK125" s="8"/>
      <c r="GL125" s="8"/>
      <c r="GM125" s="8"/>
      <c r="GN125" s="42"/>
      <c r="GO125" s="55"/>
      <c r="GP125" s="54"/>
      <c r="GQ125" s="8"/>
      <c r="GR125" s="8"/>
      <c r="GS125" s="8"/>
      <c r="GT125" s="8"/>
      <c r="GU125" s="42"/>
      <c r="GV125" s="55"/>
      <c r="GW125" s="54"/>
      <c r="GX125" s="8"/>
      <c r="GY125" s="8"/>
      <c r="GZ125" s="8"/>
      <c r="HA125" s="8"/>
      <c r="HB125" s="42"/>
      <c r="HC125" s="55"/>
      <c r="HD125" s="54"/>
      <c r="HE125" s="8"/>
      <c r="HF125" s="8"/>
      <c r="HG125" s="8"/>
      <c r="HH125" s="8"/>
      <c r="HI125" s="42"/>
      <c r="HJ125" s="55"/>
      <c r="HK125" s="54"/>
      <c r="HL125" s="8"/>
      <c r="HM125" s="8"/>
      <c r="HN125" s="8"/>
      <c r="HO125" s="8"/>
      <c r="HP125" s="42"/>
      <c r="HQ125" s="55"/>
      <c r="HR125" s="54"/>
      <c r="HS125" s="8"/>
      <c r="HT125" s="8"/>
      <c r="HU125" s="8"/>
      <c r="HV125" s="8"/>
      <c r="HW125" s="42"/>
      <c r="HX125" s="55"/>
      <c r="HY125" s="54"/>
      <c r="HZ125" s="8"/>
      <c r="IA125" s="8"/>
      <c r="IB125" s="8"/>
      <c r="IC125" s="8"/>
      <c r="ID125" s="42"/>
      <c r="IE125" s="55"/>
      <c r="IF125" s="54"/>
      <c r="IG125" s="8"/>
      <c r="IH125" s="8"/>
      <c r="II125" s="8"/>
      <c r="IJ125" s="8"/>
      <c r="IK125" s="42"/>
      <c r="IL125" s="55"/>
      <c r="IM125" s="54"/>
      <c r="IN125" s="8"/>
      <c r="IO125" s="8"/>
      <c r="IP125" s="8"/>
      <c r="IQ125" s="8"/>
      <c r="IR125" s="42"/>
      <c r="IS125" s="55"/>
      <c r="IT125" s="54"/>
      <c r="IU125" s="8"/>
      <c r="IV125" s="8"/>
      <c r="IW125" s="8"/>
      <c r="IX125" s="8"/>
      <c r="IY125" s="42"/>
      <c r="IZ125" s="55"/>
      <c r="JA125" s="54"/>
      <c r="JB125" s="8"/>
      <c r="JC125" s="8"/>
      <c r="JD125" s="8"/>
      <c r="JE125" s="8"/>
      <c r="JF125" s="42"/>
      <c r="JG125" s="55"/>
      <c r="JH125" s="54"/>
      <c r="JI125" s="8"/>
      <c r="JJ125" s="8"/>
      <c r="JK125" s="8"/>
      <c r="JL125" s="8"/>
      <c r="JM125" s="42"/>
      <c r="JN125" s="55"/>
      <c r="JO125" s="54"/>
      <c r="JP125" s="8"/>
      <c r="JQ125" s="8"/>
      <c r="JR125" s="8"/>
      <c r="JS125" s="8"/>
      <c r="JT125" s="42"/>
      <c r="JU125" s="55"/>
      <c r="JV125" s="54"/>
      <c r="JW125" s="8"/>
      <c r="JX125" s="8"/>
      <c r="JY125" s="8"/>
      <c r="JZ125" s="8"/>
      <c r="KA125" s="42"/>
      <c r="KB125" s="55"/>
      <c r="KC125" s="54"/>
      <c r="KD125" s="8"/>
      <c r="KE125" s="8"/>
      <c r="KF125" s="8"/>
      <c r="KG125" s="8"/>
      <c r="KH125" s="42"/>
      <c r="KI125" s="55"/>
      <c r="KJ125" s="54"/>
      <c r="KK125" s="8"/>
      <c r="KL125" s="8"/>
      <c r="KM125" s="8"/>
      <c r="KN125" s="8"/>
      <c r="KO125" s="42"/>
      <c r="KP125" s="55"/>
      <c r="KQ125" s="54"/>
      <c r="KR125" s="8"/>
      <c r="KS125" s="8"/>
      <c r="KT125" s="8"/>
      <c r="KU125" s="8"/>
      <c r="KV125" s="42"/>
      <c r="KW125" s="55"/>
      <c r="KX125" s="54"/>
      <c r="KY125" s="8"/>
      <c r="KZ125" s="8"/>
      <c r="LA125" s="8"/>
      <c r="LB125" s="8"/>
      <c r="LC125" s="42"/>
      <c r="LD125" s="55"/>
      <c r="LE125" s="54"/>
      <c r="LF125" s="8"/>
      <c r="LG125" s="8"/>
      <c r="LH125" s="8"/>
      <c r="LI125" s="8"/>
      <c r="LJ125" s="42"/>
      <c r="LK125" s="55"/>
      <c r="LL125" s="54"/>
      <c r="LM125" s="8"/>
      <c r="LN125" s="8"/>
      <c r="LO125" s="8"/>
      <c r="LP125" s="8"/>
      <c r="LQ125" s="42"/>
      <c r="LR125" s="55"/>
      <c r="LS125" s="54"/>
      <c r="LT125" s="8"/>
      <c r="LU125" s="8"/>
      <c r="LV125" s="8"/>
      <c r="LW125" s="8"/>
      <c r="LX125" s="42"/>
      <c r="LY125" s="55"/>
      <c r="LZ125" s="54"/>
      <c r="MA125" s="8"/>
      <c r="MB125" s="8"/>
      <c r="MC125" s="8"/>
      <c r="MD125" s="8"/>
      <c r="ME125" s="42"/>
      <c r="MF125" s="55"/>
      <c r="MG125" s="54"/>
      <c r="MH125" s="8"/>
      <c r="MI125" s="8"/>
      <c r="MJ125" s="8"/>
      <c r="MK125" s="8"/>
      <c r="ML125" s="42"/>
      <c r="MM125" s="55"/>
      <c r="MN125" s="54"/>
      <c r="MO125" s="8"/>
      <c r="MP125" s="8"/>
      <c r="MQ125" s="8"/>
      <c r="MR125" s="8"/>
      <c r="MS125" s="42"/>
      <c r="MT125" s="55"/>
      <c r="MU125" s="54"/>
      <c r="MV125" s="8"/>
      <c r="MW125" s="8"/>
      <c r="MX125" s="8"/>
      <c r="MY125" s="8"/>
      <c r="MZ125" s="42"/>
      <c r="NA125" s="55"/>
      <c r="NB125" s="54"/>
      <c r="NC125" s="8"/>
      <c r="ND125" s="8"/>
      <c r="NE125" s="8"/>
      <c r="NF125" s="8"/>
      <c r="NG125" s="42"/>
      <c r="NH125" s="55"/>
      <c r="NI125" s="54"/>
      <c r="NJ125" s="8"/>
      <c r="NK125" s="8"/>
      <c r="NL125" s="8"/>
      <c r="NM125" s="8"/>
      <c r="NN125" s="42"/>
      <c r="NO125" s="55"/>
      <c r="NP125" s="54"/>
      <c r="NQ125" s="8"/>
      <c r="NR125" s="8"/>
      <c r="NS125" s="8"/>
      <c r="NT125" s="8"/>
      <c r="NU125" s="42"/>
      <c r="NV125" s="55"/>
      <c r="NW125" s="54"/>
      <c r="NX125" s="8"/>
      <c r="NY125" s="8"/>
      <c r="NZ125" s="8"/>
      <c r="OA125" s="8"/>
      <c r="OB125" s="42"/>
      <c r="OC125" s="55"/>
      <c r="OD125" s="54"/>
      <c r="OE125" s="8"/>
      <c r="OF125" s="8"/>
      <c r="OG125" s="8"/>
      <c r="OH125" s="8"/>
      <c r="OI125" s="42"/>
      <c r="OJ125" s="55"/>
      <c r="OK125" s="54"/>
      <c r="OL125" s="8"/>
      <c r="OM125" s="8"/>
      <c r="ON125" s="8"/>
      <c r="OO125" s="8"/>
      <c r="OP125" s="42"/>
      <c r="OQ125" s="55"/>
      <c r="OR125" s="54"/>
      <c r="OS125" s="8"/>
      <c r="OT125" s="8"/>
      <c r="OU125" s="8"/>
      <c r="OV125" s="8"/>
      <c r="OW125" s="42"/>
      <c r="OX125" s="55"/>
      <c r="OY125" s="54"/>
      <c r="OZ125" s="8"/>
      <c r="PA125" s="8"/>
      <c r="PB125" s="8"/>
      <c r="PC125" s="8"/>
      <c r="PD125" s="42"/>
      <c r="PE125" s="55"/>
      <c r="PF125" s="54"/>
      <c r="PG125" s="8"/>
      <c r="PH125" s="8"/>
      <c r="PI125" s="8"/>
      <c r="PJ125" s="8"/>
      <c r="PK125" s="42"/>
      <c r="PL125" s="55"/>
      <c r="PM125" s="54"/>
      <c r="PN125" s="8"/>
      <c r="PO125" s="8"/>
      <c r="PP125" s="8"/>
      <c r="PQ125" s="8"/>
      <c r="PR125" s="42"/>
      <c r="PS125" s="55"/>
      <c r="PT125" s="54"/>
      <c r="PU125" s="8"/>
      <c r="PV125" s="8"/>
      <c r="PW125" s="8"/>
      <c r="PX125" s="8"/>
      <c r="PY125" s="42"/>
      <c r="PZ125" s="55"/>
      <c r="QA125" s="54"/>
      <c r="QB125" s="8"/>
      <c r="QC125" s="8"/>
      <c r="QD125" s="8"/>
      <c r="QE125" s="8"/>
      <c r="QF125" s="42"/>
      <c r="QG125" s="55"/>
      <c r="QH125" s="54"/>
      <c r="QI125" s="8"/>
      <c r="QJ125" s="8"/>
      <c r="QK125" s="8"/>
      <c r="QL125" s="8"/>
      <c r="QM125" s="42"/>
      <c r="QN125" s="55"/>
      <c r="QO125" s="54"/>
      <c r="QP125" s="8"/>
      <c r="QQ125" s="8"/>
      <c r="QR125" s="8"/>
      <c r="QS125" s="8"/>
      <c r="QT125" s="42"/>
      <c r="QU125" s="55"/>
      <c r="QV125" s="54"/>
      <c r="QW125" s="8"/>
      <c r="QX125" s="8"/>
      <c r="QY125" s="8"/>
      <c r="QZ125" s="8"/>
      <c r="RA125" s="42"/>
      <c r="RB125" s="55"/>
      <c r="RC125" s="54"/>
      <c r="RD125" s="8"/>
      <c r="RE125" s="8"/>
      <c r="RF125" s="8"/>
      <c r="RG125" s="8"/>
      <c r="RH125" s="42"/>
      <c r="RI125" s="55"/>
      <c r="RJ125" s="54"/>
      <c r="RK125" s="8"/>
      <c r="RL125" s="8"/>
      <c r="RM125" s="8"/>
      <c r="RN125" s="8"/>
      <c r="RO125" s="42"/>
      <c r="RP125" s="55"/>
      <c r="RQ125" s="54"/>
      <c r="RR125" s="8"/>
      <c r="RS125" s="8"/>
      <c r="RT125" s="8"/>
      <c r="RU125" s="8"/>
      <c r="RV125" s="42"/>
      <c r="RW125" s="55"/>
      <c r="RX125" s="54"/>
      <c r="RY125" s="8"/>
      <c r="RZ125" s="8"/>
      <c r="SA125" s="8"/>
      <c r="SB125" s="8"/>
      <c r="SC125" s="42"/>
      <c r="SD125" s="55"/>
      <c r="SE125" s="54"/>
      <c r="SF125" s="8"/>
      <c r="SG125" s="8"/>
      <c r="SH125" s="8"/>
      <c r="SI125" s="8"/>
      <c r="SJ125" s="42"/>
      <c r="SK125" s="55"/>
      <c r="SL125" s="54"/>
      <c r="SM125" s="8"/>
      <c r="SN125" s="8"/>
      <c r="SO125" s="8"/>
      <c r="SP125" s="8"/>
      <c r="SQ125" s="42"/>
      <c r="SR125" s="55"/>
    </row>
    <row r="126" spans="1:512" ht="16" customHeight="1" x14ac:dyDescent="0.15">
      <c r="A126" s="51"/>
      <c r="B126" s="46"/>
      <c r="C126" s="5"/>
      <c r="D126" s="5"/>
      <c r="E126" s="5"/>
      <c r="F126" s="5"/>
      <c r="H126" s="8"/>
      <c r="I126" s="25"/>
      <c r="J126" s="8"/>
      <c r="K126" s="8"/>
      <c r="L126" s="8"/>
      <c r="M126" s="8"/>
      <c r="N126" s="42"/>
      <c r="O126" s="55"/>
      <c r="Q126" s="8"/>
      <c r="R126" s="8"/>
      <c r="S126" s="8"/>
      <c r="T126" s="8"/>
      <c r="U126" s="42"/>
      <c r="V126" s="55"/>
      <c r="W126" s="54"/>
      <c r="X126" s="8"/>
      <c r="Y126" s="8"/>
      <c r="Z126" s="8"/>
      <c r="AA126" s="8"/>
      <c r="AB126" s="42"/>
      <c r="AC126" s="55"/>
      <c r="AD126" s="54"/>
      <c r="AE126" s="8"/>
      <c r="AF126" s="8"/>
      <c r="AG126" s="8"/>
      <c r="AH126" s="8"/>
      <c r="AI126" s="42"/>
      <c r="AJ126" s="55"/>
      <c r="AK126" s="54"/>
      <c r="AL126" s="8"/>
      <c r="AM126" s="8"/>
      <c r="AN126" s="8"/>
      <c r="AO126" s="8"/>
      <c r="AP126" s="42"/>
      <c r="AQ126" s="55"/>
      <c r="AR126" s="54"/>
      <c r="AS126" s="8"/>
      <c r="AT126" s="8"/>
      <c r="AU126" s="8"/>
      <c r="AV126" s="8"/>
      <c r="AW126" s="42"/>
      <c r="AX126" s="55"/>
      <c r="AY126" s="54"/>
      <c r="AZ126" s="8"/>
      <c r="BA126" s="8"/>
      <c r="BB126" s="8"/>
      <c r="BC126" s="8"/>
      <c r="BD126" s="42"/>
      <c r="BE126" s="55"/>
      <c r="BF126" s="54"/>
      <c r="BG126" s="8"/>
      <c r="BH126" s="8"/>
      <c r="BI126" s="8"/>
      <c r="BJ126" s="8"/>
      <c r="BK126" s="42"/>
      <c r="BL126" s="55"/>
      <c r="BM126" s="54"/>
      <c r="BN126" s="8"/>
      <c r="BO126" s="8"/>
      <c r="BP126" s="8"/>
      <c r="BQ126" s="8"/>
      <c r="BR126" s="42"/>
      <c r="BS126" s="55"/>
      <c r="BT126" s="54"/>
      <c r="BU126" s="8"/>
      <c r="BV126" s="8"/>
      <c r="BW126" s="8"/>
      <c r="BX126" s="8"/>
      <c r="BY126" s="42"/>
      <c r="BZ126" s="55"/>
      <c r="CA126" s="54"/>
      <c r="CB126" s="8"/>
      <c r="CC126" s="8"/>
      <c r="CD126" s="8"/>
      <c r="CE126" s="8"/>
      <c r="CF126" s="42"/>
      <c r="CG126" s="55"/>
      <c r="CH126" s="54"/>
      <c r="CI126" s="8"/>
      <c r="CJ126" s="8"/>
      <c r="CK126" s="8"/>
      <c r="CL126" s="8"/>
      <c r="CM126" s="42"/>
      <c r="CN126" s="55"/>
      <c r="CO126" s="54"/>
      <c r="CP126" s="8"/>
      <c r="CQ126" s="8"/>
      <c r="CR126" s="8"/>
      <c r="CS126" s="8"/>
      <c r="CT126" s="42"/>
      <c r="CU126" s="55"/>
      <c r="CV126" s="54"/>
      <c r="CW126" s="8"/>
      <c r="CX126" s="8"/>
      <c r="CY126" s="8"/>
      <c r="CZ126" s="8"/>
      <c r="DA126" s="42"/>
      <c r="DB126" s="55"/>
      <c r="DC126" s="54"/>
      <c r="DD126" s="8"/>
      <c r="DE126" s="8"/>
      <c r="DF126" s="8"/>
      <c r="DG126" s="8"/>
      <c r="DH126" s="42"/>
      <c r="DI126" s="55"/>
      <c r="DJ126" s="54"/>
      <c r="DK126" s="8"/>
      <c r="DL126" s="8"/>
      <c r="DM126" s="8"/>
      <c r="DN126" s="8"/>
      <c r="DO126" s="42"/>
      <c r="DP126" s="55"/>
      <c r="DQ126" s="54"/>
      <c r="DR126" s="8"/>
      <c r="DS126" s="8"/>
      <c r="DT126" s="8"/>
      <c r="DU126" s="8"/>
      <c r="DV126" s="42"/>
      <c r="DW126" s="55"/>
      <c r="DX126" s="54"/>
      <c r="DY126" s="8"/>
      <c r="DZ126" s="8"/>
      <c r="EA126" s="8"/>
      <c r="EB126" s="8"/>
      <c r="EC126" s="42"/>
      <c r="ED126" s="55"/>
      <c r="EE126" s="54"/>
      <c r="EF126" s="8"/>
      <c r="EG126" s="8"/>
      <c r="EH126" s="8"/>
      <c r="EI126" s="8"/>
      <c r="EJ126" s="42"/>
      <c r="EK126" s="55"/>
      <c r="EL126" s="54"/>
      <c r="EM126" s="8"/>
      <c r="EN126" s="8"/>
      <c r="EO126" s="8"/>
      <c r="EP126" s="8"/>
      <c r="EQ126" s="42"/>
      <c r="ER126" s="55"/>
      <c r="ES126" s="54"/>
      <c r="ET126" s="8"/>
      <c r="EU126" s="8"/>
      <c r="EV126" s="8"/>
      <c r="EW126" s="8"/>
      <c r="EX126" s="42"/>
      <c r="EY126" s="55"/>
      <c r="EZ126" s="54"/>
      <c r="FA126" s="8"/>
      <c r="FB126" s="8"/>
      <c r="FC126" s="8"/>
      <c r="FD126" s="8"/>
      <c r="FE126" s="42"/>
      <c r="FF126" s="55"/>
      <c r="FG126" s="54"/>
      <c r="FH126" s="8"/>
      <c r="FI126" s="8"/>
      <c r="FJ126" s="8"/>
      <c r="FK126" s="8"/>
      <c r="FL126" s="42"/>
      <c r="FM126" s="55"/>
      <c r="FN126" s="54"/>
      <c r="FO126" s="8"/>
      <c r="FP126" s="8"/>
      <c r="FQ126" s="8"/>
      <c r="FR126" s="8"/>
      <c r="FS126" s="42"/>
      <c r="FT126" s="55"/>
      <c r="FU126" s="54"/>
      <c r="FV126" s="8"/>
      <c r="FW126" s="8"/>
      <c r="FX126" s="8"/>
      <c r="FY126" s="8"/>
      <c r="FZ126" s="42"/>
      <c r="GA126" s="55"/>
      <c r="GB126" s="54"/>
      <c r="GC126" s="8"/>
      <c r="GD126" s="8"/>
      <c r="GE126" s="8"/>
      <c r="GF126" s="8"/>
      <c r="GG126" s="42"/>
      <c r="GH126" s="55"/>
      <c r="GI126" s="54"/>
      <c r="GJ126" s="8"/>
      <c r="GK126" s="8"/>
      <c r="GL126" s="8"/>
      <c r="GM126" s="8"/>
      <c r="GN126" s="42"/>
      <c r="GO126" s="55"/>
      <c r="GP126" s="54"/>
      <c r="GQ126" s="8"/>
      <c r="GR126" s="8"/>
      <c r="GS126" s="8"/>
      <c r="GT126" s="8"/>
      <c r="GU126" s="42"/>
      <c r="GV126" s="55"/>
      <c r="GW126" s="54"/>
      <c r="GX126" s="8"/>
      <c r="GY126" s="8"/>
      <c r="GZ126" s="8"/>
      <c r="HA126" s="8"/>
      <c r="HB126" s="42"/>
      <c r="HC126" s="55"/>
      <c r="HD126" s="54"/>
      <c r="HE126" s="8"/>
      <c r="HF126" s="8"/>
      <c r="HG126" s="8"/>
      <c r="HH126" s="8"/>
      <c r="HI126" s="42"/>
      <c r="HJ126" s="55"/>
      <c r="HK126" s="54"/>
      <c r="HL126" s="8"/>
      <c r="HM126" s="8"/>
      <c r="HN126" s="8"/>
      <c r="HO126" s="8"/>
      <c r="HP126" s="42"/>
      <c r="HQ126" s="55"/>
      <c r="HR126" s="54"/>
      <c r="HS126" s="8"/>
      <c r="HT126" s="8"/>
      <c r="HU126" s="8"/>
      <c r="HV126" s="8"/>
      <c r="HW126" s="42"/>
      <c r="HX126" s="55"/>
      <c r="HY126" s="54"/>
      <c r="HZ126" s="8"/>
      <c r="IA126" s="8"/>
      <c r="IB126" s="8"/>
      <c r="IC126" s="8"/>
      <c r="ID126" s="42"/>
      <c r="IE126" s="55"/>
      <c r="IF126" s="54"/>
      <c r="IG126" s="8"/>
      <c r="IH126" s="8"/>
      <c r="II126" s="8"/>
      <c r="IJ126" s="8"/>
      <c r="IK126" s="42"/>
      <c r="IL126" s="55"/>
      <c r="IM126" s="54"/>
      <c r="IN126" s="8"/>
      <c r="IO126" s="8"/>
      <c r="IP126" s="8"/>
      <c r="IQ126" s="8"/>
      <c r="IR126" s="42"/>
      <c r="IS126" s="55"/>
      <c r="IT126" s="54"/>
      <c r="IU126" s="8"/>
      <c r="IV126" s="8"/>
      <c r="IW126" s="8"/>
      <c r="IX126" s="8"/>
      <c r="IY126" s="42"/>
      <c r="IZ126" s="55"/>
      <c r="JA126" s="54"/>
      <c r="JB126" s="8"/>
      <c r="JC126" s="8"/>
      <c r="JD126" s="8"/>
      <c r="JE126" s="8"/>
      <c r="JF126" s="42"/>
      <c r="JG126" s="55"/>
      <c r="JH126" s="54"/>
      <c r="JI126" s="8"/>
      <c r="JJ126" s="8"/>
      <c r="JK126" s="8"/>
      <c r="JL126" s="8"/>
      <c r="JM126" s="42"/>
      <c r="JN126" s="55"/>
      <c r="JO126" s="54"/>
      <c r="JP126" s="8"/>
      <c r="JQ126" s="8"/>
      <c r="JR126" s="8"/>
      <c r="JS126" s="8"/>
      <c r="JT126" s="42"/>
      <c r="JU126" s="55"/>
      <c r="JV126" s="54"/>
      <c r="JW126" s="8"/>
      <c r="JX126" s="8"/>
      <c r="JY126" s="8"/>
      <c r="JZ126" s="8"/>
      <c r="KA126" s="42"/>
      <c r="KB126" s="55"/>
      <c r="KC126" s="54"/>
      <c r="KD126" s="8"/>
      <c r="KE126" s="8"/>
      <c r="KF126" s="8"/>
      <c r="KG126" s="8"/>
      <c r="KH126" s="42"/>
      <c r="KI126" s="55"/>
      <c r="KJ126" s="54"/>
      <c r="KK126" s="8"/>
      <c r="KL126" s="8"/>
      <c r="KM126" s="8"/>
      <c r="KN126" s="8"/>
      <c r="KO126" s="42"/>
      <c r="KP126" s="55"/>
      <c r="KQ126" s="54"/>
      <c r="KR126" s="8"/>
      <c r="KS126" s="8"/>
      <c r="KT126" s="8"/>
      <c r="KU126" s="8"/>
      <c r="KV126" s="42"/>
      <c r="KW126" s="55"/>
      <c r="KX126" s="54"/>
      <c r="KY126" s="8"/>
      <c r="KZ126" s="8"/>
      <c r="LA126" s="8"/>
      <c r="LB126" s="8"/>
      <c r="LC126" s="42"/>
      <c r="LD126" s="55"/>
      <c r="LE126" s="54"/>
      <c r="LF126" s="8"/>
      <c r="LG126" s="8"/>
      <c r="LH126" s="8"/>
      <c r="LI126" s="8"/>
      <c r="LJ126" s="42"/>
      <c r="LK126" s="55"/>
      <c r="LL126" s="54"/>
      <c r="LM126" s="8"/>
      <c r="LN126" s="8"/>
      <c r="LO126" s="8"/>
      <c r="LP126" s="8"/>
      <c r="LQ126" s="42"/>
      <c r="LR126" s="55"/>
      <c r="LS126" s="54"/>
      <c r="LT126" s="8"/>
      <c r="LU126" s="8"/>
      <c r="LV126" s="8"/>
      <c r="LW126" s="8"/>
      <c r="LX126" s="42"/>
      <c r="LY126" s="55"/>
      <c r="LZ126" s="54"/>
      <c r="MA126" s="8"/>
      <c r="MB126" s="8"/>
      <c r="MC126" s="8"/>
      <c r="MD126" s="8"/>
      <c r="ME126" s="42"/>
      <c r="MF126" s="55"/>
      <c r="MG126" s="54"/>
      <c r="MH126" s="8"/>
      <c r="MI126" s="8"/>
      <c r="MJ126" s="8"/>
      <c r="MK126" s="8"/>
      <c r="ML126" s="42"/>
      <c r="MM126" s="55"/>
      <c r="MN126" s="54"/>
      <c r="MO126" s="8"/>
      <c r="MP126" s="8"/>
      <c r="MQ126" s="8"/>
      <c r="MR126" s="8"/>
      <c r="MS126" s="42"/>
      <c r="MT126" s="55"/>
      <c r="MU126" s="54"/>
      <c r="MV126" s="8"/>
      <c r="MW126" s="8"/>
      <c r="MX126" s="8"/>
      <c r="MY126" s="8"/>
      <c r="MZ126" s="42"/>
      <c r="NA126" s="55"/>
      <c r="NB126" s="54"/>
      <c r="NC126" s="8"/>
      <c r="ND126" s="8"/>
      <c r="NE126" s="8"/>
      <c r="NF126" s="8"/>
      <c r="NG126" s="42"/>
      <c r="NH126" s="55"/>
      <c r="NI126" s="54"/>
      <c r="NJ126" s="8"/>
      <c r="NK126" s="8"/>
      <c r="NL126" s="8"/>
      <c r="NM126" s="8"/>
      <c r="NN126" s="42"/>
      <c r="NO126" s="55"/>
      <c r="NP126" s="54"/>
      <c r="NQ126" s="8"/>
      <c r="NR126" s="8"/>
      <c r="NS126" s="8"/>
      <c r="NT126" s="8"/>
      <c r="NU126" s="42"/>
      <c r="NV126" s="55"/>
      <c r="NW126" s="54"/>
      <c r="NX126" s="8"/>
      <c r="NY126" s="8"/>
      <c r="NZ126" s="8"/>
      <c r="OA126" s="8"/>
      <c r="OB126" s="42"/>
      <c r="OC126" s="55"/>
      <c r="OD126" s="54"/>
      <c r="OE126" s="8"/>
      <c r="OF126" s="8"/>
      <c r="OG126" s="8"/>
      <c r="OH126" s="8"/>
      <c r="OI126" s="42"/>
      <c r="OJ126" s="55"/>
      <c r="OK126" s="54"/>
      <c r="OL126" s="8"/>
      <c r="OM126" s="8"/>
      <c r="ON126" s="8"/>
      <c r="OO126" s="8"/>
      <c r="OP126" s="42"/>
      <c r="OQ126" s="55"/>
      <c r="OR126" s="54"/>
      <c r="OS126" s="8"/>
      <c r="OT126" s="8"/>
      <c r="OU126" s="8"/>
      <c r="OV126" s="8"/>
      <c r="OW126" s="42"/>
      <c r="OX126" s="55"/>
      <c r="OY126" s="54"/>
      <c r="OZ126" s="8"/>
      <c r="PA126" s="8"/>
      <c r="PB126" s="8"/>
      <c r="PC126" s="8"/>
      <c r="PD126" s="42"/>
      <c r="PE126" s="55"/>
      <c r="PF126" s="54"/>
      <c r="PG126" s="8"/>
      <c r="PH126" s="8"/>
      <c r="PI126" s="8"/>
      <c r="PJ126" s="8"/>
      <c r="PK126" s="42"/>
      <c r="PL126" s="55"/>
      <c r="PM126" s="54"/>
      <c r="PN126" s="8"/>
      <c r="PO126" s="8"/>
      <c r="PP126" s="8"/>
      <c r="PQ126" s="8"/>
      <c r="PR126" s="42"/>
      <c r="PS126" s="55"/>
      <c r="PT126" s="54"/>
      <c r="PU126" s="8"/>
      <c r="PV126" s="8"/>
      <c r="PW126" s="8"/>
      <c r="PX126" s="8"/>
      <c r="PY126" s="42"/>
      <c r="PZ126" s="55"/>
      <c r="QA126" s="54"/>
      <c r="QB126" s="8"/>
      <c r="QC126" s="8"/>
      <c r="QD126" s="8"/>
      <c r="QE126" s="8"/>
      <c r="QF126" s="42"/>
      <c r="QG126" s="55"/>
      <c r="QH126" s="54"/>
      <c r="QI126" s="8"/>
      <c r="QJ126" s="8"/>
      <c r="QK126" s="8"/>
      <c r="QL126" s="8"/>
      <c r="QM126" s="42"/>
      <c r="QN126" s="55"/>
      <c r="QO126" s="54"/>
      <c r="QP126" s="8"/>
      <c r="QQ126" s="8"/>
      <c r="QR126" s="8"/>
      <c r="QS126" s="8"/>
      <c r="QT126" s="42"/>
      <c r="QU126" s="55"/>
      <c r="QV126" s="54"/>
      <c r="QW126" s="8"/>
      <c r="QX126" s="8"/>
      <c r="QY126" s="8"/>
      <c r="QZ126" s="8"/>
      <c r="RA126" s="42"/>
      <c r="RB126" s="55"/>
      <c r="RC126" s="54"/>
      <c r="RD126" s="8"/>
      <c r="RE126" s="8"/>
      <c r="RF126" s="8"/>
      <c r="RG126" s="8"/>
      <c r="RH126" s="42"/>
      <c r="RI126" s="55"/>
      <c r="RJ126" s="54"/>
      <c r="RK126" s="8"/>
      <c r="RL126" s="8"/>
      <c r="RM126" s="8"/>
      <c r="RN126" s="8"/>
      <c r="RO126" s="42"/>
      <c r="RP126" s="55"/>
      <c r="RQ126" s="54"/>
      <c r="RR126" s="8"/>
      <c r="RS126" s="8"/>
      <c r="RT126" s="8"/>
      <c r="RU126" s="8"/>
      <c r="RV126" s="42"/>
      <c r="RW126" s="55"/>
      <c r="RX126" s="54"/>
      <c r="RY126" s="8"/>
      <c r="RZ126" s="8"/>
      <c r="SA126" s="8"/>
      <c r="SB126" s="8"/>
      <c r="SC126" s="42"/>
      <c r="SD126" s="55"/>
      <c r="SE126" s="54"/>
      <c r="SF126" s="8"/>
      <c r="SG126" s="8"/>
      <c r="SH126" s="8"/>
      <c r="SI126" s="8"/>
      <c r="SJ126" s="42"/>
      <c r="SK126" s="55"/>
      <c r="SL126" s="54"/>
      <c r="SM126" s="8"/>
      <c r="SN126" s="8"/>
      <c r="SO126" s="8"/>
      <c r="SP126" s="8"/>
      <c r="SQ126" s="42"/>
      <c r="SR126" s="55"/>
    </row>
    <row r="127" spans="1:512" ht="16" customHeight="1" thickBot="1" x14ac:dyDescent="0.2">
      <c r="A127" s="56" t="s">
        <v>323</v>
      </c>
      <c r="B127" s="46"/>
      <c r="C127" s="5"/>
      <c r="D127" s="5"/>
      <c r="E127" s="5"/>
      <c r="F127" s="5"/>
      <c r="H127" s="8"/>
      <c r="I127" s="25"/>
      <c r="J127" s="8"/>
      <c r="K127" s="8"/>
      <c r="L127" s="8"/>
      <c r="M127" s="8"/>
      <c r="N127" s="42"/>
      <c r="O127" s="55"/>
      <c r="Q127" s="8"/>
      <c r="R127" s="8"/>
      <c r="S127" s="8"/>
      <c r="T127" s="8"/>
      <c r="U127" s="42"/>
      <c r="V127" s="55"/>
      <c r="W127" s="54"/>
      <c r="X127" s="8"/>
      <c r="Y127" s="8"/>
      <c r="Z127" s="8"/>
      <c r="AA127" s="8"/>
      <c r="AB127" s="42"/>
      <c r="AC127" s="55"/>
      <c r="AD127" s="54"/>
      <c r="AE127" s="8"/>
      <c r="AF127" s="8"/>
      <c r="AG127" s="8"/>
      <c r="AH127" s="8"/>
      <c r="AI127" s="42"/>
      <c r="AJ127" s="55"/>
      <c r="AK127" s="54"/>
      <c r="AL127" s="8"/>
      <c r="AM127" s="8"/>
      <c r="AN127" s="8"/>
      <c r="AO127" s="8"/>
      <c r="AP127" s="42"/>
      <c r="AQ127" s="55"/>
      <c r="AR127" s="54"/>
      <c r="AS127" s="8"/>
      <c r="AT127" s="8"/>
      <c r="AU127" s="8"/>
      <c r="AV127" s="8"/>
      <c r="AW127" s="42"/>
      <c r="AX127" s="55"/>
      <c r="AY127" s="54"/>
      <c r="AZ127" s="8"/>
      <c r="BA127" s="8"/>
      <c r="BB127" s="8"/>
      <c r="BC127" s="8"/>
      <c r="BD127" s="42"/>
      <c r="BE127" s="55"/>
      <c r="BF127" s="54"/>
      <c r="BG127" s="8"/>
      <c r="BH127" s="8"/>
      <c r="BI127" s="8"/>
      <c r="BJ127" s="8"/>
      <c r="BK127" s="42"/>
      <c r="BL127" s="55"/>
      <c r="BM127" s="54"/>
      <c r="BN127" s="8"/>
      <c r="BO127" s="8"/>
      <c r="BP127" s="8"/>
      <c r="BQ127" s="8"/>
      <c r="BR127" s="42"/>
      <c r="BS127" s="55"/>
      <c r="BT127" s="54"/>
      <c r="BU127" s="8"/>
      <c r="BV127" s="8"/>
      <c r="BW127" s="8"/>
      <c r="BX127" s="8"/>
      <c r="BY127" s="42"/>
      <c r="BZ127" s="55"/>
      <c r="CA127" s="54"/>
      <c r="CB127" s="8"/>
      <c r="CC127" s="8"/>
      <c r="CD127" s="8"/>
      <c r="CE127" s="8"/>
      <c r="CF127" s="42"/>
      <c r="CG127" s="55"/>
      <c r="CH127" s="54"/>
      <c r="CI127" s="8"/>
      <c r="CJ127" s="8"/>
      <c r="CK127" s="8"/>
      <c r="CL127" s="8"/>
      <c r="CM127" s="42"/>
      <c r="CN127" s="55"/>
      <c r="CO127" s="54"/>
      <c r="CP127" s="8"/>
      <c r="CQ127" s="8"/>
      <c r="CR127" s="8"/>
      <c r="CS127" s="8"/>
      <c r="CT127" s="42"/>
      <c r="CU127" s="55"/>
      <c r="CV127" s="54"/>
      <c r="CW127" s="8"/>
      <c r="CX127" s="8"/>
      <c r="CY127" s="8"/>
      <c r="CZ127" s="8"/>
      <c r="DA127" s="42"/>
      <c r="DB127" s="55"/>
      <c r="DC127" s="54"/>
      <c r="DD127" s="8"/>
      <c r="DE127" s="8"/>
      <c r="DF127" s="8"/>
      <c r="DG127" s="8"/>
      <c r="DH127" s="42"/>
      <c r="DI127" s="55"/>
      <c r="DJ127" s="54"/>
      <c r="DK127" s="8"/>
      <c r="DL127" s="8"/>
      <c r="DM127" s="8"/>
      <c r="DN127" s="8"/>
      <c r="DO127" s="42"/>
      <c r="DP127" s="55"/>
      <c r="DQ127" s="54"/>
      <c r="DR127" s="8"/>
      <c r="DS127" s="8"/>
      <c r="DT127" s="8"/>
      <c r="DU127" s="8"/>
      <c r="DV127" s="42"/>
      <c r="DW127" s="55"/>
      <c r="DX127" s="54"/>
      <c r="DY127" s="8"/>
      <c r="DZ127" s="8"/>
      <c r="EA127" s="8"/>
      <c r="EB127" s="8"/>
      <c r="EC127" s="42"/>
      <c r="ED127" s="55"/>
      <c r="EE127" s="54"/>
      <c r="EF127" s="8"/>
      <c r="EG127" s="8"/>
      <c r="EH127" s="8"/>
      <c r="EI127" s="8"/>
      <c r="EJ127" s="42"/>
      <c r="EK127" s="55"/>
      <c r="EL127" s="54"/>
      <c r="EM127" s="8"/>
      <c r="EN127" s="8"/>
      <c r="EO127" s="8"/>
      <c r="EP127" s="8"/>
      <c r="EQ127" s="42"/>
      <c r="ER127" s="55"/>
      <c r="ES127" s="54"/>
      <c r="ET127" s="8"/>
      <c r="EU127" s="8"/>
      <c r="EV127" s="8"/>
      <c r="EW127" s="8"/>
      <c r="EX127" s="42"/>
      <c r="EY127" s="55"/>
      <c r="EZ127" s="54"/>
      <c r="FA127" s="8"/>
      <c r="FB127" s="8"/>
      <c r="FC127" s="8"/>
      <c r="FD127" s="8"/>
      <c r="FE127" s="42"/>
      <c r="FF127" s="55"/>
      <c r="FG127" s="54"/>
      <c r="FH127" s="8"/>
      <c r="FI127" s="8"/>
      <c r="FJ127" s="8"/>
      <c r="FK127" s="8"/>
      <c r="FL127" s="42"/>
      <c r="FM127" s="55"/>
      <c r="FN127" s="54"/>
      <c r="FO127" s="8"/>
      <c r="FP127" s="8"/>
      <c r="FQ127" s="8"/>
      <c r="FR127" s="8"/>
      <c r="FS127" s="42"/>
      <c r="FT127" s="55"/>
      <c r="FU127" s="54"/>
      <c r="FV127" s="8"/>
      <c r="FW127" s="8"/>
      <c r="FX127" s="8"/>
      <c r="FY127" s="8"/>
      <c r="FZ127" s="42"/>
      <c r="GA127" s="55"/>
      <c r="GB127" s="54"/>
      <c r="GC127" s="8"/>
      <c r="GD127" s="8"/>
      <c r="GE127" s="8"/>
      <c r="GF127" s="8"/>
      <c r="GG127" s="42"/>
      <c r="GH127" s="55"/>
      <c r="GI127" s="54"/>
      <c r="GJ127" s="8"/>
      <c r="GK127" s="8"/>
      <c r="GL127" s="8"/>
      <c r="GM127" s="8"/>
      <c r="GN127" s="42"/>
      <c r="GO127" s="55"/>
      <c r="GP127" s="54"/>
      <c r="GQ127" s="8"/>
      <c r="GR127" s="8"/>
      <c r="GS127" s="8"/>
      <c r="GT127" s="8"/>
      <c r="GU127" s="42"/>
      <c r="GV127" s="55"/>
      <c r="GW127" s="54"/>
      <c r="GX127" s="8"/>
      <c r="GY127" s="8"/>
      <c r="GZ127" s="8"/>
      <c r="HA127" s="8"/>
      <c r="HB127" s="42"/>
      <c r="HC127" s="55"/>
      <c r="HD127" s="54"/>
      <c r="HE127" s="8"/>
      <c r="HF127" s="8"/>
      <c r="HG127" s="8"/>
      <c r="HH127" s="8"/>
      <c r="HI127" s="42"/>
      <c r="HJ127" s="55"/>
      <c r="HK127" s="54"/>
      <c r="HL127" s="8"/>
      <c r="HM127" s="8"/>
      <c r="HN127" s="8"/>
      <c r="HO127" s="8"/>
      <c r="HP127" s="42"/>
      <c r="HQ127" s="55"/>
      <c r="HR127" s="54"/>
      <c r="HS127" s="8"/>
      <c r="HT127" s="8"/>
      <c r="HU127" s="8"/>
      <c r="HV127" s="8"/>
      <c r="HW127" s="42"/>
      <c r="HX127" s="55"/>
      <c r="HY127" s="54"/>
      <c r="HZ127" s="8"/>
      <c r="IA127" s="8"/>
      <c r="IB127" s="8"/>
      <c r="IC127" s="8"/>
      <c r="ID127" s="42"/>
      <c r="IE127" s="55"/>
      <c r="IF127" s="54"/>
      <c r="IG127" s="8"/>
      <c r="IH127" s="8"/>
      <c r="II127" s="8"/>
      <c r="IJ127" s="8"/>
      <c r="IK127" s="42"/>
      <c r="IL127" s="55"/>
      <c r="IM127" s="54"/>
      <c r="IN127" s="8"/>
      <c r="IO127" s="8"/>
      <c r="IP127" s="8"/>
      <c r="IQ127" s="8"/>
      <c r="IR127" s="42"/>
      <c r="IS127" s="55"/>
      <c r="IT127" s="54"/>
      <c r="IU127" s="8"/>
      <c r="IV127" s="8"/>
      <c r="IW127" s="8"/>
      <c r="IX127" s="8"/>
      <c r="IY127" s="42"/>
      <c r="IZ127" s="55"/>
      <c r="JA127" s="54"/>
      <c r="JB127" s="8"/>
      <c r="JC127" s="8"/>
      <c r="JD127" s="8"/>
      <c r="JE127" s="8"/>
      <c r="JF127" s="42"/>
      <c r="JG127" s="55"/>
      <c r="JH127" s="54"/>
      <c r="JI127" s="8"/>
      <c r="JJ127" s="8"/>
      <c r="JK127" s="8"/>
      <c r="JL127" s="8"/>
      <c r="JM127" s="42"/>
      <c r="JN127" s="55"/>
      <c r="JO127" s="54"/>
      <c r="JP127" s="8"/>
      <c r="JQ127" s="8"/>
      <c r="JR127" s="8"/>
      <c r="JS127" s="8"/>
      <c r="JT127" s="42"/>
      <c r="JU127" s="55"/>
      <c r="JV127" s="54"/>
      <c r="JW127" s="8"/>
      <c r="JX127" s="8"/>
      <c r="JY127" s="8"/>
      <c r="JZ127" s="8"/>
      <c r="KA127" s="42"/>
      <c r="KB127" s="55"/>
      <c r="KC127" s="54"/>
      <c r="KD127" s="8"/>
      <c r="KE127" s="8"/>
      <c r="KF127" s="8"/>
      <c r="KG127" s="8"/>
      <c r="KH127" s="42"/>
      <c r="KI127" s="55"/>
      <c r="KJ127" s="54"/>
      <c r="KK127" s="8"/>
      <c r="KL127" s="8"/>
      <c r="KM127" s="8"/>
      <c r="KN127" s="8"/>
      <c r="KO127" s="42"/>
      <c r="KP127" s="55"/>
      <c r="KQ127" s="54"/>
      <c r="KR127" s="8"/>
      <c r="KS127" s="8"/>
      <c r="KT127" s="8"/>
      <c r="KU127" s="8"/>
      <c r="KV127" s="42"/>
      <c r="KW127" s="55"/>
      <c r="KX127" s="54"/>
      <c r="KY127" s="8"/>
      <c r="KZ127" s="8"/>
      <c r="LA127" s="8"/>
      <c r="LB127" s="8"/>
      <c r="LC127" s="42"/>
      <c r="LD127" s="55"/>
      <c r="LE127" s="54"/>
      <c r="LF127" s="8"/>
      <c r="LG127" s="8"/>
      <c r="LH127" s="8"/>
      <c r="LI127" s="8"/>
      <c r="LJ127" s="42"/>
      <c r="LK127" s="55"/>
      <c r="LL127" s="54"/>
      <c r="LM127" s="8"/>
      <c r="LN127" s="8"/>
      <c r="LO127" s="8"/>
      <c r="LP127" s="8"/>
      <c r="LQ127" s="42"/>
      <c r="LR127" s="55"/>
      <c r="LS127" s="54"/>
      <c r="LT127" s="8"/>
      <c r="LU127" s="8"/>
      <c r="LV127" s="8"/>
      <c r="LW127" s="8"/>
      <c r="LX127" s="42"/>
      <c r="LY127" s="55"/>
      <c r="LZ127" s="54"/>
      <c r="MA127" s="8"/>
      <c r="MB127" s="8"/>
      <c r="MC127" s="8"/>
      <c r="MD127" s="8"/>
      <c r="ME127" s="42"/>
      <c r="MF127" s="55"/>
      <c r="MG127" s="54"/>
      <c r="MH127" s="8"/>
      <c r="MI127" s="8"/>
      <c r="MJ127" s="8"/>
      <c r="MK127" s="8"/>
      <c r="ML127" s="42"/>
      <c r="MM127" s="55"/>
      <c r="MN127" s="54"/>
      <c r="MO127" s="8"/>
      <c r="MP127" s="8"/>
      <c r="MQ127" s="8"/>
      <c r="MR127" s="8"/>
      <c r="MS127" s="42"/>
      <c r="MT127" s="55"/>
      <c r="MU127" s="54"/>
      <c r="MV127" s="8"/>
      <c r="MW127" s="8"/>
      <c r="MX127" s="8"/>
      <c r="MY127" s="8"/>
      <c r="MZ127" s="42"/>
      <c r="NA127" s="55"/>
      <c r="NB127" s="54"/>
      <c r="NC127" s="8"/>
      <c r="ND127" s="8"/>
      <c r="NE127" s="8"/>
      <c r="NF127" s="8"/>
      <c r="NG127" s="42"/>
      <c r="NH127" s="55"/>
      <c r="NI127" s="54"/>
      <c r="NJ127" s="8"/>
      <c r="NK127" s="8"/>
      <c r="NL127" s="8"/>
      <c r="NM127" s="8"/>
      <c r="NN127" s="42"/>
      <c r="NO127" s="55"/>
      <c r="NP127" s="54"/>
      <c r="NQ127" s="8"/>
      <c r="NR127" s="8"/>
      <c r="NS127" s="8"/>
      <c r="NT127" s="8"/>
      <c r="NU127" s="42"/>
      <c r="NV127" s="55"/>
      <c r="NW127" s="54"/>
      <c r="NX127" s="8"/>
      <c r="NY127" s="8"/>
      <c r="NZ127" s="8"/>
      <c r="OA127" s="8"/>
      <c r="OB127" s="42"/>
      <c r="OC127" s="55"/>
      <c r="OD127" s="54"/>
      <c r="OE127" s="8"/>
      <c r="OF127" s="8"/>
      <c r="OG127" s="8"/>
      <c r="OH127" s="8"/>
      <c r="OI127" s="42"/>
      <c r="OJ127" s="55"/>
      <c r="OK127" s="54"/>
      <c r="OL127" s="8"/>
      <c r="OM127" s="8"/>
      <c r="ON127" s="8"/>
      <c r="OO127" s="8"/>
      <c r="OP127" s="42"/>
      <c r="OQ127" s="55"/>
      <c r="OR127" s="54"/>
      <c r="OS127" s="8"/>
      <c r="OT127" s="8"/>
      <c r="OU127" s="8"/>
      <c r="OV127" s="8"/>
      <c r="OW127" s="42"/>
      <c r="OX127" s="55"/>
      <c r="OY127" s="54"/>
      <c r="OZ127" s="8"/>
      <c r="PA127" s="8"/>
      <c r="PB127" s="8"/>
      <c r="PC127" s="8"/>
      <c r="PD127" s="42"/>
      <c r="PE127" s="55"/>
      <c r="PF127" s="54"/>
      <c r="PG127" s="8"/>
      <c r="PH127" s="8"/>
      <c r="PI127" s="8"/>
      <c r="PJ127" s="8"/>
      <c r="PK127" s="42"/>
      <c r="PL127" s="55"/>
      <c r="PM127" s="54"/>
      <c r="PN127" s="8"/>
      <c r="PO127" s="8"/>
      <c r="PP127" s="8"/>
      <c r="PQ127" s="8"/>
      <c r="PR127" s="42"/>
      <c r="PS127" s="55"/>
      <c r="PT127" s="54"/>
      <c r="PU127" s="8"/>
      <c r="PV127" s="8"/>
      <c r="PW127" s="8"/>
      <c r="PX127" s="8"/>
      <c r="PY127" s="42"/>
      <c r="PZ127" s="55"/>
      <c r="QA127" s="54"/>
      <c r="QB127" s="8"/>
      <c r="QC127" s="8"/>
      <c r="QD127" s="8"/>
      <c r="QE127" s="8"/>
      <c r="QF127" s="42"/>
      <c r="QG127" s="55"/>
      <c r="QH127" s="54"/>
      <c r="QI127" s="8"/>
      <c r="QJ127" s="8"/>
      <c r="QK127" s="8"/>
      <c r="QL127" s="8"/>
      <c r="QM127" s="42"/>
      <c r="QN127" s="55"/>
      <c r="QO127" s="54"/>
      <c r="QP127" s="8"/>
      <c r="QQ127" s="8"/>
      <c r="QR127" s="8"/>
      <c r="QS127" s="8"/>
      <c r="QT127" s="42"/>
      <c r="QU127" s="55"/>
      <c r="QV127" s="54"/>
      <c r="QW127" s="8"/>
      <c r="QX127" s="8"/>
      <c r="QY127" s="8"/>
      <c r="QZ127" s="8"/>
      <c r="RA127" s="42"/>
      <c r="RB127" s="55"/>
      <c r="RC127" s="54"/>
      <c r="RD127" s="8"/>
      <c r="RE127" s="8"/>
      <c r="RF127" s="8"/>
      <c r="RG127" s="8"/>
      <c r="RH127" s="42"/>
      <c r="RI127" s="55"/>
      <c r="RJ127" s="54"/>
      <c r="RK127" s="8"/>
      <c r="RL127" s="8"/>
      <c r="RM127" s="8"/>
      <c r="RN127" s="8"/>
      <c r="RO127" s="42"/>
      <c r="RP127" s="55"/>
      <c r="RQ127" s="54"/>
      <c r="RR127" s="8"/>
      <c r="RS127" s="8"/>
      <c r="RT127" s="8"/>
      <c r="RU127" s="8"/>
      <c r="RV127" s="42"/>
      <c r="RW127" s="55"/>
      <c r="RX127" s="54"/>
      <c r="RY127" s="8"/>
      <c r="RZ127" s="8"/>
      <c r="SA127" s="8"/>
      <c r="SB127" s="8"/>
      <c r="SC127" s="42"/>
      <c r="SD127" s="55"/>
      <c r="SE127" s="54"/>
      <c r="SF127" s="8"/>
      <c r="SG127" s="8"/>
      <c r="SH127" s="8"/>
      <c r="SI127" s="8"/>
      <c r="SJ127" s="42"/>
      <c r="SK127" s="55"/>
      <c r="SL127" s="54"/>
      <c r="SM127" s="8"/>
      <c r="SN127" s="8"/>
      <c r="SO127" s="8"/>
      <c r="SP127" s="8"/>
      <c r="SQ127" s="42"/>
      <c r="SR127" s="55"/>
    </row>
    <row r="128" spans="1:512" ht="16" customHeight="1" thickBot="1" x14ac:dyDescent="0.2">
      <c r="A128" s="53" t="s">
        <v>322</v>
      </c>
      <c r="B128" s="5"/>
      <c r="C128" s="62">
        <v>15</v>
      </c>
      <c r="D128" s="85" t="s">
        <v>67</v>
      </c>
      <c r="E128" s="134"/>
      <c r="F128" s="135"/>
      <c r="G128" s="135"/>
      <c r="H128" s="135"/>
      <c r="I128" s="25"/>
      <c r="J128" s="124" t="s">
        <v>8</v>
      </c>
      <c r="K128" s="125"/>
      <c r="L128" s="125"/>
      <c r="M128" s="126"/>
      <c r="N128" s="57" t="str">
        <f>IF($E128="","",IF($E128=J128,$C128,0))</f>
        <v/>
      </c>
      <c r="O128" s="55"/>
      <c r="Q128" s="124" t="s">
        <v>10</v>
      </c>
      <c r="R128" s="125"/>
      <c r="S128" s="125"/>
      <c r="T128" s="126"/>
      <c r="U128" s="57" t="str">
        <f>IF($E128="","",IF($E128=Q128,$C128,0))</f>
        <v/>
      </c>
      <c r="V128" s="55"/>
      <c r="W128" s="54"/>
      <c r="X128" s="124" t="s">
        <v>3</v>
      </c>
      <c r="Y128" s="125"/>
      <c r="Z128" s="125"/>
      <c r="AA128" s="126"/>
      <c r="AB128" s="57" t="str">
        <f>IF($E128="","",IF($E128=X128,$C128,0))</f>
        <v/>
      </c>
      <c r="AC128" s="55"/>
      <c r="AD128" s="54"/>
      <c r="AE128" s="124" t="s">
        <v>5</v>
      </c>
      <c r="AF128" s="125"/>
      <c r="AG128" s="125"/>
      <c r="AH128" s="126"/>
      <c r="AI128" s="57" t="str">
        <f>IF($E128="","",IF($E128=AE128,$C128,0))</f>
        <v/>
      </c>
      <c r="AJ128" s="55"/>
      <c r="AK128" s="54"/>
      <c r="AL128" s="124" t="s">
        <v>3</v>
      </c>
      <c r="AM128" s="125"/>
      <c r="AN128" s="125"/>
      <c r="AO128" s="126"/>
      <c r="AP128" s="57" t="str">
        <f>IF($E128="","",IF($E128=AL128,$C128,0))</f>
        <v/>
      </c>
      <c r="AQ128" s="55"/>
      <c r="AR128" s="54"/>
      <c r="AS128" s="124" t="s">
        <v>3</v>
      </c>
      <c r="AT128" s="125"/>
      <c r="AU128" s="125"/>
      <c r="AV128" s="126"/>
      <c r="AW128" s="57" t="str">
        <f>IF($E128="","",IF($E128=AS128,$C128,0))</f>
        <v/>
      </c>
      <c r="AX128" s="55"/>
      <c r="AY128" s="54"/>
      <c r="AZ128" s="124" t="s">
        <v>3</v>
      </c>
      <c r="BA128" s="125"/>
      <c r="BB128" s="125"/>
      <c r="BC128" s="126"/>
      <c r="BD128" s="57" t="str">
        <f>IF($E128="","",IF($E128=AZ128,$C128,0))</f>
        <v/>
      </c>
      <c r="BE128" s="55"/>
      <c r="BF128" s="54"/>
      <c r="BG128" s="124" t="s">
        <v>61</v>
      </c>
      <c r="BH128" s="125"/>
      <c r="BI128" s="125"/>
      <c r="BJ128" s="126"/>
      <c r="BK128" s="57" t="str">
        <f>IF($E128="","",IF($E128=BG128,$C128,0))</f>
        <v/>
      </c>
      <c r="BL128" s="55"/>
      <c r="BM128" s="54"/>
      <c r="BN128" s="124" t="s">
        <v>3</v>
      </c>
      <c r="BO128" s="125"/>
      <c r="BP128" s="125"/>
      <c r="BQ128" s="126"/>
      <c r="BR128" s="57" t="str">
        <f>IF($E128="","",IF($E128=BN128,$C128,0))</f>
        <v/>
      </c>
      <c r="BS128" s="55"/>
      <c r="BT128" s="54"/>
      <c r="BU128" s="124" t="s">
        <v>8</v>
      </c>
      <c r="BV128" s="125"/>
      <c r="BW128" s="125"/>
      <c r="BX128" s="126"/>
      <c r="BY128" s="57" t="str">
        <f>IF($E128="","",IF($E128=BU128,$C128,0))</f>
        <v/>
      </c>
      <c r="BZ128" s="55"/>
      <c r="CA128" s="54"/>
      <c r="CB128" s="124" t="s">
        <v>3</v>
      </c>
      <c r="CC128" s="125"/>
      <c r="CD128" s="125"/>
      <c r="CE128" s="126"/>
      <c r="CF128" s="57" t="str">
        <f>IF($E128="","",IF($E128=CB128,$C128,0))</f>
        <v/>
      </c>
      <c r="CG128" s="55"/>
      <c r="CH128" s="54"/>
      <c r="CI128" s="124" t="s">
        <v>10</v>
      </c>
      <c r="CJ128" s="125"/>
      <c r="CK128" s="125"/>
      <c r="CL128" s="126"/>
      <c r="CM128" s="57" t="str">
        <f>IF($E128="","",IF($E128=CI128,$C128,0))</f>
        <v/>
      </c>
      <c r="CN128" s="55"/>
      <c r="CO128" s="54"/>
      <c r="CP128" s="124" t="s">
        <v>23</v>
      </c>
      <c r="CQ128" s="125"/>
      <c r="CR128" s="125"/>
      <c r="CS128" s="126"/>
      <c r="CT128" s="57" t="str">
        <f>IF($E128="","",IF($E128=CP128,$C128,0))</f>
        <v/>
      </c>
      <c r="CU128" s="55"/>
      <c r="CV128" s="54"/>
      <c r="CW128" s="124" t="s">
        <v>10</v>
      </c>
      <c r="CX128" s="125"/>
      <c r="CY128" s="125"/>
      <c r="CZ128" s="126"/>
      <c r="DA128" s="57" t="str">
        <f>IF($E128="","",IF($E128=CW128,$C128,0))</f>
        <v/>
      </c>
      <c r="DB128" s="55"/>
      <c r="DC128" s="54"/>
      <c r="DD128" s="124" t="s">
        <v>3</v>
      </c>
      <c r="DE128" s="125"/>
      <c r="DF128" s="125"/>
      <c r="DG128" s="126"/>
      <c r="DH128" s="57" t="str">
        <f>IF($E128="","",IF($E128=DD128,$C128,0))</f>
        <v/>
      </c>
      <c r="DI128" s="55"/>
      <c r="DJ128" s="54"/>
      <c r="DK128" s="124" t="s">
        <v>8</v>
      </c>
      <c r="DL128" s="125"/>
      <c r="DM128" s="125"/>
      <c r="DN128" s="126"/>
      <c r="DO128" s="57" t="str">
        <f>IF($E128="","",IF($E128=DK128,$C128,0))</f>
        <v/>
      </c>
      <c r="DP128" s="55"/>
      <c r="DQ128" s="54"/>
      <c r="DR128" s="124" t="s">
        <v>9</v>
      </c>
      <c r="DS128" s="125"/>
      <c r="DT128" s="125"/>
      <c r="DU128" s="126"/>
      <c r="DV128" s="57" t="str">
        <f>IF($E128="","",IF($E128=DR128,$C128,0))</f>
        <v/>
      </c>
      <c r="DW128" s="55"/>
      <c r="DX128" s="54"/>
      <c r="DY128" s="124" t="s">
        <v>9</v>
      </c>
      <c r="DZ128" s="125"/>
      <c r="EA128" s="125"/>
      <c r="EB128" s="126"/>
      <c r="EC128" s="57" t="str">
        <f>IF($E128="","",IF($E128=DY128,$C128,0))</f>
        <v/>
      </c>
      <c r="ED128" s="55"/>
      <c r="EE128" s="54"/>
      <c r="EF128" s="124" t="s">
        <v>5</v>
      </c>
      <c r="EG128" s="125"/>
      <c r="EH128" s="125"/>
      <c r="EI128" s="126"/>
      <c r="EJ128" s="57" t="str">
        <f>IF($E128="","",IF($E128=EF128,$C128,0))</f>
        <v/>
      </c>
      <c r="EK128" s="55"/>
      <c r="EL128" s="54"/>
      <c r="EM128" s="124" t="s">
        <v>5</v>
      </c>
      <c r="EN128" s="125"/>
      <c r="EO128" s="125"/>
      <c r="EP128" s="126"/>
      <c r="EQ128" s="57" t="str">
        <f>IF($E128="","",IF($E128=EM128,$C128,0))</f>
        <v/>
      </c>
      <c r="ER128" s="55"/>
      <c r="ES128" s="54"/>
      <c r="ET128" s="124" t="s">
        <v>9</v>
      </c>
      <c r="EU128" s="125"/>
      <c r="EV128" s="125"/>
      <c r="EW128" s="126"/>
      <c r="EX128" s="57" t="str">
        <f>IF($E128="","",IF($E128=ET128,$C128,0))</f>
        <v/>
      </c>
      <c r="EY128" s="55"/>
      <c r="EZ128" s="54"/>
      <c r="FA128" s="124" t="s">
        <v>9</v>
      </c>
      <c r="FB128" s="125"/>
      <c r="FC128" s="125"/>
      <c r="FD128" s="126"/>
      <c r="FE128" s="57" t="str">
        <f>IF($E128="","",IF($E128=FA128,$C128,0))</f>
        <v/>
      </c>
      <c r="FF128" s="55"/>
      <c r="FG128" s="54"/>
      <c r="FH128" s="124" t="s">
        <v>28</v>
      </c>
      <c r="FI128" s="125"/>
      <c r="FJ128" s="125"/>
      <c r="FK128" s="126"/>
      <c r="FL128" s="57" t="str">
        <f>IF($E128="","",IF($E128=FH128,$C128,0))</f>
        <v/>
      </c>
      <c r="FM128" s="55"/>
      <c r="FN128" s="54"/>
      <c r="FO128" s="124" t="s">
        <v>10</v>
      </c>
      <c r="FP128" s="125"/>
      <c r="FQ128" s="125"/>
      <c r="FR128" s="126"/>
      <c r="FS128" s="57" t="str">
        <f>IF($E128="","",IF($E128=FO128,$C128,0))</f>
        <v/>
      </c>
      <c r="FT128" s="55"/>
      <c r="FU128" s="54"/>
      <c r="FV128" s="124" t="s">
        <v>10</v>
      </c>
      <c r="FW128" s="125"/>
      <c r="FX128" s="125"/>
      <c r="FY128" s="126"/>
      <c r="FZ128" s="57" t="str">
        <f>IF($E128="","",IF($E128=FV128,$C128,0))</f>
        <v/>
      </c>
      <c r="GA128" s="55"/>
      <c r="GB128" s="54"/>
      <c r="GC128" s="124" t="s">
        <v>9</v>
      </c>
      <c r="GD128" s="125"/>
      <c r="GE128" s="125"/>
      <c r="GF128" s="126"/>
      <c r="GG128" s="57" t="str">
        <f>IF($E128="","",IF($E128=GC128,$C128,0))</f>
        <v/>
      </c>
      <c r="GH128" s="55"/>
      <c r="GI128" s="54"/>
      <c r="GJ128" s="124" t="s">
        <v>5</v>
      </c>
      <c r="GK128" s="125"/>
      <c r="GL128" s="125"/>
      <c r="GM128" s="126"/>
      <c r="GN128" s="57" t="str">
        <f>IF($E128="","",IF($E128=GJ128,$C128,0))</f>
        <v/>
      </c>
      <c r="GO128" s="55"/>
      <c r="GP128" s="54"/>
      <c r="GQ128" s="124" t="s">
        <v>10</v>
      </c>
      <c r="GR128" s="125"/>
      <c r="GS128" s="125"/>
      <c r="GT128" s="126"/>
      <c r="GU128" s="57" t="str">
        <f>IF($E128="","",IF($E128=GQ128,$C128,0))</f>
        <v/>
      </c>
      <c r="GV128" s="55"/>
      <c r="GW128" s="54"/>
      <c r="GX128" s="124" t="s">
        <v>3</v>
      </c>
      <c r="GY128" s="125"/>
      <c r="GZ128" s="125"/>
      <c r="HA128" s="126"/>
      <c r="HB128" s="57" t="str">
        <f>IF($E128="","",IF($E128=GX128,$C128,0))</f>
        <v/>
      </c>
      <c r="HC128" s="55"/>
      <c r="HD128" s="54"/>
      <c r="HE128" s="124" t="s">
        <v>3</v>
      </c>
      <c r="HF128" s="125"/>
      <c r="HG128" s="125"/>
      <c r="HH128" s="126"/>
      <c r="HI128" s="57" t="str">
        <f>IF($E128="","",IF($E128=HE128,$C128,0))</f>
        <v/>
      </c>
      <c r="HJ128" s="55"/>
      <c r="HK128" s="54"/>
      <c r="HL128" s="124" t="s">
        <v>10</v>
      </c>
      <c r="HM128" s="125"/>
      <c r="HN128" s="125"/>
      <c r="HO128" s="126"/>
      <c r="HP128" s="57" t="str">
        <f>IF($E128="","",IF($E128=HL128,$C128,0))</f>
        <v/>
      </c>
      <c r="HQ128" s="55"/>
      <c r="HR128" s="54"/>
      <c r="HS128" s="124" t="s">
        <v>10</v>
      </c>
      <c r="HT128" s="125"/>
      <c r="HU128" s="125"/>
      <c r="HV128" s="126"/>
      <c r="HW128" s="57" t="str">
        <f>IF($E128="","",IF($E128=HS128,$C128,0))</f>
        <v/>
      </c>
      <c r="HX128" s="55"/>
      <c r="HY128" s="54"/>
      <c r="HZ128" s="124" t="s">
        <v>5</v>
      </c>
      <c r="IA128" s="125"/>
      <c r="IB128" s="125"/>
      <c r="IC128" s="126"/>
      <c r="ID128" s="57" t="str">
        <f>IF($E128="","",IF($E128=HZ128,$C128,0))</f>
        <v/>
      </c>
      <c r="IE128" s="55"/>
      <c r="IF128" s="54"/>
      <c r="IG128" s="124" t="s">
        <v>23</v>
      </c>
      <c r="IH128" s="125"/>
      <c r="II128" s="125"/>
      <c r="IJ128" s="126"/>
      <c r="IK128" s="57" t="str">
        <f>IF($E128="","",IF($E128=IG128,$C128,0))</f>
        <v/>
      </c>
      <c r="IL128" s="55"/>
      <c r="IM128" s="54"/>
      <c r="IN128" s="124" t="s">
        <v>5</v>
      </c>
      <c r="IO128" s="125"/>
      <c r="IP128" s="125"/>
      <c r="IQ128" s="126"/>
      <c r="IR128" s="57" t="str">
        <f>IF($E128="","",IF($E128=IN128,$C128,0))</f>
        <v/>
      </c>
      <c r="IS128" s="55"/>
      <c r="IT128" s="54"/>
      <c r="IU128" s="124" t="s">
        <v>10</v>
      </c>
      <c r="IV128" s="125"/>
      <c r="IW128" s="125"/>
      <c r="IX128" s="126"/>
      <c r="IY128" s="57" t="str">
        <f>IF($E128="","",IF($E128=IU128,$C128,0))</f>
        <v/>
      </c>
      <c r="IZ128" s="55"/>
      <c r="JA128" s="54"/>
      <c r="JB128" s="124" t="s">
        <v>8</v>
      </c>
      <c r="JC128" s="125"/>
      <c r="JD128" s="125"/>
      <c r="JE128" s="126"/>
      <c r="JF128" s="57" t="str">
        <f>IF($E128="","",IF($E128=JB128,$C128,0))</f>
        <v/>
      </c>
      <c r="JG128" s="55"/>
      <c r="JH128" s="54"/>
      <c r="JI128" s="124" t="s">
        <v>23</v>
      </c>
      <c r="JJ128" s="125"/>
      <c r="JK128" s="125"/>
      <c r="JL128" s="126"/>
      <c r="JM128" s="57" t="str">
        <f>IF($E128="","",IF($E128=JI128,$C128,0))</f>
        <v/>
      </c>
      <c r="JN128" s="55"/>
      <c r="JO128" s="54"/>
      <c r="JP128" s="124" t="s">
        <v>9</v>
      </c>
      <c r="JQ128" s="125"/>
      <c r="JR128" s="125"/>
      <c r="JS128" s="126"/>
      <c r="JT128" s="57" t="str">
        <f>IF($E128="","",IF($E128=JP128,$C128,0))</f>
        <v/>
      </c>
      <c r="JU128" s="55"/>
      <c r="JV128" s="54"/>
      <c r="JW128" s="124" t="s">
        <v>23</v>
      </c>
      <c r="JX128" s="125"/>
      <c r="JY128" s="125"/>
      <c r="JZ128" s="126"/>
      <c r="KA128" s="57" t="str">
        <f>IF($E128="","",IF($E128=JW128,$C128,0))</f>
        <v/>
      </c>
      <c r="KB128" s="55"/>
      <c r="KC128" s="54"/>
      <c r="KD128" s="124" t="s">
        <v>5</v>
      </c>
      <c r="KE128" s="125"/>
      <c r="KF128" s="125"/>
      <c r="KG128" s="126"/>
      <c r="KH128" s="57" t="str">
        <f>IF($E128="","",IF($E128=KD128,$C128,0))</f>
        <v/>
      </c>
      <c r="KI128" s="55"/>
      <c r="KJ128" s="54"/>
      <c r="KK128" s="124" t="s">
        <v>54</v>
      </c>
      <c r="KL128" s="125"/>
      <c r="KM128" s="125"/>
      <c r="KN128" s="126"/>
      <c r="KO128" s="57" t="str">
        <f>IF($E128="","",IF($E128=KK128,$C128,0))</f>
        <v/>
      </c>
      <c r="KP128" s="55"/>
      <c r="KQ128" s="54"/>
      <c r="KR128" s="124" t="s">
        <v>40</v>
      </c>
      <c r="KS128" s="125"/>
      <c r="KT128" s="125"/>
      <c r="KU128" s="126"/>
      <c r="KV128" s="57" t="str">
        <f>IF($E128="","",IF($E128=KR128,$C128,0))</f>
        <v/>
      </c>
      <c r="KW128" s="55"/>
      <c r="KX128" s="54"/>
      <c r="KY128" s="124" t="s">
        <v>10</v>
      </c>
      <c r="KZ128" s="125"/>
      <c r="LA128" s="125"/>
      <c r="LB128" s="126"/>
      <c r="LC128" s="57" t="str">
        <f>IF($E128="","",IF($E128=KY128,$C128,0))</f>
        <v/>
      </c>
      <c r="LD128" s="55"/>
      <c r="LE128" s="54"/>
      <c r="LF128" s="124" t="s">
        <v>5</v>
      </c>
      <c r="LG128" s="125"/>
      <c r="LH128" s="125"/>
      <c r="LI128" s="126"/>
      <c r="LJ128" s="57" t="str">
        <f>IF($E128="","",IF($E128=LF128,$C128,0))</f>
        <v/>
      </c>
      <c r="LK128" s="55"/>
      <c r="LL128" s="54"/>
      <c r="LM128" s="124" t="s">
        <v>23</v>
      </c>
      <c r="LN128" s="125"/>
      <c r="LO128" s="125"/>
      <c r="LP128" s="126"/>
      <c r="LQ128" s="57" t="str">
        <f>IF($E128="","",IF($E128=LM128,$C128,0))</f>
        <v/>
      </c>
      <c r="LR128" s="55"/>
      <c r="LS128" s="54"/>
      <c r="LT128" s="124" t="s">
        <v>5</v>
      </c>
      <c r="LU128" s="125"/>
      <c r="LV128" s="125"/>
      <c r="LW128" s="126"/>
      <c r="LX128" s="57" t="str">
        <f>IF($E128="","",IF($E128=LT128,$C128,0))</f>
        <v/>
      </c>
      <c r="LY128" s="55"/>
      <c r="LZ128" s="54"/>
      <c r="MA128" s="124" t="s">
        <v>5</v>
      </c>
      <c r="MB128" s="125"/>
      <c r="MC128" s="125"/>
      <c r="MD128" s="126"/>
      <c r="ME128" s="57" t="str">
        <f>IF($E128="","",IF($E128=MA128,$C128,0))</f>
        <v/>
      </c>
      <c r="MF128" s="55"/>
      <c r="MG128" s="54"/>
      <c r="MH128" s="124" t="s">
        <v>8</v>
      </c>
      <c r="MI128" s="125"/>
      <c r="MJ128" s="125"/>
      <c r="MK128" s="126"/>
      <c r="ML128" s="57" t="str">
        <f>IF($E128="","",IF($E128=MH128,$C128,0))</f>
        <v/>
      </c>
      <c r="MM128" s="55"/>
      <c r="MN128" s="54"/>
      <c r="MO128" s="124" t="s">
        <v>54</v>
      </c>
      <c r="MP128" s="125"/>
      <c r="MQ128" s="125"/>
      <c r="MR128" s="126"/>
      <c r="MS128" s="57" t="str">
        <f>IF($E128="","",IF($E128=MO128,$C128,0))</f>
        <v/>
      </c>
      <c r="MT128" s="55"/>
      <c r="MU128" s="54"/>
      <c r="MV128" s="124" t="s">
        <v>23</v>
      </c>
      <c r="MW128" s="125"/>
      <c r="MX128" s="125"/>
      <c r="MY128" s="126"/>
      <c r="MZ128" s="57" t="str">
        <f>IF($E128="","",IF($E128=MV128,$C128,0))</f>
        <v/>
      </c>
      <c r="NA128" s="55"/>
      <c r="NB128" s="54"/>
      <c r="NC128" s="124" t="s">
        <v>54</v>
      </c>
      <c r="ND128" s="125"/>
      <c r="NE128" s="125"/>
      <c r="NF128" s="126"/>
      <c r="NG128" s="57" t="str">
        <f>IF($E128="","",IF($E128=NC128,$C128,0))</f>
        <v/>
      </c>
      <c r="NH128" s="55"/>
      <c r="NI128" s="54"/>
      <c r="NJ128" s="124" t="s">
        <v>10</v>
      </c>
      <c r="NK128" s="125"/>
      <c r="NL128" s="125"/>
      <c r="NM128" s="126"/>
      <c r="NN128" s="57" t="str">
        <f>IF($E128="","",IF($E128=NJ128,$C128,0))</f>
        <v/>
      </c>
      <c r="NO128" s="55"/>
      <c r="NP128" s="54"/>
      <c r="NQ128" s="124" t="s">
        <v>8</v>
      </c>
      <c r="NR128" s="125"/>
      <c r="NS128" s="125"/>
      <c r="NT128" s="126"/>
      <c r="NU128" s="57" t="str">
        <f>IF($E128="","",IF($E128=NQ128,$C128,0))</f>
        <v/>
      </c>
      <c r="NV128" s="55"/>
      <c r="NW128" s="54"/>
      <c r="NX128" s="124" t="s">
        <v>3</v>
      </c>
      <c r="NY128" s="125"/>
      <c r="NZ128" s="125"/>
      <c r="OA128" s="126"/>
      <c r="OB128" s="57" t="str">
        <f>IF($E128="","",IF($E128=NX128,$C128,0))</f>
        <v/>
      </c>
      <c r="OC128" s="55"/>
      <c r="OD128" s="54"/>
      <c r="OE128" s="124" t="s">
        <v>3</v>
      </c>
      <c r="OF128" s="125"/>
      <c r="OG128" s="125"/>
      <c r="OH128" s="126"/>
      <c r="OI128" s="57" t="str">
        <f>IF($E128="","",IF($E128=OE128,$C128,0))</f>
        <v/>
      </c>
      <c r="OJ128" s="55"/>
      <c r="OK128" s="54"/>
      <c r="OL128" s="124" t="s">
        <v>3</v>
      </c>
      <c r="OM128" s="125"/>
      <c r="ON128" s="125"/>
      <c r="OO128" s="126"/>
      <c r="OP128" s="57" t="str">
        <f>IF($E128="","",IF($E128=OL128,$C128,0))</f>
        <v/>
      </c>
      <c r="OQ128" s="55"/>
      <c r="OR128" s="54"/>
      <c r="OS128" s="124" t="s">
        <v>23</v>
      </c>
      <c r="OT128" s="125"/>
      <c r="OU128" s="125"/>
      <c r="OV128" s="126"/>
      <c r="OW128" s="57" t="str">
        <f>IF($E128="","",IF($E128=OS128,$C128,0))</f>
        <v/>
      </c>
      <c r="OX128" s="55"/>
      <c r="OY128" s="54"/>
      <c r="OZ128" s="124" t="s">
        <v>10</v>
      </c>
      <c r="PA128" s="125"/>
      <c r="PB128" s="125"/>
      <c r="PC128" s="126"/>
      <c r="PD128" s="57" t="str">
        <f>IF($E128="","",IF($E128=OZ128,$C128,0))</f>
        <v/>
      </c>
      <c r="PE128" s="55"/>
      <c r="PF128" s="54"/>
      <c r="PG128" s="124" t="s">
        <v>10</v>
      </c>
      <c r="PH128" s="125"/>
      <c r="PI128" s="125"/>
      <c r="PJ128" s="126"/>
      <c r="PK128" s="57" t="str">
        <f>IF($E128="","",IF($E128=PG128,$C128,0))</f>
        <v/>
      </c>
      <c r="PL128" s="55"/>
      <c r="PM128" s="54"/>
      <c r="PN128" s="124" t="s">
        <v>10</v>
      </c>
      <c r="PO128" s="125"/>
      <c r="PP128" s="125"/>
      <c r="PQ128" s="126"/>
      <c r="PR128" s="57" t="str">
        <f>IF($E128="","",IF($E128=PN128,$C128,0))</f>
        <v/>
      </c>
      <c r="PS128" s="55"/>
      <c r="PT128" s="54"/>
      <c r="PU128" s="124" t="s">
        <v>8</v>
      </c>
      <c r="PV128" s="125"/>
      <c r="PW128" s="125"/>
      <c r="PX128" s="126"/>
      <c r="PY128" s="57" t="str">
        <f>IF($E128="","",IF($E128=PU128,$C128,0))</f>
        <v/>
      </c>
      <c r="PZ128" s="55"/>
      <c r="QA128" s="54"/>
      <c r="QB128" s="124" t="s">
        <v>3</v>
      </c>
      <c r="QC128" s="125"/>
      <c r="QD128" s="125"/>
      <c r="QE128" s="126"/>
      <c r="QF128" s="57" t="str">
        <f>IF($E128="","",IF($E128=QB128,$C128,0))</f>
        <v/>
      </c>
      <c r="QG128" s="55"/>
      <c r="QH128" s="54"/>
      <c r="QI128" s="124" t="s">
        <v>5</v>
      </c>
      <c r="QJ128" s="125"/>
      <c r="QK128" s="125"/>
      <c r="QL128" s="126"/>
      <c r="QM128" s="57" t="str">
        <f>IF($E128="","",IF($E128=QI128,$C128,0))</f>
        <v/>
      </c>
      <c r="QN128" s="55"/>
      <c r="QO128" s="54"/>
      <c r="QP128" s="124" t="s">
        <v>8</v>
      </c>
      <c r="QQ128" s="125"/>
      <c r="QR128" s="125"/>
      <c r="QS128" s="126"/>
      <c r="QT128" s="57" t="str">
        <f>IF($E128="","",IF($E128=QP128,$C128,0))</f>
        <v/>
      </c>
      <c r="QU128" s="55"/>
      <c r="QV128" s="54"/>
      <c r="QW128" s="124" t="s">
        <v>3</v>
      </c>
      <c r="QX128" s="125"/>
      <c r="QY128" s="125"/>
      <c r="QZ128" s="126"/>
      <c r="RA128" s="57" t="str">
        <f>IF($E128="","",IF($E128=QW128,$C128,0))</f>
        <v/>
      </c>
      <c r="RB128" s="55"/>
      <c r="RC128" s="54"/>
      <c r="RD128" s="124" t="s">
        <v>5</v>
      </c>
      <c r="RE128" s="125"/>
      <c r="RF128" s="125"/>
      <c r="RG128" s="126"/>
      <c r="RH128" s="57" t="str">
        <f>IF($E128="","",IF($E128=RD128,$C128,0))</f>
        <v/>
      </c>
      <c r="RI128" s="55"/>
      <c r="RJ128" s="54"/>
      <c r="RK128" s="124" t="s">
        <v>35</v>
      </c>
      <c r="RL128" s="125"/>
      <c r="RM128" s="125"/>
      <c r="RN128" s="126"/>
      <c r="RO128" s="57" t="str">
        <f>IF($E128="","",IF($E128=RK128,$C128,0))</f>
        <v/>
      </c>
      <c r="RP128" s="55"/>
      <c r="RQ128" s="54"/>
      <c r="RR128" s="124" t="s">
        <v>620</v>
      </c>
      <c r="RS128" s="125"/>
      <c r="RT128" s="125"/>
      <c r="RU128" s="126"/>
      <c r="RV128" s="57" t="str">
        <f>IF($E128="","",IF($E128=RR128,$C128,0))</f>
        <v/>
      </c>
      <c r="RW128" s="55"/>
      <c r="RX128" s="54"/>
      <c r="RY128" s="124" t="s">
        <v>10</v>
      </c>
      <c r="RZ128" s="125"/>
      <c r="SA128" s="125"/>
      <c r="SB128" s="126"/>
      <c r="SC128" s="57" t="str">
        <f>IF($E128="","",IF($E128=RY128,$C128,0))</f>
        <v/>
      </c>
      <c r="SD128" s="55"/>
      <c r="SE128" s="54"/>
      <c r="SF128" s="124" t="s">
        <v>54</v>
      </c>
      <c r="SG128" s="125"/>
      <c r="SH128" s="125"/>
      <c r="SI128" s="126"/>
      <c r="SJ128" s="57" t="str">
        <f>IF($E128="","",IF($E128=SF128,$C128,0))</f>
        <v/>
      </c>
      <c r="SK128" s="55"/>
      <c r="SL128" s="54"/>
      <c r="SM128" s="124" t="s">
        <v>10</v>
      </c>
      <c r="SN128" s="125"/>
      <c r="SO128" s="125"/>
      <c r="SP128" s="126"/>
      <c r="SQ128" s="57" t="str">
        <f>IF($E128="","",IF($E128=SM128,$C128,0))</f>
        <v/>
      </c>
      <c r="SR128" s="55"/>
    </row>
    <row r="129" spans="1:512" ht="16" customHeight="1" thickBot="1" x14ac:dyDescent="0.2">
      <c r="A129" s="51"/>
      <c r="B129" s="46"/>
      <c r="C129" s="62"/>
      <c r="D129" s="58"/>
      <c r="E129" s="5"/>
      <c r="F129" s="5"/>
      <c r="H129" s="8"/>
      <c r="I129" s="25"/>
      <c r="J129" s="59"/>
      <c r="K129" s="59"/>
      <c r="L129" s="59"/>
      <c r="M129" s="59"/>
      <c r="N129" s="42"/>
      <c r="O129" s="55"/>
      <c r="Q129" s="59"/>
      <c r="R129" s="59"/>
      <c r="S129" s="59"/>
      <c r="T129" s="59"/>
      <c r="U129" s="42"/>
      <c r="V129" s="55"/>
      <c r="W129" s="54"/>
      <c r="X129" s="59"/>
      <c r="Y129" s="59"/>
      <c r="Z129" s="59"/>
      <c r="AA129" s="59"/>
      <c r="AB129" s="42"/>
      <c r="AC129" s="55"/>
      <c r="AD129" s="54"/>
      <c r="AE129" s="59"/>
      <c r="AF129" s="59"/>
      <c r="AG129" s="59"/>
      <c r="AH129" s="59"/>
      <c r="AI129" s="42"/>
      <c r="AJ129" s="55"/>
      <c r="AK129" s="54"/>
      <c r="AL129" s="59"/>
      <c r="AM129" s="59"/>
      <c r="AN129" s="59"/>
      <c r="AO129" s="59"/>
      <c r="AP129" s="42"/>
      <c r="AQ129" s="55"/>
      <c r="AR129" s="54"/>
      <c r="AS129" s="59"/>
      <c r="AT129" s="59"/>
      <c r="AU129" s="59"/>
      <c r="AV129" s="59"/>
      <c r="AW129" s="42"/>
      <c r="AX129" s="55"/>
      <c r="AY129" s="54"/>
      <c r="AZ129" s="59"/>
      <c r="BA129" s="59"/>
      <c r="BB129" s="59"/>
      <c r="BC129" s="59"/>
      <c r="BD129" s="42"/>
      <c r="BE129" s="55"/>
      <c r="BF129" s="54"/>
      <c r="BG129" s="59"/>
      <c r="BH129" s="59"/>
      <c r="BI129" s="59"/>
      <c r="BJ129" s="59"/>
      <c r="BK129" s="42"/>
      <c r="BL129" s="55"/>
      <c r="BM129" s="54"/>
      <c r="BN129" s="59"/>
      <c r="BO129" s="59"/>
      <c r="BP129" s="59"/>
      <c r="BQ129" s="59"/>
      <c r="BR129" s="42"/>
      <c r="BS129" s="55"/>
      <c r="BT129" s="54"/>
      <c r="BU129" s="59"/>
      <c r="BV129" s="59"/>
      <c r="BW129" s="59"/>
      <c r="BX129" s="59"/>
      <c r="BY129" s="42"/>
      <c r="BZ129" s="55"/>
      <c r="CA129" s="54"/>
      <c r="CB129" s="59"/>
      <c r="CC129" s="59"/>
      <c r="CD129" s="59"/>
      <c r="CE129" s="59"/>
      <c r="CF129" s="42"/>
      <c r="CG129" s="55"/>
      <c r="CH129" s="54"/>
      <c r="CI129" s="59"/>
      <c r="CJ129" s="59"/>
      <c r="CK129" s="59"/>
      <c r="CL129" s="59"/>
      <c r="CM129" s="42"/>
      <c r="CN129" s="55"/>
      <c r="CO129" s="54"/>
      <c r="CP129" s="59"/>
      <c r="CQ129" s="59"/>
      <c r="CR129" s="59"/>
      <c r="CS129" s="59"/>
      <c r="CT129" s="42"/>
      <c r="CU129" s="55"/>
      <c r="CV129" s="54"/>
      <c r="CW129" s="59"/>
      <c r="CX129" s="59"/>
      <c r="CY129" s="59"/>
      <c r="CZ129" s="59"/>
      <c r="DA129" s="42"/>
      <c r="DB129" s="55"/>
      <c r="DC129" s="54"/>
      <c r="DD129" s="59"/>
      <c r="DE129" s="59"/>
      <c r="DF129" s="59"/>
      <c r="DG129" s="59"/>
      <c r="DH129" s="42"/>
      <c r="DI129" s="55"/>
      <c r="DJ129" s="54"/>
      <c r="DK129" s="59"/>
      <c r="DL129" s="59"/>
      <c r="DM129" s="59"/>
      <c r="DN129" s="59"/>
      <c r="DO129" s="42"/>
      <c r="DP129" s="55"/>
      <c r="DQ129" s="54"/>
      <c r="DR129" s="59"/>
      <c r="DS129" s="59"/>
      <c r="DT129" s="59"/>
      <c r="DU129" s="59"/>
      <c r="DV129" s="42"/>
      <c r="DW129" s="55"/>
      <c r="DX129" s="54"/>
      <c r="DY129" s="59"/>
      <c r="DZ129" s="59"/>
      <c r="EA129" s="59"/>
      <c r="EB129" s="59"/>
      <c r="EC129" s="42"/>
      <c r="ED129" s="55"/>
      <c r="EE129" s="54"/>
      <c r="EF129" s="59"/>
      <c r="EG129" s="59"/>
      <c r="EH129" s="59"/>
      <c r="EI129" s="59"/>
      <c r="EJ129" s="42"/>
      <c r="EK129" s="55"/>
      <c r="EL129" s="54"/>
      <c r="EM129" s="59"/>
      <c r="EN129" s="59"/>
      <c r="EO129" s="59"/>
      <c r="EP129" s="59"/>
      <c r="EQ129" s="42"/>
      <c r="ER129" s="55"/>
      <c r="ES129" s="54"/>
      <c r="ET129" s="59"/>
      <c r="EU129" s="59"/>
      <c r="EV129" s="59"/>
      <c r="EW129" s="59"/>
      <c r="EX129" s="42"/>
      <c r="EY129" s="55"/>
      <c r="EZ129" s="54"/>
      <c r="FA129" s="59"/>
      <c r="FB129" s="59"/>
      <c r="FC129" s="59"/>
      <c r="FD129" s="59"/>
      <c r="FE129" s="42"/>
      <c r="FF129" s="55"/>
      <c r="FG129" s="54"/>
      <c r="FH129" s="59"/>
      <c r="FI129" s="59"/>
      <c r="FJ129" s="59"/>
      <c r="FK129" s="59"/>
      <c r="FL129" s="42"/>
      <c r="FM129" s="55"/>
      <c r="FN129" s="54"/>
      <c r="FO129" s="59"/>
      <c r="FP129" s="59"/>
      <c r="FQ129" s="59"/>
      <c r="FR129" s="59"/>
      <c r="FS129" s="42"/>
      <c r="FT129" s="55"/>
      <c r="FU129" s="54"/>
      <c r="FV129" s="59"/>
      <c r="FW129" s="59"/>
      <c r="FX129" s="59"/>
      <c r="FY129" s="59"/>
      <c r="FZ129" s="42"/>
      <c r="GA129" s="55"/>
      <c r="GB129" s="54"/>
      <c r="GC129" s="59"/>
      <c r="GD129" s="59"/>
      <c r="GE129" s="59"/>
      <c r="GF129" s="59"/>
      <c r="GG129" s="42"/>
      <c r="GH129" s="55"/>
      <c r="GI129" s="54"/>
      <c r="GJ129" s="59"/>
      <c r="GK129" s="59"/>
      <c r="GL129" s="59"/>
      <c r="GM129" s="59"/>
      <c r="GN129" s="42"/>
      <c r="GO129" s="55"/>
      <c r="GP129" s="54"/>
      <c r="GQ129" s="59"/>
      <c r="GR129" s="59"/>
      <c r="GS129" s="59"/>
      <c r="GT129" s="59"/>
      <c r="GU129" s="42"/>
      <c r="GV129" s="55"/>
      <c r="GW129" s="54"/>
      <c r="GX129" s="59"/>
      <c r="GY129" s="59"/>
      <c r="GZ129" s="59"/>
      <c r="HA129" s="59"/>
      <c r="HB129" s="42"/>
      <c r="HC129" s="55"/>
      <c r="HD129" s="54"/>
      <c r="HE129" s="59"/>
      <c r="HF129" s="59"/>
      <c r="HG129" s="59"/>
      <c r="HH129" s="59"/>
      <c r="HI129" s="42"/>
      <c r="HJ129" s="55"/>
      <c r="HK129" s="54"/>
      <c r="HL129" s="59"/>
      <c r="HM129" s="59"/>
      <c r="HN129" s="59"/>
      <c r="HO129" s="59"/>
      <c r="HP129" s="42"/>
      <c r="HQ129" s="55"/>
      <c r="HR129" s="54"/>
      <c r="HS129" s="59"/>
      <c r="HT129" s="59"/>
      <c r="HU129" s="59"/>
      <c r="HV129" s="59"/>
      <c r="HW129" s="42"/>
      <c r="HX129" s="55"/>
      <c r="HY129" s="54"/>
      <c r="HZ129" s="59"/>
      <c r="IA129" s="59"/>
      <c r="IB129" s="59"/>
      <c r="IC129" s="59"/>
      <c r="ID129" s="42"/>
      <c r="IE129" s="55"/>
      <c r="IF129" s="54"/>
      <c r="IG129" s="59"/>
      <c r="IH129" s="59"/>
      <c r="II129" s="59"/>
      <c r="IJ129" s="59"/>
      <c r="IK129" s="42"/>
      <c r="IL129" s="55"/>
      <c r="IM129" s="54"/>
      <c r="IN129" s="59"/>
      <c r="IO129" s="59"/>
      <c r="IP129" s="59"/>
      <c r="IQ129" s="59"/>
      <c r="IR129" s="42"/>
      <c r="IS129" s="55"/>
      <c r="IT129" s="54"/>
      <c r="IU129" s="59"/>
      <c r="IV129" s="59"/>
      <c r="IW129" s="59"/>
      <c r="IX129" s="59"/>
      <c r="IY129" s="42"/>
      <c r="IZ129" s="55"/>
      <c r="JA129" s="54"/>
      <c r="JB129" s="59"/>
      <c r="JC129" s="59"/>
      <c r="JD129" s="59"/>
      <c r="JE129" s="59"/>
      <c r="JF129" s="42"/>
      <c r="JG129" s="55"/>
      <c r="JH129" s="54"/>
      <c r="JI129" s="59"/>
      <c r="JJ129" s="59"/>
      <c r="JK129" s="59"/>
      <c r="JL129" s="59"/>
      <c r="JM129" s="42"/>
      <c r="JN129" s="55"/>
      <c r="JO129" s="54"/>
      <c r="JP129" s="59"/>
      <c r="JQ129" s="59"/>
      <c r="JR129" s="59"/>
      <c r="JS129" s="59"/>
      <c r="JT129" s="42"/>
      <c r="JU129" s="55"/>
      <c r="JV129" s="54"/>
      <c r="JW129" s="59"/>
      <c r="JX129" s="59"/>
      <c r="JY129" s="59"/>
      <c r="JZ129" s="59"/>
      <c r="KA129" s="42"/>
      <c r="KB129" s="55"/>
      <c r="KC129" s="54"/>
      <c r="KD129" s="59"/>
      <c r="KE129" s="59"/>
      <c r="KF129" s="59"/>
      <c r="KG129" s="59"/>
      <c r="KH129" s="42"/>
      <c r="KI129" s="55"/>
      <c r="KJ129" s="54"/>
      <c r="KK129" s="59"/>
      <c r="KL129" s="59"/>
      <c r="KM129" s="59"/>
      <c r="KN129" s="59"/>
      <c r="KO129" s="42"/>
      <c r="KP129" s="55"/>
      <c r="KQ129" s="54"/>
      <c r="KR129" s="59"/>
      <c r="KS129" s="59"/>
      <c r="KT129" s="59"/>
      <c r="KU129" s="59"/>
      <c r="KV129" s="42"/>
      <c r="KW129" s="55"/>
      <c r="KX129" s="54"/>
      <c r="KY129" s="59"/>
      <c r="KZ129" s="59"/>
      <c r="LA129" s="59"/>
      <c r="LB129" s="59"/>
      <c r="LC129" s="42"/>
      <c r="LD129" s="55"/>
      <c r="LE129" s="54"/>
      <c r="LF129" s="59"/>
      <c r="LG129" s="59"/>
      <c r="LH129" s="59"/>
      <c r="LI129" s="59"/>
      <c r="LJ129" s="42"/>
      <c r="LK129" s="55"/>
      <c r="LL129" s="54"/>
      <c r="LM129" s="59"/>
      <c r="LN129" s="59"/>
      <c r="LO129" s="59"/>
      <c r="LP129" s="59"/>
      <c r="LQ129" s="42"/>
      <c r="LR129" s="55"/>
      <c r="LS129" s="54"/>
      <c r="LT129" s="59"/>
      <c r="LU129" s="59"/>
      <c r="LV129" s="59"/>
      <c r="LW129" s="59"/>
      <c r="LX129" s="42"/>
      <c r="LY129" s="55"/>
      <c r="LZ129" s="54"/>
      <c r="MA129" s="59"/>
      <c r="MB129" s="59"/>
      <c r="MC129" s="59"/>
      <c r="MD129" s="59"/>
      <c r="ME129" s="42"/>
      <c r="MF129" s="55"/>
      <c r="MG129" s="54"/>
      <c r="MH129" s="59"/>
      <c r="MI129" s="59"/>
      <c r="MJ129" s="59"/>
      <c r="MK129" s="59"/>
      <c r="ML129" s="42"/>
      <c r="MM129" s="55"/>
      <c r="MN129" s="54"/>
      <c r="MO129" s="59"/>
      <c r="MP129" s="59"/>
      <c r="MQ129" s="59"/>
      <c r="MR129" s="59"/>
      <c r="MS129" s="42"/>
      <c r="MT129" s="55"/>
      <c r="MU129" s="54"/>
      <c r="MV129" s="59"/>
      <c r="MW129" s="59"/>
      <c r="MX129" s="59"/>
      <c r="MY129" s="59"/>
      <c r="MZ129" s="42"/>
      <c r="NA129" s="55"/>
      <c r="NB129" s="54"/>
      <c r="NC129" s="59"/>
      <c r="ND129" s="59"/>
      <c r="NE129" s="59"/>
      <c r="NF129" s="59"/>
      <c r="NG129" s="42"/>
      <c r="NH129" s="55"/>
      <c r="NI129" s="54"/>
      <c r="NJ129" s="59"/>
      <c r="NK129" s="59"/>
      <c r="NL129" s="59"/>
      <c r="NM129" s="59"/>
      <c r="NN129" s="42"/>
      <c r="NO129" s="55"/>
      <c r="NP129" s="54"/>
      <c r="NQ129" s="59"/>
      <c r="NR129" s="59"/>
      <c r="NS129" s="59"/>
      <c r="NT129" s="59"/>
      <c r="NU129" s="42"/>
      <c r="NV129" s="55"/>
      <c r="NW129" s="54"/>
      <c r="NX129" s="59"/>
      <c r="NY129" s="59"/>
      <c r="NZ129" s="59"/>
      <c r="OA129" s="59"/>
      <c r="OB129" s="42"/>
      <c r="OC129" s="55"/>
      <c r="OD129" s="54"/>
      <c r="OE129" s="59"/>
      <c r="OF129" s="59"/>
      <c r="OG129" s="59"/>
      <c r="OH129" s="59"/>
      <c r="OI129" s="42"/>
      <c r="OJ129" s="55"/>
      <c r="OK129" s="54"/>
      <c r="OL129" s="59"/>
      <c r="OM129" s="59"/>
      <c r="ON129" s="59"/>
      <c r="OO129" s="59"/>
      <c r="OP129" s="42"/>
      <c r="OQ129" s="55"/>
      <c r="OR129" s="54"/>
      <c r="OS129" s="59"/>
      <c r="OT129" s="59"/>
      <c r="OU129" s="59"/>
      <c r="OV129" s="59"/>
      <c r="OW129" s="42"/>
      <c r="OX129" s="55"/>
      <c r="OY129" s="54"/>
      <c r="OZ129" s="59"/>
      <c r="PA129" s="59"/>
      <c r="PB129" s="59"/>
      <c r="PC129" s="59"/>
      <c r="PD129" s="42"/>
      <c r="PE129" s="55"/>
      <c r="PF129" s="54"/>
      <c r="PG129" s="59"/>
      <c r="PH129" s="59"/>
      <c r="PI129" s="59"/>
      <c r="PJ129" s="59"/>
      <c r="PK129" s="42"/>
      <c r="PL129" s="55"/>
      <c r="PM129" s="54"/>
      <c r="PN129" s="59"/>
      <c r="PO129" s="59"/>
      <c r="PP129" s="59"/>
      <c r="PQ129" s="59"/>
      <c r="PR129" s="42"/>
      <c r="PS129" s="55"/>
      <c r="PT129" s="54"/>
      <c r="PU129" s="59"/>
      <c r="PV129" s="59"/>
      <c r="PW129" s="59"/>
      <c r="PX129" s="59"/>
      <c r="PY129" s="42"/>
      <c r="PZ129" s="55"/>
      <c r="QA129" s="54"/>
      <c r="QB129" s="59"/>
      <c r="QC129" s="59"/>
      <c r="QD129" s="59"/>
      <c r="QE129" s="59"/>
      <c r="QF129" s="42"/>
      <c r="QG129" s="55"/>
      <c r="QH129" s="54"/>
      <c r="QI129" s="59"/>
      <c r="QJ129" s="59"/>
      <c r="QK129" s="59"/>
      <c r="QL129" s="59"/>
      <c r="QM129" s="42"/>
      <c r="QN129" s="55"/>
      <c r="QO129" s="54"/>
      <c r="QP129" s="59"/>
      <c r="QQ129" s="59"/>
      <c r="QR129" s="59"/>
      <c r="QS129" s="59"/>
      <c r="QT129" s="42"/>
      <c r="QU129" s="55"/>
      <c r="QV129" s="54"/>
      <c r="QW129" s="59"/>
      <c r="QX129" s="59"/>
      <c r="QY129" s="59"/>
      <c r="QZ129" s="59"/>
      <c r="RA129" s="42"/>
      <c r="RB129" s="55"/>
      <c r="RC129" s="54"/>
      <c r="RD129" s="59"/>
      <c r="RE129" s="59"/>
      <c r="RF129" s="59"/>
      <c r="RG129" s="59"/>
      <c r="RH129" s="42"/>
      <c r="RI129" s="55"/>
      <c r="RJ129" s="54"/>
      <c r="RK129" s="59"/>
      <c r="RL129" s="59"/>
      <c r="RM129" s="59"/>
      <c r="RN129" s="59"/>
      <c r="RO129" s="42"/>
      <c r="RP129" s="55"/>
      <c r="RQ129" s="54"/>
      <c r="RR129" s="59"/>
      <c r="RS129" s="59"/>
      <c r="RT129" s="59"/>
      <c r="RU129" s="59"/>
      <c r="RV129" s="42"/>
      <c r="RW129" s="55"/>
      <c r="RX129" s="54"/>
      <c r="RY129" s="59"/>
      <c r="RZ129" s="59"/>
      <c r="SA129" s="59"/>
      <c r="SB129" s="59"/>
      <c r="SC129" s="42"/>
      <c r="SD129" s="55"/>
      <c r="SE129" s="54"/>
      <c r="SF129" s="59"/>
      <c r="SG129" s="59"/>
      <c r="SH129" s="59"/>
      <c r="SI129" s="59"/>
      <c r="SJ129" s="42"/>
      <c r="SK129" s="55"/>
      <c r="SL129" s="54"/>
      <c r="SM129" s="59"/>
      <c r="SN129" s="59"/>
      <c r="SO129" s="59"/>
      <c r="SP129" s="59"/>
      <c r="SQ129" s="42"/>
      <c r="SR129" s="55"/>
    </row>
    <row r="130" spans="1:512" ht="16" customHeight="1" thickBot="1" x14ac:dyDescent="0.2">
      <c r="A130" s="51" t="s">
        <v>65</v>
      </c>
      <c r="B130" s="46"/>
      <c r="C130" s="62">
        <v>3</v>
      </c>
      <c r="D130" s="85" t="s">
        <v>68</v>
      </c>
      <c r="E130" s="135"/>
      <c r="F130" s="135"/>
      <c r="G130" s="135"/>
      <c r="H130" s="135"/>
      <c r="I130" s="25"/>
      <c r="J130" s="124" t="s">
        <v>314</v>
      </c>
      <c r="K130" s="125"/>
      <c r="L130" s="125"/>
      <c r="M130" s="126"/>
      <c r="N130" s="57">
        <f>H138*C130</f>
        <v>15</v>
      </c>
      <c r="O130" s="55"/>
      <c r="Q130" s="124" t="s">
        <v>314</v>
      </c>
      <c r="R130" s="125"/>
      <c r="S130" s="125"/>
      <c r="T130" s="126"/>
      <c r="U130" s="57">
        <f>C130*H138</f>
        <v>15</v>
      </c>
      <c r="V130" s="55"/>
      <c r="W130" s="54"/>
      <c r="X130" s="124" t="s">
        <v>317</v>
      </c>
      <c r="Y130" s="125"/>
      <c r="Z130" s="125"/>
      <c r="AA130" s="126"/>
      <c r="AB130" s="57">
        <f>3*H141</f>
        <v>18</v>
      </c>
      <c r="AC130" s="55"/>
      <c r="AD130" s="54"/>
      <c r="AE130" s="124" t="s">
        <v>314</v>
      </c>
      <c r="AF130" s="125"/>
      <c r="AG130" s="125"/>
      <c r="AH130" s="126"/>
      <c r="AI130" s="57">
        <f>3*H138</f>
        <v>15</v>
      </c>
      <c r="AJ130" s="55"/>
      <c r="AK130" s="54"/>
      <c r="AL130" s="124" t="s">
        <v>19</v>
      </c>
      <c r="AM130" s="125"/>
      <c r="AN130" s="125"/>
      <c r="AO130" s="126"/>
      <c r="AP130" s="57">
        <f>3*H141</f>
        <v>18</v>
      </c>
      <c r="AQ130" s="55"/>
      <c r="AR130" s="54"/>
      <c r="AS130" s="124" t="s">
        <v>314</v>
      </c>
      <c r="AT130" s="125"/>
      <c r="AU130" s="125"/>
      <c r="AV130" s="126"/>
      <c r="AW130" s="57">
        <f>3*H138</f>
        <v>15</v>
      </c>
      <c r="AX130" s="55"/>
      <c r="AY130" s="54"/>
      <c r="AZ130" s="124" t="s">
        <v>321</v>
      </c>
      <c r="BA130" s="125"/>
      <c r="BB130" s="125"/>
      <c r="BC130" s="126"/>
      <c r="BD130" s="57">
        <f>3*H139</f>
        <v>12</v>
      </c>
      <c r="BE130" s="55"/>
      <c r="BF130" s="54"/>
      <c r="BG130" s="124" t="s">
        <v>19</v>
      </c>
      <c r="BH130" s="125"/>
      <c r="BI130" s="125"/>
      <c r="BJ130" s="126"/>
      <c r="BK130" s="57">
        <f>3*H141</f>
        <v>18</v>
      </c>
      <c r="BL130" s="55"/>
      <c r="BM130" s="54"/>
      <c r="BN130" s="124" t="s">
        <v>328</v>
      </c>
      <c r="BO130" s="125"/>
      <c r="BP130" s="125"/>
      <c r="BQ130" s="126"/>
      <c r="BR130" s="57">
        <f>3*H140</f>
        <v>6</v>
      </c>
      <c r="BS130" s="55"/>
      <c r="BT130" s="54"/>
      <c r="BU130" s="124" t="s">
        <v>314</v>
      </c>
      <c r="BV130" s="125"/>
      <c r="BW130" s="125"/>
      <c r="BX130" s="126"/>
      <c r="BY130" s="57">
        <f>3*H138</f>
        <v>15</v>
      </c>
      <c r="BZ130" s="55"/>
      <c r="CA130" s="54"/>
      <c r="CB130" s="124" t="s">
        <v>18</v>
      </c>
      <c r="CC130" s="125"/>
      <c r="CD130" s="125"/>
      <c r="CE130" s="126"/>
      <c r="CF130" s="57">
        <f>3*H138</f>
        <v>15</v>
      </c>
      <c r="CG130" s="55"/>
      <c r="CH130" s="54"/>
      <c r="CI130" s="124" t="s">
        <v>18</v>
      </c>
      <c r="CJ130" s="125"/>
      <c r="CK130" s="125"/>
      <c r="CL130" s="126"/>
      <c r="CM130" s="57">
        <f>3*H138</f>
        <v>15</v>
      </c>
      <c r="CN130" s="55"/>
      <c r="CO130" s="54"/>
      <c r="CP130" s="124" t="s">
        <v>19</v>
      </c>
      <c r="CQ130" s="125"/>
      <c r="CR130" s="125"/>
      <c r="CS130" s="126"/>
      <c r="CT130" s="57">
        <f>3*$H$141</f>
        <v>18</v>
      </c>
      <c r="CU130" s="55"/>
      <c r="CV130" s="54"/>
      <c r="CW130" s="124" t="s">
        <v>19</v>
      </c>
      <c r="CX130" s="125"/>
      <c r="CY130" s="125"/>
      <c r="CZ130" s="126"/>
      <c r="DA130" s="57">
        <f>3*$H$141</f>
        <v>18</v>
      </c>
      <c r="DB130" s="55"/>
      <c r="DC130" s="54"/>
      <c r="DD130" s="124" t="s">
        <v>19</v>
      </c>
      <c r="DE130" s="125"/>
      <c r="DF130" s="125"/>
      <c r="DG130" s="126"/>
      <c r="DH130" s="57">
        <f>3*$H$141</f>
        <v>18</v>
      </c>
      <c r="DI130" s="55"/>
      <c r="DJ130" s="54"/>
      <c r="DK130" s="124" t="s">
        <v>19</v>
      </c>
      <c r="DL130" s="125"/>
      <c r="DM130" s="125"/>
      <c r="DN130" s="126"/>
      <c r="DO130" s="57">
        <f>3*$H$141</f>
        <v>18</v>
      </c>
      <c r="DP130" s="55"/>
      <c r="DQ130" s="54"/>
      <c r="DR130" s="124" t="s">
        <v>19</v>
      </c>
      <c r="DS130" s="125"/>
      <c r="DT130" s="125"/>
      <c r="DU130" s="126"/>
      <c r="DV130" s="57">
        <f>3*$H$141</f>
        <v>18</v>
      </c>
      <c r="DW130" s="55"/>
      <c r="DX130" s="54"/>
      <c r="DY130" s="124" t="s">
        <v>18</v>
      </c>
      <c r="DZ130" s="125"/>
      <c r="EA130" s="125"/>
      <c r="EB130" s="126"/>
      <c r="EC130" s="57">
        <f>3*H138</f>
        <v>15</v>
      </c>
      <c r="ED130" s="55"/>
      <c r="EE130" s="54"/>
      <c r="EF130" s="124" t="s">
        <v>18</v>
      </c>
      <c r="EG130" s="125"/>
      <c r="EH130" s="125"/>
      <c r="EI130" s="126"/>
      <c r="EJ130" s="57">
        <f>3*H138</f>
        <v>15</v>
      </c>
      <c r="EK130" s="55"/>
      <c r="EL130" s="54"/>
      <c r="EM130" s="124" t="s">
        <v>18</v>
      </c>
      <c r="EN130" s="125"/>
      <c r="EO130" s="125"/>
      <c r="EP130" s="126"/>
      <c r="EQ130" s="57">
        <f>3*H138</f>
        <v>15</v>
      </c>
      <c r="ER130" s="55"/>
      <c r="ES130" s="54"/>
      <c r="ET130" s="124" t="s">
        <v>19</v>
      </c>
      <c r="EU130" s="125"/>
      <c r="EV130" s="125"/>
      <c r="EW130" s="126"/>
      <c r="EX130" s="57">
        <f>3*$H$141</f>
        <v>18</v>
      </c>
      <c r="EY130" s="55"/>
      <c r="EZ130" s="54"/>
      <c r="FA130" s="124" t="s">
        <v>18</v>
      </c>
      <c r="FB130" s="125"/>
      <c r="FC130" s="125"/>
      <c r="FD130" s="126"/>
      <c r="FE130" s="57">
        <f>3*H138</f>
        <v>15</v>
      </c>
      <c r="FF130" s="55"/>
      <c r="FG130" s="54"/>
      <c r="FH130" s="124" t="s">
        <v>341</v>
      </c>
      <c r="FI130" s="125"/>
      <c r="FJ130" s="125"/>
      <c r="FK130" s="126"/>
      <c r="FL130" s="57">
        <f>3*H142</f>
        <v>15</v>
      </c>
      <c r="FM130" s="55"/>
      <c r="FN130" s="54"/>
      <c r="FO130" s="124" t="s">
        <v>343</v>
      </c>
      <c r="FP130" s="125"/>
      <c r="FQ130" s="125"/>
      <c r="FR130" s="126"/>
      <c r="FS130" s="57">
        <f>3*H143</f>
        <v>12</v>
      </c>
      <c r="FT130" s="55"/>
      <c r="FU130" s="54"/>
      <c r="FV130" s="124" t="s">
        <v>18</v>
      </c>
      <c r="FW130" s="125"/>
      <c r="FX130" s="125"/>
      <c r="FY130" s="126"/>
      <c r="FZ130" s="57">
        <f>3*H138</f>
        <v>15</v>
      </c>
      <c r="GA130" s="55"/>
      <c r="GB130" s="54"/>
      <c r="GC130" s="124" t="s">
        <v>314</v>
      </c>
      <c r="GD130" s="125"/>
      <c r="GE130" s="125"/>
      <c r="GF130" s="126"/>
      <c r="GG130" s="57">
        <f>3*H138</f>
        <v>15</v>
      </c>
      <c r="GH130" s="55"/>
      <c r="GI130" s="54"/>
      <c r="GJ130" s="124" t="s">
        <v>19</v>
      </c>
      <c r="GK130" s="125"/>
      <c r="GL130" s="125"/>
      <c r="GM130" s="126"/>
      <c r="GN130" s="57">
        <f>3*H141</f>
        <v>18</v>
      </c>
      <c r="GO130" s="55"/>
      <c r="GP130" s="54"/>
      <c r="GQ130" s="124" t="s">
        <v>19</v>
      </c>
      <c r="GR130" s="125"/>
      <c r="GS130" s="125"/>
      <c r="GT130" s="126"/>
      <c r="GU130" s="57">
        <f>3*H141</f>
        <v>18</v>
      </c>
      <c r="GV130" s="55"/>
      <c r="GW130" s="54"/>
      <c r="GX130" s="124" t="s">
        <v>18</v>
      </c>
      <c r="GY130" s="125"/>
      <c r="GZ130" s="125"/>
      <c r="HA130" s="126"/>
      <c r="HB130" s="57">
        <f>3*H138</f>
        <v>15</v>
      </c>
      <c r="HC130" s="55"/>
      <c r="HD130" s="54"/>
      <c r="HE130" s="124" t="s">
        <v>18</v>
      </c>
      <c r="HF130" s="125"/>
      <c r="HG130" s="125"/>
      <c r="HH130" s="126"/>
      <c r="HI130" s="57">
        <f>3*H138</f>
        <v>15</v>
      </c>
      <c r="HJ130" s="55"/>
      <c r="HK130" s="54"/>
      <c r="HL130" s="124" t="s">
        <v>19</v>
      </c>
      <c r="HM130" s="125"/>
      <c r="HN130" s="125"/>
      <c r="HO130" s="126"/>
      <c r="HP130" s="57">
        <f>3*H141</f>
        <v>18</v>
      </c>
      <c r="HQ130" s="55"/>
      <c r="HR130" s="54"/>
      <c r="HS130" s="124" t="s">
        <v>19</v>
      </c>
      <c r="HT130" s="125"/>
      <c r="HU130" s="125"/>
      <c r="HV130" s="126"/>
      <c r="HW130" s="57">
        <f>3*H141</f>
        <v>18</v>
      </c>
      <c r="HX130" s="55"/>
      <c r="HY130" s="54"/>
      <c r="HZ130" s="124" t="s">
        <v>19</v>
      </c>
      <c r="IA130" s="125"/>
      <c r="IB130" s="125"/>
      <c r="IC130" s="126"/>
      <c r="ID130" s="57">
        <f>3*H141</f>
        <v>18</v>
      </c>
      <c r="IE130" s="55"/>
      <c r="IF130" s="54"/>
      <c r="IG130" s="124" t="s">
        <v>556</v>
      </c>
      <c r="IH130" s="125"/>
      <c r="II130" s="125"/>
      <c r="IJ130" s="126"/>
      <c r="IK130" s="57">
        <f>3*H145</f>
        <v>6</v>
      </c>
      <c r="IL130" s="55"/>
      <c r="IM130" s="54"/>
      <c r="IN130" s="124" t="s">
        <v>18</v>
      </c>
      <c r="IO130" s="125"/>
      <c r="IP130" s="125"/>
      <c r="IQ130" s="126"/>
      <c r="IR130" s="57">
        <f>3*H138</f>
        <v>15</v>
      </c>
      <c r="IS130" s="55"/>
      <c r="IT130" s="54"/>
      <c r="IU130" s="124" t="s">
        <v>19</v>
      </c>
      <c r="IV130" s="125"/>
      <c r="IW130" s="125"/>
      <c r="IX130" s="126"/>
      <c r="IY130" s="57">
        <f>3*H141</f>
        <v>18</v>
      </c>
      <c r="IZ130" s="55"/>
      <c r="JA130" s="54"/>
      <c r="JB130" s="124" t="s">
        <v>18</v>
      </c>
      <c r="JC130" s="125"/>
      <c r="JD130" s="125"/>
      <c r="JE130" s="126"/>
      <c r="JF130" s="57">
        <f>3*H138</f>
        <v>15</v>
      </c>
      <c r="JG130" s="55"/>
      <c r="JH130" s="54"/>
      <c r="JI130" s="124" t="s">
        <v>19</v>
      </c>
      <c r="JJ130" s="125"/>
      <c r="JK130" s="125"/>
      <c r="JL130" s="126"/>
      <c r="JM130" s="57">
        <f>3*H141</f>
        <v>18</v>
      </c>
      <c r="JN130" s="55"/>
      <c r="JO130" s="54"/>
      <c r="JP130" s="124" t="s">
        <v>19</v>
      </c>
      <c r="JQ130" s="125"/>
      <c r="JR130" s="125"/>
      <c r="JS130" s="126"/>
      <c r="JT130" s="57">
        <f>3*H141</f>
        <v>18</v>
      </c>
      <c r="JU130" s="55"/>
      <c r="JV130" s="54"/>
      <c r="JW130" s="124" t="s">
        <v>18</v>
      </c>
      <c r="JX130" s="125"/>
      <c r="JY130" s="125"/>
      <c r="JZ130" s="126"/>
      <c r="KA130" s="57">
        <f>3*H138</f>
        <v>15</v>
      </c>
      <c r="KB130" s="55"/>
      <c r="KC130" s="54"/>
      <c r="KD130" s="124" t="s">
        <v>19</v>
      </c>
      <c r="KE130" s="125"/>
      <c r="KF130" s="125"/>
      <c r="KG130" s="126"/>
      <c r="KH130" s="57">
        <f>3*H141</f>
        <v>18</v>
      </c>
      <c r="KI130" s="55"/>
      <c r="KJ130" s="54"/>
      <c r="KK130" s="124" t="s">
        <v>19</v>
      </c>
      <c r="KL130" s="125"/>
      <c r="KM130" s="125"/>
      <c r="KN130" s="126"/>
      <c r="KO130" s="57">
        <f>3*H141</f>
        <v>18</v>
      </c>
      <c r="KP130" s="55"/>
      <c r="KQ130" s="54"/>
      <c r="KR130" s="124" t="s">
        <v>566</v>
      </c>
      <c r="KS130" s="125"/>
      <c r="KT130" s="125"/>
      <c r="KU130" s="126"/>
      <c r="KV130" s="57">
        <f>3*H144</f>
        <v>0</v>
      </c>
      <c r="KW130" s="55"/>
      <c r="KX130" s="54"/>
      <c r="KY130" s="124" t="s">
        <v>577</v>
      </c>
      <c r="KZ130" s="125"/>
      <c r="LA130" s="125"/>
      <c r="LB130" s="126"/>
      <c r="LC130" s="57">
        <f>3*H146</f>
        <v>0</v>
      </c>
      <c r="LD130" s="55"/>
      <c r="LE130" s="54"/>
      <c r="LF130" s="124" t="s">
        <v>19</v>
      </c>
      <c r="LG130" s="125"/>
      <c r="LH130" s="125"/>
      <c r="LI130" s="126"/>
      <c r="LJ130" s="57">
        <f>3*H141</f>
        <v>18</v>
      </c>
      <c r="LK130" s="55"/>
      <c r="LL130" s="54"/>
      <c r="LM130" s="124" t="s">
        <v>18</v>
      </c>
      <c r="LN130" s="125"/>
      <c r="LO130" s="125"/>
      <c r="LP130" s="126"/>
      <c r="LQ130" s="57">
        <f>3*H138</f>
        <v>15</v>
      </c>
      <c r="LR130" s="55"/>
      <c r="LS130" s="54"/>
      <c r="LT130" s="124" t="s">
        <v>19</v>
      </c>
      <c r="LU130" s="125"/>
      <c r="LV130" s="125"/>
      <c r="LW130" s="126"/>
      <c r="LX130" s="57">
        <f>3*H141</f>
        <v>18</v>
      </c>
      <c r="LY130" s="55"/>
      <c r="LZ130" s="54"/>
      <c r="MA130" s="124" t="s">
        <v>18</v>
      </c>
      <c r="MB130" s="125"/>
      <c r="MC130" s="125"/>
      <c r="MD130" s="126"/>
      <c r="ME130" s="57">
        <f>3*H138</f>
        <v>15</v>
      </c>
      <c r="MF130" s="55"/>
      <c r="MG130" s="54"/>
      <c r="MH130" s="124" t="s">
        <v>18</v>
      </c>
      <c r="MI130" s="125"/>
      <c r="MJ130" s="125"/>
      <c r="MK130" s="126"/>
      <c r="ML130" s="57">
        <f>3*H138</f>
        <v>15</v>
      </c>
      <c r="MM130" s="55"/>
      <c r="MN130" s="54"/>
      <c r="MO130" s="124" t="s">
        <v>19</v>
      </c>
      <c r="MP130" s="125"/>
      <c r="MQ130" s="125"/>
      <c r="MR130" s="126"/>
      <c r="MS130" s="57">
        <f>3*H141</f>
        <v>18</v>
      </c>
      <c r="MT130" s="55"/>
      <c r="MU130" s="54"/>
      <c r="MV130" s="124" t="s">
        <v>587</v>
      </c>
      <c r="MW130" s="125"/>
      <c r="MX130" s="125"/>
      <c r="MY130" s="126"/>
      <c r="MZ130" s="57">
        <f>3*H138</f>
        <v>15</v>
      </c>
      <c r="NA130" s="55"/>
      <c r="NB130" s="54"/>
      <c r="NC130" s="124" t="s">
        <v>18</v>
      </c>
      <c r="ND130" s="125"/>
      <c r="NE130" s="125"/>
      <c r="NF130" s="126"/>
      <c r="NG130" s="57">
        <f>3*H138</f>
        <v>15</v>
      </c>
      <c r="NH130" s="55"/>
      <c r="NI130" s="54"/>
      <c r="NJ130" s="124" t="s">
        <v>18</v>
      </c>
      <c r="NK130" s="125"/>
      <c r="NL130" s="125"/>
      <c r="NM130" s="126"/>
      <c r="NN130" s="57">
        <f>3*H138</f>
        <v>15</v>
      </c>
      <c r="NO130" s="55"/>
      <c r="NP130" s="54"/>
      <c r="NQ130" s="124" t="s">
        <v>18</v>
      </c>
      <c r="NR130" s="125"/>
      <c r="NS130" s="125"/>
      <c r="NT130" s="126"/>
      <c r="NU130" s="57">
        <f>3*H138</f>
        <v>15</v>
      </c>
      <c r="NV130" s="55"/>
      <c r="NW130" s="54"/>
      <c r="NX130" s="124" t="s">
        <v>341</v>
      </c>
      <c r="NY130" s="125"/>
      <c r="NZ130" s="125"/>
      <c r="OA130" s="126"/>
      <c r="OB130" s="57">
        <f>3*H142</f>
        <v>15</v>
      </c>
      <c r="OC130" s="55"/>
      <c r="OD130" s="54"/>
      <c r="OE130" s="124" t="s">
        <v>19</v>
      </c>
      <c r="OF130" s="125"/>
      <c r="OG130" s="125"/>
      <c r="OH130" s="126"/>
      <c r="OI130" s="57">
        <f>3*H141</f>
        <v>18</v>
      </c>
      <c r="OJ130" s="55"/>
      <c r="OK130" s="54"/>
      <c r="OL130" s="124" t="s">
        <v>321</v>
      </c>
      <c r="OM130" s="125"/>
      <c r="ON130" s="125"/>
      <c r="OO130" s="126"/>
      <c r="OP130" s="57">
        <f>3*H139</f>
        <v>12</v>
      </c>
      <c r="OQ130" s="55"/>
      <c r="OR130" s="54"/>
      <c r="OS130" s="124" t="s">
        <v>597</v>
      </c>
      <c r="OT130" s="125"/>
      <c r="OU130" s="125"/>
      <c r="OV130" s="126"/>
      <c r="OW130" s="57">
        <f>3*H147</f>
        <v>3</v>
      </c>
      <c r="OX130" s="55"/>
      <c r="OY130" s="54"/>
      <c r="OZ130" s="124" t="s">
        <v>341</v>
      </c>
      <c r="PA130" s="125"/>
      <c r="PB130" s="125"/>
      <c r="PC130" s="126"/>
      <c r="PD130" s="57">
        <f>3*H142</f>
        <v>15</v>
      </c>
      <c r="PE130" s="55"/>
      <c r="PF130" s="54"/>
      <c r="PG130" s="124" t="s">
        <v>18</v>
      </c>
      <c r="PH130" s="125"/>
      <c r="PI130" s="125"/>
      <c r="PJ130" s="126"/>
      <c r="PK130" s="57">
        <f>3*H138</f>
        <v>15</v>
      </c>
      <c r="PL130" s="55"/>
      <c r="PM130" s="54"/>
      <c r="PN130" s="124" t="s">
        <v>317</v>
      </c>
      <c r="PO130" s="125"/>
      <c r="PP130" s="125"/>
      <c r="PQ130" s="126"/>
      <c r="PR130" s="57">
        <f>3*H141</f>
        <v>18</v>
      </c>
      <c r="PS130" s="55"/>
      <c r="PT130" s="54"/>
      <c r="PU130" s="124" t="s">
        <v>603</v>
      </c>
      <c r="PV130" s="125"/>
      <c r="PW130" s="125"/>
      <c r="PX130" s="126"/>
      <c r="PY130" s="57">
        <f>3*H150</f>
        <v>0</v>
      </c>
      <c r="PZ130" s="55"/>
      <c r="QA130" s="54"/>
      <c r="QB130" s="124" t="s">
        <v>606</v>
      </c>
      <c r="QC130" s="125"/>
      <c r="QD130" s="125"/>
      <c r="QE130" s="126"/>
      <c r="QF130" s="57">
        <f>3*H148</f>
        <v>3</v>
      </c>
      <c r="QG130" s="55"/>
      <c r="QH130" s="54"/>
      <c r="QI130" s="124" t="s">
        <v>607</v>
      </c>
      <c r="QJ130" s="125"/>
      <c r="QK130" s="125"/>
      <c r="QL130" s="126"/>
      <c r="QM130" s="57">
        <f>3*H143</f>
        <v>12</v>
      </c>
      <c r="QN130" s="55"/>
      <c r="QO130" s="54"/>
      <c r="QP130" s="124" t="s">
        <v>18</v>
      </c>
      <c r="QQ130" s="125"/>
      <c r="QR130" s="125"/>
      <c r="QS130" s="126"/>
      <c r="QT130" s="57">
        <f>3*H138</f>
        <v>15</v>
      </c>
      <c r="QU130" s="55"/>
      <c r="QV130" s="54"/>
      <c r="QW130" s="124" t="s">
        <v>18</v>
      </c>
      <c r="QX130" s="125"/>
      <c r="QY130" s="125"/>
      <c r="QZ130" s="126"/>
      <c r="RA130" s="57">
        <f>3*H138</f>
        <v>15</v>
      </c>
      <c r="RB130" s="55"/>
      <c r="RC130" s="54"/>
      <c r="RD130" s="124" t="s">
        <v>617</v>
      </c>
      <c r="RE130" s="125"/>
      <c r="RF130" s="125"/>
      <c r="RG130" s="126"/>
      <c r="RH130" s="57">
        <f>3*H150</f>
        <v>0</v>
      </c>
      <c r="RI130" s="55"/>
      <c r="RJ130" s="54"/>
      <c r="RK130" s="124" t="s">
        <v>341</v>
      </c>
      <c r="RL130" s="125"/>
      <c r="RM130" s="125"/>
      <c r="RN130" s="126"/>
      <c r="RO130" s="57">
        <f>3*H142</f>
        <v>15</v>
      </c>
      <c r="RP130" s="55"/>
      <c r="RQ130" s="54"/>
      <c r="RR130" s="124" t="s">
        <v>19</v>
      </c>
      <c r="RS130" s="125"/>
      <c r="RT130" s="125"/>
      <c r="RU130" s="126"/>
      <c r="RV130" s="57">
        <f>3*H141</f>
        <v>18</v>
      </c>
      <c r="RW130" s="55"/>
      <c r="RX130" s="54"/>
      <c r="RY130" s="124" t="s">
        <v>19</v>
      </c>
      <c r="RZ130" s="125"/>
      <c r="SA130" s="125"/>
      <c r="SB130" s="126"/>
      <c r="SC130" s="57">
        <f>3*H141</f>
        <v>18</v>
      </c>
      <c r="SD130" s="55"/>
      <c r="SE130" s="54"/>
      <c r="SF130" s="124" t="s">
        <v>617</v>
      </c>
      <c r="SG130" s="125"/>
      <c r="SH130" s="125"/>
      <c r="SI130" s="126"/>
      <c r="SJ130" s="57">
        <f>3*H150</f>
        <v>0</v>
      </c>
      <c r="SK130" s="55"/>
      <c r="SL130" s="54"/>
      <c r="SM130" s="124" t="s">
        <v>19</v>
      </c>
      <c r="SN130" s="125"/>
      <c r="SO130" s="125"/>
      <c r="SP130" s="126"/>
      <c r="SQ130" s="57">
        <f>3*H141</f>
        <v>18</v>
      </c>
      <c r="SR130" s="55"/>
    </row>
    <row r="131" spans="1:512" ht="16" customHeight="1" thickBot="1" x14ac:dyDescent="0.2">
      <c r="A131" s="62">
        <v>2</v>
      </c>
      <c r="B131" s="46"/>
      <c r="E131" s="5"/>
      <c r="F131" s="5"/>
      <c r="H131" s="8"/>
      <c r="I131" s="25"/>
      <c r="J131" s="59"/>
      <c r="K131" s="59"/>
      <c r="L131" s="59"/>
      <c r="M131" s="59"/>
      <c r="N131" s="42"/>
      <c r="O131" s="55"/>
      <c r="Q131" s="59"/>
      <c r="R131" s="59"/>
      <c r="S131" s="59"/>
      <c r="T131" s="59"/>
      <c r="U131" s="42"/>
      <c r="V131" s="55"/>
      <c r="W131" s="54"/>
      <c r="X131" s="59"/>
      <c r="Y131" s="59"/>
      <c r="Z131" s="59"/>
      <c r="AA131" s="59"/>
      <c r="AB131" s="42"/>
      <c r="AC131" s="55"/>
      <c r="AD131" s="54"/>
      <c r="AE131" s="59"/>
      <c r="AF131" s="59"/>
      <c r="AG131" s="59"/>
      <c r="AH131" s="59"/>
      <c r="AI131" s="42"/>
      <c r="AJ131" s="55"/>
      <c r="AK131" s="54"/>
      <c r="AL131" s="59"/>
      <c r="AM131" s="59"/>
      <c r="AN131" s="59"/>
      <c r="AO131" s="59"/>
      <c r="AP131" s="42"/>
      <c r="AQ131" s="55"/>
      <c r="AR131" s="54"/>
      <c r="AS131" s="59"/>
      <c r="AT131" s="59"/>
      <c r="AU131" s="59"/>
      <c r="AV131" s="59"/>
      <c r="AW131" s="42"/>
      <c r="AX131" s="55"/>
      <c r="AY131" s="54"/>
      <c r="AZ131" s="59"/>
      <c r="BA131" s="59"/>
      <c r="BB131" s="59"/>
      <c r="BC131" s="59"/>
      <c r="BD131" s="42"/>
      <c r="BE131" s="55"/>
      <c r="BF131" s="54"/>
      <c r="BG131" s="59"/>
      <c r="BH131" s="59"/>
      <c r="BI131" s="59"/>
      <c r="BJ131" s="59"/>
      <c r="BK131" s="42"/>
      <c r="BL131" s="55"/>
      <c r="BM131" s="54"/>
      <c r="BN131" s="59"/>
      <c r="BO131" s="59"/>
      <c r="BP131" s="59"/>
      <c r="BQ131" s="59"/>
      <c r="BR131" s="42"/>
      <c r="BS131" s="55"/>
      <c r="BT131" s="54"/>
      <c r="BU131" s="59"/>
      <c r="BV131" s="59"/>
      <c r="BW131" s="59"/>
      <c r="BX131" s="59"/>
      <c r="BY131" s="42"/>
      <c r="BZ131" s="55"/>
      <c r="CA131" s="54"/>
      <c r="CB131" s="59"/>
      <c r="CC131" s="59"/>
      <c r="CD131" s="59"/>
      <c r="CE131" s="59"/>
      <c r="CF131" s="42"/>
      <c r="CG131" s="55"/>
      <c r="CH131" s="54"/>
      <c r="CI131" s="59"/>
      <c r="CJ131" s="59"/>
      <c r="CK131" s="59"/>
      <c r="CL131" s="59"/>
      <c r="CM131" s="42"/>
      <c r="CN131" s="55"/>
      <c r="CO131" s="54"/>
      <c r="CP131" s="59"/>
      <c r="CQ131" s="59"/>
      <c r="CR131" s="59"/>
      <c r="CS131" s="59"/>
      <c r="CT131" s="42"/>
      <c r="CU131" s="55"/>
      <c r="CV131" s="54"/>
      <c r="CW131" s="59"/>
      <c r="CX131" s="59"/>
      <c r="CY131" s="59"/>
      <c r="CZ131" s="59"/>
      <c r="DA131" s="42"/>
      <c r="DB131" s="55"/>
      <c r="DC131" s="54"/>
      <c r="DD131" s="59"/>
      <c r="DE131" s="59"/>
      <c r="DF131" s="59"/>
      <c r="DG131" s="59"/>
      <c r="DH131" s="42"/>
      <c r="DI131" s="55"/>
      <c r="DJ131" s="54"/>
      <c r="DK131" s="59"/>
      <c r="DL131" s="59"/>
      <c r="DM131" s="59"/>
      <c r="DN131" s="59"/>
      <c r="DO131" s="42"/>
      <c r="DP131" s="55"/>
      <c r="DQ131" s="54"/>
      <c r="DR131" s="59"/>
      <c r="DS131" s="59"/>
      <c r="DT131" s="59"/>
      <c r="DU131" s="59"/>
      <c r="DV131" s="42"/>
      <c r="DW131" s="55"/>
      <c r="DX131" s="54"/>
      <c r="DY131" s="59"/>
      <c r="DZ131" s="59"/>
      <c r="EA131" s="59"/>
      <c r="EB131" s="59"/>
      <c r="EC131" s="42"/>
      <c r="ED131" s="55"/>
      <c r="EE131" s="54"/>
      <c r="EF131" s="59"/>
      <c r="EG131" s="59"/>
      <c r="EH131" s="59"/>
      <c r="EI131" s="59"/>
      <c r="EJ131" s="42"/>
      <c r="EK131" s="55"/>
      <c r="EL131" s="54"/>
      <c r="EM131" s="59"/>
      <c r="EN131" s="59"/>
      <c r="EO131" s="59"/>
      <c r="EP131" s="59"/>
      <c r="EQ131" s="42"/>
      <c r="ER131" s="55"/>
      <c r="ES131" s="54"/>
      <c r="ET131" s="59"/>
      <c r="EU131" s="59"/>
      <c r="EV131" s="59"/>
      <c r="EW131" s="59"/>
      <c r="EX131" s="42"/>
      <c r="EY131" s="55"/>
      <c r="EZ131" s="54"/>
      <c r="FA131" s="59"/>
      <c r="FB131" s="59"/>
      <c r="FC131" s="59"/>
      <c r="FD131" s="59"/>
      <c r="FE131" s="42"/>
      <c r="FF131" s="55"/>
      <c r="FG131" s="54"/>
      <c r="FH131" s="59"/>
      <c r="FI131" s="59"/>
      <c r="FJ131" s="59"/>
      <c r="FK131" s="59"/>
      <c r="FL131" s="42"/>
      <c r="FM131" s="55"/>
      <c r="FN131" s="54"/>
      <c r="FO131" s="59"/>
      <c r="FP131" s="59"/>
      <c r="FQ131" s="59"/>
      <c r="FR131" s="59"/>
      <c r="FS131" s="42"/>
      <c r="FT131" s="55"/>
      <c r="FU131" s="54"/>
      <c r="FV131" s="59"/>
      <c r="FW131" s="59"/>
      <c r="FX131" s="59"/>
      <c r="FY131" s="59"/>
      <c r="FZ131" s="42"/>
      <c r="GA131" s="55"/>
      <c r="GB131" s="54"/>
      <c r="GC131" s="59"/>
      <c r="GD131" s="59"/>
      <c r="GE131" s="59"/>
      <c r="GF131" s="59"/>
      <c r="GG131" s="42"/>
      <c r="GH131" s="55"/>
      <c r="GI131" s="54"/>
      <c r="GJ131" s="59"/>
      <c r="GK131" s="59"/>
      <c r="GL131" s="59"/>
      <c r="GM131" s="59"/>
      <c r="GN131" s="42"/>
      <c r="GO131" s="55"/>
      <c r="GP131" s="54"/>
      <c r="GQ131" s="59"/>
      <c r="GR131" s="59"/>
      <c r="GS131" s="59"/>
      <c r="GT131" s="59"/>
      <c r="GU131" s="42"/>
      <c r="GV131" s="55"/>
      <c r="GW131" s="54"/>
      <c r="GX131" s="59"/>
      <c r="GY131" s="59"/>
      <c r="GZ131" s="59"/>
      <c r="HA131" s="59"/>
      <c r="HB131" s="42"/>
      <c r="HC131" s="55"/>
      <c r="HD131" s="54"/>
      <c r="HE131" s="59"/>
      <c r="HF131" s="59"/>
      <c r="HG131" s="59"/>
      <c r="HH131" s="59"/>
      <c r="HI131" s="42"/>
      <c r="HJ131" s="55"/>
      <c r="HK131" s="54"/>
      <c r="HL131" s="59"/>
      <c r="HM131" s="59"/>
      <c r="HN131" s="59"/>
      <c r="HO131" s="59"/>
      <c r="HP131" s="42"/>
      <c r="HQ131" s="55"/>
      <c r="HR131" s="54"/>
      <c r="HS131" s="59"/>
      <c r="HT131" s="59"/>
      <c r="HU131" s="59"/>
      <c r="HV131" s="59"/>
      <c r="HW131" s="42"/>
      <c r="HX131" s="55"/>
      <c r="HY131" s="54"/>
      <c r="HZ131" s="59"/>
      <c r="IA131" s="59"/>
      <c r="IB131" s="59"/>
      <c r="IC131" s="59"/>
      <c r="ID131" s="42"/>
      <c r="IE131" s="55"/>
      <c r="IF131" s="54"/>
      <c r="IG131" s="59"/>
      <c r="IH131" s="59"/>
      <c r="II131" s="59"/>
      <c r="IJ131" s="59"/>
      <c r="IK131" s="42"/>
      <c r="IL131" s="55"/>
      <c r="IM131" s="54"/>
      <c r="IN131" s="59"/>
      <c r="IO131" s="59"/>
      <c r="IP131" s="59"/>
      <c r="IQ131" s="59"/>
      <c r="IR131" s="42"/>
      <c r="IS131" s="55"/>
      <c r="IT131" s="54"/>
      <c r="IU131" s="59"/>
      <c r="IV131" s="59"/>
      <c r="IW131" s="59"/>
      <c r="IX131" s="59"/>
      <c r="IY131" s="42"/>
      <c r="IZ131" s="55"/>
      <c r="JA131" s="54"/>
      <c r="JB131" s="59"/>
      <c r="JC131" s="59"/>
      <c r="JD131" s="59"/>
      <c r="JE131" s="59"/>
      <c r="JF131" s="42"/>
      <c r="JG131" s="55"/>
      <c r="JH131" s="54"/>
      <c r="JI131" s="59"/>
      <c r="JJ131" s="59"/>
      <c r="JK131" s="59"/>
      <c r="JL131" s="59"/>
      <c r="JM131" s="42"/>
      <c r="JN131" s="55"/>
      <c r="JO131" s="54"/>
      <c r="JP131" s="59"/>
      <c r="JQ131" s="59"/>
      <c r="JR131" s="59"/>
      <c r="JS131" s="59"/>
      <c r="JT131" s="42"/>
      <c r="JU131" s="55"/>
      <c r="JV131" s="54"/>
      <c r="JW131" s="59"/>
      <c r="JX131" s="59"/>
      <c r="JY131" s="59"/>
      <c r="JZ131" s="59"/>
      <c r="KA131" s="42"/>
      <c r="KB131" s="55"/>
      <c r="KC131" s="54"/>
      <c r="KD131" s="59"/>
      <c r="KE131" s="59"/>
      <c r="KF131" s="59"/>
      <c r="KG131" s="59"/>
      <c r="KH131" s="42"/>
      <c r="KI131" s="55"/>
      <c r="KJ131" s="54"/>
      <c r="KK131" s="59"/>
      <c r="KL131" s="59"/>
      <c r="KM131" s="59"/>
      <c r="KN131" s="59"/>
      <c r="KO131" s="42"/>
      <c r="KP131" s="55"/>
      <c r="KQ131" s="54"/>
      <c r="KR131" s="59"/>
      <c r="KS131" s="59"/>
      <c r="KT131" s="59"/>
      <c r="KU131" s="59"/>
      <c r="KV131" s="42"/>
      <c r="KW131" s="55"/>
      <c r="KX131" s="54"/>
      <c r="KY131" s="59"/>
      <c r="KZ131" s="59"/>
      <c r="LA131" s="59"/>
      <c r="LB131" s="59"/>
      <c r="LC131" s="42"/>
      <c r="LD131" s="55"/>
      <c r="LE131" s="54"/>
      <c r="LF131" s="59"/>
      <c r="LG131" s="59"/>
      <c r="LH131" s="59"/>
      <c r="LI131" s="59"/>
      <c r="LJ131" s="42"/>
      <c r="LK131" s="55"/>
      <c r="LL131" s="54"/>
      <c r="LM131" s="59"/>
      <c r="LN131" s="59"/>
      <c r="LO131" s="59"/>
      <c r="LP131" s="59"/>
      <c r="LQ131" s="42"/>
      <c r="LR131" s="55"/>
      <c r="LS131" s="54"/>
      <c r="LT131" s="59"/>
      <c r="LU131" s="59"/>
      <c r="LV131" s="59"/>
      <c r="LW131" s="59"/>
      <c r="LX131" s="42"/>
      <c r="LY131" s="55"/>
      <c r="LZ131" s="54"/>
      <c r="MA131" s="59"/>
      <c r="MB131" s="59"/>
      <c r="MC131" s="59"/>
      <c r="MD131" s="59"/>
      <c r="ME131" s="42"/>
      <c r="MF131" s="55"/>
      <c r="MG131" s="54"/>
      <c r="MH131" s="59"/>
      <c r="MI131" s="59"/>
      <c r="MJ131" s="59"/>
      <c r="MK131" s="59"/>
      <c r="ML131" s="42"/>
      <c r="MM131" s="55"/>
      <c r="MN131" s="54"/>
      <c r="MO131" s="59"/>
      <c r="MP131" s="59"/>
      <c r="MQ131" s="59"/>
      <c r="MR131" s="59"/>
      <c r="MS131" s="42"/>
      <c r="MT131" s="55"/>
      <c r="MU131" s="54"/>
      <c r="MV131" s="59"/>
      <c r="MW131" s="59"/>
      <c r="MX131" s="59"/>
      <c r="MY131" s="59"/>
      <c r="MZ131" s="42"/>
      <c r="NA131" s="55"/>
      <c r="NB131" s="54"/>
      <c r="NC131" s="59"/>
      <c r="ND131" s="59"/>
      <c r="NE131" s="59"/>
      <c r="NF131" s="59"/>
      <c r="NG131" s="42"/>
      <c r="NH131" s="55"/>
      <c r="NI131" s="54"/>
      <c r="NJ131" s="59"/>
      <c r="NK131" s="59"/>
      <c r="NL131" s="59"/>
      <c r="NM131" s="59"/>
      <c r="NN131" s="42"/>
      <c r="NO131" s="55"/>
      <c r="NP131" s="54"/>
      <c r="NQ131" s="59"/>
      <c r="NR131" s="59"/>
      <c r="NS131" s="59"/>
      <c r="NT131" s="59"/>
      <c r="NU131" s="42"/>
      <c r="NV131" s="55"/>
      <c r="NW131" s="54"/>
      <c r="NX131" s="59"/>
      <c r="NY131" s="59"/>
      <c r="NZ131" s="59"/>
      <c r="OA131" s="59"/>
      <c r="OB131" s="42"/>
      <c r="OC131" s="55"/>
      <c r="OD131" s="54"/>
      <c r="OE131" s="59"/>
      <c r="OF131" s="59"/>
      <c r="OG131" s="59"/>
      <c r="OH131" s="59"/>
      <c r="OI131" s="42"/>
      <c r="OJ131" s="55"/>
      <c r="OK131" s="54"/>
      <c r="OL131" s="59"/>
      <c r="OM131" s="59"/>
      <c r="ON131" s="59"/>
      <c r="OO131" s="59"/>
      <c r="OP131" s="42"/>
      <c r="OQ131" s="55"/>
      <c r="OR131" s="54"/>
      <c r="OS131" s="59"/>
      <c r="OT131" s="59"/>
      <c r="OU131" s="59"/>
      <c r="OV131" s="59"/>
      <c r="OW131" s="42"/>
      <c r="OX131" s="55"/>
      <c r="OY131" s="54"/>
      <c r="OZ131" s="59"/>
      <c r="PA131" s="59"/>
      <c r="PB131" s="59"/>
      <c r="PC131" s="59"/>
      <c r="PD131" s="42"/>
      <c r="PE131" s="55"/>
      <c r="PF131" s="54"/>
      <c r="PG131" s="59"/>
      <c r="PH131" s="59"/>
      <c r="PI131" s="59"/>
      <c r="PJ131" s="59"/>
      <c r="PK131" s="42"/>
      <c r="PL131" s="55"/>
      <c r="PM131" s="54"/>
      <c r="PN131" s="59"/>
      <c r="PO131" s="59"/>
      <c r="PP131" s="59"/>
      <c r="PQ131" s="59"/>
      <c r="PR131" s="42"/>
      <c r="PS131" s="55"/>
      <c r="PT131" s="54"/>
      <c r="PU131" s="59"/>
      <c r="PV131" s="59"/>
      <c r="PW131" s="59"/>
      <c r="PX131" s="59"/>
      <c r="PY131" s="42"/>
      <c r="PZ131" s="55"/>
      <c r="QA131" s="54"/>
      <c r="QB131" s="59"/>
      <c r="QC131" s="59"/>
      <c r="QD131" s="59"/>
      <c r="QE131" s="59"/>
      <c r="QF131" s="42"/>
      <c r="QG131" s="55"/>
      <c r="QH131" s="54"/>
      <c r="QI131" s="59"/>
      <c r="QJ131" s="59"/>
      <c r="QK131" s="59"/>
      <c r="QL131" s="59"/>
      <c r="QM131" s="42"/>
      <c r="QN131" s="55"/>
      <c r="QO131" s="54"/>
      <c r="QP131" s="59"/>
      <c r="QQ131" s="59"/>
      <c r="QR131" s="59"/>
      <c r="QS131" s="59"/>
      <c r="QT131" s="42"/>
      <c r="QU131" s="55"/>
      <c r="QV131" s="54"/>
      <c r="QW131" s="59"/>
      <c r="QX131" s="59"/>
      <c r="QY131" s="59"/>
      <c r="QZ131" s="59"/>
      <c r="RA131" s="42"/>
      <c r="RB131" s="55"/>
      <c r="RC131" s="54"/>
      <c r="RD131" s="59"/>
      <c r="RE131" s="59"/>
      <c r="RF131" s="59"/>
      <c r="RG131" s="59"/>
      <c r="RH131" s="42"/>
      <c r="RI131" s="55"/>
      <c r="RJ131" s="54"/>
      <c r="RK131" s="59"/>
      <c r="RL131" s="59"/>
      <c r="RM131" s="59"/>
      <c r="RN131" s="59"/>
      <c r="RO131" s="42"/>
      <c r="RP131" s="55"/>
      <c r="RQ131" s="54"/>
      <c r="RR131" s="59"/>
      <c r="RS131" s="59"/>
      <c r="RT131" s="59"/>
      <c r="RU131" s="59"/>
      <c r="RV131" s="42"/>
      <c r="RW131" s="55"/>
      <c r="RX131" s="54"/>
      <c r="RY131" s="59"/>
      <c r="RZ131" s="59"/>
      <c r="SA131" s="59"/>
      <c r="SB131" s="59"/>
      <c r="SC131" s="42"/>
      <c r="SD131" s="55"/>
      <c r="SE131" s="54"/>
      <c r="SF131" s="59"/>
      <c r="SG131" s="59"/>
      <c r="SH131" s="59"/>
      <c r="SI131" s="59"/>
      <c r="SJ131" s="42"/>
      <c r="SK131" s="55"/>
      <c r="SL131" s="54"/>
      <c r="SM131" s="59"/>
      <c r="SN131" s="59"/>
      <c r="SO131" s="59"/>
      <c r="SP131" s="59"/>
      <c r="SQ131" s="42"/>
      <c r="SR131" s="55"/>
    </row>
    <row r="132" spans="1:512" ht="16" customHeight="1" thickBot="1" x14ac:dyDescent="0.2">
      <c r="A132" s="51" t="s">
        <v>311</v>
      </c>
      <c r="B132" s="46"/>
      <c r="C132" s="5"/>
      <c r="E132" s="1"/>
      <c r="F132" s="5"/>
      <c r="G132" s="8"/>
      <c r="H132" s="5"/>
      <c r="I132" s="25"/>
      <c r="J132" s="124">
        <v>3</v>
      </c>
      <c r="K132" s="125"/>
      <c r="L132" s="125"/>
      <c r="M132" s="126"/>
      <c r="N132" s="57" t="str">
        <f>IF($E132="","",IF($E132=J132,10,ABS($E132-J132)*-$A$131))</f>
        <v/>
      </c>
      <c r="O132" s="55"/>
      <c r="Q132" s="124">
        <v>7</v>
      </c>
      <c r="R132" s="125"/>
      <c r="S132" s="125"/>
      <c r="T132" s="126"/>
      <c r="U132" s="57" t="str">
        <f>IF($E132="","",IF($E132=Q132,10,ABS($E132-Q132)*-$A$131))</f>
        <v/>
      </c>
      <c r="V132" s="55"/>
      <c r="W132" s="54"/>
      <c r="X132" s="124">
        <v>9</v>
      </c>
      <c r="Y132" s="125"/>
      <c r="Z132" s="125"/>
      <c r="AA132" s="126"/>
      <c r="AB132" s="57" t="str">
        <f>IF($E132="","",IF($E132=X132,10,ABS($E132-X132)*-$A$131))</f>
        <v/>
      </c>
      <c r="AC132" s="55"/>
      <c r="AD132" s="54"/>
      <c r="AE132" s="124">
        <v>10</v>
      </c>
      <c r="AF132" s="125"/>
      <c r="AG132" s="125"/>
      <c r="AH132" s="126"/>
      <c r="AI132" s="57" t="str">
        <f>IF($E132="","",IF($E132=AE132,10,ABS($E132-AE132)*-$A$131))</f>
        <v/>
      </c>
      <c r="AJ132" s="55"/>
      <c r="AK132" s="54"/>
      <c r="AL132" s="124">
        <v>3</v>
      </c>
      <c r="AM132" s="125"/>
      <c r="AN132" s="125"/>
      <c r="AO132" s="126"/>
      <c r="AP132" s="57" t="str">
        <f>IF($E132="","",IF($E132=AL132,10,ABS($E132-AL132)*-$A$131))</f>
        <v/>
      </c>
      <c r="AQ132" s="55"/>
      <c r="AR132" s="54"/>
      <c r="AS132" s="124">
        <v>4</v>
      </c>
      <c r="AT132" s="125"/>
      <c r="AU132" s="125"/>
      <c r="AV132" s="126"/>
      <c r="AW132" s="57" t="str">
        <f>IF($E132="","",IF($E132=AS132,10,ABS($E132-AS132)*-$A$131))</f>
        <v/>
      </c>
      <c r="AX132" s="55"/>
      <c r="AY132" s="54"/>
      <c r="AZ132" s="124">
        <v>5</v>
      </c>
      <c r="BA132" s="125"/>
      <c r="BB132" s="125"/>
      <c r="BC132" s="126"/>
      <c r="BD132" s="57" t="str">
        <f>IF($E132="","",IF($E132=AZ132,10,ABS($E132-AZ132)*-$A$131))</f>
        <v/>
      </c>
      <c r="BE132" s="55"/>
      <c r="BF132" s="54"/>
      <c r="BG132" s="124">
        <v>9</v>
      </c>
      <c r="BH132" s="125"/>
      <c r="BI132" s="125"/>
      <c r="BJ132" s="126"/>
      <c r="BK132" s="57" t="str">
        <f>IF($E132="","",IF($E132=BG132,10,ABS($E132-BG132)*-$A$131))</f>
        <v/>
      </c>
      <c r="BL132" s="55"/>
      <c r="BM132" s="54"/>
      <c r="BN132" s="124">
        <v>7</v>
      </c>
      <c r="BO132" s="125"/>
      <c r="BP132" s="125"/>
      <c r="BQ132" s="126"/>
      <c r="BR132" s="57" t="str">
        <f>IF($E132="","",IF($E132=BN132,10,ABS($E132-BN132)*-$A$131))</f>
        <v/>
      </c>
      <c r="BS132" s="55"/>
      <c r="BT132" s="54"/>
      <c r="BU132" s="124">
        <v>5</v>
      </c>
      <c r="BV132" s="125"/>
      <c r="BW132" s="125"/>
      <c r="BX132" s="126"/>
      <c r="BY132" s="57" t="str">
        <f>IF($E132="","",IF($E132=BU132,10,ABS($E132-BU132)*-$A$131))</f>
        <v/>
      </c>
      <c r="BZ132" s="55"/>
      <c r="CA132" s="54"/>
      <c r="CB132" s="124">
        <v>4</v>
      </c>
      <c r="CC132" s="125"/>
      <c r="CD132" s="125"/>
      <c r="CE132" s="126"/>
      <c r="CF132" s="57" t="str">
        <f>IF($E132="","",IF($E132=CB132,10,ABS($E132-CB132)*-$A$131))</f>
        <v/>
      </c>
      <c r="CG132" s="55"/>
      <c r="CH132" s="54"/>
      <c r="CI132" s="124">
        <v>8</v>
      </c>
      <c r="CJ132" s="125"/>
      <c r="CK132" s="125"/>
      <c r="CL132" s="126"/>
      <c r="CM132" s="57" t="str">
        <f>IF($E132="","",IF($E132=CI132,10,ABS($E132-CI132)*-$A$131))</f>
        <v/>
      </c>
      <c r="CN132" s="55"/>
      <c r="CO132" s="54"/>
      <c r="CP132" s="124">
        <v>5</v>
      </c>
      <c r="CQ132" s="125"/>
      <c r="CR132" s="125"/>
      <c r="CS132" s="126"/>
      <c r="CT132" s="57" t="str">
        <f>IF($E132="","",IF($E132=CP132,10,ABS($E132-CP132)*-$A$131))</f>
        <v/>
      </c>
      <c r="CU132" s="55"/>
      <c r="CV132" s="54"/>
      <c r="CW132" s="124">
        <v>7</v>
      </c>
      <c r="CX132" s="125"/>
      <c r="CY132" s="125"/>
      <c r="CZ132" s="126"/>
      <c r="DA132" s="57" t="str">
        <f>IF($E132="","",IF($E132=CW132,10,ABS($E132-CW132)*-$A$131))</f>
        <v/>
      </c>
      <c r="DB132" s="55"/>
      <c r="DC132" s="54"/>
      <c r="DD132" s="124">
        <v>8</v>
      </c>
      <c r="DE132" s="125"/>
      <c r="DF132" s="125"/>
      <c r="DG132" s="126"/>
      <c r="DH132" s="57" t="str">
        <f>IF($E132="","",IF($E132=DD132,10,ABS($E132-DD132)*-$A$131))</f>
        <v/>
      </c>
      <c r="DI132" s="55"/>
      <c r="DJ132" s="54"/>
      <c r="DK132" s="124">
        <v>9</v>
      </c>
      <c r="DL132" s="125"/>
      <c r="DM132" s="125"/>
      <c r="DN132" s="126"/>
      <c r="DO132" s="57" t="str">
        <f>IF($E132="","",IF($E132=DK132,10,ABS($E132-DK132)*-$A$131))</f>
        <v/>
      </c>
      <c r="DP132" s="55"/>
      <c r="DQ132" s="54"/>
      <c r="DR132" s="124">
        <v>10</v>
      </c>
      <c r="DS132" s="125"/>
      <c r="DT132" s="125"/>
      <c r="DU132" s="126"/>
      <c r="DV132" s="57" t="str">
        <f>IF($E132="","",IF($E132=DR132,10,ABS($E132-DR132)*-$A$131))</f>
        <v/>
      </c>
      <c r="DW132" s="55"/>
      <c r="DX132" s="54"/>
      <c r="DY132" s="124">
        <v>11</v>
      </c>
      <c r="DZ132" s="125"/>
      <c r="EA132" s="125"/>
      <c r="EB132" s="126"/>
      <c r="EC132" s="57" t="str">
        <f>IF($E132="","",IF($E132=DY132,10,ABS($E132-DY132)*-$A$131))</f>
        <v/>
      </c>
      <c r="ED132" s="55"/>
      <c r="EE132" s="54"/>
      <c r="EF132" s="124">
        <v>7</v>
      </c>
      <c r="EG132" s="125"/>
      <c r="EH132" s="125"/>
      <c r="EI132" s="126"/>
      <c r="EJ132" s="57" t="str">
        <f>IF($E132="","",IF($E132=EF132,10,ABS($E132-EF132)*-$A$131))</f>
        <v/>
      </c>
      <c r="EK132" s="55"/>
      <c r="EL132" s="54"/>
      <c r="EM132" s="124">
        <v>9</v>
      </c>
      <c r="EN132" s="125"/>
      <c r="EO132" s="125"/>
      <c r="EP132" s="126"/>
      <c r="EQ132" s="57" t="str">
        <f>IF($E132="","",IF($E132=EM132,10,ABS($E132-EM132)*-$A$131))</f>
        <v/>
      </c>
      <c r="ER132" s="55"/>
      <c r="ES132" s="54"/>
      <c r="ET132" s="124">
        <v>12</v>
      </c>
      <c r="EU132" s="125"/>
      <c r="EV132" s="125"/>
      <c r="EW132" s="126"/>
      <c r="EX132" s="57" t="str">
        <f>IF($E132="","",IF($E132=ET132,10,ABS($E132-ET132)*-$A$131))</f>
        <v/>
      </c>
      <c r="EY132" s="55"/>
      <c r="EZ132" s="54"/>
      <c r="FA132" s="124">
        <v>4</v>
      </c>
      <c r="FB132" s="125"/>
      <c r="FC132" s="125"/>
      <c r="FD132" s="126"/>
      <c r="FE132" s="57" t="str">
        <f>IF($E132="","",IF($E132=FA132,10,ABS($E132-FA132)*-$A$131))</f>
        <v/>
      </c>
      <c r="FF132" s="55"/>
      <c r="FG132" s="54"/>
      <c r="FH132" s="124">
        <v>8</v>
      </c>
      <c r="FI132" s="125"/>
      <c r="FJ132" s="125"/>
      <c r="FK132" s="126"/>
      <c r="FL132" s="57" t="str">
        <f>IF($E132="","",IF($E132=FH132,10,ABS($E132-FH132)*-$A$131))</f>
        <v/>
      </c>
      <c r="FM132" s="55"/>
      <c r="FN132" s="54"/>
      <c r="FO132" s="124">
        <v>7</v>
      </c>
      <c r="FP132" s="125"/>
      <c r="FQ132" s="125"/>
      <c r="FR132" s="126"/>
      <c r="FS132" s="57" t="str">
        <f>IF($E132="","",IF($E132=FO132,10,ABS($E132-FO132)*-$A$131))</f>
        <v/>
      </c>
      <c r="FT132" s="55"/>
      <c r="FU132" s="54"/>
      <c r="FV132" s="124">
        <v>2</v>
      </c>
      <c r="FW132" s="125"/>
      <c r="FX132" s="125"/>
      <c r="FY132" s="126"/>
      <c r="FZ132" s="57" t="str">
        <f>IF($E132="","",IF($E132=FV132,10,ABS($E132-FV132)*-$A$131))</f>
        <v/>
      </c>
      <c r="GA132" s="55"/>
      <c r="GB132" s="54"/>
      <c r="GC132" s="124">
        <v>7</v>
      </c>
      <c r="GD132" s="125"/>
      <c r="GE132" s="125"/>
      <c r="GF132" s="126"/>
      <c r="GG132" s="57" t="str">
        <f>IF($E132="","",IF($E132=GC132,10,ABS($E132-GC132)*-$A$131))</f>
        <v/>
      </c>
      <c r="GH132" s="55"/>
      <c r="GI132" s="54"/>
      <c r="GJ132" s="124">
        <v>8</v>
      </c>
      <c r="GK132" s="125"/>
      <c r="GL132" s="125"/>
      <c r="GM132" s="126"/>
      <c r="GN132" s="57" t="str">
        <f>IF($E132="","",IF($E132=GJ132,10,ABS($E132-GJ132)*-$A$131))</f>
        <v/>
      </c>
      <c r="GO132" s="55"/>
      <c r="GP132" s="54"/>
      <c r="GQ132" s="124">
        <v>7</v>
      </c>
      <c r="GR132" s="125"/>
      <c r="GS132" s="125"/>
      <c r="GT132" s="126"/>
      <c r="GU132" s="57" t="str">
        <f>IF($E132="","",IF($E132=GQ132,10,ABS($E132-GQ132)*-$A$131))</f>
        <v/>
      </c>
      <c r="GV132" s="55"/>
      <c r="GW132" s="54"/>
      <c r="GX132" s="124">
        <v>10</v>
      </c>
      <c r="GY132" s="125"/>
      <c r="GZ132" s="125"/>
      <c r="HA132" s="126"/>
      <c r="HB132" s="57" t="str">
        <f>IF($E132="","",IF($E132=GX132,10,ABS($E132-GX132)*-$A$131))</f>
        <v/>
      </c>
      <c r="HC132" s="55"/>
      <c r="HD132" s="54"/>
      <c r="HE132" s="124">
        <v>13</v>
      </c>
      <c r="HF132" s="125"/>
      <c r="HG132" s="125"/>
      <c r="HH132" s="126"/>
      <c r="HI132" s="57" t="str">
        <f>IF($E132="","",IF($E132=HE132,10,ABS($E132-HE132)*-$A$131))</f>
        <v/>
      </c>
      <c r="HJ132" s="55"/>
      <c r="HK132" s="54"/>
      <c r="HL132" s="124">
        <v>9</v>
      </c>
      <c r="HM132" s="125"/>
      <c r="HN132" s="125"/>
      <c r="HO132" s="126"/>
      <c r="HP132" s="57" t="str">
        <f>IF($E132="","",IF($E132=HL132,10,ABS($E132-HL132)*-$A$131))</f>
        <v/>
      </c>
      <c r="HQ132" s="55"/>
      <c r="HR132" s="54"/>
      <c r="HS132" s="124">
        <v>5</v>
      </c>
      <c r="HT132" s="125"/>
      <c r="HU132" s="125"/>
      <c r="HV132" s="126"/>
      <c r="HW132" s="57" t="str">
        <f>IF($E132="","",IF($E132=HS132,10,ABS($E132-HS132)*-$A$131))</f>
        <v/>
      </c>
      <c r="HX132" s="55"/>
      <c r="HY132" s="54"/>
      <c r="HZ132" s="124">
        <v>4</v>
      </c>
      <c r="IA132" s="125"/>
      <c r="IB132" s="125"/>
      <c r="IC132" s="126"/>
      <c r="ID132" s="57" t="str">
        <f>IF($E132="","",IF($E132=HZ132,10,ABS($E132-HZ132)*-$A$131))</f>
        <v/>
      </c>
      <c r="IE132" s="55"/>
      <c r="IF132" s="54"/>
      <c r="IG132" s="124">
        <v>7</v>
      </c>
      <c r="IH132" s="125"/>
      <c r="II132" s="125"/>
      <c r="IJ132" s="126"/>
      <c r="IK132" s="57" t="str">
        <f>IF($E132="","",IF($E132=IG132,10,ABS($E132-IG132)*-$A$131))</f>
        <v/>
      </c>
      <c r="IL132" s="55"/>
      <c r="IM132" s="54"/>
      <c r="IN132" s="124">
        <v>6</v>
      </c>
      <c r="IO132" s="125"/>
      <c r="IP132" s="125"/>
      <c r="IQ132" s="126"/>
      <c r="IR132" s="57" t="str">
        <f>IF($E132="","",IF($E132=IN132,10,ABS($E132-IN132)*-$A$131))</f>
        <v/>
      </c>
      <c r="IS132" s="55"/>
      <c r="IT132" s="54"/>
      <c r="IU132" s="124">
        <v>6</v>
      </c>
      <c r="IV132" s="125"/>
      <c r="IW132" s="125"/>
      <c r="IX132" s="126"/>
      <c r="IY132" s="57" t="str">
        <f>IF($E132="","",IF($E132=IU132,10,ABS($E132-IU132)*-$A$131))</f>
        <v/>
      </c>
      <c r="IZ132" s="55"/>
      <c r="JA132" s="54"/>
      <c r="JB132" s="124">
        <v>12</v>
      </c>
      <c r="JC132" s="125"/>
      <c r="JD132" s="125"/>
      <c r="JE132" s="126"/>
      <c r="JF132" s="57" t="str">
        <f>IF($E132="","",IF($E132=JB132,10,ABS($E132-JB132)*-$A$131))</f>
        <v/>
      </c>
      <c r="JG132" s="55"/>
      <c r="JH132" s="54"/>
      <c r="JI132" s="124">
        <v>6</v>
      </c>
      <c r="JJ132" s="125"/>
      <c r="JK132" s="125"/>
      <c r="JL132" s="126"/>
      <c r="JM132" s="57" t="str">
        <f>IF($E132="","",IF($E132=JI132,10,ABS($E132-JI132)*-$A$131))</f>
        <v/>
      </c>
      <c r="JN132" s="55"/>
      <c r="JO132" s="54"/>
      <c r="JP132" s="124">
        <v>6</v>
      </c>
      <c r="JQ132" s="125"/>
      <c r="JR132" s="125"/>
      <c r="JS132" s="126"/>
      <c r="JT132" s="57" t="str">
        <f>IF($E132="","",IF($E132=JP132,10,ABS($E132-JP132)*-$A$131))</f>
        <v/>
      </c>
      <c r="JU132" s="55"/>
      <c r="JV132" s="54"/>
      <c r="JW132" s="124">
        <v>6</v>
      </c>
      <c r="JX132" s="125"/>
      <c r="JY132" s="125"/>
      <c r="JZ132" s="126"/>
      <c r="KA132" s="57" t="str">
        <f>IF($E132="","",IF($E132=JW132,10,ABS($E132-JW132)*-$A$131))</f>
        <v/>
      </c>
      <c r="KB132" s="55"/>
      <c r="KC132" s="54"/>
      <c r="KD132" s="124">
        <v>10</v>
      </c>
      <c r="KE132" s="125"/>
      <c r="KF132" s="125"/>
      <c r="KG132" s="126"/>
      <c r="KH132" s="57" t="str">
        <f>IF($E132="","",IF($E132=KD132,10,ABS($E132-KD132)*-$A$131))</f>
        <v/>
      </c>
      <c r="KI132" s="55"/>
      <c r="KJ132" s="54"/>
      <c r="KK132" s="124">
        <v>6</v>
      </c>
      <c r="KL132" s="125"/>
      <c r="KM132" s="125"/>
      <c r="KN132" s="126"/>
      <c r="KO132" s="57" t="str">
        <f>IF($E132="","",IF($E132=KK132,10,ABS($E132-KK132)*-$A$131))</f>
        <v/>
      </c>
      <c r="KP132" s="55"/>
      <c r="KQ132" s="54"/>
      <c r="KR132" s="124">
        <v>6</v>
      </c>
      <c r="KS132" s="125"/>
      <c r="KT132" s="125"/>
      <c r="KU132" s="126"/>
      <c r="KV132" s="57" t="str">
        <f>IF($E132="","",IF($E132=KR132,10,ABS($E132-KR132)*-$A$131))</f>
        <v/>
      </c>
      <c r="KW132" s="55"/>
      <c r="KX132" s="54"/>
      <c r="KY132" s="124">
        <v>8</v>
      </c>
      <c r="KZ132" s="125"/>
      <c r="LA132" s="125"/>
      <c r="LB132" s="126"/>
      <c r="LC132" s="57" t="str">
        <f>IF($E132="","",IF($E132=KY132,10,ABS($E132-KY132)*-$A$131))</f>
        <v/>
      </c>
      <c r="LD132" s="55"/>
      <c r="LE132" s="54"/>
      <c r="LF132" s="124">
        <v>9</v>
      </c>
      <c r="LG132" s="125"/>
      <c r="LH132" s="125"/>
      <c r="LI132" s="126"/>
      <c r="LJ132" s="57" t="str">
        <f>IF($E132="","",IF($E132=LF132,10,ABS($E132-LF132)*-$A$131))</f>
        <v/>
      </c>
      <c r="LK132" s="55"/>
      <c r="LL132" s="54"/>
      <c r="LM132" s="124">
        <v>9</v>
      </c>
      <c r="LN132" s="125"/>
      <c r="LO132" s="125"/>
      <c r="LP132" s="126"/>
      <c r="LQ132" s="57" t="str">
        <f>IF($E132="","",IF($E132=LM132,10,ABS($E132-LM132)*-$A$131))</f>
        <v/>
      </c>
      <c r="LR132" s="55"/>
      <c r="LS132" s="54"/>
      <c r="LT132" s="124">
        <v>7</v>
      </c>
      <c r="LU132" s="125"/>
      <c r="LV132" s="125"/>
      <c r="LW132" s="126"/>
      <c r="LX132" s="57" t="str">
        <f>IF($E132="","",IF($E132=LT132,10,ABS($E132-LT132)*-$A$131))</f>
        <v/>
      </c>
      <c r="LY132" s="55"/>
      <c r="LZ132" s="54"/>
      <c r="MA132" s="124">
        <v>5</v>
      </c>
      <c r="MB132" s="125"/>
      <c r="MC132" s="125"/>
      <c r="MD132" s="126"/>
      <c r="ME132" s="57" t="str">
        <f>IF($E132="","",IF($E132=MA132,10,ABS($E132-MA132)*-$A$131))</f>
        <v/>
      </c>
      <c r="MF132" s="55"/>
      <c r="MG132" s="54"/>
      <c r="MH132" s="124">
        <v>6</v>
      </c>
      <c r="MI132" s="125"/>
      <c r="MJ132" s="125"/>
      <c r="MK132" s="126"/>
      <c r="ML132" s="57" t="str">
        <f>IF($E132="","",IF($E132=MH132,10,ABS($E132-MH132)*-$A$131))</f>
        <v/>
      </c>
      <c r="MM132" s="55"/>
      <c r="MN132" s="54"/>
      <c r="MO132" s="124">
        <v>4</v>
      </c>
      <c r="MP132" s="125"/>
      <c r="MQ132" s="125"/>
      <c r="MR132" s="126"/>
      <c r="MS132" s="57" t="str">
        <f>IF($E132="","",IF($E132=MO132,10,ABS($E132-MO132)*-$A$131))</f>
        <v/>
      </c>
      <c r="MT132" s="55"/>
      <c r="MU132" s="54"/>
      <c r="MV132" s="124">
        <v>8</v>
      </c>
      <c r="MW132" s="125"/>
      <c r="MX132" s="125"/>
      <c r="MY132" s="126"/>
      <c r="MZ132" s="57" t="str">
        <f>IF($E132="","",IF($E132=MV132,10,ABS($E132-MV132)*-$A$131))</f>
        <v/>
      </c>
      <c r="NA132" s="55"/>
      <c r="NB132" s="54"/>
      <c r="NC132" s="124">
        <v>7</v>
      </c>
      <c r="ND132" s="125"/>
      <c r="NE132" s="125"/>
      <c r="NF132" s="126"/>
      <c r="NG132" s="57" t="str">
        <f>IF($E132="","",IF($E132=NC132,10,ABS($E132-NC132)*-$A$131))</f>
        <v/>
      </c>
      <c r="NH132" s="55"/>
      <c r="NI132" s="54"/>
      <c r="NJ132" s="124">
        <v>6</v>
      </c>
      <c r="NK132" s="125"/>
      <c r="NL132" s="125"/>
      <c r="NM132" s="126"/>
      <c r="NN132" s="57" t="str">
        <f>IF($E132="","",IF($E132=NJ132,10,ABS($E132-NJ132)*-$A$131))</f>
        <v/>
      </c>
      <c r="NO132" s="55"/>
      <c r="NP132" s="54"/>
      <c r="NQ132" s="124">
        <v>6</v>
      </c>
      <c r="NR132" s="125"/>
      <c r="NS132" s="125"/>
      <c r="NT132" s="126"/>
      <c r="NU132" s="57" t="str">
        <f>IF($E132="","",IF($E132=NQ132,10,ABS($E132-NQ132)*-$A$131))</f>
        <v/>
      </c>
      <c r="NV132" s="55"/>
      <c r="NW132" s="54"/>
      <c r="NX132" s="124">
        <v>7</v>
      </c>
      <c r="NY132" s="125"/>
      <c r="NZ132" s="125"/>
      <c r="OA132" s="126"/>
      <c r="OB132" s="57" t="str">
        <f>IF($E132="","",IF($E132=NX132,10,ABS($E132-NX132)*-$A$131))</f>
        <v/>
      </c>
      <c r="OC132" s="55"/>
      <c r="OD132" s="54"/>
      <c r="OE132" s="124">
        <v>7</v>
      </c>
      <c r="OF132" s="125"/>
      <c r="OG132" s="125"/>
      <c r="OH132" s="126"/>
      <c r="OI132" s="57" t="str">
        <f>IF($E132="","",IF($E132=OE132,10,ABS($E132-OE132)*-$A$131))</f>
        <v/>
      </c>
      <c r="OJ132" s="55"/>
      <c r="OK132" s="54"/>
      <c r="OL132" s="124">
        <v>4</v>
      </c>
      <c r="OM132" s="125"/>
      <c r="ON132" s="125"/>
      <c r="OO132" s="126"/>
      <c r="OP132" s="57" t="str">
        <f>IF($E132="","",IF($E132=OL132,10,ABS($E132-OL132)*-$A$131))</f>
        <v/>
      </c>
      <c r="OQ132" s="55"/>
      <c r="OR132" s="54"/>
      <c r="OS132" s="124">
        <v>7</v>
      </c>
      <c r="OT132" s="125"/>
      <c r="OU132" s="125"/>
      <c r="OV132" s="126"/>
      <c r="OW132" s="57" t="str">
        <f>IF($E132="","",IF($E132=OS132,10,ABS($E132-OS132)*-$A$131))</f>
        <v/>
      </c>
      <c r="OX132" s="55"/>
      <c r="OY132" s="54"/>
      <c r="OZ132" s="124">
        <v>3</v>
      </c>
      <c r="PA132" s="125"/>
      <c r="PB132" s="125"/>
      <c r="PC132" s="126"/>
      <c r="PD132" s="57" t="str">
        <f>IF($E132="","",IF($E132=OZ132,10,ABS($E132-OZ132)*-$A$131))</f>
        <v/>
      </c>
      <c r="PE132" s="55"/>
      <c r="PF132" s="54"/>
      <c r="PG132" s="124">
        <v>5</v>
      </c>
      <c r="PH132" s="125"/>
      <c r="PI132" s="125"/>
      <c r="PJ132" s="126"/>
      <c r="PK132" s="57" t="str">
        <f>IF($E132="","",IF($E132=PG132,10,ABS($E132-PG132)*-$A$131))</f>
        <v/>
      </c>
      <c r="PL132" s="55"/>
      <c r="PM132" s="54"/>
      <c r="PN132" s="124">
        <v>5</v>
      </c>
      <c r="PO132" s="125"/>
      <c r="PP132" s="125"/>
      <c r="PQ132" s="126"/>
      <c r="PR132" s="57" t="str">
        <f>IF($E132="","",IF($E132=PN132,10,ABS($E132-PN132)*-$A$131))</f>
        <v/>
      </c>
      <c r="PS132" s="55"/>
      <c r="PT132" s="54"/>
      <c r="PU132" s="124">
        <v>8</v>
      </c>
      <c r="PV132" s="125"/>
      <c r="PW132" s="125"/>
      <c r="PX132" s="126"/>
      <c r="PY132" s="57" t="str">
        <f>IF($E132="","",IF($E132=PU132,10,ABS($E132-PU132)*-$A$131))</f>
        <v/>
      </c>
      <c r="PZ132" s="55"/>
      <c r="QA132" s="54"/>
      <c r="QB132" s="124">
        <v>18</v>
      </c>
      <c r="QC132" s="125"/>
      <c r="QD132" s="125"/>
      <c r="QE132" s="126"/>
      <c r="QF132" s="57" t="str">
        <f>IF($E132="","",IF($E132=QB132,10,ABS($E132-QB132)*-$A$131))</f>
        <v/>
      </c>
      <c r="QG132" s="55"/>
      <c r="QH132" s="54"/>
      <c r="QI132" s="124">
        <v>6</v>
      </c>
      <c r="QJ132" s="125"/>
      <c r="QK132" s="125"/>
      <c r="QL132" s="126"/>
      <c r="QM132" s="57" t="str">
        <f>IF($E132="","",IF($E132=QI132,10,ABS($E132-QI132)*-$A$131))</f>
        <v/>
      </c>
      <c r="QN132" s="55"/>
      <c r="QO132" s="54"/>
      <c r="QP132" s="124">
        <v>6</v>
      </c>
      <c r="QQ132" s="125"/>
      <c r="QR132" s="125"/>
      <c r="QS132" s="126"/>
      <c r="QT132" s="57" t="str">
        <f>IF($E132="","",IF($E132=QP132,10,ABS($E132-QP132)*-$A$131))</f>
        <v/>
      </c>
      <c r="QU132" s="55"/>
      <c r="QV132" s="54"/>
      <c r="QW132" s="124">
        <v>6</v>
      </c>
      <c r="QX132" s="125"/>
      <c r="QY132" s="125"/>
      <c r="QZ132" s="126"/>
      <c r="RA132" s="57" t="str">
        <f>IF($E132="","",IF($E132=QW132,10,ABS($E132-QW132)*-$A$131))</f>
        <v/>
      </c>
      <c r="RB132" s="55"/>
      <c r="RC132" s="54"/>
      <c r="RD132" s="124">
        <v>5</v>
      </c>
      <c r="RE132" s="125"/>
      <c r="RF132" s="125"/>
      <c r="RG132" s="126"/>
      <c r="RH132" s="57" t="str">
        <f>IF($E132="","",IF($E132=RD132,10,ABS($E132-RD132)*-$A$131))</f>
        <v/>
      </c>
      <c r="RI132" s="55"/>
      <c r="RJ132" s="54"/>
      <c r="RK132" s="124">
        <v>4</v>
      </c>
      <c r="RL132" s="125"/>
      <c r="RM132" s="125"/>
      <c r="RN132" s="126"/>
      <c r="RO132" s="57" t="str">
        <f>IF($E132="","",IF($E132=RK132,10,ABS($E132-RK132)*-$A$131))</f>
        <v/>
      </c>
      <c r="RP132" s="55"/>
      <c r="RQ132" s="54"/>
      <c r="RR132" s="124">
        <v>5</v>
      </c>
      <c r="RS132" s="125"/>
      <c r="RT132" s="125"/>
      <c r="RU132" s="126"/>
      <c r="RV132" s="57" t="str">
        <f>IF($E132="","",IF($E132=RR132,10,ABS($E132-RR132)*-$A$131))</f>
        <v/>
      </c>
      <c r="RW132" s="55"/>
      <c r="RX132" s="54"/>
      <c r="RY132" s="124">
        <v>7</v>
      </c>
      <c r="RZ132" s="125"/>
      <c r="SA132" s="125"/>
      <c r="SB132" s="126"/>
      <c r="SC132" s="57" t="str">
        <f>IF($E132="","",IF($E132=RY132,10,ABS($E132-RY132)*-$A$131))</f>
        <v/>
      </c>
      <c r="SD132" s="55"/>
      <c r="SE132" s="54"/>
      <c r="SF132" s="124">
        <v>6</v>
      </c>
      <c r="SG132" s="125"/>
      <c r="SH132" s="125"/>
      <c r="SI132" s="126"/>
      <c r="SJ132" s="57" t="str">
        <f>IF($E132="","",IF($E132=SF132,10,ABS($E132-SF132)*-$A$131))</f>
        <v/>
      </c>
      <c r="SK132" s="55"/>
      <c r="SL132" s="54"/>
      <c r="SM132" s="124">
        <v>10</v>
      </c>
      <c r="SN132" s="125"/>
      <c r="SO132" s="125"/>
      <c r="SP132" s="126"/>
      <c r="SQ132" s="57" t="str">
        <f>IF($E132="","",IF($E132=SM132,10,ABS($E132-SM132)*-$A$131))</f>
        <v/>
      </c>
      <c r="SR132" s="55"/>
    </row>
    <row r="133" spans="1:512" ht="16" customHeight="1" x14ac:dyDescent="0.15">
      <c r="A133" s="53"/>
      <c r="B133" s="46"/>
      <c r="C133" s="5"/>
      <c r="D133" s="85" t="s">
        <v>310</v>
      </c>
      <c r="E133" s="5"/>
      <c r="F133" s="5"/>
      <c r="H133" s="8"/>
      <c r="I133" s="25"/>
      <c r="J133" s="8"/>
      <c r="K133" s="8"/>
      <c r="L133" s="8"/>
      <c r="M133" s="8"/>
      <c r="N133" s="28"/>
      <c r="O133" s="55"/>
      <c r="Q133" s="8"/>
      <c r="R133" s="8"/>
      <c r="S133" s="8"/>
      <c r="T133" s="8"/>
      <c r="U133" s="8"/>
      <c r="V133" s="55"/>
      <c r="W133" s="8"/>
      <c r="X133" s="8"/>
      <c r="Y133" s="8"/>
      <c r="Z133" s="8"/>
      <c r="AA133" s="8"/>
      <c r="AB133" s="8"/>
      <c r="AC133" s="55"/>
      <c r="AD133" s="8"/>
      <c r="AE133" s="8"/>
      <c r="AF133" s="8"/>
      <c r="AG133" s="8"/>
      <c r="AH133" s="8"/>
      <c r="AI133" s="8"/>
      <c r="AJ133" s="55"/>
      <c r="AL133" s="8"/>
      <c r="AM133" s="8"/>
      <c r="AN133" s="8"/>
      <c r="AO133" s="8"/>
      <c r="AP133" s="8"/>
      <c r="AQ133" s="55"/>
      <c r="AS133" s="8"/>
      <c r="AT133" s="8"/>
      <c r="AU133" s="8"/>
      <c r="AV133" s="8"/>
      <c r="AW133" s="8"/>
      <c r="AX133" s="55"/>
      <c r="AZ133" s="8"/>
      <c r="BA133" s="8"/>
      <c r="BB133" s="8"/>
      <c r="BC133" s="8"/>
      <c r="BD133" s="8"/>
      <c r="BE133" s="55"/>
      <c r="BF133" s="8"/>
      <c r="BG133" s="8"/>
      <c r="BH133" s="8"/>
      <c r="BI133" s="8"/>
      <c r="BJ133" s="8"/>
      <c r="BK133" s="8"/>
      <c r="BL133" s="55"/>
      <c r="BN133" s="8"/>
      <c r="BO133" s="8"/>
      <c r="BP133" s="8"/>
      <c r="BQ133" s="8"/>
      <c r="BR133" s="8"/>
      <c r="BS133" s="55"/>
      <c r="BU133" s="8"/>
      <c r="BV133" s="8"/>
      <c r="BW133" s="8"/>
      <c r="BX133" s="8"/>
      <c r="BY133" s="8"/>
      <c r="BZ133" s="55"/>
      <c r="CB133" s="8"/>
      <c r="CC133" s="8"/>
      <c r="CD133" s="8"/>
      <c r="CE133" s="8"/>
      <c r="CF133" s="8"/>
      <c r="CG133" s="55"/>
      <c r="CH133" s="8"/>
      <c r="CI133" s="8"/>
      <c r="CJ133" s="8"/>
      <c r="CK133" s="8"/>
      <c r="CL133" s="8"/>
      <c r="CM133" s="8"/>
      <c r="CN133" s="55"/>
      <c r="CP133" s="8"/>
      <c r="CQ133" s="8"/>
      <c r="CR133" s="8"/>
      <c r="CS133" s="8"/>
      <c r="CT133" s="8"/>
      <c r="CU133" s="55"/>
      <c r="CW133" s="8"/>
      <c r="CX133" s="8"/>
      <c r="CY133" s="8"/>
      <c r="CZ133" s="8"/>
      <c r="DA133" s="8"/>
      <c r="DB133" s="55"/>
      <c r="DD133" s="8"/>
      <c r="DE133" s="8"/>
      <c r="DF133" s="8"/>
      <c r="DG133" s="8"/>
      <c r="DH133" s="8"/>
      <c r="DI133" s="55"/>
      <c r="DJ133" s="8"/>
      <c r="DK133" s="8"/>
      <c r="DL133" s="8"/>
      <c r="DM133" s="8"/>
      <c r="DN133" s="8"/>
      <c r="DO133" s="8"/>
      <c r="DP133" s="55"/>
      <c r="DR133" s="8"/>
      <c r="DS133" s="8"/>
      <c r="DT133" s="8"/>
      <c r="DU133" s="8"/>
      <c r="DV133" s="8"/>
      <c r="DW133" s="55"/>
      <c r="DY133" s="8"/>
      <c r="DZ133" s="8"/>
      <c r="EA133" s="8"/>
      <c r="EB133" s="8"/>
      <c r="EC133" s="8"/>
      <c r="ED133" s="55"/>
      <c r="EF133" s="8"/>
      <c r="EG133" s="8"/>
      <c r="EH133" s="8"/>
      <c r="EI133" s="8"/>
      <c r="EJ133" s="8"/>
      <c r="EK133" s="55"/>
      <c r="EL133" s="8"/>
      <c r="EM133" s="8"/>
      <c r="EN133" s="8"/>
      <c r="EO133" s="8"/>
      <c r="EP133" s="8"/>
      <c r="EQ133" s="8"/>
      <c r="ER133" s="55"/>
      <c r="ET133" s="8"/>
      <c r="EU133" s="8"/>
      <c r="EV133" s="8"/>
      <c r="EW133" s="8"/>
      <c r="EX133" s="8"/>
      <c r="EY133" s="55"/>
      <c r="FA133" s="8"/>
      <c r="FB133" s="8"/>
      <c r="FC133" s="8"/>
      <c r="FD133" s="8"/>
      <c r="FE133" s="8"/>
      <c r="FF133" s="55"/>
      <c r="FH133" s="8"/>
      <c r="FI133" s="8"/>
      <c r="FJ133" s="8"/>
      <c r="FK133" s="8"/>
      <c r="FL133" s="8"/>
      <c r="FM133" s="55"/>
      <c r="FN133" s="8"/>
      <c r="FO133" s="8"/>
      <c r="FP133" s="8"/>
      <c r="FQ133" s="8"/>
      <c r="FR133" s="8"/>
      <c r="FS133" s="8"/>
      <c r="FT133" s="55"/>
      <c r="FV133" s="8"/>
      <c r="FW133" s="8"/>
      <c r="FX133" s="8"/>
      <c r="FY133" s="8"/>
      <c r="FZ133" s="8"/>
      <c r="GA133" s="55"/>
      <c r="GC133" s="8"/>
      <c r="GD133" s="8"/>
      <c r="GE133" s="8"/>
      <c r="GF133" s="8"/>
      <c r="GG133" s="8"/>
      <c r="GH133" s="55"/>
      <c r="GJ133" s="8"/>
      <c r="GK133" s="8"/>
      <c r="GL133" s="8"/>
      <c r="GM133" s="8"/>
      <c r="GN133" s="8"/>
      <c r="GO133" s="55"/>
      <c r="GP133" s="8"/>
      <c r="GQ133" s="8"/>
      <c r="GR133" s="8"/>
      <c r="GS133" s="8"/>
      <c r="GT133" s="8"/>
      <c r="GU133" s="8"/>
      <c r="GV133" s="55"/>
      <c r="GX133" s="8"/>
      <c r="GY133" s="8"/>
      <c r="GZ133" s="8"/>
      <c r="HA133" s="8"/>
      <c r="HB133" s="8"/>
      <c r="HC133" s="55"/>
      <c r="HE133" s="8"/>
      <c r="HF133" s="8"/>
      <c r="HG133" s="8"/>
      <c r="HH133" s="8"/>
      <c r="HI133" s="8"/>
      <c r="HJ133" s="55"/>
      <c r="HL133" s="8"/>
      <c r="HM133" s="8"/>
      <c r="HN133" s="8"/>
      <c r="HO133" s="8"/>
      <c r="HP133" s="8"/>
      <c r="HQ133" s="55"/>
      <c r="HR133" s="8"/>
      <c r="HS133" s="8"/>
      <c r="HT133" s="8"/>
      <c r="HU133" s="8"/>
      <c r="HV133" s="8"/>
      <c r="HW133" s="8"/>
      <c r="HX133" s="55"/>
      <c r="HZ133" s="8"/>
      <c r="IA133" s="8"/>
      <c r="IB133" s="8"/>
      <c r="IC133" s="8"/>
      <c r="ID133" s="8"/>
      <c r="IE133" s="55"/>
      <c r="IG133" s="8"/>
      <c r="IH133" s="8"/>
      <c r="II133" s="8"/>
      <c r="IJ133" s="8"/>
      <c r="IK133" s="8"/>
      <c r="IL133" s="55"/>
      <c r="IN133" s="8"/>
      <c r="IO133" s="8"/>
      <c r="IP133" s="8"/>
      <c r="IQ133" s="8"/>
      <c r="IR133" s="8"/>
      <c r="IS133" s="55"/>
      <c r="IT133" s="8"/>
      <c r="IU133" s="8"/>
      <c r="IV133" s="8"/>
      <c r="IW133" s="8"/>
      <c r="IX133" s="8"/>
      <c r="IY133" s="8"/>
      <c r="IZ133" s="55"/>
      <c r="JB133" s="8"/>
      <c r="JC133" s="8"/>
      <c r="JD133" s="8"/>
      <c r="JE133" s="8"/>
      <c r="JF133" s="8"/>
      <c r="JG133" s="55"/>
      <c r="JI133" s="8"/>
      <c r="JJ133" s="8"/>
      <c r="JK133" s="8"/>
      <c r="JL133" s="8"/>
      <c r="JM133" s="8"/>
      <c r="JN133" s="55"/>
      <c r="JP133" s="8"/>
      <c r="JQ133" s="8"/>
      <c r="JR133" s="8"/>
      <c r="JS133" s="8"/>
      <c r="JT133" s="8"/>
      <c r="JU133" s="55"/>
      <c r="JV133" s="8"/>
      <c r="JW133" s="8"/>
      <c r="JX133" s="8"/>
      <c r="JY133" s="8"/>
      <c r="JZ133" s="8"/>
      <c r="KA133" s="8"/>
      <c r="KB133" s="55"/>
      <c r="KD133" s="8"/>
      <c r="KE133" s="8"/>
      <c r="KF133" s="8"/>
      <c r="KG133" s="8"/>
      <c r="KH133" s="8"/>
      <c r="KI133" s="55"/>
      <c r="KK133" s="8"/>
      <c r="KL133" s="8"/>
      <c r="KM133" s="8"/>
      <c r="KN133" s="8"/>
      <c r="KO133" s="8"/>
      <c r="KP133" s="55"/>
      <c r="KR133" s="8"/>
      <c r="KS133" s="8"/>
      <c r="KT133" s="8"/>
      <c r="KU133" s="8"/>
      <c r="KV133" s="8"/>
      <c r="KW133" s="55"/>
      <c r="KY133" s="8"/>
      <c r="KZ133" s="8"/>
      <c r="LA133" s="8"/>
      <c r="LB133" s="8"/>
      <c r="LC133" s="8"/>
      <c r="LD133" s="55"/>
      <c r="LF133" s="8"/>
      <c r="LG133" s="8"/>
      <c r="LH133" s="8"/>
      <c r="LI133" s="8"/>
      <c r="LJ133" s="8"/>
      <c r="LK133" s="55"/>
      <c r="LM133" s="8"/>
      <c r="LN133" s="8"/>
      <c r="LO133" s="8"/>
      <c r="LP133" s="8"/>
      <c r="LQ133" s="8"/>
      <c r="LR133" s="55"/>
      <c r="LT133" s="8"/>
      <c r="LU133" s="8"/>
      <c r="LV133" s="8"/>
      <c r="LW133" s="8"/>
      <c r="LX133" s="8"/>
      <c r="LY133" s="55"/>
      <c r="MA133" s="8"/>
      <c r="MB133" s="8"/>
      <c r="MC133" s="8"/>
      <c r="MD133" s="8"/>
      <c r="ME133" s="8"/>
      <c r="MF133" s="55"/>
      <c r="MH133" s="8"/>
      <c r="MI133" s="8"/>
      <c r="MJ133" s="8"/>
      <c r="MK133" s="8"/>
      <c r="ML133" s="8"/>
      <c r="MM133" s="55"/>
      <c r="MO133" s="8"/>
      <c r="MP133" s="8"/>
      <c r="MQ133" s="8"/>
      <c r="MR133" s="8"/>
      <c r="MS133" s="8"/>
      <c r="MT133" s="55"/>
      <c r="MV133" s="8"/>
      <c r="MW133" s="8"/>
      <c r="MX133" s="8"/>
      <c r="MY133" s="8"/>
      <c r="MZ133" s="8"/>
      <c r="NA133" s="55"/>
      <c r="NC133" s="8"/>
      <c r="ND133" s="8"/>
      <c r="NE133" s="8"/>
      <c r="NF133" s="8"/>
      <c r="NG133" s="8"/>
      <c r="NH133" s="55"/>
      <c r="NJ133" s="8"/>
      <c r="NK133" s="8"/>
      <c r="NL133" s="8"/>
      <c r="NM133" s="8"/>
      <c r="NN133" s="8"/>
      <c r="NO133" s="55"/>
      <c r="NQ133" s="8"/>
      <c r="NR133" s="8"/>
      <c r="NS133" s="8"/>
      <c r="NT133" s="8"/>
      <c r="NU133" s="8"/>
      <c r="NV133" s="55"/>
      <c r="NX133" s="8"/>
      <c r="NY133" s="8"/>
      <c r="NZ133" s="8"/>
      <c r="OA133" s="8"/>
      <c r="OB133" s="8"/>
      <c r="OC133" s="55"/>
      <c r="OE133" s="8"/>
      <c r="OF133" s="8"/>
      <c r="OG133" s="8"/>
      <c r="OH133" s="8"/>
      <c r="OI133" s="8"/>
      <c r="OJ133" s="55"/>
      <c r="OL133" s="8"/>
      <c r="OM133" s="8"/>
      <c r="ON133" s="8"/>
      <c r="OO133" s="8"/>
      <c r="OP133" s="8"/>
      <c r="OQ133" s="55"/>
      <c r="OS133" s="8"/>
      <c r="OT133" s="8"/>
      <c r="OU133" s="8"/>
      <c r="OV133" s="8"/>
      <c r="OW133" s="8"/>
      <c r="OX133" s="55"/>
      <c r="OZ133" s="8"/>
      <c r="PA133" s="8"/>
      <c r="PB133" s="8"/>
      <c r="PC133" s="8"/>
      <c r="PD133" s="8"/>
      <c r="PE133" s="55"/>
      <c r="PG133" s="8"/>
      <c r="PH133" s="8"/>
      <c r="PI133" s="8"/>
      <c r="PJ133" s="8"/>
      <c r="PK133" s="8"/>
      <c r="PL133" s="55"/>
      <c r="PN133" s="8"/>
      <c r="PO133" s="8"/>
      <c r="PP133" s="8"/>
      <c r="PQ133" s="8"/>
      <c r="PR133" s="8"/>
      <c r="PS133" s="55"/>
      <c r="PU133" s="8"/>
      <c r="PV133" s="8"/>
      <c r="PW133" s="8"/>
      <c r="PX133" s="8"/>
      <c r="PY133" s="8"/>
      <c r="PZ133" s="55"/>
      <c r="QB133" s="8"/>
      <c r="QC133" s="8"/>
      <c r="QD133" s="8"/>
      <c r="QE133" s="8"/>
      <c r="QF133" s="8"/>
      <c r="QG133" s="55"/>
      <c r="QI133" s="8"/>
      <c r="QJ133" s="8"/>
      <c r="QK133" s="8"/>
      <c r="QL133" s="8"/>
      <c r="QM133" s="8"/>
      <c r="QN133" s="55"/>
      <c r="QP133" s="8"/>
      <c r="QQ133" s="8"/>
      <c r="QR133" s="8"/>
      <c r="QS133" s="8"/>
      <c r="QT133" s="8"/>
      <c r="QU133" s="55"/>
      <c r="QW133" s="8"/>
      <c r="QX133" s="8"/>
      <c r="QY133" s="8"/>
      <c r="QZ133" s="8"/>
      <c r="RA133" s="8"/>
      <c r="RB133" s="55"/>
      <c r="RD133" s="8"/>
      <c r="RE133" s="8"/>
      <c r="RF133" s="8"/>
      <c r="RG133" s="8"/>
      <c r="RH133" s="8"/>
      <c r="RI133" s="55"/>
      <c r="RK133" s="8"/>
      <c r="RL133" s="8"/>
      <c r="RM133" s="8"/>
      <c r="RN133" s="8"/>
      <c r="RO133" s="8"/>
      <c r="RP133" s="55"/>
      <c r="RR133" s="8"/>
      <c r="RS133" s="8"/>
      <c r="RT133" s="8"/>
      <c r="RU133" s="8"/>
      <c r="RV133" s="8"/>
      <c r="RW133" s="55"/>
      <c r="RY133" s="8"/>
      <c r="RZ133" s="8"/>
      <c r="SA133" s="8"/>
      <c r="SB133" s="8"/>
      <c r="SC133" s="8"/>
      <c r="SD133" s="55"/>
      <c r="SF133" s="8"/>
      <c r="SG133" s="8"/>
      <c r="SH133" s="8"/>
      <c r="SI133" s="8"/>
      <c r="SJ133" s="8"/>
      <c r="SK133" s="55"/>
      <c r="SM133" s="8"/>
      <c r="SN133" s="8"/>
      <c r="SO133" s="8"/>
      <c r="SP133" s="8"/>
      <c r="SQ133" s="8"/>
      <c r="SR133" s="55"/>
    </row>
    <row r="134" spans="1:512" ht="16" x14ac:dyDescent="0.2">
      <c r="G134" s="27"/>
      <c r="H134" s="28"/>
      <c r="I134" s="25"/>
      <c r="J134" s="60"/>
      <c r="K134" s="61"/>
      <c r="L134" s="62"/>
      <c r="M134" s="62"/>
      <c r="N134" s="63">
        <v>7</v>
      </c>
      <c r="O134" s="32"/>
      <c r="P134" s="61" t="str">
        <f>ADDRESS(3,15+(COLUMN(A1)-1)*7,4)</f>
        <v>O3</v>
      </c>
      <c r="Q134" s="61" t="str">
        <f t="shared" ref="Q134:CB134" si="1285">ADDRESS(3,15+(COLUMN(B1)-1)*7,4)</f>
        <v>V3</v>
      </c>
      <c r="R134" s="61" t="str">
        <f t="shared" si="1285"/>
        <v>AC3</v>
      </c>
      <c r="S134" s="61" t="str">
        <f t="shared" si="1285"/>
        <v>AJ3</v>
      </c>
      <c r="T134" s="61" t="str">
        <f t="shared" si="1285"/>
        <v>AQ3</v>
      </c>
      <c r="U134" s="61" t="str">
        <f t="shared" si="1285"/>
        <v>AX3</v>
      </c>
      <c r="V134" s="61" t="str">
        <f t="shared" si="1285"/>
        <v>BE3</v>
      </c>
      <c r="W134" s="61" t="str">
        <f t="shared" si="1285"/>
        <v>BL3</v>
      </c>
      <c r="X134" s="61" t="str">
        <f t="shared" si="1285"/>
        <v>BS3</v>
      </c>
      <c r="Y134" s="61" t="str">
        <f t="shared" si="1285"/>
        <v>BZ3</v>
      </c>
      <c r="Z134" s="61" t="str">
        <f t="shared" si="1285"/>
        <v>CG3</v>
      </c>
      <c r="AA134" s="61" t="str">
        <f t="shared" si="1285"/>
        <v>CN3</v>
      </c>
      <c r="AB134" s="61" t="str">
        <f t="shared" si="1285"/>
        <v>CU3</v>
      </c>
      <c r="AC134" s="61" t="str">
        <f t="shared" si="1285"/>
        <v>DB3</v>
      </c>
      <c r="AD134" s="61" t="str">
        <f t="shared" si="1285"/>
        <v>DI3</v>
      </c>
      <c r="AE134" s="61" t="str">
        <f t="shared" si="1285"/>
        <v>DP3</v>
      </c>
      <c r="AF134" s="61" t="str">
        <f t="shared" si="1285"/>
        <v>DW3</v>
      </c>
      <c r="AG134" s="61" t="str">
        <f t="shared" si="1285"/>
        <v>ED3</v>
      </c>
      <c r="AH134" s="61" t="str">
        <f t="shared" si="1285"/>
        <v>EK3</v>
      </c>
      <c r="AI134" s="61" t="str">
        <f t="shared" si="1285"/>
        <v>ER3</v>
      </c>
      <c r="AJ134" s="61" t="str">
        <f t="shared" si="1285"/>
        <v>EY3</v>
      </c>
      <c r="AK134" s="61" t="str">
        <f t="shared" si="1285"/>
        <v>FF3</v>
      </c>
      <c r="AL134" s="61" t="str">
        <f t="shared" si="1285"/>
        <v>FM3</v>
      </c>
      <c r="AM134" s="61" t="str">
        <f t="shared" si="1285"/>
        <v>FT3</v>
      </c>
      <c r="AN134" s="61" t="str">
        <f t="shared" si="1285"/>
        <v>GA3</v>
      </c>
      <c r="AO134" s="61" t="str">
        <f t="shared" si="1285"/>
        <v>GH3</v>
      </c>
      <c r="AP134" s="61" t="str">
        <f t="shared" si="1285"/>
        <v>GO3</v>
      </c>
      <c r="AQ134" s="61" t="str">
        <f t="shared" si="1285"/>
        <v>GV3</v>
      </c>
      <c r="AR134" s="61" t="str">
        <f t="shared" si="1285"/>
        <v>HC3</v>
      </c>
      <c r="AS134" s="61" t="str">
        <f t="shared" si="1285"/>
        <v>HJ3</v>
      </c>
      <c r="AT134" s="61" t="str">
        <f t="shared" si="1285"/>
        <v>HQ3</v>
      </c>
      <c r="AU134" s="61" t="str">
        <f t="shared" si="1285"/>
        <v>HX3</v>
      </c>
      <c r="AV134" s="61" t="str">
        <f t="shared" si="1285"/>
        <v>IE3</v>
      </c>
      <c r="AW134" s="61" t="str">
        <f t="shared" si="1285"/>
        <v>IL3</v>
      </c>
      <c r="AX134" s="61" t="str">
        <f t="shared" si="1285"/>
        <v>IS3</v>
      </c>
      <c r="AY134" s="61" t="str">
        <f t="shared" si="1285"/>
        <v>IZ3</v>
      </c>
      <c r="AZ134" s="61" t="str">
        <f t="shared" si="1285"/>
        <v>JG3</v>
      </c>
      <c r="BA134" s="61" t="str">
        <f t="shared" si="1285"/>
        <v>JN3</v>
      </c>
      <c r="BB134" s="61" t="str">
        <f t="shared" si="1285"/>
        <v>JU3</v>
      </c>
      <c r="BC134" s="61" t="str">
        <f t="shared" si="1285"/>
        <v>KB3</v>
      </c>
      <c r="BD134" s="61" t="str">
        <f t="shared" si="1285"/>
        <v>KI3</v>
      </c>
      <c r="BE134" s="61" t="str">
        <f t="shared" si="1285"/>
        <v>KP3</v>
      </c>
      <c r="BF134" s="61" t="str">
        <f t="shared" si="1285"/>
        <v>KW3</v>
      </c>
      <c r="BG134" s="61" t="str">
        <f t="shared" si="1285"/>
        <v>LD3</v>
      </c>
      <c r="BH134" s="61" t="str">
        <f t="shared" si="1285"/>
        <v>LK3</v>
      </c>
      <c r="BI134" s="61" t="str">
        <f t="shared" si="1285"/>
        <v>LR3</v>
      </c>
      <c r="BJ134" s="61" t="str">
        <f t="shared" si="1285"/>
        <v>LY3</v>
      </c>
      <c r="BK134" s="61" t="str">
        <f t="shared" si="1285"/>
        <v>MF3</v>
      </c>
      <c r="BL134" s="61" t="str">
        <f t="shared" si="1285"/>
        <v>MM3</v>
      </c>
      <c r="BM134" s="61" t="str">
        <f t="shared" si="1285"/>
        <v>MT3</v>
      </c>
      <c r="BN134" s="61" t="str">
        <f t="shared" si="1285"/>
        <v>NA3</v>
      </c>
      <c r="BO134" s="61" t="str">
        <f t="shared" si="1285"/>
        <v>NH3</v>
      </c>
      <c r="BP134" s="61" t="str">
        <f t="shared" si="1285"/>
        <v>NO3</v>
      </c>
      <c r="BQ134" s="61" t="str">
        <f t="shared" si="1285"/>
        <v>NV3</v>
      </c>
      <c r="BR134" s="61" t="str">
        <f t="shared" si="1285"/>
        <v>OC3</v>
      </c>
      <c r="BS134" s="61" t="str">
        <f t="shared" si="1285"/>
        <v>OJ3</v>
      </c>
      <c r="BT134" s="61" t="str">
        <f t="shared" si="1285"/>
        <v>OQ3</v>
      </c>
      <c r="BU134" s="61" t="str">
        <f t="shared" si="1285"/>
        <v>OX3</v>
      </c>
      <c r="BV134" s="61" t="str">
        <f t="shared" si="1285"/>
        <v>PE3</v>
      </c>
      <c r="BW134" s="61" t="str">
        <f t="shared" si="1285"/>
        <v>PL3</v>
      </c>
      <c r="BX134" s="61" t="str">
        <f t="shared" si="1285"/>
        <v>PS3</v>
      </c>
      <c r="BY134" s="61" t="str">
        <f t="shared" si="1285"/>
        <v>PZ3</v>
      </c>
      <c r="BZ134" s="61" t="str">
        <f t="shared" si="1285"/>
        <v>QG3</v>
      </c>
      <c r="CA134" s="61" t="str">
        <f t="shared" si="1285"/>
        <v>QN3</v>
      </c>
      <c r="CB134" s="61" t="str">
        <f t="shared" si="1285"/>
        <v>QU3</v>
      </c>
      <c r="CC134" s="61" t="str">
        <f t="shared" ref="CC134:EF134" si="1286">ADDRESS(3,15+(COLUMN(BN1)-1)*7,4)</f>
        <v>RB3</v>
      </c>
      <c r="CD134" s="61" t="str">
        <f t="shared" si="1286"/>
        <v>RI3</v>
      </c>
      <c r="CE134" s="61" t="str">
        <f t="shared" si="1286"/>
        <v>RP3</v>
      </c>
      <c r="CF134" s="61" t="str">
        <f t="shared" si="1286"/>
        <v>RW3</v>
      </c>
      <c r="CG134" s="61" t="str">
        <f t="shared" si="1286"/>
        <v>SD3</v>
      </c>
      <c r="CH134" s="61" t="str">
        <f t="shared" si="1286"/>
        <v>SK3</v>
      </c>
      <c r="CI134" s="61" t="str">
        <f t="shared" si="1286"/>
        <v>SR3</v>
      </c>
      <c r="CJ134" s="61" t="str">
        <f t="shared" si="1286"/>
        <v>SY3</v>
      </c>
      <c r="CK134" s="61" t="str">
        <f t="shared" si="1286"/>
        <v>TF3</v>
      </c>
      <c r="CL134" s="61" t="str">
        <f t="shared" si="1286"/>
        <v>TM3</v>
      </c>
      <c r="CM134" s="61" t="str">
        <f t="shared" si="1286"/>
        <v>TT3</v>
      </c>
      <c r="CN134" s="61" t="str">
        <f t="shared" si="1286"/>
        <v>UA3</v>
      </c>
      <c r="CO134" s="61" t="str">
        <f t="shared" si="1286"/>
        <v>UH3</v>
      </c>
      <c r="CP134" s="61" t="str">
        <f t="shared" si="1286"/>
        <v>UO3</v>
      </c>
      <c r="CQ134" s="61" t="str">
        <f t="shared" si="1286"/>
        <v>UV3</v>
      </c>
      <c r="CR134" s="61" t="str">
        <f t="shared" si="1286"/>
        <v>VC3</v>
      </c>
      <c r="CS134" s="61" t="str">
        <f t="shared" si="1286"/>
        <v>VJ3</v>
      </c>
      <c r="CT134" s="61" t="str">
        <f t="shared" si="1286"/>
        <v>VQ3</v>
      </c>
      <c r="CU134" s="61" t="str">
        <f t="shared" si="1286"/>
        <v>VX3</v>
      </c>
      <c r="CV134" s="61" t="str">
        <f t="shared" si="1286"/>
        <v>WE3</v>
      </c>
      <c r="CW134" s="61" t="str">
        <f t="shared" si="1286"/>
        <v>WL3</v>
      </c>
      <c r="CX134" s="61" t="str">
        <f t="shared" si="1286"/>
        <v>WS3</v>
      </c>
      <c r="CY134" s="61" t="str">
        <f t="shared" si="1286"/>
        <v>WZ3</v>
      </c>
      <c r="CZ134" s="61" t="str">
        <f t="shared" si="1286"/>
        <v>XG3</v>
      </c>
      <c r="DA134" s="61" t="str">
        <f t="shared" si="1286"/>
        <v>XN3</v>
      </c>
      <c r="DB134" s="61" t="str">
        <f t="shared" si="1286"/>
        <v>XU3</v>
      </c>
      <c r="DC134" s="61" t="str">
        <f t="shared" si="1286"/>
        <v>YB3</v>
      </c>
      <c r="DD134" s="61" t="str">
        <f t="shared" si="1286"/>
        <v>YI3</v>
      </c>
      <c r="DE134" s="61" t="str">
        <f t="shared" si="1286"/>
        <v>YP3</v>
      </c>
      <c r="DF134" s="61" t="str">
        <f t="shared" si="1286"/>
        <v>YW3</v>
      </c>
      <c r="DG134" s="61" t="str">
        <f t="shared" si="1286"/>
        <v>ZD3</v>
      </c>
      <c r="DH134" s="61" t="str">
        <f t="shared" si="1286"/>
        <v>ZK3</v>
      </c>
      <c r="DI134" s="61" t="str">
        <f t="shared" si="1286"/>
        <v>ZR3</v>
      </c>
      <c r="DJ134" s="61" t="str">
        <f t="shared" si="1286"/>
        <v>ZY3</v>
      </c>
      <c r="DK134" s="61" t="str">
        <f t="shared" si="1286"/>
        <v>AAF3</v>
      </c>
      <c r="DL134" s="61" t="str">
        <f t="shared" si="1286"/>
        <v>AAM3</v>
      </c>
      <c r="DM134" s="61" t="str">
        <f t="shared" si="1286"/>
        <v>AAT3</v>
      </c>
      <c r="DN134" s="61" t="str">
        <f t="shared" si="1286"/>
        <v>ABA3</v>
      </c>
      <c r="DO134" s="61" t="str">
        <f t="shared" si="1286"/>
        <v>ABH3</v>
      </c>
      <c r="DP134" s="61" t="str">
        <f t="shared" si="1286"/>
        <v>ABO3</v>
      </c>
      <c r="DQ134" s="61" t="str">
        <f t="shared" si="1286"/>
        <v>ABV3</v>
      </c>
      <c r="DR134" s="61" t="str">
        <f t="shared" si="1286"/>
        <v>ACC3</v>
      </c>
      <c r="DS134" s="61" t="str">
        <f t="shared" si="1286"/>
        <v>ACJ3</v>
      </c>
      <c r="DT134" s="61" t="str">
        <f t="shared" si="1286"/>
        <v>ACQ3</v>
      </c>
      <c r="DU134" s="61" t="str">
        <f t="shared" si="1286"/>
        <v>ACX3</v>
      </c>
      <c r="DV134" s="61" t="str">
        <f t="shared" si="1286"/>
        <v>ADE3</v>
      </c>
      <c r="DW134" s="61" t="str">
        <f t="shared" si="1286"/>
        <v>ADL3</v>
      </c>
      <c r="DX134" s="61" t="str">
        <f t="shared" si="1286"/>
        <v>ADS3</v>
      </c>
      <c r="DY134" s="61" t="str">
        <f t="shared" si="1286"/>
        <v>ADZ3</v>
      </c>
      <c r="DZ134" s="61" t="str">
        <f t="shared" si="1286"/>
        <v>AEG3</v>
      </c>
      <c r="EA134" s="61" t="str">
        <f t="shared" si="1286"/>
        <v>AEN3</v>
      </c>
      <c r="EB134" s="61" t="str">
        <f t="shared" si="1286"/>
        <v>AEU3</v>
      </c>
      <c r="EC134" s="61" t="str">
        <f t="shared" si="1286"/>
        <v>AFB3</v>
      </c>
      <c r="ED134" s="61" t="str">
        <f t="shared" si="1286"/>
        <v>AFI3</v>
      </c>
      <c r="EE134" s="61" t="str">
        <f t="shared" si="1286"/>
        <v>AFP3</v>
      </c>
      <c r="EF134" s="61" t="str">
        <f t="shared" si="1286"/>
        <v>AFW3</v>
      </c>
      <c r="EG134" s="61" t="str">
        <f t="shared" ref="EG134" si="1287">ADDRESS(3,15+(COLUMN(DR1)-1)*7,4)</f>
        <v>AGD3</v>
      </c>
      <c r="EH134" s="61" t="str">
        <f t="shared" ref="EH134" si="1288">ADDRESS(3,15+(COLUMN(DS1)-1)*7,4)</f>
        <v>AGK3</v>
      </c>
      <c r="EI134" s="61" t="str">
        <f t="shared" ref="EI134" si="1289">ADDRESS(3,15+(COLUMN(DT1)-1)*7,4)</f>
        <v>AGR3</v>
      </c>
      <c r="EJ134" s="61" t="str">
        <f t="shared" ref="EJ134" si="1290">ADDRESS(3,15+(COLUMN(DU1)-1)*7,4)</f>
        <v>AGY3</v>
      </c>
      <c r="EK134" s="61" t="str">
        <f t="shared" ref="EK134" si="1291">ADDRESS(3,15+(COLUMN(DV1)-1)*7,4)</f>
        <v>AHF3</v>
      </c>
      <c r="EL134" s="61" t="str">
        <f t="shared" ref="EL134" si="1292">ADDRESS(3,15+(COLUMN(DW1)-1)*7,4)</f>
        <v>AHM3</v>
      </c>
      <c r="EM134" s="61" t="str">
        <f t="shared" ref="EM134" si="1293">ADDRESS(3,15+(COLUMN(DX1)-1)*7,4)</f>
        <v>AHT3</v>
      </c>
      <c r="EN134" s="61" t="str">
        <f t="shared" ref="EN134" si="1294">ADDRESS(3,15+(COLUMN(DY1)-1)*7,4)</f>
        <v>AIA3</v>
      </c>
      <c r="EO134" s="61" t="str">
        <f t="shared" ref="EO134" si="1295">ADDRESS(3,15+(COLUMN(DZ1)-1)*7,4)</f>
        <v>AIH3</v>
      </c>
      <c r="EP134" s="61" t="str">
        <f t="shared" ref="EP134" si="1296">ADDRESS(3,15+(COLUMN(EA1)-1)*7,4)</f>
        <v>AIO3</v>
      </c>
      <c r="EQ134" s="61" t="str">
        <f t="shared" ref="EQ134" si="1297">ADDRESS(3,15+(COLUMN(EB1)-1)*7,4)</f>
        <v>AIV3</v>
      </c>
      <c r="ER134" s="61" t="str">
        <f t="shared" ref="ER134" si="1298">ADDRESS(3,15+(COLUMN(EC1)-1)*7,4)</f>
        <v>AJC3</v>
      </c>
      <c r="ES134" s="61" t="str">
        <f t="shared" ref="ES134" si="1299">ADDRESS(3,15+(COLUMN(ED1)-1)*7,4)</f>
        <v>AJJ3</v>
      </c>
      <c r="ET134" s="61" t="str">
        <f t="shared" ref="ET134" si="1300">ADDRESS(3,15+(COLUMN(EE1)-1)*7,4)</f>
        <v>AJQ3</v>
      </c>
      <c r="EU134" s="61" t="str">
        <f t="shared" ref="EU134" si="1301">ADDRESS(3,15+(COLUMN(EF1)-1)*7,4)</f>
        <v>AJX3</v>
      </c>
      <c r="EV134" s="61" t="str">
        <f t="shared" ref="EV134" si="1302">ADDRESS(3,15+(COLUMN(EG1)-1)*7,4)</f>
        <v>AKE3</v>
      </c>
      <c r="EW134" s="61" t="str">
        <f t="shared" ref="EW134" si="1303">ADDRESS(3,15+(COLUMN(EH1)-1)*7,4)</f>
        <v>AKL3</v>
      </c>
      <c r="EX134" s="61" t="str">
        <f t="shared" ref="EX134" si="1304">ADDRESS(3,15+(COLUMN(EI1)-1)*7,4)</f>
        <v>AKS3</v>
      </c>
      <c r="EY134" s="61" t="str">
        <f t="shared" ref="EY134" si="1305">ADDRESS(3,15+(COLUMN(EJ1)-1)*7,4)</f>
        <v>AKZ3</v>
      </c>
      <c r="EZ134" s="61" t="str">
        <f t="shared" ref="EZ134" si="1306">ADDRESS(3,15+(COLUMN(EK1)-1)*7,4)</f>
        <v>ALG3</v>
      </c>
      <c r="FA134" s="61" t="str">
        <f t="shared" ref="FA134" si="1307">ADDRESS(3,15+(COLUMN(EL1)-1)*7,4)</f>
        <v>ALN3</v>
      </c>
      <c r="FB134" s="61" t="str">
        <f t="shared" ref="FB134" si="1308">ADDRESS(3,15+(COLUMN(EM1)-1)*7,4)</f>
        <v>ALU3</v>
      </c>
      <c r="FC134" s="61" t="str">
        <f t="shared" ref="FC134" si="1309">ADDRESS(3,15+(COLUMN(EN1)-1)*7,4)</f>
        <v>AMB3</v>
      </c>
      <c r="FD134" s="61" t="str">
        <f t="shared" ref="FD134" si="1310">ADDRESS(3,15+(COLUMN(EO1)-1)*7,4)</f>
        <v>AMI3</v>
      </c>
      <c r="FE134" s="61" t="str">
        <f t="shared" ref="FE134" si="1311">ADDRESS(3,15+(COLUMN(EP1)-1)*7,4)</f>
        <v>AMP3</v>
      </c>
      <c r="FF134" s="61" t="str">
        <f t="shared" ref="FF134" si="1312">ADDRESS(3,15+(COLUMN(EQ1)-1)*7,4)</f>
        <v>AMW3</v>
      </c>
      <c r="FG134" s="61" t="str">
        <f t="shared" ref="FG134" si="1313">ADDRESS(3,15+(COLUMN(ER1)-1)*7,4)</f>
        <v>AND3</v>
      </c>
      <c r="FH134" s="61" t="str">
        <f t="shared" ref="FH134" si="1314">ADDRESS(3,15+(COLUMN(ES1)-1)*7,4)</f>
        <v>ANK3</v>
      </c>
      <c r="FI134" s="61" t="str">
        <f t="shared" ref="FI134" si="1315">ADDRESS(3,15+(COLUMN(ET1)-1)*7,4)</f>
        <v>ANR3</v>
      </c>
      <c r="FJ134" s="61" t="str">
        <f t="shared" ref="FJ134" si="1316">ADDRESS(3,15+(COLUMN(EU1)-1)*7,4)</f>
        <v>ANY3</v>
      </c>
      <c r="FK134" s="61" t="str">
        <f t="shared" ref="FK134" si="1317">ADDRESS(3,15+(COLUMN(EV1)-1)*7,4)</f>
        <v>AOF3</v>
      </c>
      <c r="FL134" s="61" t="str">
        <f t="shared" ref="FL134" si="1318">ADDRESS(3,15+(COLUMN(EW1)-1)*7,4)</f>
        <v>AOM3</v>
      </c>
      <c r="FM134" s="61" t="str">
        <f t="shared" ref="FM134" si="1319">ADDRESS(3,15+(COLUMN(EX1)-1)*7,4)</f>
        <v>AOT3</v>
      </c>
      <c r="FN134" s="61" t="str">
        <f t="shared" ref="FN134" si="1320">ADDRESS(3,15+(COLUMN(EY1)-1)*7,4)</f>
        <v>APA3</v>
      </c>
      <c r="FO134" s="61" t="str">
        <f t="shared" ref="FO134" si="1321">ADDRESS(3,15+(COLUMN(EZ1)-1)*7,4)</f>
        <v>APH3</v>
      </c>
      <c r="FP134" s="61" t="str">
        <f t="shared" ref="FP134" si="1322">ADDRESS(3,15+(COLUMN(FA1)-1)*7,4)</f>
        <v>APO3</v>
      </c>
      <c r="FQ134" s="61" t="str">
        <f t="shared" ref="FQ134" si="1323">ADDRESS(3,15+(COLUMN(FB1)-1)*7,4)</f>
        <v>APV3</v>
      </c>
      <c r="FR134" s="61" t="str">
        <f t="shared" ref="FR134" si="1324">ADDRESS(3,15+(COLUMN(FC1)-1)*7,4)</f>
        <v>AQC3</v>
      </c>
      <c r="FS134" s="61" t="str">
        <f t="shared" ref="FS134" si="1325">ADDRESS(3,15+(COLUMN(FD1)-1)*7,4)</f>
        <v>AQJ3</v>
      </c>
      <c r="FT134" s="61" t="str">
        <f t="shared" ref="FT134" si="1326">ADDRESS(3,15+(COLUMN(FE1)-1)*7,4)</f>
        <v>AQQ3</v>
      </c>
      <c r="FU134" s="61" t="str">
        <f t="shared" ref="FU134" si="1327">ADDRESS(3,15+(COLUMN(FF1)-1)*7,4)</f>
        <v>AQX3</v>
      </c>
      <c r="FV134" s="61" t="str">
        <f t="shared" ref="FV134" si="1328">ADDRESS(3,15+(COLUMN(FG1)-1)*7,4)</f>
        <v>ARE3</v>
      </c>
      <c r="FW134" s="61" t="str">
        <f t="shared" ref="FW134" si="1329">ADDRESS(3,15+(COLUMN(FH1)-1)*7,4)</f>
        <v>ARL3</v>
      </c>
      <c r="FX134" s="61" t="str">
        <f t="shared" ref="FX134" si="1330">ADDRESS(3,15+(COLUMN(FI1)-1)*7,4)</f>
        <v>ARS3</v>
      </c>
      <c r="FY134" s="61" t="str">
        <f t="shared" ref="FY134" si="1331">ADDRESS(3,15+(COLUMN(FJ1)-1)*7,4)</f>
        <v>ARZ3</v>
      </c>
      <c r="FZ134" s="61" t="str">
        <f t="shared" ref="FZ134" si="1332">ADDRESS(3,15+(COLUMN(FK1)-1)*7,4)</f>
        <v>ASG3</v>
      </c>
      <c r="GA134" s="61" t="str">
        <f t="shared" ref="GA134" si="1333">ADDRESS(3,15+(COLUMN(FL1)-1)*7,4)</f>
        <v>ASN3</v>
      </c>
      <c r="GB134" s="61" t="str">
        <f t="shared" ref="GB134" si="1334">ADDRESS(3,15+(COLUMN(FM1)-1)*7,4)</f>
        <v>ASU3</v>
      </c>
      <c r="GC134" s="61" t="str">
        <f t="shared" ref="GC134" si="1335">ADDRESS(3,15+(COLUMN(FN1)-1)*7,4)</f>
        <v>ATB3</v>
      </c>
      <c r="GD134" s="61" t="str">
        <f t="shared" ref="GD134" si="1336">ADDRESS(3,15+(COLUMN(FO1)-1)*7,4)</f>
        <v>ATI3</v>
      </c>
      <c r="GE134" s="61" t="str">
        <f t="shared" ref="GE134" si="1337">ADDRESS(3,15+(COLUMN(FP1)-1)*7,4)</f>
        <v>ATP3</v>
      </c>
      <c r="GF134" s="61" t="str">
        <f t="shared" ref="GF134" si="1338">ADDRESS(3,15+(COLUMN(FQ1)-1)*7,4)</f>
        <v>ATW3</v>
      </c>
      <c r="GG134" s="61" t="str">
        <f t="shared" ref="GG134" si="1339">ADDRESS(3,15+(COLUMN(FR1)-1)*7,4)</f>
        <v>AUD3</v>
      </c>
      <c r="GH134" s="61" t="str">
        <f t="shared" ref="GH134" si="1340">ADDRESS(3,15+(COLUMN(FS1)-1)*7,4)</f>
        <v>AUK3</v>
      </c>
      <c r="GI134" s="61" t="str">
        <f t="shared" ref="GI134" si="1341">ADDRESS(3,15+(COLUMN(FT1)-1)*7,4)</f>
        <v>AUR3</v>
      </c>
      <c r="GJ134" s="61" t="str">
        <f t="shared" ref="GJ134" si="1342">ADDRESS(3,15+(COLUMN(FU1)-1)*7,4)</f>
        <v>AUY3</v>
      </c>
      <c r="GK134" s="61" t="str">
        <f t="shared" ref="GK134" si="1343">ADDRESS(3,15+(COLUMN(FV1)-1)*7,4)</f>
        <v>AVF3</v>
      </c>
      <c r="GL134" s="61" t="str">
        <f t="shared" ref="GL134" si="1344">ADDRESS(3,15+(COLUMN(FW1)-1)*7,4)</f>
        <v>AVM3</v>
      </c>
      <c r="GM134" s="61" t="str">
        <f t="shared" ref="GM134" si="1345">ADDRESS(3,15+(COLUMN(FX1)-1)*7,4)</f>
        <v>AVT3</v>
      </c>
      <c r="GN134" s="61" t="str">
        <f t="shared" ref="GN134" si="1346">ADDRESS(3,15+(COLUMN(FY1)-1)*7,4)</f>
        <v>AWA3</v>
      </c>
      <c r="GO134" s="61" t="str">
        <f t="shared" ref="GO134" si="1347">ADDRESS(3,15+(COLUMN(FZ1)-1)*7,4)</f>
        <v>AWH3</v>
      </c>
      <c r="GP134" s="61" t="str">
        <f t="shared" ref="GP134" si="1348">ADDRESS(3,15+(COLUMN(GA1)-1)*7,4)</f>
        <v>AWO3</v>
      </c>
      <c r="GQ134" s="61" t="str">
        <f t="shared" ref="GQ134" si="1349">ADDRESS(3,15+(COLUMN(GB1)-1)*7,4)</f>
        <v>AWV3</v>
      </c>
      <c r="GR134" s="61" t="str">
        <f t="shared" ref="GR134" si="1350">ADDRESS(3,15+(COLUMN(GC1)-1)*7,4)</f>
        <v>AXC3</v>
      </c>
      <c r="GS134" s="61" t="str">
        <f t="shared" ref="GS134" si="1351">ADDRESS(3,15+(COLUMN(GD1)-1)*7,4)</f>
        <v>AXJ3</v>
      </c>
      <c r="GT134" s="61" t="str">
        <f t="shared" ref="GT134" si="1352">ADDRESS(3,15+(COLUMN(GE1)-1)*7,4)</f>
        <v>AXQ3</v>
      </c>
      <c r="GU134" s="61" t="str">
        <f t="shared" ref="GU134" si="1353">ADDRESS(3,15+(COLUMN(GF1)-1)*7,4)</f>
        <v>AXX3</v>
      </c>
      <c r="GV134" s="61" t="str">
        <f t="shared" ref="GV134" si="1354">ADDRESS(3,15+(COLUMN(GG1)-1)*7,4)</f>
        <v>AYE3</v>
      </c>
      <c r="GW134" s="61" t="str">
        <f t="shared" ref="GW134" si="1355">ADDRESS(3,15+(COLUMN(GH1)-1)*7,4)</f>
        <v>AYL3</v>
      </c>
      <c r="GX134" s="61" t="str">
        <f t="shared" ref="GX134" si="1356">ADDRESS(3,15+(COLUMN(GI1)-1)*7,4)</f>
        <v>AYS3</v>
      </c>
      <c r="GY134" s="61" t="str">
        <f t="shared" ref="GY134" si="1357">ADDRESS(3,15+(COLUMN(GJ1)-1)*7,4)</f>
        <v>AYZ3</v>
      </c>
      <c r="GZ134" s="61" t="str">
        <f t="shared" ref="GZ134" si="1358">ADDRESS(3,15+(COLUMN(GK1)-1)*7,4)</f>
        <v>AZG3</v>
      </c>
      <c r="HA134" s="61" t="str">
        <f t="shared" ref="HA134" si="1359">ADDRESS(3,15+(COLUMN(GL1)-1)*7,4)</f>
        <v>AZN3</v>
      </c>
      <c r="HB134" s="61" t="str">
        <f t="shared" ref="HB134" si="1360">ADDRESS(3,15+(COLUMN(GM1)-1)*7,4)</f>
        <v>AZU3</v>
      </c>
      <c r="HC134" s="61" t="str">
        <f t="shared" ref="HC134" si="1361">ADDRESS(3,15+(COLUMN(GN1)-1)*7,4)</f>
        <v>BAB3</v>
      </c>
      <c r="HD134" s="61" t="str">
        <f t="shared" ref="HD134" si="1362">ADDRESS(3,15+(COLUMN(GO1)-1)*7,4)</f>
        <v>BAI3</v>
      </c>
      <c r="HE134" s="61" t="str">
        <f t="shared" ref="HE134" si="1363">ADDRESS(3,15+(COLUMN(GP1)-1)*7,4)</f>
        <v>BAP3</v>
      </c>
      <c r="HF134" s="61" t="str">
        <f t="shared" ref="HF134" si="1364">ADDRESS(3,15+(COLUMN(GQ1)-1)*7,4)</f>
        <v>BAW3</v>
      </c>
      <c r="HG134" s="61" t="str">
        <f t="shared" ref="HG134" si="1365">ADDRESS(3,15+(COLUMN(GR1)-1)*7,4)</f>
        <v>BBD3</v>
      </c>
      <c r="HH134" s="61" t="str">
        <f t="shared" ref="HH134" si="1366">ADDRESS(3,15+(COLUMN(GS1)-1)*7,4)</f>
        <v>BBK3</v>
      </c>
      <c r="HI134" s="61" t="str">
        <f t="shared" ref="HI134" si="1367">ADDRESS(3,15+(COLUMN(GT1)-1)*7,4)</f>
        <v>BBR3</v>
      </c>
      <c r="HJ134" s="61" t="str">
        <f t="shared" ref="HJ134" si="1368">ADDRESS(3,15+(COLUMN(GU1)-1)*7,4)</f>
        <v>BBY3</v>
      </c>
      <c r="HK134" s="61" t="str">
        <f t="shared" ref="HK134" si="1369">ADDRESS(3,15+(COLUMN(GV1)-1)*7,4)</f>
        <v>BCF3</v>
      </c>
      <c r="HL134" s="61" t="str">
        <f t="shared" ref="HL134" si="1370">ADDRESS(3,15+(COLUMN(GW1)-1)*7,4)</f>
        <v>BCM3</v>
      </c>
      <c r="HM134" s="61" t="str">
        <f t="shared" ref="HM134" si="1371">ADDRESS(3,15+(COLUMN(GX1)-1)*7,4)</f>
        <v>BCT3</v>
      </c>
      <c r="HN134" s="61" t="str">
        <f t="shared" ref="HN134" si="1372">ADDRESS(3,15+(COLUMN(GY1)-1)*7,4)</f>
        <v>BDA3</v>
      </c>
      <c r="HO134" s="61" t="str">
        <f t="shared" ref="HO134" si="1373">ADDRESS(3,15+(COLUMN(GZ1)-1)*7,4)</f>
        <v>BDH3</v>
      </c>
      <c r="HP134" s="61" t="str">
        <f t="shared" ref="HP134" si="1374">ADDRESS(3,15+(COLUMN(HA1)-1)*7,4)</f>
        <v>BDO3</v>
      </c>
      <c r="HQ134" s="61" t="str">
        <f t="shared" ref="HQ134" si="1375">ADDRESS(3,15+(COLUMN(HB1)-1)*7,4)</f>
        <v>BDV3</v>
      </c>
      <c r="HR134" s="61" t="str">
        <f t="shared" ref="HR134" si="1376">ADDRESS(3,15+(COLUMN(HC1)-1)*7,4)</f>
        <v>BEC3</v>
      </c>
      <c r="HS134" s="61" t="str">
        <f t="shared" ref="HS134" si="1377">ADDRESS(3,15+(COLUMN(HD1)-1)*7,4)</f>
        <v>BEJ3</v>
      </c>
      <c r="HT134" s="61" t="str">
        <f t="shared" ref="HT134" si="1378">ADDRESS(3,15+(COLUMN(HE1)-1)*7,4)</f>
        <v>BEQ3</v>
      </c>
      <c r="HU134" s="61" t="str">
        <f t="shared" ref="HU134" si="1379">ADDRESS(3,15+(COLUMN(HF1)-1)*7,4)</f>
        <v>BEX3</v>
      </c>
      <c r="HV134" s="61" t="str">
        <f t="shared" ref="HV134" si="1380">ADDRESS(3,15+(COLUMN(HG1)-1)*7,4)</f>
        <v>BFE3</v>
      </c>
      <c r="HW134" s="61" t="str">
        <f t="shared" ref="HW134" si="1381">ADDRESS(3,15+(COLUMN(HH1)-1)*7,4)</f>
        <v>BFL3</v>
      </c>
      <c r="HX134" s="61" t="str">
        <f t="shared" ref="HX134" si="1382">ADDRESS(3,15+(COLUMN(HI1)-1)*7,4)</f>
        <v>BFS3</v>
      </c>
      <c r="HY134" s="61" t="str">
        <f t="shared" ref="HY134" si="1383">ADDRESS(3,15+(COLUMN(HJ1)-1)*7,4)</f>
        <v>BFZ3</v>
      </c>
      <c r="HZ134" s="61" t="str">
        <f t="shared" ref="HZ134" si="1384">ADDRESS(3,15+(COLUMN(HK1)-1)*7,4)</f>
        <v>BGG3</v>
      </c>
      <c r="IA134" s="61" t="str">
        <f t="shared" ref="IA134" si="1385">ADDRESS(3,15+(COLUMN(HL1)-1)*7,4)</f>
        <v>BGN3</v>
      </c>
      <c r="IB134" s="61" t="str">
        <f t="shared" ref="IB134" si="1386">ADDRESS(3,15+(COLUMN(HM1)-1)*7,4)</f>
        <v>BGU3</v>
      </c>
      <c r="IC134" s="62"/>
      <c r="ID134" s="63">
        <v>32</v>
      </c>
      <c r="IE134" s="32"/>
      <c r="IF134" s="62"/>
      <c r="IG134" s="32"/>
      <c r="IH134" s="61"/>
      <c r="II134" s="62"/>
      <c r="IJ134" s="62"/>
      <c r="IK134" s="63">
        <v>32</v>
      </c>
      <c r="IL134" s="32"/>
      <c r="IM134" s="62"/>
      <c r="IN134" s="32"/>
      <c r="IO134" s="61"/>
      <c r="IP134" s="62"/>
      <c r="IQ134" s="62"/>
      <c r="IR134" s="63">
        <v>32</v>
      </c>
      <c r="IS134" s="32"/>
      <c r="IT134" s="32"/>
      <c r="IU134" s="32"/>
      <c r="IV134" s="61"/>
      <c r="IW134" s="62"/>
      <c r="IX134" s="62"/>
      <c r="IY134" s="63">
        <v>32</v>
      </c>
      <c r="IZ134" s="32"/>
      <c r="JA134" s="62"/>
      <c r="JB134" s="32"/>
      <c r="JC134" s="61"/>
      <c r="JD134" s="62"/>
      <c r="JE134" s="62"/>
      <c r="JF134" s="63">
        <v>32</v>
      </c>
      <c r="JG134" s="32"/>
      <c r="JH134" s="62"/>
      <c r="JI134" s="32"/>
      <c r="JJ134" s="61"/>
      <c r="JK134" s="62"/>
      <c r="JL134" s="62"/>
      <c r="JM134" s="63">
        <v>32</v>
      </c>
      <c r="JN134" s="32"/>
      <c r="JO134" s="62"/>
      <c r="JP134" s="32"/>
      <c r="JQ134" s="61"/>
      <c r="JR134" s="62"/>
      <c r="JS134" s="62"/>
      <c r="JT134" s="63">
        <v>32</v>
      </c>
      <c r="JU134" s="32"/>
      <c r="JV134" s="32"/>
      <c r="JW134" s="32"/>
      <c r="JX134" s="61"/>
      <c r="JY134" s="62"/>
      <c r="JZ134" s="62"/>
      <c r="KA134" s="63">
        <v>32</v>
      </c>
      <c r="KB134" s="32"/>
      <c r="KC134" s="62"/>
      <c r="KD134" s="32"/>
      <c r="KE134" s="61"/>
      <c r="KF134" s="62"/>
      <c r="KG134" s="62"/>
      <c r="KH134" s="63">
        <v>32</v>
      </c>
      <c r="KI134" s="32"/>
      <c r="KJ134" s="62"/>
      <c r="KK134" s="32"/>
      <c r="KL134" s="61"/>
      <c r="KM134" s="62"/>
      <c r="KN134" s="62"/>
      <c r="KO134" s="63">
        <v>32</v>
      </c>
      <c r="KP134" s="32"/>
      <c r="KQ134" s="62"/>
      <c r="KR134" s="32"/>
      <c r="KS134" s="61"/>
      <c r="KT134" s="62"/>
      <c r="KU134" s="62"/>
      <c r="KV134" s="63">
        <v>32</v>
      </c>
      <c r="KW134" s="32"/>
      <c r="KX134" s="62"/>
      <c r="KY134" s="32"/>
      <c r="KZ134" s="61"/>
      <c r="LA134" s="62"/>
      <c r="LB134" s="62"/>
      <c r="LC134" s="63">
        <v>32</v>
      </c>
      <c r="LD134" s="32"/>
      <c r="LE134" s="62"/>
      <c r="LF134" s="32"/>
      <c r="LG134" s="61"/>
      <c r="LH134" s="62"/>
      <c r="LI134" s="62"/>
      <c r="LJ134" s="63">
        <v>32</v>
      </c>
      <c r="LK134" s="32"/>
      <c r="LL134" s="62"/>
      <c r="LM134" s="32"/>
      <c r="LN134" s="61"/>
      <c r="LO134" s="62"/>
      <c r="LP134" s="62"/>
      <c r="LQ134" s="63">
        <v>32</v>
      </c>
      <c r="LR134" s="32"/>
      <c r="LS134" s="62"/>
      <c r="LT134" s="32"/>
      <c r="LU134" s="61"/>
      <c r="LV134" s="62"/>
      <c r="LW134" s="62"/>
      <c r="LX134" s="63">
        <v>32</v>
      </c>
      <c r="LY134" s="32"/>
      <c r="LZ134" s="62"/>
      <c r="MA134" s="32"/>
      <c r="MB134" s="61"/>
      <c r="MC134" s="62"/>
      <c r="MD134" s="62"/>
      <c r="ME134" s="63">
        <v>32</v>
      </c>
      <c r="MF134" s="32"/>
      <c r="MG134" s="62"/>
      <c r="MH134" s="32"/>
      <c r="MI134" s="61"/>
      <c r="MJ134" s="62"/>
      <c r="MK134" s="62"/>
      <c r="ML134" s="63">
        <v>32</v>
      </c>
      <c r="MM134" s="32"/>
      <c r="MN134" s="62"/>
      <c r="MO134" s="32"/>
      <c r="MP134" s="61"/>
      <c r="MQ134" s="62"/>
      <c r="MR134" s="62"/>
      <c r="MS134" s="63">
        <v>32</v>
      </c>
      <c r="MT134" s="32"/>
      <c r="MV134" s="32"/>
      <c r="MW134" s="61"/>
      <c r="MX134" s="62"/>
      <c r="MY134" s="62"/>
      <c r="MZ134" s="63">
        <v>32</v>
      </c>
      <c r="NA134" s="32"/>
      <c r="NC134" s="32"/>
      <c r="ND134" s="61"/>
      <c r="NE134" s="62"/>
      <c r="NF134" s="62"/>
      <c r="NG134" s="63">
        <v>32</v>
      </c>
      <c r="NH134" s="32"/>
      <c r="NJ134" s="32"/>
      <c r="NK134" s="61"/>
      <c r="NL134" s="62"/>
      <c r="NM134" s="62"/>
      <c r="NN134" s="63">
        <v>32</v>
      </c>
      <c r="NO134" s="32"/>
      <c r="NQ134" s="32"/>
      <c r="NR134" s="61"/>
      <c r="NS134" s="62"/>
      <c r="NT134" s="62"/>
      <c r="NU134" s="63">
        <v>32</v>
      </c>
      <c r="NV134" s="32"/>
      <c r="NX134" s="32"/>
      <c r="NY134" s="61"/>
      <c r="NZ134" s="62"/>
      <c r="OA134" s="62"/>
      <c r="OB134" s="63">
        <v>32</v>
      </c>
      <c r="OC134" s="32"/>
      <c r="OE134" s="32"/>
      <c r="OF134" s="61"/>
      <c r="OG134" s="62"/>
      <c r="OH134" s="62"/>
      <c r="OI134" s="63">
        <v>32</v>
      </c>
      <c r="OJ134" s="32"/>
      <c r="OL134" s="32"/>
      <c r="OM134" s="61"/>
      <c r="ON134" s="62"/>
      <c r="OO134" s="62"/>
      <c r="OP134" s="63">
        <v>32</v>
      </c>
      <c r="OQ134" s="32"/>
      <c r="OS134" s="32"/>
      <c r="OT134" s="61"/>
      <c r="OU134" s="62"/>
      <c r="OV134" s="62"/>
      <c r="OW134" s="63">
        <v>32</v>
      </c>
      <c r="OX134" s="32"/>
      <c r="OZ134" s="32"/>
      <c r="PA134" s="61"/>
      <c r="PB134" s="62"/>
      <c r="PC134" s="62"/>
      <c r="PD134" s="63">
        <v>32</v>
      </c>
      <c r="PE134" s="32"/>
      <c r="PG134" s="32"/>
      <c r="PH134" s="61"/>
      <c r="PI134" s="62"/>
      <c r="PJ134" s="62"/>
      <c r="PK134" s="63">
        <v>32</v>
      </c>
      <c r="PL134" s="32"/>
      <c r="PN134" s="32"/>
      <c r="PO134" s="61"/>
      <c r="PP134" s="62"/>
      <c r="PQ134" s="62"/>
      <c r="PR134" s="63">
        <v>32</v>
      </c>
      <c r="PS134" s="32"/>
      <c r="PU134" s="32"/>
      <c r="PV134" s="61"/>
      <c r="PW134" s="62"/>
      <c r="PX134" s="62"/>
      <c r="PY134" s="63">
        <v>32</v>
      </c>
      <c r="PZ134" s="32"/>
      <c r="QB134" s="32"/>
      <c r="QC134" s="61"/>
      <c r="QD134" s="62"/>
      <c r="QE134" s="62"/>
      <c r="QF134" s="63">
        <v>32</v>
      </c>
      <c r="QG134" s="32"/>
      <c r="QI134" s="32"/>
      <c r="QJ134" s="61"/>
      <c r="QK134" s="62"/>
      <c r="QL134" s="62"/>
      <c r="QM134" s="63">
        <v>32</v>
      </c>
      <c r="QN134" s="32"/>
      <c r="QP134" s="32"/>
      <c r="QQ134" s="61"/>
      <c r="QR134" s="62"/>
      <c r="QS134" s="62"/>
      <c r="QT134" s="63">
        <v>32</v>
      </c>
      <c r="QU134" s="32"/>
      <c r="QW134" s="32"/>
      <c r="QX134" s="61"/>
      <c r="QY134" s="62"/>
      <c r="QZ134" s="62"/>
      <c r="RA134" s="63">
        <v>32</v>
      </c>
      <c r="RB134" s="32"/>
      <c r="RD134" s="32"/>
      <c r="RE134" s="61"/>
      <c r="RF134" s="62"/>
      <c r="RG134" s="62"/>
      <c r="RH134" s="63">
        <v>32</v>
      </c>
      <c r="RI134" s="32"/>
      <c r="RK134" s="32"/>
      <c r="RL134" s="61"/>
      <c r="RM134" s="62"/>
      <c r="RN134" s="62"/>
      <c r="RO134" s="63">
        <v>32</v>
      </c>
      <c r="RP134" s="32"/>
      <c r="RR134" s="32"/>
      <c r="RS134" s="61"/>
      <c r="RT134" s="62"/>
      <c r="RU134" s="62"/>
      <c r="RV134" s="63">
        <v>32</v>
      </c>
      <c r="RW134" s="32"/>
      <c r="RY134" s="32"/>
      <c r="RZ134" s="61"/>
      <c r="SA134" s="62"/>
      <c r="SB134" s="62"/>
      <c r="SC134" s="63">
        <v>32</v>
      </c>
      <c r="SD134" s="32"/>
      <c r="SF134" s="32"/>
      <c r="SG134" s="61"/>
      <c r="SH134" s="62"/>
      <c r="SI134" s="62"/>
      <c r="SJ134" s="63">
        <v>32</v>
      </c>
      <c r="SK134" s="32"/>
      <c r="SM134" s="32"/>
      <c r="SN134" s="61"/>
      <c r="SO134" s="62"/>
      <c r="SP134" s="62"/>
      <c r="SQ134" s="63">
        <v>32</v>
      </c>
      <c r="SR134" s="32"/>
    </row>
    <row r="135" spans="1:512" ht="16" x14ac:dyDescent="0.2">
      <c r="A135" s="76"/>
      <c r="G135" s="27"/>
      <c r="H135" s="28"/>
      <c r="I135" s="25"/>
      <c r="J135" s="64"/>
      <c r="K135" s="26"/>
      <c r="L135" s="27"/>
      <c r="M135" s="27"/>
      <c r="N135" s="28"/>
      <c r="O135" s="25"/>
      <c r="P135" s="32" t="s">
        <v>189</v>
      </c>
      <c r="Q135" s="32" t="s">
        <v>190</v>
      </c>
      <c r="R135" s="61" t="s">
        <v>191</v>
      </c>
      <c r="S135" s="62" t="s">
        <v>192</v>
      </c>
      <c r="T135" s="62" t="s">
        <v>193</v>
      </c>
      <c r="U135" s="63" t="s">
        <v>194</v>
      </c>
      <c r="V135" s="32" t="s">
        <v>195</v>
      </c>
      <c r="W135" s="32" t="s">
        <v>196</v>
      </c>
      <c r="X135" s="32" t="s">
        <v>197</v>
      </c>
      <c r="Y135" s="61" t="s">
        <v>198</v>
      </c>
      <c r="Z135" s="62" t="s">
        <v>199</v>
      </c>
      <c r="AA135" s="62" t="s">
        <v>200</v>
      </c>
      <c r="AB135" s="63" t="s">
        <v>201</v>
      </c>
      <c r="AC135" s="32" t="s">
        <v>202</v>
      </c>
      <c r="AD135" s="32" t="s">
        <v>203</v>
      </c>
      <c r="AE135" s="32" t="s">
        <v>204</v>
      </c>
      <c r="AF135" s="61" t="s">
        <v>205</v>
      </c>
      <c r="AG135" s="62" t="s">
        <v>206</v>
      </c>
      <c r="AH135" s="62" t="s">
        <v>207</v>
      </c>
      <c r="AI135" s="63" t="s">
        <v>208</v>
      </c>
      <c r="AJ135" s="32" t="s">
        <v>209</v>
      </c>
      <c r="AK135" s="62" t="s">
        <v>210</v>
      </c>
      <c r="AL135" s="32" t="s">
        <v>211</v>
      </c>
      <c r="AM135" s="61" t="s">
        <v>212</v>
      </c>
      <c r="AN135" s="62" t="s">
        <v>213</v>
      </c>
      <c r="AO135" s="62" t="s">
        <v>214</v>
      </c>
      <c r="AP135" s="63" t="s">
        <v>215</v>
      </c>
      <c r="AQ135" s="32" t="s">
        <v>216</v>
      </c>
      <c r="AR135" s="62" t="s">
        <v>217</v>
      </c>
      <c r="AS135" s="32" t="s">
        <v>218</v>
      </c>
      <c r="AT135" s="61" t="s">
        <v>219</v>
      </c>
      <c r="AU135" s="62" t="s">
        <v>220</v>
      </c>
      <c r="AV135" s="62" t="s">
        <v>221</v>
      </c>
      <c r="AW135" s="63" t="s">
        <v>222</v>
      </c>
      <c r="AX135" s="32" t="s">
        <v>223</v>
      </c>
      <c r="AY135" s="62" t="s">
        <v>224</v>
      </c>
      <c r="AZ135" s="32" t="s">
        <v>225</v>
      </c>
      <c r="BA135" s="61" t="s">
        <v>226</v>
      </c>
      <c r="BB135" s="62" t="s">
        <v>227</v>
      </c>
      <c r="BC135" s="62" t="s">
        <v>228</v>
      </c>
      <c r="BD135" s="63" t="s">
        <v>229</v>
      </c>
      <c r="BE135" s="32" t="s">
        <v>230</v>
      </c>
      <c r="BF135" s="32" t="s">
        <v>231</v>
      </c>
      <c r="BG135" s="32" t="s">
        <v>232</v>
      </c>
      <c r="BH135" s="61" t="s">
        <v>233</v>
      </c>
      <c r="BI135" s="62" t="s">
        <v>234</v>
      </c>
      <c r="BJ135" s="62" t="s">
        <v>235</v>
      </c>
      <c r="BK135" s="63" t="s">
        <v>236</v>
      </c>
      <c r="BL135" s="32" t="s">
        <v>237</v>
      </c>
      <c r="BM135" s="62" t="s">
        <v>238</v>
      </c>
      <c r="BN135" s="32" t="s">
        <v>239</v>
      </c>
      <c r="BO135" s="61" t="s">
        <v>240</v>
      </c>
      <c r="BP135" s="62" t="s">
        <v>241</v>
      </c>
      <c r="BQ135" s="62" t="s">
        <v>242</v>
      </c>
      <c r="BR135" s="63" t="s">
        <v>243</v>
      </c>
      <c r="BS135" s="32" t="s">
        <v>244</v>
      </c>
      <c r="BT135" s="62" t="s">
        <v>245</v>
      </c>
      <c r="BU135" s="32" t="s">
        <v>246</v>
      </c>
      <c r="BV135" s="61" t="s">
        <v>247</v>
      </c>
      <c r="BW135" s="62" t="s">
        <v>248</v>
      </c>
      <c r="BX135" s="62" t="s">
        <v>249</v>
      </c>
      <c r="BY135" s="63" t="s">
        <v>250</v>
      </c>
      <c r="BZ135" s="32" t="s">
        <v>251</v>
      </c>
      <c r="CA135" s="62" t="s">
        <v>252</v>
      </c>
      <c r="CB135" s="32" t="s">
        <v>253</v>
      </c>
      <c r="CC135" s="61" t="s">
        <v>254</v>
      </c>
      <c r="CD135" s="62" t="s">
        <v>255</v>
      </c>
      <c r="CE135" s="62" t="s">
        <v>256</v>
      </c>
      <c r="CF135" s="63" t="s">
        <v>257</v>
      </c>
      <c r="CG135" s="32" t="s">
        <v>258</v>
      </c>
      <c r="CH135" s="32" t="s">
        <v>259</v>
      </c>
      <c r="CI135" s="32" t="s">
        <v>260</v>
      </c>
      <c r="CJ135" s="61" t="s">
        <v>261</v>
      </c>
      <c r="CK135" s="62" t="s">
        <v>262</v>
      </c>
      <c r="CL135" s="62" t="s">
        <v>263</v>
      </c>
      <c r="CM135" s="63" t="s">
        <v>264</v>
      </c>
      <c r="CN135" s="32" t="s">
        <v>265</v>
      </c>
      <c r="CO135" s="62" t="s">
        <v>266</v>
      </c>
      <c r="CP135" s="32" t="s">
        <v>267</v>
      </c>
      <c r="CQ135" s="61" t="s">
        <v>268</v>
      </c>
      <c r="CR135" s="62" t="s">
        <v>269</v>
      </c>
      <c r="CS135" s="62" t="s">
        <v>270</v>
      </c>
      <c r="CT135" s="63" t="s">
        <v>271</v>
      </c>
      <c r="CU135" s="32" t="s">
        <v>272</v>
      </c>
      <c r="CV135" s="62" t="s">
        <v>273</v>
      </c>
      <c r="CW135" s="32" t="s">
        <v>274</v>
      </c>
      <c r="CX135" s="61" t="s">
        <v>275</v>
      </c>
      <c r="CY135" s="62" t="s">
        <v>276</v>
      </c>
      <c r="CZ135" s="62" t="s">
        <v>277</v>
      </c>
      <c r="DA135" s="63" t="s">
        <v>278</v>
      </c>
      <c r="DB135" s="32" t="s">
        <v>279</v>
      </c>
      <c r="DC135" s="62" t="s">
        <v>280</v>
      </c>
      <c r="DD135" s="32" t="s">
        <v>281</v>
      </c>
      <c r="DE135" s="61" t="s">
        <v>282</v>
      </c>
      <c r="DF135" s="62" t="s">
        <v>283</v>
      </c>
      <c r="DG135" s="62" t="s">
        <v>284</v>
      </c>
      <c r="DH135" s="63" t="s">
        <v>285</v>
      </c>
      <c r="DI135" s="32" t="s">
        <v>286</v>
      </c>
      <c r="DJ135" s="32" t="s">
        <v>287</v>
      </c>
      <c r="DK135" s="32" t="s">
        <v>288</v>
      </c>
      <c r="DL135" s="61" t="s">
        <v>289</v>
      </c>
      <c r="DM135" s="62" t="s">
        <v>290</v>
      </c>
      <c r="DN135" s="62" t="s">
        <v>291</v>
      </c>
      <c r="DO135" s="63" t="s">
        <v>292</v>
      </c>
      <c r="DP135" s="32" t="s">
        <v>293</v>
      </c>
      <c r="DQ135" s="62" t="s">
        <v>294</v>
      </c>
      <c r="DR135" s="32" t="s">
        <v>295</v>
      </c>
      <c r="DS135" s="61" t="s">
        <v>296</v>
      </c>
      <c r="DT135" s="62" t="s">
        <v>297</v>
      </c>
      <c r="DU135" s="62" t="s">
        <v>298</v>
      </c>
      <c r="DV135" s="63" t="s">
        <v>299</v>
      </c>
      <c r="DW135" s="32" t="s">
        <v>300</v>
      </c>
      <c r="DX135" s="62" t="s">
        <v>301</v>
      </c>
      <c r="DY135" s="32" t="s">
        <v>302</v>
      </c>
      <c r="DZ135" s="61" t="s">
        <v>303</v>
      </c>
      <c r="EA135" s="62" t="s">
        <v>304</v>
      </c>
      <c r="EB135" s="62" t="s">
        <v>305</v>
      </c>
      <c r="EC135" s="63" t="s">
        <v>306</v>
      </c>
      <c r="ED135" s="32" t="s">
        <v>307</v>
      </c>
      <c r="EE135" s="62" t="s">
        <v>308</v>
      </c>
      <c r="EF135" s="32" t="s">
        <v>309</v>
      </c>
      <c r="EG135" s="61" t="s">
        <v>346</v>
      </c>
      <c r="EH135" s="62" t="s">
        <v>347</v>
      </c>
      <c r="EI135" s="62" t="s">
        <v>348</v>
      </c>
      <c r="EJ135" s="63" t="s">
        <v>349</v>
      </c>
      <c r="EK135" s="32" t="s">
        <v>350</v>
      </c>
      <c r="EL135" s="32" t="s">
        <v>351</v>
      </c>
      <c r="EM135" s="32" t="s">
        <v>352</v>
      </c>
      <c r="EN135" s="61" t="s">
        <v>353</v>
      </c>
      <c r="EO135" s="62" t="s">
        <v>354</v>
      </c>
      <c r="EP135" s="62" t="s">
        <v>355</v>
      </c>
      <c r="EQ135" s="63" t="s">
        <v>356</v>
      </c>
      <c r="ER135" s="32" t="s">
        <v>357</v>
      </c>
      <c r="ES135" s="62" t="s">
        <v>358</v>
      </c>
      <c r="ET135" s="32" t="s">
        <v>359</v>
      </c>
      <c r="EU135" s="61" t="s">
        <v>360</v>
      </c>
      <c r="EV135" s="62" t="s">
        <v>361</v>
      </c>
      <c r="EW135" s="62" t="s">
        <v>362</v>
      </c>
      <c r="EX135" s="63" t="s">
        <v>363</v>
      </c>
      <c r="EY135" s="32" t="s">
        <v>364</v>
      </c>
      <c r="EZ135" s="62" t="s">
        <v>365</v>
      </c>
      <c r="FA135" s="32" t="s">
        <v>366</v>
      </c>
      <c r="FB135" s="61" t="s">
        <v>367</v>
      </c>
      <c r="FC135" s="62" t="s">
        <v>368</v>
      </c>
      <c r="FD135" s="62" t="s">
        <v>369</v>
      </c>
      <c r="FE135" s="63" t="s">
        <v>370</v>
      </c>
      <c r="FF135" s="32" t="s">
        <v>371</v>
      </c>
      <c r="FG135" s="62" t="s">
        <v>372</v>
      </c>
      <c r="FH135" s="32" t="s">
        <v>373</v>
      </c>
      <c r="FI135" s="61" t="s">
        <v>374</v>
      </c>
      <c r="FJ135" s="62" t="s">
        <v>375</v>
      </c>
      <c r="FK135" s="62" t="s">
        <v>376</v>
      </c>
      <c r="FL135" s="63" t="s">
        <v>377</v>
      </c>
      <c r="FM135" s="32" t="s">
        <v>378</v>
      </c>
      <c r="FN135" s="32" t="s">
        <v>379</v>
      </c>
      <c r="FO135" s="32" t="s">
        <v>380</v>
      </c>
      <c r="FP135" s="61" t="s">
        <v>381</v>
      </c>
      <c r="FQ135" s="62" t="s">
        <v>382</v>
      </c>
      <c r="FR135" s="62" t="s">
        <v>383</v>
      </c>
      <c r="FS135" s="63" t="s">
        <v>384</v>
      </c>
      <c r="FT135" s="32" t="s">
        <v>385</v>
      </c>
      <c r="FU135" s="62" t="s">
        <v>386</v>
      </c>
      <c r="FV135" s="32" t="s">
        <v>387</v>
      </c>
      <c r="FW135" s="61" t="s">
        <v>388</v>
      </c>
      <c r="FX135" s="62" t="s">
        <v>389</v>
      </c>
      <c r="FY135" s="62" t="s">
        <v>390</v>
      </c>
      <c r="FZ135" s="63" t="s">
        <v>391</v>
      </c>
      <c r="GA135" s="32" t="s">
        <v>392</v>
      </c>
      <c r="GB135" s="62" t="s">
        <v>393</v>
      </c>
      <c r="GC135" s="32" t="s">
        <v>394</v>
      </c>
      <c r="GD135" s="61" t="s">
        <v>395</v>
      </c>
      <c r="GE135" s="62" t="s">
        <v>396</v>
      </c>
      <c r="GF135" s="62" t="s">
        <v>397</v>
      </c>
      <c r="GG135" s="63" t="s">
        <v>398</v>
      </c>
      <c r="GH135" s="32" t="s">
        <v>399</v>
      </c>
      <c r="GI135" s="62" t="s">
        <v>400</v>
      </c>
      <c r="GJ135" s="32" t="s">
        <v>401</v>
      </c>
      <c r="GK135" s="61" t="s">
        <v>402</v>
      </c>
      <c r="GL135" s="62" t="s">
        <v>403</v>
      </c>
      <c r="GM135" s="62" t="s">
        <v>404</v>
      </c>
      <c r="GN135" s="63" t="s">
        <v>405</v>
      </c>
      <c r="GO135" s="32" t="s">
        <v>406</v>
      </c>
      <c r="GP135" s="32" t="s">
        <v>407</v>
      </c>
      <c r="GQ135" s="32" t="s">
        <v>408</v>
      </c>
      <c r="GR135" s="61" t="s">
        <v>409</v>
      </c>
      <c r="GS135" s="62" t="s">
        <v>410</v>
      </c>
      <c r="GT135" s="62" t="s">
        <v>411</v>
      </c>
      <c r="GU135" s="63" t="s">
        <v>412</v>
      </c>
      <c r="GV135" s="32" t="s">
        <v>413</v>
      </c>
      <c r="GW135" s="62" t="s">
        <v>414</v>
      </c>
      <c r="GX135" s="32" t="s">
        <v>415</v>
      </c>
      <c r="GY135" s="61" t="s">
        <v>416</v>
      </c>
      <c r="GZ135" s="62" t="s">
        <v>417</v>
      </c>
      <c r="HA135" s="62" t="s">
        <v>418</v>
      </c>
      <c r="HB135" s="63" t="s">
        <v>419</v>
      </c>
      <c r="HC135" s="32" t="s">
        <v>420</v>
      </c>
      <c r="HD135" s="62" t="s">
        <v>421</v>
      </c>
      <c r="HE135" s="32" t="s">
        <v>422</v>
      </c>
      <c r="HF135" s="61" t="s">
        <v>423</v>
      </c>
      <c r="HG135" s="62" t="s">
        <v>424</v>
      </c>
      <c r="HH135" s="62" t="s">
        <v>425</v>
      </c>
      <c r="HI135" s="63" t="s">
        <v>426</v>
      </c>
      <c r="HJ135" s="32" t="s">
        <v>427</v>
      </c>
      <c r="HK135" s="62" t="s">
        <v>428</v>
      </c>
      <c r="HL135" s="32" t="s">
        <v>429</v>
      </c>
      <c r="HM135" s="61" t="s">
        <v>430</v>
      </c>
      <c r="HN135" s="62" t="s">
        <v>431</v>
      </c>
      <c r="HO135" s="62" t="s">
        <v>432</v>
      </c>
      <c r="HP135" s="63" t="s">
        <v>433</v>
      </c>
      <c r="HQ135" s="32" t="s">
        <v>434</v>
      </c>
      <c r="HR135" s="32" t="s">
        <v>435</v>
      </c>
      <c r="HS135" s="32" t="s">
        <v>436</v>
      </c>
      <c r="HT135" s="61" t="s">
        <v>437</v>
      </c>
      <c r="HU135" s="62" t="s">
        <v>438</v>
      </c>
      <c r="HV135" s="62" t="s">
        <v>439</v>
      </c>
      <c r="HW135" s="63" t="s">
        <v>440</v>
      </c>
      <c r="HX135" s="32" t="s">
        <v>441</v>
      </c>
      <c r="HY135" s="62" t="s">
        <v>442</v>
      </c>
      <c r="HZ135" s="32" t="s">
        <v>443</v>
      </c>
      <c r="IA135" s="61" t="s">
        <v>444</v>
      </c>
      <c r="IB135" s="62" t="s">
        <v>445</v>
      </c>
      <c r="IC135" s="62"/>
      <c r="ID135" s="63"/>
      <c r="IE135" s="32"/>
      <c r="IF135" s="62"/>
      <c r="IG135" s="32"/>
      <c r="IH135" s="61"/>
      <c r="II135" s="62"/>
      <c r="IJ135" s="62"/>
      <c r="IK135" s="63"/>
      <c r="IL135" s="32"/>
      <c r="IM135" s="62"/>
      <c r="IN135" s="32"/>
      <c r="IO135" s="61"/>
      <c r="IP135" s="62"/>
      <c r="IQ135" s="62"/>
      <c r="IR135" s="63"/>
      <c r="IS135" s="32"/>
      <c r="IT135" s="32"/>
      <c r="IU135" s="32"/>
      <c r="IV135" s="61"/>
      <c r="IW135" s="62"/>
      <c r="IX135" s="62"/>
      <c r="IY135" s="63"/>
      <c r="IZ135" s="32"/>
      <c r="JA135" s="62"/>
      <c r="JB135" s="32"/>
      <c r="JC135" s="61"/>
      <c r="JD135" s="62"/>
      <c r="JE135" s="62"/>
      <c r="JF135" s="63"/>
      <c r="JG135" s="32"/>
      <c r="JH135" s="62"/>
      <c r="JI135" s="32"/>
      <c r="JJ135" s="61"/>
      <c r="JK135" s="62"/>
      <c r="JL135" s="62"/>
      <c r="JM135" s="63"/>
      <c r="JN135" s="32"/>
      <c r="JO135" s="62"/>
      <c r="JP135" s="32"/>
      <c r="JQ135" s="61"/>
      <c r="JR135" s="62"/>
      <c r="JS135" s="62"/>
      <c r="JT135" s="63"/>
      <c r="JU135" s="32"/>
      <c r="JV135" s="32"/>
      <c r="JW135" s="32"/>
      <c r="JX135" s="61"/>
      <c r="JY135" s="62"/>
      <c r="JZ135" s="62"/>
      <c r="KA135" s="63"/>
      <c r="KB135" s="32"/>
      <c r="KC135" s="62"/>
      <c r="KD135" s="32"/>
      <c r="KE135" s="61"/>
      <c r="KF135" s="62"/>
      <c r="KG135" s="62"/>
      <c r="KH135" s="63"/>
      <c r="KI135" s="32"/>
      <c r="KJ135" s="62"/>
      <c r="KK135" s="32"/>
      <c r="KL135" s="61"/>
      <c r="KM135" s="62"/>
      <c r="KN135" s="62"/>
      <c r="KO135" s="63"/>
      <c r="KP135" s="32"/>
      <c r="KQ135" s="62"/>
      <c r="KR135" s="32"/>
      <c r="KS135" s="61"/>
      <c r="KT135" s="62"/>
      <c r="KU135" s="62"/>
      <c r="KV135" s="63"/>
      <c r="KW135" s="32"/>
      <c r="KX135" s="62"/>
      <c r="KY135" s="32"/>
      <c r="KZ135" s="61"/>
      <c r="LA135" s="62"/>
      <c r="LB135" s="62"/>
      <c r="LC135" s="63"/>
      <c r="LD135" s="32"/>
      <c r="LE135" s="62"/>
      <c r="LF135" s="32"/>
      <c r="LG135" s="61"/>
      <c r="LH135" s="62"/>
      <c r="LI135" s="62"/>
      <c r="LJ135" s="63"/>
      <c r="LK135" s="32"/>
      <c r="LL135" s="62"/>
      <c r="LM135" s="32"/>
      <c r="LN135" s="61"/>
      <c r="LO135" s="62"/>
      <c r="LP135" s="62"/>
      <c r="LQ135" s="63"/>
      <c r="LR135" s="32"/>
      <c r="LS135" s="62"/>
      <c r="LT135" s="32"/>
      <c r="LU135" s="61"/>
      <c r="LV135" s="62"/>
      <c r="LW135" s="62"/>
      <c r="LX135" s="63"/>
      <c r="LY135" s="32"/>
      <c r="LZ135" s="62"/>
      <c r="MA135" s="32"/>
      <c r="MB135" s="61"/>
      <c r="MC135" s="62"/>
      <c r="MD135" s="62"/>
      <c r="ME135" s="63"/>
      <c r="MF135" s="32"/>
      <c r="MG135" s="62"/>
      <c r="MH135" s="32"/>
      <c r="MI135" s="61"/>
      <c r="MJ135" s="62"/>
      <c r="MK135" s="62"/>
      <c r="ML135" s="63"/>
      <c r="MM135" s="32"/>
      <c r="MN135" s="62"/>
      <c r="MO135" s="32"/>
      <c r="MP135" s="61"/>
      <c r="MQ135" s="27"/>
      <c r="MR135" s="27"/>
      <c r="MS135" s="28"/>
      <c r="MT135" s="25"/>
      <c r="MU135" s="27"/>
      <c r="MV135" s="25"/>
      <c r="MW135" s="26"/>
      <c r="MX135" s="27"/>
      <c r="MY135" s="27"/>
      <c r="MZ135" s="28"/>
      <c r="NA135" s="25"/>
      <c r="NB135" s="27"/>
      <c r="NC135" s="25"/>
      <c r="ND135" s="26"/>
      <c r="NE135" s="27"/>
      <c r="NF135" s="27"/>
      <c r="NG135" s="28"/>
      <c r="NH135" s="25"/>
      <c r="NI135" s="27"/>
      <c r="NJ135" s="25"/>
      <c r="NK135" s="26"/>
      <c r="NL135" s="27"/>
      <c r="NM135" s="27"/>
      <c r="NN135" s="28"/>
      <c r="NO135" s="25"/>
      <c r="NP135" s="27"/>
      <c r="NQ135" s="25"/>
      <c r="NR135" s="26"/>
      <c r="NS135" s="27"/>
      <c r="NT135" s="27"/>
      <c r="NU135" s="28"/>
      <c r="NV135" s="25"/>
      <c r="NW135" s="27"/>
      <c r="NX135" s="25"/>
      <c r="NY135" s="26"/>
      <c r="NZ135" s="27"/>
      <c r="OA135" s="27"/>
      <c r="OB135" s="28"/>
      <c r="OC135" s="25"/>
      <c r="OD135" s="27"/>
      <c r="OE135" s="25"/>
      <c r="OF135" s="26"/>
      <c r="OG135" s="27"/>
      <c r="OH135" s="27"/>
      <c r="OI135" s="28"/>
      <c r="OJ135" s="25"/>
      <c r="OK135" s="27"/>
      <c r="OL135" s="25"/>
      <c r="OM135" s="26"/>
      <c r="ON135" s="27"/>
      <c r="OO135" s="27"/>
      <c r="OP135" s="28"/>
      <c r="OQ135" s="25"/>
      <c r="OR135" s="27"/>
      <c r="OS135" s="25"/>
      <c r="OT135" s="26"/>
      <c r="OU135" s="27"/>
      <c r="OV135" s="27"/>
      <c r="OW135" s="28"/>
      <c r="OX135" s="25"/>
      <c r="OY135" s="27"/>
      <c r="OZ135" s="25"/>
      <c r="PA135" s="26"/>
      <c r="PB135" s="27"/>
      <c r="PC135" s="27"/>
      <c r="PD135" s="28"/>
      <c r="PE135" s="25"/>
      <c r="PF135" s="27"/>
      <c r="PG135" s="25"/>
      <c r="PH135" s="26"/>
      <c r="PI135" s="27"/>
      <c r="PJ135" s="27"/>
      <c r="PK135" s="28"/>
      <c r="PL135" s="25"/>
      <c r="PM135" s="27"/>
      <c r="PN135" s="25"/>
      <c r="PO135" s="26"/>
      <c r="PP135" s="27"/>
      <c r="PQ135" s="27"/>
      <c r="PR135" s="28"/>
      <c r="PS135" s="25"/>
      <c r="PT135" s="27"/>
      <c r="PU135" s="25"/>
      <c r="PV135" s="26"/>
      <c r="PW135" s="27"/>
      <c r="PX135" s="27"/>
      <c r="PY135" s="28"/>
      <c r="PZ135" s="25"/>
      <c r="QA135" s="27"/>
      <c r="QB135" s="25"/>
      <c r="QC135" s="26"/>
      <c r="QD135" s="27"/>
      <c r="QE135" s="27"/>
      <c r="QF135" s="28"/>
      <c r="QG135" s="25"/>
      <c r="QH135" s="27"/>
      <c r="QI135" s="25"/>
      <c r="QJ135" s="26"/>
      <c r="QK135" s="27"/>
      <c r="QL135" s="27"/>
      <c r="QM135" s="28"/>
      <c r="QN135" s="25"/>
      <c r="QO135" s="27"/>
      <c r="QP135" s="25"/>
      <c r="QQ135" s="26"/>
      <c r="QR135" s="27"/>
      <c r="QS135" s="27"/>
      <c r="QT135" s="28"/>
      <c r="QU135" s="25"/>
      <c r="QV135" s="27"/>
      <c r="QW135" s="25"/>
      <c r="QX135" s="26"/>
      <c r="QY135" s="27"/>
      <c r="QZ135" s="27"/>
      <c r="RA135" s="28"/>
      <c r="RB135" s="25"/>
      <c r="RC135" s="27"/>
      <c r="RD135" s="25"/>
      <c r="RE135" s="26"/>
      <c r="RF135" s="27"/>
      <c r="RG135" s="27"/>
      <c r="RH135" s="28"/>
      <c r="RI135" s="25"/>
      <c r="RJ135" s="27"/>
      <c r="RK135" s="25"/>
      <c r="RL135" s="26"/>
      <c r="RM135" s="27"/>
      <c r="RN135" s="27"/>
      <c r="RO135" s="28"/>
      <c r="RP135" s="25"/>
      <c r="RQ135" s="27"/>
      <c r="RR135" s="25"/>
      <c r="RS135" s="26"/>
      <c r="RT135" s="27"/>
      <c r="RU135" s="27"/>
      <c r="RV135" s="28"/>
      <c r="RW135" s="25"/>
      <c r="RX135" s="27"/>
      <c r="RY135" s="25"/>
      <c r="RZ135" s="26"/>
      <c r="SA135" s="27"/>
      <c r="SB135" s="27"/>
      <c r="SC135" s="28"/>
      <c r="SD135" s="25"/>
      <c r="SE135" s="27"/>
      <c r="SF135" s="25"/>
      <c r="SG135" s="26"/>
      <c r="SH135" s="27"/>
      <c r="SI135" s="27"/>
      <c r="SJ135" s="28"/>
      <c r="SK135" s="25"/>
      <c r="SL135" s="27"/>
      <c r="SM135" s="25"/>
      <c r="SN135" s="26"/>
      <c r="SO135" s="27"/>
      <c r="SP135" s="27"/>
      <c r="SQ135" s="28"/>
      <c r="SR135" s="25"/>
    </row>
    <row r="136" spans="1:512" ht="14" thickBot="1" x14ac:dyDescent="0.2">
      <c r="E136" s="25"/>
      <c r="F136" s="26"/>
      <c r="G136" s="27"/>
      <c r="H136" s="28"/>
      <c r="I136" s="25"/>
      <c r="J136" s="25"/>
      <c r="K136" s="26"/>
      <c r="L136" s="27"/>
      <c r="M136" s="27"/>
      <c r="N136" s="28"/>
      <c r="O136" s="25"/>
      <c r="P136" s="32" t="str">
        <f>ADDRESS(2,10+(COLUMN(A1)-1)*7,4)</f>
        <v>J2</v>
      </c>
      <c r="Q136" s="32" t="str">
        <f t="shared" ref="Q136:BR136" si="1387">ADDRESS(2,10+(COLUMN(B1)-1)*7,4)</f>
        <v>Q2</v>
      </c>
      <c r="R136" s="32" t="str">
        <f t="shared" si="1387"/>
        <v>X2</v>
      </c>
      <c r="S136" s="32" t="str">
        <f t="shared" si="1387"/>
        <v>AE2</v>
      </c>
      <c r="T136" s="32" t="str">
        <f t="shared" si="1387"/>
        <v>AL2</v>
      </c>
      <c r="U136" s="32" t="str">
        <f t="shared" si="1387"/>
        <v>AS2</v>
      </c>
      <c r="V136" s="32" t="str">
        <f t="shared" si="1387"/>
        <v>AZ2</v>
      </c>
      <c r="W136" s="32" t="str">
        <f t="shared" si="1387"/>
        <v>BG2</v>
      </c>
      <c r="X136" s="32" t="str">
        <f t="shared" si="1387"/>
        <v>BN2</v>
      </c>
      <c r="Y136" s="32" t="str">
        <f t="shared" si="1387"/>
        <v>BU2</v>
      </c>
      <c r="Z136" s="32" t="str">
        <f t="shared" si="1387"/>
        <v>CB2</v>
      </c>
      <c r="AA136" s="32" t="str">
        <f t="shared" si="1387"/>
        <v>CI2</v>
      </c>
      <c r="AB136" s="32" t="str">
        <f t="shared" si="1387"/>
        <v>CP2</v>
      </c>
      <c r="AC136" s="32" t="str">
        <f t="shared" si="1387"/>
        <v>CW2</v>
      </c>
      <c r="AD136" s="32" t="str">
        <f t="shared" si="1387"/>
        <v>DD2</v>
      </c>
      <c r="AE136" s="32" t="str">
        <f t="shared" si="1387"/>
        <v>DK2</v>
      </c>
      <c r="AF136" s="32" t="str">
        <f t="shared" si="1387"/>
        <v>DR2</v>
      </c>
      <c r="AG136" s="32" t="str">
        <f t="shared" si="1387"/>
        <v>DY2</v>
      </c>
      <c r="AH136" s="32" t="str">
        <f t="shared" si="1387"/>
        <v>EF2</v>
      </c>
      <c r="AI136" s="32" t="str">
        <f t="shared" si="1387"/>
        <v>EM2</v>
      </c>
      <c r="AJ136" s="32" t="str">
        <f t="shared" si="1387"/>
        <v>ET2</v>
      </c>
      <c r="AK136" s="32" t="str">
        <f t="shared" si="1387"/>
        <v>FA2</v>
      </c>
      <c r="AL136" s="32" t="str">
        <f t="shared" si="1387"/>
        <v>FH2</v>
      </c>
      <c r="AM136" s="32" t="str">
        <f t="shared" si="1387"/>
        <v>FO2</v>
      </c>
      <c r="AN136" s="32" t="str">
        <f t="shared" si="1387"/>
        <v>FV2</v>
      </c>
      <c r="AO136" s="32" t="str">
        <f t="shared" si="1387"/>
        <v>GC2</v>
      </c>
      <c r="AP136" s="32" t="str">
        <f t="shared" si="1387"/>
        <v>GJ2</v>
      </c>
      <c r="AQ136" s="32" t="str">
        <f t="shared" si="1387"/>
        <v>GQ2</v>
      </c>
      <c r="AR136" s="32" t="str">
        <f t="shared" si="1387"/>
        <v>GX2</v>
      </c>
      <c r="AS136" s="32" t="str">
        <f t="shared" si="1387"/>
        <v>HE2</v>
      </c>
      <c r="AT136" s="32" t="str">
        <f t="shared" si="1387"/>
        <v>HL2</v>
      </c>
      <c r="AU136" s="32" t="str">
        <f t="shared" si="1387"/>
        <v>HS2</v>
      </c>
      <c r="AV136" s="32" t="str">
        <f t="shared" si="1387"/>
        <v>HZ2</v>
      </c>
      <c r="AW136" s="32" t="str">
        <f t="shared" si="1387"/>
        <v>IG2</v>
      </c>
      <c r="AX136" s="32" t="str">
        <f t="shared" si="1387"/>
        <v>IN2</v>
      </c>
      <c r="AY136" s="32" t="str">
        <f t="shared" si="1387"/>
        <v>IU2</v>
      </c>
      <c r="AZ136" s="32" t="str">
        <f t="shared" si="1387"/>
        <v>JB2</v>
      </c>
      <c r="BA136" s="32" t="str">
        <f t="shared" si="1387"/>
        <v>JI2</v>
      </c>
      <c r="BB136" s="32" t="str">
        <f t="shared" si="1387"/>
        <v>JP2</v>
      </c>
      <c r="BC136" s="32" t="str">
        <f t="shared" si="1387"/>
        <v>JW2</v>
      </c>
      <c r="BD136" s="32" t="str">
        <f t="shared" si="1387"/>
        <v>KD2</v>
      </c>
      <c r="BE136" s="32" t="str">
        <f t="shared" si="1387"/>
        <v>KK2</v>
      </c>
      <c r="BF136" s="32" t="str">
        <f t="shared" si="1387"/>
        <v>KR2</v>
      </c>
      <c r="BG136" s="32" t="str">
        <f t="shared" si="1387"/>
        <v>KY2</v>
      </c>
      <c r="BH136" s="32" t="str">
        <f t="shared" si="1387"/>
        <v>LF2</v>
      </c>
      <c r="BI136" s="32" t="str">
        <f t="shared" si="1387"/>
        <v>LM2</v>
      </c>
      <c r="BJ136" s="32" t="str">
        <f t="shared" si="1387"/>
        <v>LT2</v>
      </c>
      <c r="BK136" s="32" t="str">
        <f t="shared" si="1387"/>
        <v>MA2</v>
      </c>
      <c r="BL136" s="32" t="str">
        <f t="shared" si="1387"/>
        <v>MH2</v>
      </c>
      <c r="BM136" s="32" t="str">
        <f t="shared" si="1387"/>
        <v>MO2</v>
      </c>
      <c r="BN136" s="32" t="str">
        <f t="shared" si="1387"/>
        <v>MV2</v>
      </c>
      <c r="BO136" s="32" t="str">
        <f t="shared" si="1387"/>
        <v>NC2</v>
      </c>
      <c r="BP136" s="32" t="str">
        <f t="shared" si="1387"/>
        <v>NJ2</v>
      </c>
      <c r="BQ136" s="32" t="str">
        <f t="shared" si="1387"/>
        <v>NQ2</v>
      </c>
      <c r="BR136" s="32" t="str">
        <f t="shared" si="1387"/>
        <v>NX2</v>
      </c>
      <c r="BS136" s="32" t="str">
        <f t="shared" ref="BS136" si="1388">ADDRESS(2,10+(COLUMN(BD1)-1)*7,4)</f>
        <v>OE2</v>
      </c>
      <c r="BT136" s="32" t="str">
        <f t="shared" ref="BT136" si="1389">ADDRESS(2,10+(COLUMN(BE1)-1)*7,4)</f>
        <v>OL2</v>
      </c>
      <c r="BU136" s="32" t="str">
        <f t="shared" ref="BU136" si="1390">ADDRESS(2,10+(COLUMN(BF1)-1)*7,4)</f>
        <v>OS2</v>
      </c>
      <c r="BV136" s="32" t="str">
        <f t="shared" ref="BV136" si="1391">ADDRESS(2,10+(COLUMN(BG1)-1)*7,4)</f>
        <v>OZ2</v>
      </c>
      <c r="BW136" s="32" t="str">
        <f t="shared" ref="BW136" si="1392">ADDRESS(2,10+(COLUMN(BH1)-1)*7,4)</f>
        <v>PG2</v>
      </c>
      <c r="BX136" s="32" t="str">
        <f t="shared" ref="BX136" si="1393">ADDRESS(2,10+(COLUMN(BI1)-1)*7,4)</f>
        <v>PN2</v>
      </c>
      <c r="BY136" s="32" t="str">
        <f t="shared" ref="BY136" si="1394">ADDRESS(2,10+(COLUMN(BJ1)-1)*7,4)</f>
        <v>PU2</v>
      </c>
      <c r="BZ136" s="32" t="str">
        <f t="shared" ref="BZ136" si="1395">ADDRESS(2,10+(COLUMN(BK1)-1)*7,4)</f>
        <v>QB2</v>
      </c>
      <c r="CA136" s="32" t="str">
        <f t="shared" ref="CA136" si="1396">ADDRESS(2,10+(COLUMN(BL1)-1)*7,4)</f>
        <v>QI2</v>
      </c>
      <c r="CB136" s="32" t="str">
        <f t="shared" ref="CB136" si="1397">ADDRESS(2,10+(COLUMN(BM1)-1)*7,4)</f>
        <v>QP2</v>
      </c>
      <c r="CC136" s="32" t="str">
        <f t="shared" ref="CC136" si="1398">ADDRESS(2,10+(COLUMN(BN1)-1)*7,4)</f>
        <v>QW2</v>
      </c>
      <c r="CD136" s="32" t="str">
        <f t="shared" ref="CD136" si="1399">ADDRESS(2,10+(COLUMN(BO1)-1)*7,4)</f>
        <v>RD2</v>
      </c>
      <c r="CE136" s="32" t="str">
        <f t="shared" ref="CE136" si="1400">ADDRESS(2,10+(COLUMN(BP1)-1)*7,4)</f>
        <v>RK2</v>
      </c>
      <c r="CF136" s="32" t="str">
        <f t="shared" ref="CF136" si="1401">ADDRESS(2,10+(COLUMN(BQ1)-1)*7,4)</f>
        <v>RR2</v>
      </c>
      <c r="CG136" s="32" t="str">
        <f t="shared" ref="CG136" si="1402">ADDRESS(2,10+(COLUMN(BR1)-1)*7,4)</f>
        <v>RY2</v>
      </c>
      <c r="CH136" s="32" t="str">
        <f t="shared" ref="CH136" si="1403">ADDRESS(2,10+(COLUMN(BS1)-1)*7,4)</f>
        <v>SF2</v>
      </c>
      <c r="CI136" s="32" t="str">
        <f t="shared" ref="CI136" si="1404">ADDRESS(2,10+(COLUMN(BT1)-1)*7,4)</f>
        <v>SM2</v>
      </c>
      <c r="CJ136" s="32" t="str">
        <f t="shared" ref="CJ136" si="1405">ADDRESS(2,10+(COLUMN(BU1)-1)*7,4)</f>
        <v>ST2</v>
      </c>
      <c r="CK136" s="32" t="str">
        <f t="shared" ref="CK136" si="1406">ADDRESS(2,10+(COLUMN(BV1)-1)*7,4)</f>
        <v>TA2</v>
      </c>
      <c r="CL136" s="32" t="str">
        <f t="shared" ref="CL136" si="1407">ADDRESS(2,10+(COLUMN(BW1)-1)*7,4)</f>
        <v>TH2</v>
      </c>
      <c r="CM136" s="32" t="str">
        <f t="shared" ref="CM136" si="1408">ADDRESS(2,10+(COLUMN(BX1)-1)*7,4)</f>
        <v>TO2</v>
      </c>
      <c r="CN136" s="32" t="str">
        <f t="shared" ref="CN136" si="1409">ADDRESS(2,10+(COLUMN(BY1)-1)*7,4)</f>
        <v>TV2</v>
      </c>
      <c r="CO136" s="32" t="str">
        <f t="shared" ref="CO136" si="1410">ADDRESS(2,10+(COLUMN(BZ1)-1)*7,4)</f>
        <v>UC2</v>
      </c>
      <c r="CP136" s="32" t="str">
        <f t="shared" ref="CP136" si="1411">ADDRESS(2,10+(COLUMN(CA1)-1)*7,4)</f>
        <v>UJ2</v>
      </c>
      <c r="CQ136" s="32" t="str">
        <f t="shared" ref="CQ136" si="1412">ADDRESS(2,10+(COLUMN(CB1)-1)*7,4)</f>
        <v>UQ2</v>
      </c>
      <c r="CR136" s="32" t="str">
        <f t="shared" ref="CR136" si="1413">ADDRESS(2,10+(COLUMN(CC1)-1)*7,4)</f>
        <v>UX2</v>
      </c>
      <c r="CS136" s="32" t="str">
        <f t="shared" ref="CS136" si="1414">ADDRESS(2,10+(COLUMN(CD1)-1)*7,4)</f>
        <v>VE2</v>
      </c>
      <c r="CT136" s="32" t="str">
        <f t="shared" ref="CT136" si="1415">ADDRESS(2,10+(COLUMN(CE1)-1)*7,4)</f>
        <v>VL2</v>
      </c>
      <c r="CU136" s="32" t="str">
        <f t="shared" ref="CU136" si="1416">ADDRESS(2,10+(COLUMN(CF1)-1)*7,4)</f>
        <v>VS2</v>
      </c>
      <c r="CV136" s="32" t="str">
        <f t="shared" ref="CV136" si="1417">ADDRESS(2,10+(COLUMN(CG1)-1)*7,4)</f>
        <v>VZ2</v>
      </c>
      <c r="CW136" s="32" t="str">
        <f t="shared" ref="CW136" si="1418">ADDRESS(2,10+(COLUMN(CH1)-1)*7,4)</f>
        <v>WG2</v>
      </c>
      <c r="CX136" s="32" t="str">
        <f t="shared" ref="CX136" si="1419">ADDRESS(2,10+(COLUMN(CI1)-1)*7,4)</f>
        <v>WN2</v>
      </c>
      <c r="CY136" s="32" t="str">
        <f t="shared" ref="CY136" si="1420">ADDRESS(2,10+(COLUMN(CJ1)-1)*7,4)</f>
        <v>WU2</v>
      </c>
      <c r="CZ136" s="32" t="str">
        <f t="shared" ref="CZ136" si="1421">ADDRESS(2,10+(COLUMN(CK1)-1)*7,4)</f>
        <v>XB2</v>
      </c>
      <c r="DA136" s="32" t="str">
        <f t="shared" ref="DA136" si="1422">ADDRESS(2,10+(COLUMN(CL1)-1)*7,4)</f>
        <v>XI2</v>
      </c>
      <c r="DB136" s="32" t="str">
        <f t="shared" ref="DB136" si="1423">ADDRESS(2,10+(COLUMN(CM1)-1)*7,4)</f>
        <v>XP2</v>
      </c>
      <c r="DC136" s="32" t="str">
        <f t="shared" ref="DC136" si="1424">ADDRESS(2,10+(COLUMN(CN1)-1)*7,4)</f>
        <v>XW2</v>
      </c>
      <c r="DD136" s="32" t="str">
        <f t="shared" ref="DD136" si="1425">ADDRESS(2,10+(COLUMN(CO1)-1)*7,4)</f>
        <v>YD2</v>
      </c>
      <c r="DE136" s="32" t="str">
        <f t="shared" ref="DE136" si="1426">ADDRESS(2,10+(COLUMN(CP1)-1)*7,4)</f>
        <v>YK2</v>
      </c>
      <c r="DF136" s="32" t="str">
        <f t="shared" ref="DF136" si="1427">ADDRESS(2,10+(COLUMN(CQ1)-1)*7,4)</f>
        <v>YR2</v>
      </c>
      <c r="DG136" s="32" t="str">
        <f t="shared" ref="DG136" si="1428">ADDRESS(2,10+(COLUMN(CR1)-1)*7,4)</f>
        <v>YY2</v>
      </c>
      <c r="DH136" s="32" t="str">
        <f t="shared" ref="DH136" si="1429">ADDRESS(2,10+(COLUMN(CS1)-1)*7,4)</f>
        <v>ZF2</v>
      </c>
      <c r="DI136" s="32" t="str">
        <f t="shared" ref="DI136" si="1430">ADDRESS(2,10+(COLUMN(CT1)-1)*7,4)</f>
        <v>ZM2</v>
      </c>
      <c r="DJ136" s="32" t="str">
        <f t="shared" ref="DJ136" si="1431">ADDRESS(2,10+(COLUMN(CU1)-1)*7,4)</f>
        <v>ZT2</v>
      </c>
      <c r="DK136" s="32" t="str">
        <f t="shared" ref="DK136" si="1432">ADDRESS(2,10+(COLUMN(CV1)-1)*7,4)</f>
        <v>AAA2</v>
      </c>
      <c r="DL136" s="32" t="str">
        <f t="shared" ref="DL136" si="1433">ADDRESS(2,10+(COLUMN(CW1)-1)*7,4)</f>
        <v>AAH2</v>
      </c>
      <c r="DM136" s="32" t="str">
        <f t="shared" ref="DM136" si="1434">ADDRESS(2,10+(COLUMN(CX1)-1)*7,4)</f>
        <v>AAO2</v>
      </c>
      <c r="DN136" s="32" t="str">
        <f t="shared" ref="DN136" si="1435">ADDRESS(2,10+(COLUMN(CY1)-1)*7,4)</f>
        <v>AAV2</v>
      </c>
      <c r="DO136" s="32" t="str">
        <f t="shared" ref="DO136" si="1436">ADDRESS(2,10+(COLUMN(CZ1)-1)*7,4)</f>
        <v>ABC2</v>
      </c>
      <c r="DP136" s="32" t="str">
        <f t="shared" ref="DP136" si="1437">ADDRESS(2,10+(COLUMN(DA1)-1)*7,4)</f>
        <v>ABJ2</v>
      </c>
      <c r="DQ136" s="32" t="str">
        <f t="shared" ref="DQ136" si="1438">ADDRESS(2,10+(COLUMN(DB1)-1)*7,4)</f>
        <v>ABQ2</v>
      </c>
      <c r="DR136" s="32" t="str">
        <f t="shared" ref="DR136" si="1439">ADDRESS(2,10+(COLUMN(DC1)-1)*7,4)</f>
        <v>ABX2</v>
      </c>
      <c r="DS136" s="32" t="str">
        <f t="shared" ref="DS136" si="1440">ADDRESS(2,10+(COLUMN(DD1)-1)*7,4)</f>
        <v>ACE2</v>
      </c>
      <c r="DT136" s="32" t="str">
        <f t="shared" ref="DT136" si="1441">ADDRESS(2,10+(COLUMN(DE1)-1)*7,4)</f>
        <v>ACL2</v>
      </c>
      <c r="DU136" s="32" t="str">
        <f t="shared" ref="DU136" si="1442">ADDRESS(2,10+(COLUMN(DF1)-1)*7,4)</f>
        <v>ACS2</v>
      </c>
      <c r="DV136" s="32" t="str">
        <f t="shared" ref="DV136" si="1443">ADDRESS(2,10+(COLUMN(DG1)-1)*7,4)</f>
        <v>ACZ2</v>
      </c>
      <c r="DW136" s="32" t="str">
        <f t="shared" ref="DW136" si="1444">ADDRESS(2,10+(COLUMN(DH1)-1)*7,4)</f>
        <v>ADG2</v>
      </c>
      <c r="DX136" s="32" t="str">
        <f t="shared" ref="DX136" si="1445">ADDRESS(2,10+(COLUMN(DI1)-1)*7,4)</f>
        <v>ADN2</v>
      </c>
      <c r="DY136" s="32" t="str">
        <f t="shared" ref="DY136" si="1446">ADDRESS(2,10+(COLUMN(DJ1)-1)*7,4)</f>
        <v>ADU2</v>
      </c>
      <c r="DZ136" s="32" t="str">
        <f t="shared" ref="DZ136" si="1447">ADDRESS(2,10+(COLUMN(DK1)-1)*7,4)</f>
        <v>AEB2</v>
      </c>
      <c r="EA136" s="32" t="str">
        <f t="shared" ref="EA136" si="1448">ADDRESS(2,10+(COLUMN(DL1)-1)*7,4)</f>
        <v>AEI2</v>
      </c>
      <c r="EB136" s="32" t="str">
        <f t="shared" ref="EB136" si="1449">ADDRESS(2,10+(COLUMN(DM1)-1)*7,4)</f>
        <v>AEP2</v>
      </c>
      <c r="EC136" s="32" t="str">
        <f t="shared" ref="EC136" si="1450">ADDRESS(2,10+(COLUMN(DN1)-1)*7,4)</f>
        <v>AEW2</v>
      </c>
      <c r="ED136" s="32" t="str">
        <f t="shared" ref="ED136" si="1451">ADDRESS(2,10+(COLUMN(DO1)-1)*7,4)</f>
        <v>AFD2</v>
      </c>
      <c r="EE136" s="32" t="str">
        <f t="shared" ref="EE136" si="1452">ADDRESS(2,10+(COLUMN(DP1)-1)*7,4)</f>
        <v>AFK2</v>
      </c>
      <c r="EF136" s="32" t="str">
        <f t="shared" ref="EF136" si="1453">ADDRESS(2,10+(COLUMN(DQ1)-1)*7,4)</f>
        <v>AFR2</v>
      </c>
      <c r="EG136" s="32" t="str">
        <f t="shared" ref="EG136" si="1454">ADDRESS(2,10+(COLUMN(DR1)-1)*7,4)</f>
        <v>AFY2</v>
      </c>
      <c r="EH136" s="32" t="str">
        <f t="shared" ref="EH136" si="1455">ADDRESS(2,10+(COLUMN(DS1)-1)*7,4)</f>
        <v>AGF2</v>
      </c>
      <c r="EI136" s="32" t="str">
        <f t="shared" ref="EI136" si="1456">ADDRESS(2,10+(COLUMN(DT1)-1)*7,4)</f>
        <v>AGM2</v>
      </c>
      <c r="EJ136" s="32" t="str">
        <f t="shared" ref="EJ136" si="1457">ADDRESS(2,10+(COLUMN(DU1)-1)*7,4)</f>
        <v>AGT2</v>
      </c>
      <c r="EK136" s="32" t="str">
        <f t="shared" ref="EK136" si="1458">ADDRESS(2,10+(COLUMN(DV1)-1)*7,4)</f>
        <v>AHA2</v>
      </c>
      <c r="EL136" s="32" t="str">
        <f t="shared" ref="EL136" si="1459">ADDRESS(2,10+(COLUMN(DW1)-1)*7,4)</f>
        <v>AHH2</v>
      </c>
      <c r="EM136" s="32" t="str">
        <f t="shared" ref="EM136" si="1460">ADDRESS(2,10+(COLUMN(DX1)-1)*7,4)</f>
        <v>AHO2</v>
      </c>
      <c r="EN136" s="32" t="str">
        <f t="shared" ref="EN136" si="1461">ADDRESS(2,10+(COLUMN(DY1)-1)*7,4)</f>
        <v>AHV2</v>
      </c>
      <c r="EO136" s="32" t="str">
        <f t="shared" ref="EO136" si="1462">ADDRESS(2,10+(COLUMN(DZ1)-1)*7,4)</f>
        <v>AIC2</v>
      </c>
      <c r="EP136" s="32" t="str">
        <f t="shared" ref="EP136" si="1463">ADDRESS(2,10+(COLUMN(EA1)-1)*7,4)</f>
        <v>AIJ2</v>
      </c>
      <c r="EQ136" s="32" t="str">
        <f t="shared" ref="EQ136" si="1464">ADDRESS(2,10+(COLUMN(EB1)-1)*7,4)</f>
        <v>AIQ2</v>
      </c>
      <c r="ER136" s="32" t="str">
        <f t="shared" ref="ER136" si="1465">ADDRESS(2,10+(COLUMN(EC1)-1)*7,4)</f>
        <v>AIX2</v>
      </c>
      <c r="ES136" s="32" t="str">
        <f t="shared" ref="ES136" si="1466">ADDRESS(2,10+(COLUMN(ED1)-1)*7,4)</f>
        <v>AJE2</v>
      </c>
      <c r="ET136" s="32" t="str">
        <f t="shared" ref="ET136" si="1467">ADDRESS(2,10+(COLUMN(EE1)-1)*7,4)</f>
        <v>AJL2</v>
      </c>
      <c r="EU136" s="32" t="str">
        <f t="shared" ref="EU136" si="1468">ADDRESS(2,10+(COLUMN(EF1)-1)*7,4)</f>
        <v>AJS2</v>
      </c>
      <c r="EV136" s="32" t="str">
        <f t="shared" ref="EV136" si="1469">ADDRESS(2,10+(COLUMN(EG1)-1)*7,4)</f>
        <v>AJZ2</v>
      </c>
      <c r="EW136" s="32" t="str">
        <f t="shared" ref="EW136" si="1470">ADDRESS(2,10+(COLUMN(EH1)-1)*7,4)</f>
        <v>AKG2</v>
      </c>
      <c r="EX136" s="32" t="str">
        <f t="shared" ref="EX136" si="1471">ADDRESS(2,10+(COLUMN(EI1)-1)*7,4)</f>
        <v>AKN2</v>
      </c>
      <c r="EY136" s="32" t="str">
        <f t="shared" ref="EY136" si="1472">ADDRESS(2,10+(COLUMN(EJ1)-1)*7,4)</f>
        <v>AKU2</v>
      </c>
      <c r="EZ136" s="32" t="str">
        <f t="shared" ref="EZ136" si="1473">ADDRESS(2,10+(COLUMN(EK1)-1)*7,4)</f>
        <v>ALB2</v>
      </c>
      <c r="FA136" s="32" t="str">
        <f t="shared" ref="FA136" si="1474">ADDRESS(2,10+(COLUMN(EL1)-1)*7,4)</f>
        <v>ALI2</v>
      </c>
      <c r="FB136" s="32" t="str">
        <f t="shared" ref="FB136" si="1475">ADDRESS(2,10+(COLUMN(EM1)-1)*7,4)</f>
        <v>ALP2</v>
      </c>
      <c r="FC136" s="32" t="str">
        <f t="shared" ref="FC136" si="1476">ADDRESS(2,10+(COLUMN(EN1)-1)*7,4)</f>
        <v>ALW2</v>
      </c>
      <c r="FD136" s="32" t="str">
        <f t="shared" ref="FD136" si="1477">ADDRESS(2,10+(COLUMN(EO1)-1)*7,4)</f>
        <v>AMD2</v>
      </c>
      <c r="FE136" s="32" t="str">
        <f t="shared" ref="FE136" si="1478">ADDRESS(2,10+(COLUMN(EP1)-1)*7,4)</f>
        <v>AMK2</v>
      </c>
      <c r="FF136" s="32" t="str">
        <f t="shared" ref="FF136" si="1479">ADDRESS(2,10+(COLUMN(EQ1)-1)*7,4)</f>
        <v>AMR2</v>
      </c>
      <c r="FG136" s="32" t="str">
        <f t="shared" ref="FG136" si="1480">ADDRESS(2,10+(COLUMN(ER1)-1)*7,4)</f>
        <v>AMY2</v>
      </c>
      <c r="FH136" s="32" t="str">
        <f t="shared" ref="FH136" si="1481">ADDRESS(2,10+(COLUMN(ES1)-1)*7,4)</f>
        <v>ANF2</v>
      </c>
      <c r="FI136" s="32" t="str">
        <f t="shared" ref="FI136" si="1482">ADDRESS(2,10+(COLUMN(ET1)-1)*7,4)</f>
        <v>ANM2</v>
      </c>
      <c r="FJ136" s="32" t="str">
        <f t="shared" ref="FJ136" si="1483">ADDRESS(2,10+(COLUMN(EU1)-1)*7,4)</f>
        <v>ANT2</v>
      </c>
      <c r="FK136" s="32" t="str">
        <f t="shared" ref="FK136" si="1484">ADDRESS(2,10+(COLUMN(EV1)-1)*7,4)</f>
        <v>AOA2</v>
      </c>
      <c r="FL136" s="32" t="str">
        <f t="shared" ref="FL136" si="1485">ADDRESS(2,10+(COLUMN(EW1)-1)*7,4)</f>
        <v>AOH2</v>
      </c>
      <c r="FM136" s="32" t="str">
        <f t="shared" ref="FM136" si="1486">ADDRESS(2,10+(COLUMN(EX1)-1)*7,4)</f>
        <v>AOO2</v>
      </c>
      <c r="FN136" s="32" t="str">
        <f t="shared" ref="FN136" si="1487">ADDRESS(2,10+(COLUMN(EY1)-1)*7,4)</f>
        <v>AOV2</v>
      </c>
      <c r="FO136" s="32" t="str">
        <f t="shared" ref="FO136" si="1488">ADDRESS(2,10+(COLUMN(EZ1)-1)*7,4)</f>
        <v>APC2</v>
      </c>
      <c r="FP136" s="32" t="str">
        <f t="shared" ref="FP136" si="1489">ADDRESS(2,10+(COLUMN(FA1)-1)*7,4)</f>
        <v>APJ2</v>
      </c>
      <c r="FQ136" s="32" t="str">
        <f t="shared" ref="FQ136" si="1490">ADDRESS(2,10+(COLUMN(FB1)-1)*7,4)</f>
        <v>APQ2</v>
      </c>
      <c r="FR136" s="32" t="str">
        <f t="shared" ref="FR136" si="1491">ADDRESS(2,10+(COLUMN(FC1)-1)*7,4)</f>
        <v>APX2</v>
      </c>
      <c r="FS136" s="32" t="str">
        <f t="shared" ref="FS136" si="1492">ADDRESS(2,10+(COLUMN(FD1)-1)*7,4)</f>
        <v>AQE2</v>
      </c>
      <c r="FT136" s="32" t="str">
        <f t="shared" ref="FT136" si="1493">ADDRESS(2,10+(COLUMN(FE1)-1)*7,4)</f>
        <v>AQL2</v>
      </c>
      <c r="FU136" s="32" t="str">
        <f t="shared" ref="FU136" si="1494">ADDRESS(2,10+(COLUMN(FF1)-1)*7,4)</f>
        <v>AQS2</v>
      </c>
      <c r="FV136" s="32" t="str">
        <f t="shared" ref="FV136" si="1495">ADDRESS(2,10+(COLUMN(FG1)-1)*7,4)</f>
        <v>AQZ2</v>
      </c>
      <c r="FW136" s="32" t="str">
        <f t="shared" ref="FW136" si="1496">ADDRESS(2,10+(COLUMN(FH1)-1)*7,4)</f>
        <v>ARG2</v>
      </c>
      <c r="FX136" s="32" t="str">
        <f t="shared" ref="FX136" si="1497">ADDRESS(2,10+(COLUMN(FI1)-1)*7,4)</f>
        <v>ARN2</v>
      </c>
      <c r="FY136" s="32" t="str">
        <f t="shared" ref="FY136" si="1498">ADDRESS(2,10+(COLUMN(FJ1)-1)*7,4)</f>
        <v>ARU2</v>
      </c>
      <c r="FZ136" s="32" t="str">
        <f t="shared" ref="FZ136" si="1499">ADDRESS(2,10+(COLUMN(FK1)-1)*7,4)</f>
        <v>ASB2</v>
      </c>
      <c r="GA136" s="32" t="str">
        <f t="shared" ref="GA136" si="1500">ADDRESS(2,10+(COLUMN(FL1)-1)*7,4)</f>
        <v>ASI2</v>
      </c>
      <c r="GB136" s="32" t="str">
        <f t="shared" ref="GB136" si="1501">ADDRESS(2,10+(COLUMN(FM1)-1)*7,4)</f>
        <v>ASP2</v>
      </c>
      <c r="GC136" s="32" t="str">
        <f t="shared" ref="GC136" si="1502">ADDRESS(2,10+(COLUMN(FN1)-1)*7,4)</f>
        <v>ASW2</v>
      </c>
      <c r="GD136" s="32" t="str">
        <f t="shared" ref="GD136" si="1503">ADDRESS(2,10+(COLUMN(FO1)-1)*7,4)</f>
        <v>ATD2</v>
      </c>
      <c r="GE136" s="32" t="str">
        <f t="shared" ref="GE136" si="1504">ADDRESS(2,10+(COLUMN(FP1)-1)*7,4)</f>
        <v>ATK2</v>
      </c>
      <c r="GF136" s="32" t="str">
        <f t="shared" ref="GF136" si="1505">ADDRESS(2,10+(COLUMN(FQ1)-1)*7,4)</f>
        <v>ATR2</v>
      </c>
      <c r="GG136" s="32" t="str">
        <f t="shared" ref="GG136" si="1506">ADDRESS(2,10+(COLUMN(FR1)-1)*7,4)</f>
        <v>ATY2</v>
      </c>
      <c r="GH136" s="32" t="str">
        <f t="shared" ref="GH136" si="1507">ADDRESS(2,10+(COLUMN(FS1)-1)*7,4)</f>
        <v>AUF2</v>
      </c>
      <c r="GI136" s="32" t="str">
        <f t="shared" ref="GI136" si="1508">ADDRESS(2,10+(COLUMN(FT1)-1)*7,4)</f>
        <v>AUM2</v>
      </c>
      <c r="GJ136" s="32" t="str">
        <f t="shared" ref="GJ136" si="1509">ADDRESS(2,10+(COLUMN(FU1)-1)*7,4)</f>
        <v>AUT2</v>
      </c>
      <c r="GK136" s="32" t="str">
        <f t="shared" ref="GK136" si="1510">ADDRESS(2,10+(COLUMN(FV1)-1)*7,4)</f>
        <v>AVA2</v>
      </c>
      <c r="GL136" s="32" t="str">
        <f t="shared" ref="GL136" si="1511">ADDRESS(2,10+(COLUMN(FW1)-1)*7,4)</f>
        <v>AVH2</v>
      </c>
      <c r="GM136" s="32" t="str">
        <f t="shared" ref="GM136" si="1512">ADDRESS(2,10+(COLUMN(FX1)-1)*7,4)</f>
        <v>AVO2</v>
      </c>
      <c r="GN136" s="32" t="str">
        <f t="shared" ref="GN136" si="1513">ADDRESS(2,10+(COLUMN(FY1)-1)*7,4)</f>
        <v>AVV2</v>
      </c>
      <c r="GO136" s="32" t="str">
        <f t="shared" ref="GO136" si="1514">ADDRESS(2,10+(COLUMN(FZ1)-1)*7,4)</f>
        <v>AWC2</v>
      </c>
      <c r="GP136" s="32" t="str">
        <f t="shared" ref="GP136" si="1515">ADDRESS(2,10+(COLUMN(GA1)-1)*7,4)</f>
        <v>AWJ2</v>
      </c>
      <c r="GQ136" s="32" t="str">
        <f t="shared" ref="GQ136" si="1516">ADDRESS(2,10+(COLUMN(GB1)-1)*7,4)</f>
        <v>AWQ2</v>
      </c>
      <c r="GR136" s="32" t="str">
        <f t="shared" ref="GR136" si="1517">ADDRESS(2,10+(COLUMN(GC1)-1)*7,4)</f>
        <v>AWX2</v>
      </c>
      <c r="GS136" s="32" t="str">
        <f t="shared" ref="GS136" si="1518">ADDRESS(2,10+(COLUMN(GD1)-1)*7,4)</f>
        <v>AXE2</v>
      </c>
      <c r="GT136" s="32" t="str">
        <f t="shared" ref="GT136" si="1519">ADDRESS(2,10+(COLUMN(GE1)-1)*7,4)</f>
        <v>AXL2</v>
      </c>
      <c r="GU136" s="32" t="str">
        <f t="shared" ref="GU136" si="1520">ADDRESS(2,10+(COLUMN(GF1)-1)*7,4)</f>
        <v>AXS2</v>
      </c>
      <c r="GV136" s="32" t="str">
        <f t="shared" ref="GV136" si="1521">ADDRESS(2,10+(COLUMN(GG1)-1)*7,4)</f>
        <v>AXZ2</v>
      </c>
      <c r="GW136" s="32" t="str">
        <f t="shared" ref="GW136" si="1522">ADDRESS(2,10+(COLUMN(GH1)-1)*7,4)</f>
        <v>AYG2</v>
      </c>
      <c r="GX136" s="32" t="str">
        <f t="shared" ref="GX136" si="1523">ADDRESS(2,10+(COLUMN(GI1)-1)*7,4)</f>
        <v>AYN2</v>
      </c>
      <c r="GY136" s="32" t="str">
        <f t="shared" ref="GY136" si="1524">ADDRESS(2,10+(COLUMN(GJ1)-1)*7,4)</f>
        <v>AYU2</v>
      </c>
      <c r="GZ136" s="32" t="str">
        <f t="shared" ref="GZ136" si="1525">ADDRESS(2,10+(COLUMN(GK1)-1)*7,4)</f>
        <v>AZB2</v>
      </c>
      <c r="HA136" s="32" t="str">
        <f t="shared" ref="HA136" si="1526">ADDRESS(2,10+(COLUMN(GL1)-1)*7,4)</f>
        <v>AZI2</v>
      </c>
      <c r="HB136" s="32" t="str">
        <f t="shared" ref="HB136" si="1527">ADDRESS(2,10+(COLUMN(GM1)-1)*7,4)</f>
        <v>AZP2</v>
      </c>
      <c r="HC136" s="32" t="str">
        <f t="shared" ref="HC136" si="1528">ADDRESS(2,10+(COLUMN(GN1)-1)*7,4)</f>
        <v>AZW2</v>
      </c>
      <c r="HD136" s="32" t="str">
        <f t="shared" ref="HD136" si="1529">ADDRESS(2,10+(COLUMN(GO1)-1)*7,4)</f>
        <v>BAD2</v>
      </c>
      <c r="HE136" s="32" t="str">
        <f t="shared" ref="HE136" si="1530">ADDRESS(2,10+(COLUMN(GP1)-1)*7,4)</f>
        <v>BAK2</v>
      </c>
      <c r="HF136" s="32" t="str">
        <f t="shared" ref="HF136" si="1531">ADDRESS(2,10+(COLUMN(GQ1)-1)*7,4)</f>
        <v>BAR2</v>
      </c>
      <c r="HG136" s="32" t="str">
        <f t="shared" ref="HG136" si="1532">ADDRESS(2,10+(COLUMN(GR1)-1)*7,4)</f>
        <v>BAY2</v>
      </c>
      <c r="HH136" s="32" t="str">
        <f t="shared" ref="HH136" si="1533">ADDRESS(2,10+(COLUMN(GS1)-1)*7,4)</f>
        <v>BBF2</v>
      </c>
      <c r="HI136" s="32" t="str">
        <f t="shared" ref="HI136" si="1534">ADDRESS(2,10+(COLUMN(GT1)-1)*7,4)</f>
        <v>BBM2</v>
      </c>
      <c r="HJ136" s="32" t="str">
        <f t="shared" ref="HJ136" si="1535">ADDRESS(2,10+(COLUMN(GU1)-1)*7,4)</f>
        <v>BBT2</v>
      </c>
      <c r="HK136" s="32" t="str">
        <f t="shared" ref="HK136" si="1536">ADDRESS(2,10+(COLUMN(GV1)-1)*7,4)</f>
        <v>BCA2</v>
      </c>
      <c r="HL136" s="32" t="str">
        <f t="shared" ref="HL136" si="1537">ADDRESS(2,10+(COLUMN(GW1)-1)*7,4)</f>
        <v>BCH2</v>
      </c>
      <c r="HM136" s="32" t="str">
        <f t="shared" ref="HM136" si="1538">ADDRESS(2,10+(COLUMN(GX1)-1)*7,4)</f>
        <v>BCO2</v>
      </c>
      <c r="HN136" s="32" t="str">
        <f t="shared" ref="HN136" si="1539">ADDRESS(2,10+(COLUMN(GY1)-1)*7,4)</f>
        <v>BCV2</v>
      </c>
      <c r="HO136" s="32" t="str">
        <f t="shared" ref="HO136" si="1540">ADDRESS(2,10+(COLUMN(GZ1)-1)*7,4)</f>
        <v>BDC2</v>
      </c>
      <c r="HP136" s="32" t="str">
        <f t="shared" ref="HP136" si="1541">ADDRESS(2,10+(COLUMN(HA1)-1)*7,4)</f>
        <v>BDJ2</v>
      </c>
      <c r="HQ136" s="32" t="str">
        <f t="shared" ref="HQ136" si="1542">ADDRESS(2,10+(COLUMN(HB1)-1)*7,4)</f>
        <v>BDQ2</v>
      </c>
      <c r="HR136" s="32" t="str">
        <f t="shared" ref="HR136" si="1543">ADDRESS(2,10+(COLUMN(HC1)-1)*7,4)</f>
        <v>BDX2</v>
      </c>
      <c r="HS136" s="32" t="str">
        <f t="shared" ref="HS136" si="1544">ADDRESS(2,10+(COLUMN(HD1)-1)*7,4)</f>
        <v>BEE2</v>
      </c>
      <c r="HT136" s="32" t="str">
        <f t="shared" ref="HT136" si="1545">ADDRESS(2,10+(COLUMN(HE1)-1)*7,4)</f>
        <v>BEL2</v>
      </c>
      <c r="HU136" s="32" t="str">
        <f t="shared" ref="HU136" si="1546">ADDRESS(2,10+(COLUMN(HF1)-1)*7,4)</f>
        <v>BES2</v>
      </c>
      <c r="HV136" s="32" t="str">
        <f t="shared" ref="HV136" si="1547">ADDRESS(2,10+(COLUMN(HG1)-1)*7,4)</f>
        <v>BEZ2</v>
      </c>
      <c r="HW136" s="32" t="str">
        <f t="shared" ref="HW136" si="1548">ADDRESS(2,10+(COLUMN(HH1)-1)*7,4)</f>
        <v>BFG2</v>
      </c>
      <c r="HX136" s="32" t="str">
        <f t="shared" ref="HX136" si="1549">ADDRESS(2,10+(COLUMN(HI1)-1)*7,4)</f>
        <v>BFN2</v>
      </c>
      <c r="HY136" s="32" t="str">
        <f t="shared" ref="HY136" si="1550">ADDRESS(2,10+(COLUMN(HJ1)-1)*7,4)</f>
        <v>BFU2</v>
      </c>
      <c r="HZ136" s="32" t="str">
        <f t="shared" ref="HZ136" si="1551">ADDRESS(2,10+(COLUMN(HK1)-1)*7,4)</f>
        <v>BGB2</v>
      </c>
      <c r="IA136" s="32" t="str">
        <f t="shared" ref="IA136" si="1552">ADDRESS(2,10+(COLUMN(HL1)-1)*7,4)</f>
        <v>BGI2</v>
      </c>
      <c r="IB136" s="32" t="str">
        <f t="shared" ref="IB136" si="1553">ADDRESS(2,10+(COLUMN(HM1)-1)*7,4)</f>
        <v>BGP2</v>
      </c>
      <c r="IC136" s="32" t="str">
        <f t="shared" ref="IC136" si="1554">ADDRESS(2,10+(COLUMN(HN1)-1)*7,4)</f>
        <v>BGW2</v>
      </c>
      <c r="ID136" s="62"/>
      <c r="IE136" s="62"/>
      <c r="IF136" s="62"/>
      <c r="IG136" s="62"/>
      <c r="IH136" s="62"/>
      <c r="II136" s="63"/>
      <c r="IJ136" s="32"/>
      <c r="IK136" s="62"/>
      <c r="IL136" s="62"/>
      <c r="IM136" s="62"/>
      <c r="IN136" s="62"/>
      <c r="IO136" s="62"/>
      <c r="IP136" s="63"/>
      <c r="IQ136" s="32"/>
      <c r="IR136" s="62"/>
      <c r="IS136" s="62"/>
      <c r="IT136" s="62"/>
      <c r="IU136" s="62"/>
      <c r="IV136" s="62"/>
      <c r="IW136" s="63"/>
      <c r="IX136" s="32"/>
      <c r="IY136" s="62"/>
      <c r="IZ136" s="62"/>
      <c r="JA136" s="62"/>
      <c r="JB136" s="62"/>
      <c r="JC136" s="62"/>
      <c r="JD136" s="63"/>
      <c r="JE136" s="32"/>
      <c r="JF136" s="62"/>
      <c r="JG136" s="62"/>
      <c r="JH136" s="62"/>
      <c r="JI136" s="62"/>
      <c r="JJ136" s="62"/>
      <c r="JK136" s="63"/>
      <c r="JL136" s="32"/>
      <c r="JM136" s="62"/>
      <c r="JN136" s="62"/>
      <c r="JO136" s="62"/>
      <c r="JP136" s="62"/>
      <c r="JQ136" s="62"/>
      <c r="JR136" s="63"/>
      <c r="JS136" s="32"/>
      <c r="JT136" s="62"/>
      <c r="JU136" s="62"/>
      <c r="JV136" s="62"/>
      <c r="JW136" s="62"/>
      <c r="JX136" s="62"/>
      <c r="JY136" s="63"/>
      <c r="JZ136" s="32"/>
      <c r="KA136" s="62"/>
      <c r="KB136" s="62"/>
      <c r="KC136" s="62"/>
      <c r="KD136" s="62"/>
      <c r="KE136" s="62"/>
      <c r="KF136" s="63"/>
      <c r="KG136" s="32"/>
      <c r="KH136" s="62"/>
      <c r="KI136" s="62"/>
      <c r="KJ136" s="62"/>
      <c r="KK136" s="62"/>
      <c r="KL136" s="62"/>
      <c r="KM136" s="63"/>
      <c r="KN136" s="32"/>
      <c r="KO136" s="62"/>
      <c r="KP136" s="62"/>
      <c r="KQ136" s="62"/>
      <c r="KR136" s="62"/>
      <c r="KS136" s="62"/>
      <c r="KT136" s="63"/>
      <c r="KU136" s="32"/>
      <c r="KV136" s="62"/>
      <c r="KW136" s="62"/>
      <c r="KX136" s="62"/>
      <c r="KY136" s="62"/>
      <c r="KZ136" s="62"/>
      <c r="LA136" s="63"/>
      <c r="LB136" s="32"/>
      <c r="LC136" s="62"/>
      <c r="LD136" s="62"/>
      <c r="LE136" s="62"/>
      <c r="LF136" s="62"/>
      <c r="LG136" s="62"/>
      <c r="LH136" s="63"/>
      <c r="LI136" s="32"/>
      <c r="LJ136" s="62"/>
      <c r="LK136" s="62"/>
      <c r="LL136" s="62"/>
      <c r="LM136" s="62"/>
      <c r="LN136" s="62"/>
      <c r="LO136" s="63"/>
      <c r="LP136" s="32"/>
      <c r="LQ136" s="62"/>
      <c r="LR136" s="62"/>
      <c r="LS136" s="62"/>
      <c r="LT136" s="62"/>
      <c r="LU136" s="62"/>
      <c r="LV136" s="63"/>
      <c r="LW136" s="32"/>
      <c r="LX136" s="62"/>
      <c r="LY136" s="62"/>
      <c r="LZ136" s="62"/>
      <c r="MA136" s="62"/>
      <c r="MB136" s="62"/>
      <c r="MC136" s="63"/>
      <c r="MD136" s="32"/>
      <c r="ME136" s="62"/>
      <c r="MF136" s="62"/>
      <c r="MG136" s="62"/>
      <c r="MH136" s="62"/>
      <c r="MI136" s="62"/>
      <c r="MJ136" s="63"/>
      <c r="MK136" s="32"/>
      <c r="ML136" s="62"/>
      <c r="MM136" s="62"/>
      <c r="MN136" s="62"/>
      <c r="MO136" s="62"/>
      <c r="MP136" s="62"/>
      <c r="MQ136" s="28"/>
      <c r="MR136" s="25"/>
      <c r="MS136" s="27"/>
      <c r="MT136" s="27"/>
      <c r="MU136" s="27"/>
      <c r="MV136" s="27"/>
      <c r="MW136" s="27"/>
      <c r="MX136" s="28"/>
      <c r="MY136" s="25"/>
      <c r="MZ136" s="27"/>
      <c r="NA136" s="27"/>
      <c r="NB136" s="27"/>
      <c r="NC136" s="27"/>
      <c r="ND136" s="27"/>
      <c r="NE136" s="28"/>
      <c r="NF136" s="25"/>
      <c r="NG136" s="27"/>
      <c r="NH136" s="27"/>
      <c r="NI136" s="27"/>
      <c r="NJ136" s="27"/>
      <c r="NK136" s="27"/>
      <c r="NL136" s="28"/>
      <c r="NM136" s="25"/>
      <c r="NN136" s="27"/>
      <c r="NO136" s="27"/>
      <c r="NP136" s="27"/>
      <c r="NQ136" s="27"/>
      <c r="NR136" s="27"/>
      <c r="NS136" s="28"/>
      <c r="NT136" s="25"/>
      <c r="NU136" s="27"/>
      <c r="NV136" s="27"/>
      <c r="NW136" s="27"/>
      <c r="NX136" s="27"/>
      <c r="NY136" s="27"/>
      <c r="NZ136" s="28"/>
      <c r="OA136" s="25"/>
      <c r="OB136" s="27"/>
      <c r="OC136" s="27"/>
      <c r="OD136" s="27"/>
      <c r="OE136" s="27"/>
      <c r="OF136" s="27"/>
      <c r="OG136" s="28"/>
      <c r="OH136" s="25"/>
      <c r="OI136" s="27"/>
      <c r="OJ136" s="27"/>
      <c r="OK136" s="27"/>
      <c r="OL136" s="27"/>
      <c r="OM136" s="27"/>
      <c r="ON136" s="28"/>
      <c r="OO136" s="25"/>
      <c r="OP136" s="27"/>
      <c r="OQ136" s="27"/>
      <c r="OR136" s="27"/>
      <c r="OS136" s="27"/>
      <c r="OT136" s="27"/>
      <c r="OU136" s="28"/>
      <c r="OV136" s="25"/>
      <c r="OW136" s="27"/>
      <c r="OX136" s="27"/>
      <c r="OY136" s="27"/>
      <c r="OZ136" s="27"/>
      <c r="PA136" s="27"/>
      <c r="PB136" s="28"/>
      <c r="PC136" s="25"/>
      <c r="PD136" s="27"/>
      <c r="PE136" s="27"/>
      <c r="PF136" s="27"/>
      <c r="PG136" s="27"/>
      <c r="PH136" s="27"/>
      <c r="PI136" s="28"/>
      <c r="PJ136" s="25"/>
      <c r="PK136" s="27"/>
      <c r="PL136" s="27"/>
      <c r="PM136" s="27"/>
      <c r="PN136" s="27"/>
      <c r="PO136" s="27"/>
      <c r="PP136" s="28"/>
      <c r="PQ136" s="25"/>
      <c r="PR136" s="27"/>
      <c r="PS136" s="27"/>
      <c r="PT136" s="27"/>
      <c r="PU136" s="27"/>
      <c r="PV136" s="27"/>
      <c r="PW136" s="28"/>
      <c r="PX136" s="25"/>
      <c r="PY136" s="27"/>
      <c r="PZ136" s="27"/>
      <c r="QA136" s="27"/>
      <c r="QB136" s="27"/>
      <c r="QC136" s="27"/>
      <c r="QD136" s="28"/>
      <c r="QE136" s="25"/>
      <c r="QF136" s="27"/>
      <c r="QG136" s="27"/>
      <c r="QH136" s="27"/>
      <c r="QI136" s="27"/>
      <c r="QJ136" s="27"/>
      <c r="QK136" s="28"/>
      <c r="QL136" s="25"/>
      <c r="QM136" s="27"/>
      <c r="QN136" s="27"/>
      <c r="QO136" s="27"/>
      <c r="QP136" s="27"/>
      <c r="QQ136" s="27"/>
      <c r="QR136" s="28"/>
      <c r="QS136" s="25"/>
      <c r="QT136" s="27"/>
      <c r="QU136" s="27"/>
      <c r="QV136" s="27"/>
      <c r="QW136" s="27"/>
      <c r="QX136" s="27"/>
      <c r="QY136" s="28"/>
      <c r="QZ136" s="25"/>
      <c r="RA136" s="27"/>
      <c r="RB136" s="27"/>
      <c r="RC136" s="27"/>
      <c r="RD136" s="27"/>
      <c r="RE136" s="27"/>
      <c r="RF136" s="28"/>
      <c r="RG136" s="25"/>
      <c r="RH136" s="27"/>
      <c r="RI136" s="27"/>
      <c r="RJ136" s="27"/>
      <c r="RK136" s="27"/>
      <c r="RL136" s="27"/>
      <c r="RM136" s="28"/>
      <c r="RN136" s="25"/>
      <c r="RO136" s="27"/>
      <c r="RP136" s="27"/>
      <c r="RQ136" s="27"/>
      <c r="RR136" s="27"/>
      <c r="RS136" s="27"/>
      <c r="RT136" s="28"/>
      <c r="RU136" s="25"/>
      <c r="RV136" s="27"/>
      <c r="RW136" s="27"/>
      <c r="RX136" s="27"/>
      <c r="RY136" s="27"/>
      <c r="RZ136" s="27"/>
      <c r="SA136" s="28"/>
      <c r="SB136" s="25"/>
      <c r="SC136" s="27"/>
      <c r="SD136" s="27"/>
      <c r="SE136" s="27"/>
      <c r="SF136" s="27"/>
      <c r="SG136" s="27"/>
      <c r="SH136" s="28"/>
      <c r="SI136" s="25"/>
      <c r="SJ136" s="27"/>
      <c r="SK136" s="27"/>
      <c r="SL136" s="27"/>
      <c r="SM136" s="27"/>
      <c r="SN136" s="27"/>
      <c r="SO136" s="28"/>
      <c r="SP136" s="25"/>
      <c r="SQ136" s="27"/>
      <c r="SR136" s="27"/>
    </row>
    <row r="137" spans="1:512" x14ac:dyDescent="0.15">
      <c r="A137" s="129" t="s">
        <v>15</v>
      </c>
      <c r="B137" s="130"/>
      <c r="C137" s="130"/>
      <c r="D137" s="131"/>
      <c r="E137" s="25"/>
      <c r="F137" s="66" t="s">
        <v>27</v>
      </c>
      <c r="G137" s="67"/>
      <c r="H137" s="68"/>
      <c r="I137" s="25"/>
      <c r="J137" s="25"/>
      <c r="K137" s="26"/>
      <c r="L137" s="62"/>
      <c r="M137" s="62"/>
      <c r="N137" s="63"/>
      <c r="O137" s="32"/>
      <c r="P137" s="61" t="s">
        <v>69</v>
      </c>
      <c r="Q137" s="62" t="s">
        <v>70</v>
      </c>
      <c r="R137" s="62" t="s">
        <v>71</v>
      </c>
      <c r="S137" s="63" t="s">
        <v>72</v>
      </c>
      <c r="T137" s="32" t="s">
        <v>73</v>
      </c>
      <c r="U137" s="32" t="s">
        <v>74</v>
      </c>
      <c r="V137" s="32" t="s">
        <v>75</v>
      </c>
      <c r="W137" s="32" t="s">
        <v>76</v>
      </c>
      <c r="X137" s="62" t="s">
        <v>77</v>
      </c>
      <c r="Y137" s="62" t="s">
        <v>78</v>
      </c>
      <c r="Z137" s="63" t="s">
        <v>79</v>
      </c>
      <c r="AA137" s="32" t="s">
        <v>80</v>
      </c>
      <c r="AB137" s="32" t="s">
        <v>81</v>
      </c>
      <c r="AC137" s="32" t="s">
        <v>82</v>
      </c>
      <c r="AD137" s="32" t="s">
        <v>83</v>
      </c>
      <c r="AE137" s="62" t="s">
        <v>84</v>
      </c>
      <c r="AF137" s="62" t="s">
        <v>85</v>
      </c>
      <c r="AG137" s="63" t="s">
        <v>86</v>
      </c>
      <c r="AH137" s="32" t="s">
        <v>87</v>
      </c>
      <c r="AI137" s="62" t="s">
        <v>88</v>
      </c>
      <c r="AJ137" s="62" t="s">
        <v>89</v>
      </c>
      <c r="AK137" s="62" t="s">
        <v>90</v>
      </c>
      <c r="AL137" s="62" t="s">
        <v>91</v>
      </c>
      <c r="AM137" s="62" t="s">
        <v>92</v>
      </c>
      <c r="AN137" s="63" t="s">
        <v>93</v>
      </c>
      <c r="AO137" s="32" t="s">
        <v>94</v>
      </c>
      <c r="AP137" s="62" t="s">
        <v>95</v>
      </c>
      <c r="AQ137" s="62" t="s">
        <v>96</v>
      </c>
      <c r="AR137" s="62" t="s">
        <v>97</v>
      </c>
      <c r="AS137" s="62" t="s">
        <v>98</v>
      </c>
      <c r="AT137" s="62" t="s">
        <v>99</v>
      </c>
      <c r="AU137" s="63" t="s">
        <v>100</v>
      </c>
      <c r="AV137" s="32" t="s">
        <v>101</v>
      </c>
      <c r="AW137" s="62" t="s">
        <v>102</v>
      </c>
      <c r="AX137" s="62" t="s">
        <v>103</v>
      </c>
      <c r="AY137" s="62" t="s">
        <v>104</v>
      </c>
      <c r="AZ137" s="62" t="s">
        <v>105</v>
      </c>
      <c r="BA137" s="62" t="s">
        <v>106</v>
      </c>
      <c r="BB137" s="63" t="s">
        <v>107</v>
      </c>
      <c r="BC137" s="32" t="s">
        <v>108</v>
      </c>
      <c r="BD137" s="62" t="s">
        <v>109</v>
      </c>
      <c r="BE137" s="62" t="s">
        <v>110</v>
      </c>
      <c r="BF137" s="32" t="s">
        <v>111</v>
      </c>
      <c r="BG137" s="62" t="s">
        <v>112</v>
      </c>
      <c r="BH137" s="62" t="s">
        <v>113</v>
      </c>
      <c r="BI137" s="63" t="s">
        <v>114</v>
      </c>
      <c r="BJ137" s="32" t="s">
        <v>115</v>
      </c>
      <c r="BK137" s="62" t="s">
        <v>116</v>
      </c>
      <c r="BL137" s="62" t="s">
        <v>117</v>
      </c>
      <c r="BM137" s="62" t="s">
        <v>118</v>
      </c>
      <c r="BN137" s="62" t="s">
        <v>119</v>
      </c>
      <c r="BO137" s="62" t="s">
        <v>120</v>
      </c>
      <c r="BP137" s="63" t="s">
        <v>121</v>
      </c>
      <c r="BQ137" s="32" t="s">
        <v>122</v>
      </c>
      <c r="BR137" s="62" t="s">
        <v>123</v>
      </c>
      <c r="BS137" s="62" t="s">
        <v>124</v>
      </c>
      <c r="BT137" s="62" t="s">
        <v>125</v>
      </c>
      <c r="BU137" s="62" t="s">
        <v>126</v>
      </c>
      <c r="BV137" s="62" t="s">
        <v>127</v>
      </c>
      <c r="BW137" s="63" t="s">
        <v>128</v>
      </c>
      <c r="BX137" s="32" t="s">
        <v>129</v>
      </c>
      <c r="BY137" s="62" t="s">
        <v>130</v>
      </c>
      <c r="BZ137" s="62" t="s">
        <v>131</v>
      </c>
      <c r="CA137" s="62" t="s">
        <v>132</v>
      </c>
      <c r="CB137" s="62" t="s">
        <v>133</v>
      </c>
      <c r="CC137" s="62" t="s">
        <v>134</v>
      </c>
      <c r="CD137" s="63" t="s">
        <v>135</v>
      </c>
      <c r="CE137" s="32" t="s">
        <v>136</v>
      </c>
      <c r="CF137" s="62" t="s">
        <v>137</v>
      </c>
      <c r="CG137" s="62" t="s">
        <v>138</v>
      </c>
      <c r="CH137" s="32" t="s">
        <v>139</v>
      </c>
      <c r="CI137" s="62" t="s">
        <v>140</v>
      </c>
      <c r="CJ137" s="62" t="s">
        <v>141</v>
      </c>
      <c r="CK137" s="63" t="s">
        <v>142</v>
      </c>
      <c r="CL137" s="32" t="s">
        <v>143</v>
      </c>
      <c r="CM137" s="62" t="s">
        <v>144</v>
      </c>
      <c r="CN137" s="62" t="s">
        <v>145</v>
      </c>
      <c r="CO137" s="62" t="s">
        <v>146</v>
      </c>
      <c r="CP137" s="62" t="s">
        <v>147</v>
      </c>
      <c r="CQ137" s="62" t="s">
        <v>148</v>
      </c>
      <c r="CR137" s="63" t="s">
        <v>149</v>
      </c>
      <c r="CS137" s="32" t="s">
        <v>150</v>
      </c>
      <c r="CT137" s="62" t="s">
        <v>151</v>
      </c>
      <c r="CU137" s="62" t="s">
        <v>152</v>
      </c>
      <c r="CV137" s="62" t="s">
        <v>153</v>
      </c>
      <c r="CW137" s="62" t="s">
        <v>154</v>
      </c>
      <c r="CX137" s="62" t="s">
        <v>155</v>
      </c>
      <c r="CY137" s="63" t="s">
        <v>156</v>
      </c>
      <c r="CZ137" s="32" t="s">
        <v>157</v>
      </c>
      <c r="DA137" s="62" t="s">
        <v>158</v>
      </c>
      <c r="DB137" s="62" t="s">
        <v>159</v>
      </c>
      <c r="DC137" s="62" t="s">
        <v>160</v>
      </c>
      <c r="DD137" s="62" t="s">
        <v>161</v>
      </c>
      <c r="DE137" s="62" t="s">
        <v>162</v>
      </c>
      <c r="DF137" s="63" t="s">
        <v>163</v>
      </c>
      <c r="DG137" s="32" t="s">
        <v>164</v>
      </c>
      <c r="DH137" s="62" t="s">
        <v>165</v>
      </c>
      <c r="DI137" s="62" t="s">
        <v>166</v>
      </c>
      <c r="DJ137" s="32" t="s">
        <v>167</v>
      </c>
      <c r="DK137" s="62" t="s">
        <v>168</v>
      </c>
      <c r="DL137" s="62" t="s">
        <v>169</v>
      </c>
      <c r="DM137" s="63" t="s">
        <v>170</v>
      </c>
      <c r="DN137" s="32" t="s">
        <v>171</v>
      </c>
      <c r="DO137" s="62" t="s">
        <v>172</v>
      </c>
      <c r="DP137" s="62" t="s">
        <v>173</v>
      </c>
      <c r="DQ137" s="62" t="s">
        <v>174</v>
      </c>
      <c r="DR137" s="62" t="s">
        <v>175</v>
      </c>
      <c r="DS137" s="62" t="s">
        <v>176</v>
      </c>
      <c r="DT137" s="63" t="s">
        <v>177</v>
      </c>
      <c r="DU137" s="32" t="s">
        <v>178</v>
      </c>
      <c r="DV137" s="62" t="s">
        <v>179</v>
      </c>
      <c r="DW137" s="62" t="s">
        <v>180</v>
      </c>
      <c r="DX137" s="62" t="s">
        <v>181</v>
      </c>
      <c r="DY137" s="62" t="s">
        <v>182</v>
      </c>
      <c r="DZ137" s="62" t="s">
        <v>183</v>
      </c>
      <c r="EA137" s="63" t="s">
        <v>184</v>
      </c>
      <c r="EB137" s="32" t="s">
        <v>185</v>
      </c>
      <c r="EC137" s="62" t="s">
        <v>186</v>
      </c>
      <c r="ED137" s="62" t="s">
        <v>187</v>
      </c>
      <c r="EE137" s="62" t="s">
        <v>188</v>
      </c>
      <c r="EF137" s="62" t="s">
        <v>446</v>
      </c>
      <c r="EG137" s="62" t="s">
        <v>447</v>
      </c>
      <c r="EH137" s="63" t="s">
        <v>448</v>
      </c>
      <c r="EI137" s="32" t="s">
        <v>449</v>
      </c>
      <c r="EJ137" s="62" t="s">
        <v>450</v>
      </c>
      <c r="EK137" s="62" t="s">
        <v>451</v>
      </c>
      <c r="EL137" s="32" t="s">
        <v>452</v>
      </c>
      <c r="EM137" s="62" t="s">
        <v>453</v>
      </c>
      <c r="EN137" s="62" t="s">
        <v>454</v>
      </c>
      <c r="EO137" s="63" t="s">
        <v>455</v>
      </c>
      <c r="EP137" s="32" t="s">
        <v>456</v>
      </c>
      <c r="EQ137" s="62" t="s">
        <v>457</v>
      </c>
      <c r="ER137" s="62" t="s">
        <v>458</v>
      </c>
      <c r="ES137" s="62" t="s">
        <v>459</v>
      </c>
      <c r="ET137" s="62" t="s">
        <v>460</v>
      </c>
      <c r="EU137" s="62" t="s">
        <v>461</v>
      </c>
      <c r="EV137" s="63" t="s">
        <v>462</v>
      </c>
      <c r="EW137" s="32" t="s">
        <v>463</v>
      </c>
      <c r="EX137" s="62" t="s">
        <v>464</v>
      </c>
      <c r="EY137" s="62" t="s">
        <v>465</v>
      </c>
      <c r="EZ137" s="62" t="s">
        <v>466</v>
      </c>
      <c r="FA137" s="62" t="s">
        <v>467</v>
      </c>
      <c r="FB137" s="62" t="s">
        <v>468</v>
      </c>
      <c r="FC137" s="63" t="s">
        <v>469</v>
      </c>
      <c r="FD137" s="32" t="s">
        <v>470</v>
      </c>
      <c r="FE137" s="62" t="s">
        <v>471</v>
      </c>
      <c r="FF137" s="62" t="s">
        <v>472</v>
      </c>
      <c r="FG137" s="62" t="s">
        <v>473</v>
      </c>
      <c r="FH137" s="62" t="s">
        <v>474</v>
      </c>
      <c r="FI137" s="62" t="s">
        <v>475</v>
      </c>
      <c r="FJ137" s="63" t="s">
        <v>476</v>
      </c>
      <c r="FK137" s="32" t="s">
        <v>477</v>
      </c>
      <c r="FL137" s="62" t="s">
        <v>478</v>
      </c>
      <c r="FM137" s="62" t="s">
        <v>479</v>
      </c>
      <c r="FN137" s="32" t="s">
        <v>480</v>
      </c>
      <c r="FO137" s="62" t="s">
        <v>481</v>
      </c>
      <c r="FP137" s="62" t="s">
        <v>482</v>
      </c>
      <c r="FQ137" s="63" t="s">
        <v>483</v>
      </c>
      <c r="FR137" s="32" t="s">
        <v>484</v>
      </c>
      <c r="FS137" s="62" t="s">
        <v>485</v>
      </c>
      <c r="FT137" s="62" t="s">
        <v>486</v>
      </c>
      <c r="FU137" s="62" t="s">
        <v>487</v>
      </c>
      <c r="FV137" s="62" t="s">
        <v>488</v>
      </c>
      <c r="FW137" s="62" t="s">
        <v>489</v>
      </c>
      <c r="FX137" s="63" t="s">
        <v>490</v>
      </c>
      <c r="FY137" s="32" t="s">
        <v>491</v>
      </c>
      <c r="FZ137" s="62" t="s">
        <v>492</v>
      </c>
      <c r="GA137" s="62" t="s">
        <v>493</v>
      </c>
      <c r="GB137" s="62" t="s">
        <v>494</v>
      </c>
      <c r="GC137" s="62" t="s">
        <v>495</v>
      </c>
      <c r="GD137" s="62" t="s">
        <v>496</v>
      </c>
      <c r="GE137" s="63" t="s">
        <v>497</v>
      </c>
      <c r="GF137" s="32" t="s">
        <v>498</v>
      </c>
      <c r="GG137" s="62" t="s">
        <v>499</v>
      </c>
      <c r="GH137" s="62" t="s">
        <v>500</v>
      </c>
      <c r="GI137" s="62" t="s">
        <v>501</v>
      </c>
      <c r="GJ137" s="62" t="s">
        <v>502</v>
      </c>
      <c r="GK137" s="62" t="s">
        <v>503</v>
      </c>
      <c r="GL137" s="63" t="s">
        <v>504</v>
      </c>
      <c r="GM137" s="32" t="s">
        <v>505</v>
      </c>
      <c r="GN137" s="62" t="s">
        <v>506</v>
      </c>
      <c r="GO137" s="62" t="s">
        <v>507</v>
      </c>
      <c r="GP137" s="32" t="s">
        <v>508</v>
      </c>
      <c r="GQ137" s="62" t="s">
        <v>509</v>
      </c>
      <c r="GR137" s="62" t="s">
        <v>510</v>
      </c>
      <c r="GS137" s="63" t="s">
        <v>511</v>
      </c>
      <c r="GT137" s="32" t="s">
        <v>512</v>
      </c>
      <c r="GU137" s="62" t="s">
        <v>513</v>
      </c>
      <c r="GV137" s="62" t="s">
        <v>514</v>
      </c>
      <c r="GW137" s="62" t="s">
        <v>515</v>
      </c>
      <c r="GX137" s="62" t="s">
        <v>516</v>
      </c>
      <c r="GY137" s="62" t="s">
        <v>517</v>
      </c>
      <c r="GZ137" s="63" t="s">
        <v>518</v>
      </c>
      <c r="HA137" s="32" t="s">
        <v>519</v>
      </c>
      <c r="HB137" s="62" t="s">
        <v>520</v>
      </c>
      <c r="HC137" s="62" t="s">
        <v>521</v>
      </c>
      <c r="HD137" s="62" t="s">
        <v>522</v>
      </c>
      <c r="HE137" s="62" t="s">
        <v>523</v>
      </c>
      <c r="HF137" s="62" t="s">
        <v>524</v>
      </c>
      <c r="HG137" s="63" t="s">
        <v>525</v>
      </c>
      <c r="HH137" s="32" t="s">
        <v>526</v>
      </c>
      <c r="HI137" s="62" t="s">
        <v>527</v>
      </c>
      <c r="HJ137" s="62" t="s">
        <v>528</v>
      </c>
      <c r="HK137" s="62" t="s">
        <v>529</v>
      </c>
      <c r="HL137" s="62" t="s">
        <v>530</v>
      </c>
      <c r="HM137" s="62" t="s">
        <v>531</v>
      </c>
      <c r="HN137" s="63" t="s">
        <v>532</v>
      </c>
      <c r="HO137" s="32" t="s">
        <v>533</v>
      </c>
      <c r="HP137" s="62" t="s">
        <v>534</v>
      </c>
      <c r="HQ137" s="62" t="s">
        <v>535</v>
      </c>
      <c r="HR137" s="32" t="s">
        <v>536</v>
      </c>
      <c r="HS137" s="62" t="s">
        <v>537</v>
      </c>
      <c r="HT137" s="62" t="s">
        <v>538</v>
      </c>
      <c r="HU137" s="63" t="s">
        <v>539</v>
      </c>
      <c r="HV137" s="32" t="s">
        <v>540</v>
      </c>
      <c r="HW137" s="62" t="s">
        <v>541</v>
      </c>
      <c r="HX137" s="62" t="s">
        <v>542</v>
      </c>
      <c r="HY137" s="62" t="s">
        <v>543</v>
      </c>
      <c r="HZ137" s="62" t="s">
        <v>544</v>
      </c>
      <c r="IA137" s="62" t="s">
        <v>545</v>
      </c>
      <c r="IB137" s="63" t="s">
        <v>546</v>
      </c>
      <c r="IC137" s="32" t="s">
        <v>547</v>
      </c>
      <c r="ID137" s="62"/>
      <c r="IE137" s="62"/>
      <c r="IF137" s="62"/>
      <c r="IG137" s="62"/>
      <c r="IH137" s="62"/>
      <c r="II137" s="63"/>
      <c r="IJ137" s="32"/>
      <c r="IK137" s="62"/>
      <c r="IL137" s="62"/>
      <c r="IM137" s="62"/>
      <c r="IN137" s="62"/>
      <c r="IO137" s="62"/>
      <c r="IP137" s="63"/>
      <c r="IQ137" s="32"/>
      <c r="IR137" s="62"/>
      <c r="IS137" s="62"/>
      <c r="IT137" s="32"/>
      <c r="IU137" s="62"/>
      <c r="IV137" s="62"/>
      <c r="IW137" s="63"/>
      <c r="IX137" s="32"/>
      <c r="IY137" s="62"/>
      <c r="IZ137" s="62"/>
      <c r="JA137" s="62"/>
      <c r="JB137" s="62"/>
      <c r="JC137" s="62"/>
      <c r="JD137" s="63"/>
      <c r="JE137" s="32"/>
      <c r="JF137" s="62"/>
      <c r="JG137" s="62"/>
      <c r="JH137" s="62"/>
      <c r="JI137" s="62"/>
      <c r="JJ137" s="62"/>
      <c r="JK137" s="63"/>
      <c r="JL137" s="32"/>
      <c r="JM137" s="62"/>
      <c r="JN137" s="62"/>
      <c r="JO137" s="62"/>
      <c r="JP137" s="62"/>
      <c r="JQ137" s="62"/>
      <c r="JR137" s="63"/>
      <c r="JS137" s="32"/>
      <c r="JT137" s="62"/>
      <c r="JU137" s="62"/>
      <c r="JV137" s="32"/>
      <c r="JW137" s="62"/>
      <c r="JX137" s="62"/>
      <c r="JY137" s="63"/>
      <c r="JZ137" s="32"/>
      <c r="KA137" s="62"/>
      <c r="KB137" s="62"/>
      <c r="KC137" s="62"/>
      <c r="KD137" s="62"/>
      <c r="KE137" s="62"/>
      <c r="KF137" s="63"/>
      <c r="KG137" s="32"/>
      <c r="KH137" s="62"/>
      <c r="KI137" s="62"/>
      <c r="KJ137" s="62"/>
      <c r="KK137" s="62"/>
      <c r="KL137" s="62"/>
      <c r="KM137" s="63"/>
      <c r="KN137" s="32"/>
      <c r="KO137" s="62"/>
      <c r="KP137" s="62"/>
      <c r="KQ137" s="62"/>
      <c r="KR137" s="62"/>
      <c r="KS137" s="62"/>
      <c r="KT137" s="63"/>
      <c r="KU137" s="32"/>
      <c r="KV137" s="62"/>
      <c r="KW137" s="62"/>
      <c r="KX137" s="62"/>
      <c r="KY137" s="62"/>
      <c r="KZ137" s="62"/>
      <c r="LA137" s="63"/>
      <c r="LB137" s="32"/>
      <c r="LC137" s="62"/>
      <c r="LD137" s="62"/>
      <c r="LE137" s="62"/>
      <c r="LF137" s="62"/>
      <c r="LG137" s="62"/>
      <c r="LH137" s="63"/>
      <c r="LI137" s="32"/>
      <c r="LJ137" s="62"/>
      <c r="LK137" s="62"/>
      <c r="LL137" s="62"/>
      <c r="LM137" s="62"/>
      <c r="LN137" s="62"/>
      <c r="LO137" s="63"/>
      <c r="LP137" s="32"/>
      <c r="LQ137" s="62"/>
      <c r="LR137" s="62"/>
      <c r="LS137" s="62"/>
      <c r="LT137" s="62"/>
      <c r="LU137" s="62"/>
      <c r="LV137" s="63"/>
      <c r="LW137" s="32"/>
      <c r="LX137" s="62"/>
      <c r="LY137" s="62"/>
      <c r="LZ137" s="62"/>
      <c r="MA137" s="62"/>
      <c r="MB137" s="62"/>
      <c r="MC137" s="63"/>
      <c r="MD137" s="32"/>
      <c r="ME137" s="62"/>
      <c r="MF137" s="62"/>
      <c r="MG137" s="62"/>
      <c r="MH137" s="62"/>
      <c r="MI137" s="62"/>
      <c r="MJ137" s="63"/>
      <c r="MK137" s="32"/>
      <c r="ML137" s="62"/>
      <c r="MM137" s="62"/>
      <c r="MN137" s="62"/>
      <c r="MO137" s="62"/>
      <c r="MP137" s="62"/>
      <c r="MQ137" s="28"/>
      <c r="MR137" s="25"/>
      <c r="MS137" s="27"/>
      <c r="MT137" s="27"/>
      <c r="MU137" s="27"/>
      <c r="MV137" s="27"/>
      <c r="MW137" s="27"/>
      <c r="MX137" s="28"/>
      <c r="MY137" s="25"/>
      <c r="MZ137" s="27"/>
      <c r="NA137" s="27"/>
      <c r="NB137" s="27"/>
      <c r="NC137" s="27"/>
      <c r="ND137" s="27"/>
      <c r="NE137" s="28"/>
      <c r="NF137" s="25"/>
      <c r="NG137" s="27"/>
      <c r="NH137" s="27"/>
      <c r="NI137" s="27"/>
      <c r="NJ137" s="27"/>
      <c r="NK137" s="27"/>
      <c r="NL137" s="28"/>
      <c r="NM137" s="25"/>
      <c r="NN137" s="27"/>
      <c r="NO137" s="27"/>
      <c r="NP137" s="27"/>
      <c r="NQ137" s="27"/>
      <c r="NR137" s="27"/>
      <c r="NS137" s="28"/>
      <c r="NT137" s="25"/>
      <c r="NU137" s="27"/>
      <c r="NV137" s="27"/>
      <c r="NW137" s="27"/>
      <c r="NX137" s="27"/>
      <c r="NY137" s="27"/>
      <c r="NZ137" s="28"/>
      <c r="OA137" s="25"/>
      <c r="OB137" s="27"/>
      <c r="OC137" s="27"/>
      <c r="OD137" s="27"/>
      <c r="OE137" s="27"/>
      <c r="OF137" s="27"/>
      <c r="OG137" s="28"/>
      <c r="OH137" s="25"/>
      <c r="OI137" s="27"/>
      <c r="OJ137" s="27"/>
      <c r="OK137" s="27"/>
      <c r="OL137" s="27"/>
      <c r="OM137" s="27"/>
      <c r="ON137" s="28"/>
      <c r="OO137" s="25"/>
      <c r="OP137" s="27"/>
      <c r="OQ137" s="27"/>
      <c r="OR137" s="27"/>
      <c r="OS137" s="27"/>
      <c r="OT137" s="27"/>
      <c r="OU137" s="28"/>
      <c r="OV137" s="25"/>
      <c r="OW137" s="27"/>
      <c r="OX137" s="27"/>
      <c r="OY137" s="27"/>
      <c r="OZ137" s="27"/>
      <c r="PA137" s="27"/>
      <c r="PB137" s="28"/>
      <c r="PC137" s="25"/>
      <c r="PD137" s="27"/>
      <c r="PE137" s="27"/>
      <c r="PF137" s="27"/>
      <c r="PG137" s="27"/>
      <c r="PH137" s="27"/>
      <c r="PI137" s="28"/>
      <c r="PJ137" s="25"/>
      <c r="PK137" s="27"/>
      <c r="PL137" s="27"/>
      <c r="PM137" s="27"/>
      <c r="PN137" s="27"/>
      <c r="PO137" s="27"/>
      <c r="PP137" s="28"/>
      <c r="PQ137" s="25"/>
      <c r="PR137" s="27"/>
      <c r="PS137" s="27"/>
      <c r="PT137" s="27"/>
      <c r="PU137" s="27"/>
      <c r="PV137" s="27"/>
      <c r="PW137" s="28"/>
      <c r="PX137" s="25"/>
      <c r="PY137" s="27"/>
      <c r="PZ137" s="27"/>
      <c r="QA137" s="27"/>
      <c r="QB137" s="27"/>
      <c r="QC137" s="27"/>
      <c r="QD137" s="28"/>
      <c r="QE137" s="25"/>
      <c r="QF137" s="27"/>
      <c r="QG137" s="27"/>
      <c r="QH137" s="27"/>
      <c r="QI137" s="27"/>
      <c r="QJ137" s="27"/>
      <c r="QK137" s="28"/>
      <c r="QL137" s="25"/>
      <c r="QM137" s="27"/>
      <c r="QN137" s="27"/>
      <c r="QO137" s="27"/>
      <c r="QP137" s="27"/>
      <c r="QQ137" s="27"/>
      <c r="QR137" s="28"/>
      <c r="QS137" s="25"/>
      <c r="QT137" s="27"/>
      <c r="QU137" s="27"/>
      <c r="QV137" s="27"/>
      <c r="QW137" s="27"/>
      <c r="QX137" s="27"/>
      <c r="QY137" s="28"/>
      <c r="QZ137" s="25"/>
      <c r="RA137" s="27"/>
      <c r="RB137" s="27"/>
      <c r="RC137" s="27"/>
      <c r="RD137" s="27"/>
      <c r="RE137" s="27"/>
      <c r="RF137" s="28"/>
      <c r="RG137" s="25"/>
      <c r="RH137" s="27"/>
      <c r="RI137" s="27"/>
      <c r="RJ137" s="27"/>
      <c r="RK137" s="27"/>
      <c r="RL137" s="27"/>
      <c r="RM137" s="28"/>
      <c r="RN137" s="25"/>
      <c r="RO137" s="27"/>
      <c r="RP137" s="27"/>
      <c r="RQ137" s="27"/>
      <c r="RR137" s="27"/>
      <c r="RS137" s="27"/>
      <c r="RT137" s="28"/>
      <c r="RU137" s="25"/>
      <c r="RV137" s="27"/>
      <c r="RW137" s="27"/>
      <c r="RX137" s="27"/>
      <c r="RY137" s="27"/>
      <c r="RZ137" s="27"/>
      <c r="SA137" s="28"/>
      <c r="SB137" s="25"/>
      <c r="SC137" s="27"/>
      <c r="SD137" s="27"/>
      <c r="SE137" s="27"/>
      <c r="SF137" s="27"/>
      <c r="SG137" s="27"/>
      <c r="SH137" s="28"/>
      <c r="SI137" s="25"/>
      <c r="SJ137" s="27"/>
      <c r="SK137" s="27"/>
      <c r="SL137" s="27"/>
      <c r="SM137" s="27"/>
      <c r="SN137" s="27"/>
      <c r="SO137" s="28"/>
      <c r="SP137" s="25"/>
      <c r="SQ137" s="27"/>
      <c r="SR137" s="27"/>
    </row>
    <row r="138" spans="1:512" x14ac:dyDescent="0.15">
      <c r="A138" s="89">
        <v>1</v>
      </c>
      <c r="B138" s="90">
        <v>1</v>
      </c>
      <c r="C138" s="91" t="str">
        <f t="shared" ref="C138:C201" ca="1" si="1555">VLOOKUP(B138,$P$138:$R$214,2,0)</f>
        <v>Ben L</v>
      </c>
      <c r="D138" s="108">
        <f ca="1">VLOOKUP(B138,$P$138:$R$209,3,0)</f>
        <v>266.90000000000003</v>
      </c>
      <c r="E138" s="25"/>
      <c r="G138" s="88" t="s">
        <v>18</v>
      </c>
      <c r="H138" s="119">
        <v>5</v>
      </c>
      <c r="I138" s="25"/>
      <c r="J138" s="25"/>
      <c r="K138" s="26"/>
      <c r="L138" s="62"/>
      <c r="M138" s="62"/>
      <c r="N138" s="61" t="s">
        <v>69</v>
      </c>
      <c r="O138" s="32"/>
      <c r="P138" s="32">
        <f t="shared" ref="P138:P169" ca="1" si="1556">RANK(T138,$T$138:$T$214)</f>
        <v>69</v>
      </c>
      <c r="Q138" s="32" t="str">
        <f t="shared" ref="Q138:Q169" ca="1" si="1557">INDIRECT(N138)</f>
        <v>Börn</v>
      </c>
      <c r="R138" s="113">
        <f t="shared" ref="R138:R169" ca="1" si="1558">INDIRECT(M139)</f>
        <v>144.6</v>
      </c>
      <c r="S138" s="73">
        <v>1</v>
      </c>
      <c r="T138" s="32">
        <f ca="1">R138+S138/100000</f>
        <v>144.60001</v>
      </c>
      <c r="U138" s="32"/>
      <c r="V138" s="32"/>
      <c r="W138" s="32"/>
      <c r="X138" s="116">
        <f t="shared" ref="X138:X151" si="1559">RANK(AB138,$AB$138:$AB$152)</f>
        <v>4</v>
      </c>
      <c r="Y138" s="62" t="s">
        <v>567</v>
      </c>
      <c r="Z138" s="117">
        <f>(AJ3+BE3+CN3+ER3+IS3)/5</f>
        <v>222.93999999999997</v>
      </c>
      <c r="AA138" s="32">
        <v>1</v>
      </c>
      <c r="AB138" s="32">
        <f>Z138+AA138/100000</f>
        <v>222.94000999999997</v>
      </c>
      <c r="AC138" s="32"/>
      <c r="AD138" s="25"/>
      <c r="AE138" s="27"/>
      <c r="AF138" s="27"/>
      <c r="AG138" s="28"/>
      <c r="AH138" s="25"/>
      <c r="AI138" s="27"/>
      <c r="AJ138" s="27"/>
      <c r="AK138" s="27"/>
      <c r="AL138" s="27"/>
      <c r="AM138" s="27"/>
      <c r="AN138" s="28"/>
      <c r="AO138" s="25"/>
      <c r="AP138" s="27"/>
      <c r="AQ138" s="27"/>
      <c r="AR138" s="27"/>
      <c r="AS138" s="27"/>
      <c r="AT138" s="27"/>
      <c r="AU138" s="28"/>
      <c r="AV138" s="25"/>
      <c r="AW138" s="27"/>
      <c r="AX138" s="27"/>
      <c r="AY138" s="27"/>
      <c r="AZ138" s="27"/>
      <c r="BA138" s="27"/>
      <c r="BB138" s="28"/>
      <c r="BC138" s="25"/>
      <c r="BD138" s="27"/>
      <c r="BE138" s="27"/>
      <c r="BF138" s="25"/>
      <c r="BG138" s="27"/>
      <c r="BH138" s="27"/>
      <c r="BI138" s="28"/>
      <c r="BJ138" s="25"/>
      <c r="BK138" s="27"/>
      <c r="BL138" s="27"/>
      <c r="BM138" s="27"/>
      <c r="BN138" s="27"/>
      <c r="BO138" s="27"/>
      <c r="BP138" s="28"/>
      <c r="BQ138" s="25"/>
      <c r="BR138" s="27"/>
      <c r="BS138" s="27"/>
      <c r="BT138" s="27"/>
      <c r="BU138" s="27"/>
      <c r="BV138" s="27"/>
      <c r="BW138" s="28"/>
      <c r="BX138" s="25"/>
      <c r="BY138" s="27"/>
      <c r="BZ138" s="27"/>
      <c r="CA138" s="27"/>
      <c r="CB138" s="27"/>
      <c r="CC138" s="27"/>
      <c r="CD138" s="28"/>
      <c r="CE138" s="25"/>
      <c r="CF138" s="27"/>
      <c r="CG138" s="27"/>
      <c r="CH138" s="25"/>
      <c r="CI138" s="27"/>
      <c r="CJ138" s="27"/>
      <c r="CK138" s="28"/>
      <c r="CL138" s="25"/>
      <c r="CM138" s="27"/>
      <c r="CN138" s="27"/>
      <c r="CO138" s="27"/>
      <c r="CP138" s="27"/>
      <c r="CQ138" s="27"/>
      <c r="CR138" s="28"/>
      <c r="CS138" s="25"/>
      <c r="CT138" s="27"/>
      <c r="CU138" s="27"/>
      <c r="CV138" s="27"/>
      <c r="CW138" s="27"/>
      <c r="CX138" s="27"/>
      <c r="CY138" s="28"/>
      <c r="CZ138" s="25"/>
      <c r="DA138" s="27"/>
      <c r="DB138" s="27"/>
      <c r="DC138" s="27"/>
      <c r="DD138" s="27"/>
      <c r="DE138" s="27"/>
      <c r="DF138" s="28"/>
      <c r="DG138" s="25"/>
      <c r="DH138" s="27"/>
      <c r="DI138" s="27"/>
      <c r="DJ138" s="25"/>
      <c r="DK138" s="27"/>
      <c r="DL138" s="27"/>
      <c r="DM138" s="28"/>
      <c r="DN138" s="25"/>
      <c r="DO138" s="27"/>
      <c r="DP138" s="27"/>
      <c r="DQ138" s="27"/>
      <c r="DR138" s="27"/>
      <c r="DS138" s="27"/>
      <c r="DT138" s="28"/>
      <c r="DU138" s="25"/>
      <c r="DV138" s="27"/>
      <c r="DW138" s="27"/>
      <c r="DX138" s="27"/>
      <c r="DY138" s="27"/>
      <c r="DZ138" s="27"/>
      <c r="EA138" s="28"/>
      <c r="EB138" s="25"/>
      <c r="EC138" s="27"/>
      <c r="ED138" s="27"/>
      <c r="EE138" s="27"/>
      <c r="EF138" s="27"/>
      <c r="EG138" s="27"/>
      <c r="EH138" s="28"/>
      <c r="EI138" s="25"/>
      <c r="EJ138" s="27"/>
      <c r="EK138" s="27"/>
      <c r="EL138" s="25"/>
      <c r="EM138" s="27"/>
      <c r="EN138" s="27"/>
      <c r="EO138" s="28"/>
      <c r="EP138" s="25"/>
      <c r="EQ138" s="27"/>
      <c r="ER138" s="27"/>
      <c r="ES138" s="27"/>
      <c r="ET138" s="27"/>
      <c r="EU138" s="27"/>
      <c r="EV138" s="28"/>
      <c r="EW138" s="25"/>
      <c r="EX138" s="27"/>
      <c r="EY138" s="27"/>
      <c r="EZ138" s="27"/>
      <c r="FA138" s="27"/>
      <c r="FB138" s="27"/>
      <c r="FC138" s="28"/>
      <c r="FD138" s="25"/>
      <c r="FE138" s="27"/>
      <c r="FF138" s="27"/>
      <c r="FG138" s="27"/>
      <c r="FH138" s="27"/>
      <c r="FI138" s="27"/>
      <c r="FJ138" s="28"/>
      <c r="FK138" s="25"/>
      <c r="FL138" s="27"/>
      <c r="FM138" s="27"/>
      <c r="FN138" s="25"/>
      <c r="FO138" s="27"/>
      <c r="FP138" s="27"/>
      <c r="FQ138" s="28"/>
      <c r="FR138" s="25"/>
      <c r="FS138" s="27"/>
      <c r="FT138" s="27"/>
      <c r="FU138" s="27"/>
      <c r="FV138" s="27"/>
      <c r="FW138" s="27"/>
      <c r="FX138" s="28"/>
      <c r="FY138" s="25"/>
      <c r="FZ138" s="27"/>
      <c r="GA138" s="27"/>
      <c r="GB138" s="27"/>
      <c r="GC138" s="27"/>
      <c r="GD138" s="27"/>
      <c r="GE138" s="28"/>
      <c r="GF138" s="25"/>
      <c r="GG138" s="27"/>
      <c r="GH138" s="27"/>
      <c r="GI138" s="27"/>
      <c r="GJ138" s="27"/>
      <c r="GK138" s="27"/>
      <c r="GL138" s="28"/>
      <c r="GM138" s="25"/>
      <c r="GN138" s="27"/>
      <c r="GO138" s="27"/>
      <c r="GP138" s="25"/>
      <c r="GQ138" s="27"/>
      <c r="GR138" s="27"/>
      <c r="GS138" s="28"/>
      <c r="GT138" s="25"/>
      <c r="GU138" s="27"/>
      <c r="GV138" s="27"/>
      <c r="GW138" s="27"/>
      <c r="GX138" s="27"/>
      <c r="GY138" s="27"/>
      <c r="GZ138" s="28"/>
      <c r="HA138" s="25"/>
      <c r="HB138" s="27"/>
      <c r="HC138" s="27"/>
      <c r="HD138" s="27"/>
      <c r="HE138" s="27"/>
      <c r="HF138" s="27"/>
      <c r="HG138" s="28"/>
      <c r="HH138" s="25"/>
      <c r="HI138" s="27"/>
      <c r="HJ138" s="27"/>
      <c r="HK138" s="27"/>
      <c r="HL138" s="27"/>
      <c r="HM138" s="27"/>
      <c r="HN138" s="28"/>
      <c r="HO138" s="25"/>
      <c r="HP138" s="27"/>
      <c r="HQ138" s="27"/>
      <c r="HR138" s="25"/>
      <c r="HS138" s="27"/>
      <c r="HT138" s="27"/>
      <c r="HU138" s="28"/>
      <c r="HV138" s="25"/>
      <c r="HW138" s="27"/>
      <c r="HX138" s="27"/>
      <c r="HY138" s="27"/>
      <c r="HZ138" s="27"/>
      <c r="IA138" s="27"/>
      <c r="IB138" s="28"/>
      <c r="IC138" s="25"/>
      <c r="ID138" s="27"/>
      <c r="IE138" s="27"/>
      <c r="IF138" s="27"/>
      <c r="IG138" s="27"/>
      <c r="IH138" s="27"/>
      <c r="II138" s="28"/>
      <c r="IJ138" s="25"/>
      <c r="IK138" s="27"/>
      <c r="IL138" s="27"/>
      <c r="IM138" s="27"/>
      <c r="IN138" s="27"/>
      <c r="IO138" s="27"/>
      <c r="IP138" s="28"/>
      <c r="IQ138" s="25"/>
      <c r="IR138" s="27"/>
      <c r="IS138" s="27"/>
      <c r="IT138" s="25"/>
      <c r="IU138" s="27"/>
      <c r="IV138" s="27"/>
      <c r="IW138" s="28"/>
      <c r="IX138" s="25"/>
      <c r="IY138" s="27"/>
      <c r="IZ138" s="27"/>
      <c r="JA138" s="27"/>
      <c r="JB138" s="27"/>
      <c r="JC138" s="27"/>
      <c r="JD138" s="28"/>
      <c r="JE138" s="25"/>
      <c r="JF138" s="27"/>
      <c r="JG138" s="27"/>
      <c r="JH138" s="27"/>
      <c r="JI138" s="27"/>
      <c r="JJ138" s="27"/>
      <c r="JK138" s="28"/>
      <c r="JL138" s="25"/>
      <c r="JM138" s="27"/>
      <c r="JN138" s="27"/>
      <c r="JO138" s="27"/>
      <c r="JP138" s="27"/>
      <c r="JQ138" s="27"/>
      <c r="JR138" s="28"/>
      <c r="JS138" s="25"/>
      <c r="JT138" s="27"/>
      <c r="JU138" s="27"/>
      <c r="JV138" s="25"/>
      <c r="JW138" s="27"/>
      <c r="JX138" s="27"/>
      <c r="JY138" s="28"/>
      <c r="JZ138" s="25"/>
      <c r="KA138" s="27"/>
      <c r="KB138" s="27"/>
      <c r="KC138" s="27"/>
      <c r="KD138" s="27"/>
      <c r="KE138" s="27"/>
      <c r="KF138" s="28"/>
      <c r="KG138" s="25"/>
      <c r="KH138" s="27"/>
      <c r="KI138" s="27"/>
      <c r="KJ138" s="27"/>
      <c r="KK138" s="27"/>
      <c r="KL138" s="27"/>
      <c r="KM138" s="28"/>
      <c r="KN138" s="25"/>
      <c r="KO138" s="27"/>
      <c r="KP138" s="27"/>
      <c r="KQ138" s="27"/>
      <c r="KR138" s="27"/>
      <c r="KS138" s="27"/>
      <c r="KT138" s="28"/>
      <c r="KU138" s="25"/>
      <c r="KV138" s="27"/>
      <c r="KW138" s="27"/>
      <c r="KX138" s="27"/>
      <c r="KY138" s="27"/>
      <c r="KZ138" s="27"/>
      <c r="LA138" s="28"/>
      <c r="LB138" s="25"/>
      <c r="LC138" s="27"/>
      <c r="LD138" s="27"/>
      <c r="LE138" s="27"/>
      <c r="LF138" s="27"/>
      <c r="LG138" s="27"/>
      <c r="LH138" s="28"/>
      <c r="LI138" s="25"/>
      <c r="LJ138" s="27"/>
      <c r="LK138" s="27"/>
      <c r="LL138" s="27"/>
      <c r="LM138" s="27"/>
      <c r="LN138" s="27"/>
      <c r="LO138" s="28"/>
      <c r="LP138" s="25"/>
      <c r="LQ138" s="27"/>
      <c r="LR138" s="27"/>
      <c r="LS138" s="27"/>
      <c r="LT138" s="27"/>
      <c r="LU138" s="27"/>
      <c r="LV138" s="28"/>
      <c r="LW138" s="25"/>
      <c r="LX138" s="27"/>
      <c r="LY138" s="27"/>
      <c r="LZ138" s="27"/>
      <c r="MA138" s="27"/>
      <c r="MB138" s="27"/>
      <c r="MC138" s="28"/>
      <c r="MD138" s="25"/>
      <c r="ME138" s="27"/>
      <c r="MF138" s="27"/>
      <c r="MG138" s="27"/>
      <c r="MH138" s="27"/>
      <c r="MI138" s="27"/>
      <c r="MJ138" s="28"/>
      <c r="MK138" s="25"/>
      <c r="ML138" s="27"/>
      <c r="MM138" s="27"/>
      <c r="MN138" s="27"/>
      <c r="MO138" s="27"/>
      <c r="MP138" s="27"/>
      <c r="MQ138" s="28"/>
      <c r="MR138" s="25"/>
      <c r="MS138" s="27"/>
      <c r="MT138" s="27"/>
      <c r="MU138" s="27"/>
      <c r="MV138" s="27"/>
      <c r="MW138" s="27"/>
      <c r="MX138" s="28"/>
      <c r="MY138" s="25"/>
      <c r="MZ138" s="27"/>
      <c r="NA138" s="27"/>
      <c r="NB138" s="27"/>
      <c r="NC138" s="27"/>
      <c r="ND138" s="27"/>
      <c r="NE138" s="28"/>
      <c r="NF138" s="25"/>
      <c r="NG138" s="27"/>
      <c r="NH138" s="27"/>
      <c r="NI138" s="27"/>
      <c r="NJ138" s="27"/>
      <c r="NK138" s="27"/>
      <c r="NL138" s="28"/>
      <c r="NM138" s="25"/>
      <c r="NN138" s="27"/>
      <c r="NO138" s="27"/>
      <c r="NP138" s="27"/>
      <c r="NQ138" s="27"/>
      <c r="NR138" s="27"/>
      <c r="NS138" s="28"/>
      <c r="NT138" s="25"/>
      <c r="NU138" s="27"/>
      <c r="NV138" s="27"/>
      <c r="NW138" s="27"/>
      <c r="NX138" s="27"/>
      <c r="NY138" s="27"/>
      <c r="NZ138" s="28"/>
      <c r="OA138" s="25"/>
      <c r="OB138" s="27"/>
      <c r="OC138" s="27"/>
      <c r="OD138" s="27"/>
      <c r="OE138" s="27"/>
      <c r="OF138" s="27"/>
      <c r="OG138" s="28"/>
      <c r="OH138" s="25"/>
      <c r="OI138" s="27"/>
      <c r="OJ138" s="27"/>
      <c r="OK138" s="27"/>
      <c r="OL138" s="27"/>
      <c r="OM138" s="27"/>
      <c r="ON138" s="28"/>
      <c r="OO138" s="25"/>
      <c r="OP138" s="27"/>
      <c r="OQ138" s="27"/>
      <c r="OR138" s="27"/>
      <c r="OS138" s="27"/>
      <c r="OT138" s="27"/>
      <c r="OU138" s="28"/>
      <c r="OV138" s="25"/>
      <c r="OW138" s="27"/>
      <c r="OX138" s="27"/>
      <c r="OY138" s="27"/>
      <c r="OZ138" s="27"/>
      <c r="PA138" s="27"/>
      <c r="PB138" s="28"/>
      <c r="PC138" s="25"/>
      <c r="PD138" s="27"/>
      <c r="PE138" s="27"/>
      <c r="PF138" s="27"/>
      <c r="PG138" s="27"/>
      <c r="PH138" s="27"/>
      <c r="PI138" s="28"/>
      <c r="PJ138" s="25"/>
      <c r="PK138" s="27"/>
      <c r="PL138" s="27"/>
      <c r="PM138" s="27"/>
      <c r="PN138" s="27"/>
      <c r="PO138" s="27"/>
      <c r="PP138" s="28"/>
      <c r="PQ138" s="25"/>
      <c r="PR138" s="27"/>
      <c r="PS138" s="27"/>
      <c r="PT138" s="27"/>
      <c r="PU138" s="27"/>
      <c r="PV138" s="27"/>
      <c r="PW138" s="28"/>
      <c r="PX138" s="25"/>
      <c r="PY138" s="27"/>
      <c r="PZ138" s="27"/>
      <c r="QA138" s="27"/>
      <c r="QB138" s="27"/>
      <c r="QC138" s="27"/>
      <c r="QD138" s="28"/>
      <c r="QE138" s="25"/>
      <c r="QF138" s="27"/>
      <c r="QG138" s="27"/>
      <c r="QH138" s="27"/>
      <c r="QI138" s="27"/>
      <c r="QJ138" s="27"/>
      <c r="QK138" s="28"/>
      <c r="QL138" s="25"/>
      <c r="QM138" s="27"/>
      <c r="QN138" s="27"/>
      <c r="QO138" s="27"/>
      <c r="QP138" s="27"/>
      <c r="QQ138" s="27"/>
      <c r="QR138" s="28"/>
      <c r="QS138" s="25"/>
      <c r="QT138" s="27"/>
      <c r="QU138" s="27"/>
      <c r="QV138" s="27"/>
      <c r="QW138" s="27"/>
      <c r="QX138" s="27"/>
      <c r="QY138" s="28"/>
      <c r="QZ138" s="25"/>
      <c r="RA138" s="27"/>
      <c r="RB138" s="27"/>
      <c r="RC138" s="27"/>
      <c r="RD138" s="27"/>
      <c r="RE138" s="27"/>
      <c r="RF138" s="28"/>
      <c r="RG138" s="25"/>
      <c r="RH138" s="27"/>
      <c r="RI138" s="27"/>
      <c r="RJ138" s="27"/>
      <c r="RK138" s="27"/>
      <c r="RL138" s="27"/>
      <c r="RM138" s="28"/>
      <c r="RN138" s="25"/>
      <c r="RO138" s="27"/>
      <c r="RP138" s="27"/>
      <c r="RQ138" s="27"/>
      <c r="RR138" s="27"/>
      <c r="RS138" s="27"/>
      <c r="RT138" s="28"/>
      <c r="RU138" s="25"/>
      <c r="RV138" s="27"/>
      <c r="RW138" s="27"/>
      <c r="RX138" s="27"/>
      <c r="RY138" s="27"/>
      <c r="RZ138" s="27"/>
      <c r="SA138" s="28"/>
      <c r="SB138" s="25"/>
      <c r="SC138" s="27"/>
      <c r="SD138" s="27"/>
      <c r="SE138" s="27"/>
      <c r="SF138" s="27"/>
      <c r="SG138" s="27"/>
      <c r="SH138" s="28"/>
      <c r="SI138" s="25"/>
      <c r="SJ138" s="27"/>
      <c r="SK138" s="27"/>
      <c r="SL138" s="27"/>
      <c r="SM138" s="27"/>
      <c r="SN138" s="27"/>
      <c r="SO138" s="28"/>
      <c r="SP138" s="25"/>
      <c r="SQ138" s="27"/>
      <c r="SR138" s="27"/>
    </row>
    <row r="139" spans="1:512" x14ac:dyDescent="0.15">
      <c r="A139" s="93">
        <f ca="1">IF(D139=D138,A138,B139)</f>
        <v>2</v>
      </c>
      <c r="B139" s="94">
        <v>2</v>
      </c>
      <c r="C139" s="95" t="str">
        <f t="shared" ca="1" si="1555"/>
        <v>ChatGPT-Charly</v>
      </c>
      <c r="D139" s="109">
        <f ca="1">VLOOKUP(B139,$P$138:$R$209,3,0)</f>
        <v>265.69999999999993</v>
      </c>
      <c r="E139" s="25"/>
      <c r="G139" s="88" t="s">
        <v>321</v>
      </c>
      <c r="H139" s="119">
        <v>4</v>
      </c>
      <c r="I139" s="25"/>
      <c r="J139" s="25"/>
      <c r="K139" s="26"/>
      <c r="L139" s="62"/>
      <c r="M139" s="32" t="s">
        <v>189</v>
      </c>
      <c r="N139" s="62" t="s">
        <v>70</v>
      </c>
      <c r="O139" s="32"/>
      <c r="P139" s="32">
        <f t="shared" ca="1" si="1556"/>
        <v>49</v>
      </c>
      <c r="Q139" s="32" t="str">
        <f t="shared" ca="1" si="1557"/>
        <v>Julian</v>
      </c>
      <c r="R139" s="113">
        <f t="shared" ca="1" si="1558"/>
        <v>214.49999999999994</v>
      </c>
      <c r="S139" s="73">
        <v>2</v>
      </c>
      <c r="T139" s="32">
        <f ca="1">R139+S139/100000</f>
        <v>214.50001999999995</v>
      </c>
      <c r="U139" s="32"/>
      <c r="V139" s="61"/>
      <c r="W139" s="62"/>
      <c r="X139" s="32">
        <f t="shared" si="1559"/>
        <v>5</v>
      </c>
      <c r="Y139" s="63" t="s">
        <v>568</v>
      </c>
      <c r="Z139" s="118">
        <f>(DB3+DI3+JU3+NH3)/4</f>
        <v>220.875</v>
      </c>
      <c r="AA139" s="32">
        <v>2</v>
      </c>
      <c r="AB139" s="32">
        <f t="shared" ref="AB139:AB147" si="1560">Z139+AA139/100000</f>
        <v>220.87502000000001</v>
      </c>
      <c r="AC139" s="61"/>
      <c r="AD139" s="27"/>
      <c r="AE139" s="27"/>
      <c r="AF139" s="27"/>
      <c r="AG139" s="28"/>
      <c r="AH139" s="25"/>
      <c r="AI139" s="27"/>
      <c r="AJ139" s="27"/>
      <c r="AK139" s="27"/>
      <c r="AL139" s="27"/>
      <c r="AM139" s="27"/>
      <c r="AN139" s="28"/>
      <c r="AO139" s="25"/>
      <c r="AP139" s="27"/>
      <c r="AQ139" s="27"/>
      <c r="AR139" s="27"/>
      <c r="AS139" s="27"/>
      <c r="AT139" s="27"/>
      <c r="AU139" s="28"/>
      <c r="AV139" s="25"/>
      <c r="AW139" s="27"/>
      <c r="AX139" s="27"/>
      <c r="AY139" s="27"/>
      <c r="AZ139" s="27"/>
      <c r="BA139" s="27"/>
      <c r="BB139" s="28"/>
      <c r="BC139" s="25"/>
      <c r="BD139" s="27"/>
      <c r="BE139" s="27"/>
      <c r="BF139" s="27"/>
      <c r="BG139" s="27"/>
      <c r="BH139" s="27"/>
      <c r="BI139" s="28"/>
      <c r="BJ139" s="25"/>
      <c r="BK139" s="27"/>
      <c r="BL139" s="27"/>
      <c r="BM139" s="27"/>
      <c r="BN139" s="27"/>
      <c r="BO139" s="27"/>
      <c r="BP139" s="28"/>
      <c r="BQ139" s="25"/>
      <c r="BR139" s="27"/>
      <c r="BS139" s="27"/>
      <c r="BT139" s="27"/>
      <c r="BU139" s="27"/>
      <c r="BV139" s="27"/>
      <c r="BW139" s="28"/>
      <c r="BX139" s="25"/>
      <c r="BY139" s="27"/>
      <c r="BZ139" s="27"/>
      <c r="CA139" s="27"/>
      <c r="CB139" s="27"/>
      <c r="CC139" s="27"/>
      <c r="CD139" s="28"/>
      <c r="CE139" s="25"/>
      <c r="CF139" s="27"/>
      <c r="CG139" s="27"/>
      <c r="CH139" s="27"/>
      <c r="CI139" s="27"/>
      <c r="CJ139" s="27"/>
      <c r="CK139" s="28"/>
      <c r="CL139" s="25"/>
      <c r="CM139" s="27"/>
      <c r="CN139" s="27"/>
      <c r="CO139" s="27"/>
      <c r="CP139" s="27"/>
      <c r="CQ139" s="27"/>
      <c r="CR139" s="28"/>
      <c r="CS139" s="25"/>
      <c r="CT139" s="27"/>
      <c r="CU139" s="27"/>
      <c r="CV139" s="27"/>
      <c r="CW139" s="27"/>
      <c r="CX139" s="27"/>
      <c r="CY139" s="28"/>
      <c r="CZ139" s="25"/>
      <c r="DA139" s="27"/>
      <c r="DB139" s="27"/>
      <c r="DC139" s="27"/>
      <c r="DD139" s="27"/>
      <c r="DE139" s="27"/>
      <c r="DF139" s="28"/>
      <c r="DG139" s="25"/>
      <c r="DH139" s="27"/>
      <c r="DI139" s="27"/>
      <c r="DJ139" s="27"/>
      <c r="DK139" s="27"/>
      <c r="DL139" s="27"/>
      <c r="DM139" s="28"/>
      <c r="DN139" s="25"/>
      <c r="DO139" s="27"/>
      <c r="DP139" s="27"/>
      <c r="DQ139" s="27"/>
      <c r="DR139" s="27"/>
      <c r="DS139" s="27"/>
      <c r="DT139" s="28"/>
      <c r="DU139" s="25"/>
      <c r="DV139" s="27"/>
      <c r="DW139" s="27"/>
      <c r="DX139" s="27"/>
      <c r="DY139" s="27"/>
      <c r="DZ139" s="27"/>
      <c r="EA139" s="28"/>
      <c r="EB139" s="25"/>
      <c r="EC139" s="27"/>
      <c r="ED139" s="27"/>
      <c r="EE139" s="27"/>
      <c r="EF139" s="27"/>
      <c r="EG139" s="27"/>
      <c r="EH139" s="28"/>
      <c r="EI139" s="25"/>
      <c r="EJ139" s="27"/>
      <c r="EK139" s="27"/>
      <c r="EL139" s="27"/>
      <c r="EM139" s="27"/>
      <c r="EN139" s="27"/>
      <c r="EO139" s="28"/>
      <c r="EP139" s="25"/>
      <c r="EQ139" s="27"/>
      <c r="ER139" s="27"/>
      <c r="ES139" s="27"/>
      <c r="ET139" s="27"/>
      <c r="EU139" s="27"/>
      <c r="EV139" s="28"/>
      <c r="EW139" s="25"/>
      <c r="EX139" s="27"/>
      <c r="EY139" s="27"/>
      <c r="EZ139" s="27"/>
      <c r="FA139" s="27"/>
      <c r="FB139" s="27"/>
      <c r="FC139" s="28"/>
      <c r="FD139" s="25"/>
      <c r="FE139" s="27"/>
      <c r="FF139" s="27"/>
      <c r="FG139" s="27"/>
      <c r="FH139" s="27"/>
      <c r="FI139" s="27"/>
      <c r="FJ139" s="28"/>
      <c r="FK139" s="25"/>
      <c r="FL139" s="27"/>
      <c r="FM139" s="27"/>
      <c r="FN139" s="27"/>
      <c r="FO139" s="27"/>
      <c r="FP139" s="27"/>
      <c r="FQ139" s="28"/>
      <c r="FR139" s="25"/>
      <c r="FS139" s="27"/>
      <c r="FT139" s="27"/>
      <c r="FU139" s="27"/>
      <c r="FV139" s="27"/>
      <c r="FW139" s="27"/>
      <c r="FX139" s="28"/>
      <c r="FY139" s="25"/>
      <c r="FZ139" s="27"/>
      <c r="GA139" s="27"/>
      <c r="GB139" s="27"/>
      <c r="GC139" s="27"/>
      <c r="GD139" s="27"/>
      <c r="GE139" s="28"/>
      <c r="GF139" s="25"/>
      <c r="GG139" s="27"/>
      <c r="GH139" s="27"/>
      <c r="GI139" s="27"/>
      <c r="GJ139" s="27"/>
      <c r="GK139" s="27"/>
      <c r="GL139" s="28"/>
      <c r="GM139" s="25"/>
      <c r="GN139" s="27"/>
      <c r="GO139" s="27"/>
      <c r="GP139" s="27"/>
      <c r="GQ139" s="27"/>
      <c r="GR139" s="27"/>
      <c r="GS139" s="28"/>
      <c r="GT139" s="25"/>
      <c r="GU139" s="27"/>
      <c r="GV139" s="27"/>
      <c r="GW139" s="27"/>
      <c r="GX139" s="27"/>
      <c r="GY139" s="27"/>
      <c r="GZ139" s="28"/>
      <c r="HA139" s="25"/>
      <c r="HB139" s="27"/>
      <c r="HC139" s="27"/>
      <c r="HD139" s="27"/>
      <c r="HE139" s="27"/>
      <c r="HF139" s="27"/>
      <c r="HG139" s="28"/>
      <c r="HH139" s="25"/>
      <c r="HI139" s="27"/>
      <c r="HJ139" s="27"/>
      <c r="HK139" s="27"/>
      <c r="HL139" s="27"/>
      <c r="HM139" s="27"/>
      <c r="HN139" s="28"/>
      <c r="HO139" s="25"/>
      <c r="HP139" s="27"/>
      <c r="HQ139" s="27"/>
      <c r="HR139" s="27"/>
      <c r="HS139" s="27"/>
      <c r="HT139" s="27"/>
      <c r="HU139" s="28"/>
      <c r="HV139" s="25"/>
      <c r="HW139" s="27"/>
      <c r="HX139" s="27"/>
      <c r="HY139" s="27"/>
      <c r="HZ139" s="27"/>
      <c r="IA139" s="27"/>
      <c r="IB139" s="28"/>
      <c r="IC139" s="25"/>
      <c r="ID139" s="27"/>
      <c r="IE139" s="27"/>
      <c r="IF139" s="27"/>
      <c r="IG139" s="27"/>
      <c r="IH139" s="27"/>
      <c r="II139" s="28"/>
      <c r="IJ139" s="25"/>
      <c r="IK139" s="27"/>
      <c r="IL139" s="27"/>
      <c r="IM139" s="27"/>
      <c r="IN139" s="27"/>
      <c r="IO139" s="27"/>
      <c r="IP139" s="28"/>
      <c r="IQ139" s="25"/>
      <c r="IR139" s="27"/>
      <c r="IS139" s="27"/>
      <c r="IT139" s="27"/>
      <c r="IU139" s="27"/>
      <c r="IV139" s="27"/>
      <c r="IW139" s="28"/>
      <c r="IX139" s="25"/>
      <c r="IY139" s="27"/>
      <c r="IZ139" s="27"/>
      <c r="JA139" s="27"/>
      <c r="JB139" s="27"/>
      <c r="JC139" s="27"/>
      <c r="JD139" s="28"/>
      <c r="JE139" s="25"/>
      <c r="JF139" s="27"/>
      <c r="JG139" s="27"/>
      <c r="JH139" s="27"/>
      <c r="JI139" s="27"/>
      <c r="JJ139" s="27"/>
      <c r="JK139" s="28"/>
      <c r="JL139" s="25"/>
      <c r="JM139" s="27"/>
      <c r="JN139" s="27"/>
      <c r="JO139" s="27"/>
      <c r="JP139" s="27"/>
      <c r="JQ139" s="27"/>
      <c r="JR139" s="28"/>
      <c r="JS139" s="25"/>
      <c r="JT139" s="27"/>
      <c r="JU139" s="27"/>
      <c r="JV139" s="27"/>
      <c r="JW139" s="27"/>
      <c r="JX139" s="27"/>
      <c r="JY139" s="28"/>
      <c r="JZ139" s="25"/>
      <c r="KA139" s="27"/>
      <c r="KB139" s="27"/>
      <c r="KC139" s="27"/>
      <c r="KD139" s="27"/>
      <c r="KE139" s="27"/>
      <c r="KF139" s="28"/>
      <c r="KG139" s="25"/>
      <c r="KH139" s="27"/>
      <c r="KI139" s="27"/>
      <c r="KJ139" s="27"/>
      <c r="KK139" s="27"/>
      <c r="KL139" s="27"/>
      <c r="KM139" s="28"/>
      <c r="KN139" s="25"/>
      <c r="KO139" s="27"/>
      <c r="KP139" s="27"/>
      <c r="KQ139" s="27"/>
      <c r="KR139" s="27"/>
      <c r="KS139" s="27"/>
      <c r="KT139" s="28"/>
      <c r="KU139" s="25"/>
      <c r="KV139" s="27"/>
      <c r="KW139" s="27"/>
      <c r="KX139" s="27"/>
      <c r="KY139" s="27"/>
      <c r="KZ139" s="27"/>
      <c r="LA139" s="28"/>
      <c r="LB139" s="25"/>
      <c r="LC139" s="27"/>
      <c r="LD139" s="27"/>
      <c r="LE139" s="27"/>
      <c r="LF139" s="27"/>
      <c r="LG139" s="27"/>
      <c r="LH139" s="28"/>
      <c r="LI139" s="25"/>
      <c r="LJ139" s="27"/>
      <c r="LK139" s="27"/>
      <c r="LL139" s="27"/>
      <c r="LM139" s="27"/>
      <c r="LN139" s="27"/>
      <c r="LO139" s="28"/>
      <c r="LP139" s="25"/>
      <c r="LQ139" s="27"/>
      <c r="LR139" s="27"/>
      <c r="LS139" s="27"/>
      <c r="LT139" s="27"/>
      <c r="LU139" s="27"/>
      <c r="LV139" s="28"/>
      <c r="LW139" s="25"/>
      <c r="LX139" s="27"/>
      <c r="LY139" s="27"/>
      <c r="LZ139" s="27"/>
      <c r="MA139" s="27"/>
      <c r="MB139" s="27"/>
      <c r="MC139" s="28"/>
      <c r="MD139" s="25"/>
      <c r="ME139" s="27"/>
      <c r="MF139" s="27"/>
      <c r="MG139" s="27"/>
      <c r="MH139" s="27"/>
      <c r="MI139" s="27"/>
      <c r="MJ139" s="28"/>
      <c r="MK139" s="25"/>
      <c r="ML139" s="27"/>
      <c r="MM139" s="27"/>
      <c r="MN139" s="27"/>
      <c r="MO139" s="27"/>
      <c r="MP139" s="27"/>
      <c r="MQ139" s="28"/>
      <c r="MR139" s="25"/>
      <c r="MS139" s="27"/>
      <c r="MT139" s="27"/>
      <c r="MU139" s="27"/>
      <c r="MV139" s="27"/>
      <c r="MW139" s="27"/>
      <c r="MX139" s="28"/>
      <c r="MY139" s="25"/>
      <c r="MZ139" s="27"/>
      <c r="NA139" s="27"/>
      <c r="NB139" s="27"/>
      <c r="NC139" s="27"/>
      <c r="ND139" s="27"/>
      <c r="NE139" s="28"/>
      <c r="NF139" s="25"/>
      <c r="NG139" s="27"/>
      <c r="NH139" s="27"/>
      <c r="NI139" s="27"/>
      <c r="NJ139" s="27"/>
      <c r="NK139" s="27"/>
      <c r="NL139" s="28"/>
      <c r="NM139" s="25"/>
      <c r="NN139" s="27"/>
      <c r="NO139" s="27"/>
      <c r="NP139" s="27"/>
      <c r="NQ139" s="27"/>
      <c r="NR139" s="27"/>
      <c r="NS139" s="28"/>
      <c r="NT139" s="25"/>
      <c r="NU139" s="27"/>
      <c r="NV139" s="27"/>
      <c r="NW139" s="27"/>
      <c r="NX139" s="27"/>
      <c r="NY139" s="27"/>
      <c r="NZ139" s="28"/>
      <c r="OA139" s="25"/>
      <c r="OB139" s="27"/>
      <c r="OC139" s="27"/>
      <c r="OD139" s="27"/>
      <c r="OE139" s="27"/>
      <c r="OF139" s="27"/>
      <c r="OG139" s="28"/>
      <c r="OH139" s="25"/>
      <c r="OI139" s="27"/>
      <c r="OJ139" s="27"/>
      <c r="OK139" s="27"/>
      <c r="OL139" s="27"/>
      <c r="OM139" s="27"/>
      <c r="ON139" s="28"/>
      <c r="OO139" s="25"/>
      <c r="OP139" s="27"/>
      <c r="OQ139" s="27"/>
      <c r="OR139" s="27"/>
      <c r="OS139" s="27"/>
      <c r="OT139" s="27"/>
      <c r="OU139" s="28"/>
      <c r="OV139" s="25"/>
      <c r="OW139" s="27"/>
      <c r="OX139" s="27"/>
      <c r="OY139" s="27"/>
      <c r="OZ139" s="27"/>
      <c r="PA139" s="27"/>
      <c r="PB139" s="28"/>
      <c r="PC139" s="25"/>
      <c r="PD139" s="27"/>
      <c r="PE139" s="27"/>
      <c r="PF139" s="27"/>
      <c r="PG139" s="27"/>
      <c r="PH139" s="27"/>
      <c r="PI139" s="28"/>
      <c r="PJ139" s="25"/>
      <c r="PK139" s="27"/>
      <c r="PL139" s="27"/>
      <c r="PM139" s="27"/>
      <c r="PN139" s="27"/>
      <c r="PO139" s="27"/>
      <c r="PP139" s="28"/>
      <c r="PQ139" s="25"/>
      <c r="PR139" s="27"/>
      <c r="PS139" s="27"/>
      <c r="PT139" s="27"/>
      <c r="PU139" s="27"/>
      <c r="PV139" s="27"/>
      <c r="PW139" s="28"/>
      <c r="PX139" s="25"/>
      <c r="PY139" s="27"/>
      <c r="PZ139" s="27"/>
      <c r="QA139" s="27"/>
      <c r="QB139" s="27"/>
      <c r="QC139" s="27"/>
      <c r="QD139" s="28"/>
      <c r="QE139" s="25"/>
      <c r="QF139" s="27"/>
      <c r="QG139" s="27"/>
      <c r="QH139" s="27"/>
      <c r="QI139" s="27"/>
      <c r="QJ139" s="27"/>
      <c r="QK139" s="28"/>
      <c r="QL139" s="25"/>
      <c r="QM139" s="27"/>
      <c r="QN139" s="27"/>
      <c r="QO139" s="27"/>
      <c r="QP139" s="27"/>
      <c r="QQ139" s="27"/>
      <c r="QR139" s="28"/>
      <c r="QS139" s="25"/>
      <c r="QT139" s="27"/>
      <c r="QU139" s="27"/>
      <c r="QV139" s="27"/>
      <c r="QW139" s="27"/>
      <c r="QX139" s="27"/>
      <c r="QY139" s="28"/>
      <c r="QZ139" s="25"/>
      <c r="RA139" s="27"/>
      <c r="RB139" s="27"/>
      <c r="RC139" s="27"/>
      <c r="RD139" s="27"/>
      <c r="RE139" s="27"/>
      <c r="RF139" s="28"/>
      <c r="RG139" s="25"/>
      <c r="RH139" s="27"/>
      <c r="RI139" s="27"/>
      <c r="RJ139" s="27"/>
      <c r="RK139" s="27"/>
      <c r="RL139" s="27"/>
      <c r="RM139" s="28"/>
      <c r="RN139" s="25"/>
      <c r="RO139" s="27"/>
      <c r="RP139" s="27"/>
      <c r="RQ139" s="27"/>
      <c r="RR139" s="27"/>
      <c r="RS139" s="27"/>
      <c r="RT139" s="28"/>
      <c r="RU139" s="25"/>
      <c r="RV139" s="27"/>
      <c r="RW139" s="27"/>
      <c r="RX139" s="27"/>
      <c r="RY139" s="27"/>
      <c r="RZ139" s="27"/>
      <c r="SA139" s="28"/>
      <c r="SB139" s="25"/>
      <c r="SC139" s="27"/>
      <c r="SD139" s="27"/>
      <c r="SE139" s="27"/>
      <c r="SF139" s="27"/>
      <c r="SG139" s="27"/>
      <c r="SH139" s="28"/>
      <c r="SI139" s="25"/>
      <c r="SJ139" s="27"/>
      <c r="SK139" s="27"/>
      <c r="SL139" s="27"/>
      <c r="SM139" s="27"/>
      <c r="SN139" s="27"/>
      <c r="SO139" s="28"/>
      <c r="SP139" s="25"/>
      <c r="SQ139" s="27"/>
      <c r="SR139" s="27"/>
    </row>
    <row r="140" spans="1:512" x14ac:dyDescent="0.15">
      <c r="A140" s="97">
        <f ca="1">IF(D140=D139,A139,B140)</f>
        <v>3</v>
      </c>
      <c r="B140" s="98">
        <v>3</v>
      </c>
      <c r="C140" s="99" t="str">
        <f t="shared" ca="1" si="1555"/>
        <v>Lukas</v>
      </c>
      <c r="D140" s="110">
        <f ca="1">VLOOKUP(B140,$P$138:$R$209,3,0)</f>
        <v>261.59999999999997</v>
      </c>
      <c r="E140" s="25"/>
      <c r="G140" s="88" t="s">
        <v>329</v>
      </c>
      <c r="H140" s="119">
        <v>2</v>
      </c>
      <c r="I140" s="25"/>
      <c r="J140" s="25"/>
      <c r="K140" s="26"/>
      <c r="L140" s="62"/>
      <c r="M140" s="32" t="s">
        <v>190</v>
      </c>
      <c r="N140" s="62" t="s">
        <v>71</v>
      </c>
      <c r="O140" s="32"/>
      <c r="P140" s="32">
        <f t="shared" ca="1" si="1556"/>
        <v>70</v>
      </c>
      <c r="Q140" s="32" t="str">
        <f t="shared" ca="1" si="1557"/>
        <v>Kohls</v>
      </c>
      <c r="R140" s="113">
        <f t="shared" ca="1" si="1558"/>
        <v>144</v>
      </c>
      <c r="S140" s="73">
        <v>3</v>
      </c>
      <c r="T140" s="32">
        <f t="shared" ref="T140:T182" ca="1" si="1561">R140+S140/100000</f>
        <v>144.00003000000001</v>
      </c>
      <c r="U140" s="32"/>
      <c r="V140" s="61"/>
      <c r="W140" s="62"/>
      <c r="X140" s="32">
        <f t="shared" si="1559"/>
        <v>3</v>
      </c>
      <c r="Y140" s="63" t="s">
        <v>569</v>
      </c>
      <c r="Z140" s="118">
        <f>(CU3+EK3+GA3+IE3+HX3+LY3)/6</f>
        <v>231.54999999999998</v>
      </c>
      <c r="AA140" s="32">
        <v>3</v>
      </c>
      <c r="AB140" s="32">
        <f t="shared" si="1560"/>
        <v>231.55002999999999</v>
      </c>
      <c r="AC140" s="61"/>
      <c r="AD140" s="27"/>
      <c r="AE140" s="27"/>
      <c r="AF140" s="27"/>
      <c r="AG140" s="28"/>
      <c r="AH140" s="25"/>
      <c r="AI140" s="27"/>
      <c r="AJ140" s="27"/>
      <c r="AK140" s="27"/>
      <c r="AL140" s="27"/>
      <c r="AM140" s="27"/>
      <c r="AN140" s="28"/>
      <c r="AO140" s="25"/>
      <c r="AP140" s="27"/>
      <c r="AQ140" s="27"/>
      <c r="AR140" s="27"/>
      <c r="AS140" s="27"/>
      <c r="AT140" s="27"/>
      <c r="AU140" s="28"/>
      <c r="AV140" s="25"/>
      <c r="AW140" s="27"/>
      <c r="AX140" s="27"/>
      <c r="AY140" s="27"/>
      <c r="AZ140" s="27"/>
      <c r="BA140" s="27"/>
      <c r="BB140" s="28"/>
      <c r="BC140" s="25"/>
      <c r="BD140" s="27"/>
      <c r="BE140" s="27"/>
      <c r="BF140" s="27"/>
      <c r="BG140" s="27"/>
      <c r="BH140" s="27"/>
      <c r="BI140" s="28"/>
      <c r="BJ140" s="25"/>
      <c r="BK140" s="27"/>
      <c r="BL140" s="27"/>
      <c r="BM140" s="27"/>
      <c r="BN140" s="27"/>
      <c r="BO140" s="27"/>
      <c r="BP140" s="28"/>
      <c r="BQ140" s="25"/>
      <c r="BR140" s="27"/>
      <c r="BS140" s="27"/>
      <c r="BT140" s="27"/>
      <c r="BU140" s="27"/>
      <c r="BV140" s="27"/>
      <c r="BW140" s="28"/>
      <c r="BX140" s="25"/>
      <c r="BY140" s="27"/>
      <c r="BZ140" s="27"/>
      <c r="CA140" s="27"/>
      <c r="CB140" s="27"/>
      <c r="CC140" s="27"/>
      <c r="CD140" s="28"/>
      <c r="CE140" s="25"/>
      <c r="CF140" s="27"/>
      <c r="CG140" s="27"/>
      <c r="CH140" s="27"/>
      <c r="CI140" s="27"/>
      <c r="CJ140" s="27"/>
      <c r="CK140" s="28"/>
      <c r="CL140" s="25"/>
      <c r="CM140" s="27"/>
      <c r="CN140" s="27"/>
      <c r="CO140" s="27"/>
      <c r="CP140" s="27"/>
      <c r="CQ140" s="27"/>
      <c r="CR140" s="28"/>
      <c r="CS140" s="25"/>
      <c r="CT140" s="27"/>
      <c r="CU140" s="27"/>
      <c r="CV140" s="27"/>
      <c r="CW140" s="27"/>
      <c r="CX140" s="27"/>
      <c r="CY140" s="28"/>
      <c r="CZ140" s="25"/>
      <c r="DA140" s="27"/>
      <c r="DB140" s="27"/>
      <c r="DC140" s="27"/>
      <c r="DD140" s="27"/>
      <c r="DE140" s="27"/>
      <c r="DF140" s="28"/>
      <c r="DG140" s="25"/>
      <c r="DH140" s="27"/>
      <c r="DI140" s="27"/>
      <c r="DJ140" s="27"/>
      <c r="DK140" s="27"/>
      <c r="DL140" s="27"/>
      <c r="DM140" s="28"/>
      <c r="DN140" s="25"/>
      <c r="DO140" s="27"/>
      <c r="DP140" s="27"/>
      <c r="DQ140" s="27"/>
      <c r="DR140" s="27"/>
      <c r="DS140" s="27"/>
      <c r="DT140" s="28"/>
      <c r="DU140" s="25"/>
      <c r="DV140" s="27"/>
      <c r="DW140" s="27"/>
      <c r="DX140" s="27"/>
      <c r="DY140" s="27"/>
      <c r="DZ140" s="27"/>
      <c r="EA140" s="28"/>
      <c r="EB140" s="25"/>
      <c r="EC140" s="27"/>
      <c r="ED140" s="27"/>
      <c r="EE140" s="27"/>
      <c r="EF140" s="27"/>
      <c r="EG140" s="27"/>
      <c r="EH140" s="28"/>
      <c r="EI140" s="25"/>
      <c r="EJ140" s="27"/>
      <c r="EK140" s="27"/>
      <c r="EL140" s="27"/>
      <c r="EM140" s="27"/>
      <c r="EN140" s="27"/>
      <c r="EO140" s="28"/>
      <c r="EP140" s="25"/>
      <c r="EQ140" s="27"/>
      <c r="ER140" s="27"/>
      <c r="ES140" s="27"/>
      <c r="ET140" s="27"/>
      <c r="EU140" s="27"/>
      <c r="EV140" s="28"/>
      <c r="EW140" s="25"/>
      <c r="EX140" s="27"/>
      <c r="EY140" s="27"/>
      <c r="EZ140" s="27"/>
      <c r="FA140" s="27"/>
      <c r="FB140" s="27"/>
      <c r="FC140" s="28"/>
      <c r="FD140" s="25"/>
      <c r="FE140" s="27"/>
      <c r="FF140" s="27"/>
      <c r="FG140" s="27"/>
      <c r="FH140" s="27"/>
      <c r="FI140" s="27"/>
      <c r="FJ140" s="28"/>
      <c r="FK140" s="25"/>
      <c r="FL140" s="27"/>
      <c r="FM140" s="27"/>
      <c r="FN140" s="27"/>
      <c r="FO140" s="27"/>
      <c r="FP140" s="27"/>
      <c r="FQ140" s="28"/>
      <c r="FR140" s="25"/>
      <c r="FS140" s="27"/>
      <c r="FT140" s="27"/>
      <c r="FU140" s="27"/>
      <c r="FV140" s="27"/>
      <c r="FW140" s="27"/>
      <c r="FX140" s="28"/>
      <c r="FY140" s="25"/>
      <c r="FZ140" s="27"/>
      <c r="GA140" s="27"/>
      <c r="GB140" s="27"/>
      <c r="GC140" s="27"/>
      <c r="GD140" s="27"/>
      <c r="GE140" s="28"/>
      <c r="GF140" s="25"/>
      <c r="GG140" s="27"/>
      <c r="GH140" s="27"/>
      <c r="GI140" s="27"/>
      <c r="GJ140" s="27"/>
      <c r="GK140" s="27"/>
      <c r="GL140" s="28"/>
      <c r="GM140" s="25"/>
      <c r="GN140" s="27"/>
      <c r="GO140" s="27"/>
      <c r="GP140" s="27"/>
      <c r="GQ140" s="27"/>
      <c r="GR140" s="27"/>
      <c r="GS140" s="28"/>
      <c r="GT140" s="25"/>
      <c r="GU140" s="27"/>
      <c r="GV140" s="27"/>
      <c r="GW140" s="27"/>
      <c r="GX140" s="27"/>
      <c r="GY140" s="27"/>
      <c r="GZ140" s="28"/>
      <c r="HA140" s="25"/>
      <c r="HB140" s="27"/>
      <c r="HC140" s="27"/>
      <c r="HD140" s="27"/>
      <c r="HE140" s="27"/>
      <c r="HF140" s="27"/>
      <c r="HG140" s="28"/>
      <c r="HH140" s="25"/>
      <c r="HI140" s="27"/>
      <c r="HJ140" s="27"/>
      <c r="HK140" s="27"/>
      <c r="HL140" s="27"/>
      <c r="HM140" s="27"/>
      <c r="HN140" s="28"/>
      <c r="HO140" s="25"/>
      <c r="HP140" s="27"/>
      <c r="HQ140" s="27"/>
      <c r="HR140" s="27"/>
      <c r="HS140" s="27"/>
      <c r="HT140" s="27"/>
      <c r="HU140" s="28"/>
      <c r="HV140" s="25"/>
      <c r="HW140" s="27"/>
      <c r="HX140" s="27"/>
      <c r="HY140" s="27"/>
      <c r="HZ140" s="27"/>
      <c r="IA140" s="27"/>
      <c r="IB140" s="28"/>
      <c r="IC140" s="25"/>
      <c r="ID140" s="27"/>
      <c r="IE140" s="27"/>
      <c r="IF140" s="27"/>
      <c r="IG140" s="27"/>
      <c r="IH140" s="27"/>
      <c r="II140" s="28"/>
      <c r="IJ140" s="25"/>
      <c r="IK140" s="27"/>
      <c r="IL140" s="27"/>
      <c r="IM140" s="27"/>
      <c r="IN140" s="27"/>
      <c r="IO140" s="27"/>
      <c r="IP140" s="28"/>
      <c r="IQ140" s="25"/>
      <c r="IR140" s="27"/>
      <c r="IS140" s="27"/>
      <c r="IT140" s="27"/>
      <c r="IU140" s="27"/>
      <c r="IV140" s="27"/>
      <c r="IW140" s="28"/>
      <c r="IX140" s="25"/>
      <c r="IY140" s="27"/>
      <c r="IZ140" s="27"/>
      <c r="JA140" s="27"/>
      <c r="JB140" s="27"/>
      <c r="JC140" s="27"/>
      <c r="JD140" s="28"/>
      <c r="JE140" s="25"/>
      <c r="JF140" s="27"/>
      <c r="JG140" s="27"/>
      <c r="JH140" s="27"/>
      <c r="JI140" s="27"/>
      <c r="JJ140" s="27"/>
      <c r="JK140" s="28"/>
      <c r="JL140" s="25"/>
      <c r="JM140" s="27"/>
      <c r="JN140" s="27"/>
      <c r="JO140" s="27"/>
      <c r="JP140" s="27"/>
      <c r="JQ140" s="27"/>
      <c r="JR140" s="28"/>
      <c r="JS140" s="25"/>
      <c r="JT140" s="27"/>
      <c r="JU140" s="27"/>
      <c r="JV140" s="27"/>
      <c r="JW140" s="27"/>
      <c r="JX140" s="27"/>
      <c r="JY140" s="28"/>
      <c r="JZ140" s="25"/>
      <c r="KA140" s="27"/>
      <c r="KB140" s="27"/>
      <c r="KC140" s="27"/>
      <c r="KD140" s="27"/>
      <c r="KE140" s="27"/>
      <c r="KF140" s="28"/>
      <c r="KG140" s="25"/>
      <c r="KH140" s="27"/>
      <c r="KI140" s="27"/>
      <c r="KJ140" s="27"/>
      <c r="KK140" s="27"/>
      <c r="KL140" s="27"/>
      <c r="KM140" s="28"/>
      <c r="KN140" s="25"/>
      <c r="KO140" s="27"/>
      <c r="KP140" s="27"/>
      <c r="KQ140" s="27"/>
      <c r="KR140" s="27"/>
      <c r="KS140" s="27"/>
      <c r="KT140" s="28"/>
      <c r="KU140" s="25"/>
      <c r="KV140" s="27"/>
      <c r="KW140" s="27"/>
      <c r="KX140" s="27"/>
      <c r="KY140" s="27"/>
      <c r="KZ140" s="27"/>
      <c r="LA140" s="28"/>
      <c r="LB140" s="25"/>
      <c r="LC140" s="27"/>
      <c r="LD140" s="27"/>
      <c r="LE140" s="27"/>
      <c r="LF140" s="27"/>
      <c r="LG140" s="27"/>
      <c r="LH140" s="28"/>
      <c r="LI140" s="25"/>
      <c r="LJ140" s="27"/>
      <c r="LK140" s="27"/>
      <c r="LL140" s="27"/>
      <c r="LM140" s="27"/>
      <c r="LN140" s="27"/>
      <c r="LO140" s="28"/>
      <c r="LP140" s="25"/>
      <c r="LQ140" s="27"/>
      <c r="LR140" s="27"/>
      <c r="LS140" s="27"/>
      <c r="LT140" s="27"/>
      <c r="LU140" s="27"/>
      <c r="LV140" s="28"/>
      <c r="LW140" s="25"/>
      <c r="LX140" s="27"/>
      <c r="LY140" s="27"/>
      <c r="LZ140" s="27"/>
      <c r="MA140" s="27"/>
      <c r="MB140" s="27"/>
      <c r="MC140" s="28"/>
      <c r="MD140" s="25"/>
      <c r="ME140" s="27"/>
      <c r="MF140" s="27"/>
      <c r="MG140" s="27"/>
      <c r="MH140" s="27"/>
      <c r="MI140" s="27"/>
      <c r="MJ140" s="28"/>
      <c r="MK140" s="25"/>
      <c r="ML140" s="27"/>
      <c r="MM140" s="27"/>
      <c r="MN140" s="27"/>
      <c r="MO140" s="27"/>
      <c r="MP140" s="27"/>
      <c r="MQ140" s="28"/>
      <c r="MR140" s="25"/>
      <c r="MS140" s="27"/>
      <c r="MT140" s="27"/>
      <c r="MU140" s="27"/>
      <c r="MV140" s="27"/>
      <c r="MW140" s="27"/>
      <c r="MX140" s="28"/>
      <c r="MY140" s="25"/>
      <c r="MZ140" s="27"/>
      <c r="NA140" s="27"/>
      <c r="NB140" s="27"/>
      <c r="NC140" s="27"/>
      <c r="ND140" s="27"/>
      <c r="NE140" s="28"/>
      <c r="NF140" s="25"/>
      <c r="NG140" s="27"/>
      <c r="NH140" s="27"/>
      <c r="NI140" s="27"/>
      <c r="NJ140" s="27"/>
      <c r="NK140" s="27"/>
      <c r="NL140" s="28"/>
      <c r="NM140" s="25"/>
      <c r="NN140" s="27"/>
      <c r="NO140" s="27"/>
      <c r="NP140" s="27"/>
      <c r="NQ140" s="27"/>
      <c r="NR140" s="27"/>
      <c r="NS140" s="28"/>
      <c r="NT140" s="25"/>
      <c r="NU140" s="27"/>
      <c r="NV140" s="27"/>
      <c r="NW140" s="27"/>
      <c r="NX140" s="27"/>
      <c r="NY140" s="27"/>
      <c r="NZ140" s="28"/>
      <c r="OA140" s="25"/>
      <c r="OB140" s="27"/>
      <c r="OC140" s="27"/>
      <c r="OD140" s="27"/>
      <c r="OE140" s="27"/>
      <c r="OF140" s="27"/>
      <c r="OG140" s="28"/>
      <c r="OH140" s="25"/>
      <c r="OI140" s="27"/>
      <c r="OJ140" s="27"/>
      <c r="OK140" s="27"/>
      <c r="OL140" s="27"/>
      <c r="OM140" s="27"/>
      <c r="ON140" s="28"/>
      <c r="OO140" s="25"/>
      <c r="OP140" s="27"/>
      <c r="OQ140" s="27"/>
      <c r="OR140" s="27"/>
      <c r="OS140" s="27"/>
      <c r="OT140" s="27"/>
      <c r="OU140" s="28"/>
      <c r="OV140" s="25"/>
      <c r="OW140" s="27"/>
      <c r="OX140" s="27"/>
      <c r="OY140" s="27"/>
      <c r="OZ140" s="27"/>
      <c r="PA140" s="27"/>
      <c r="PB140" s="28"/>
      <c r="PC140" s="25"/>
      <c r="PD140" s="27"/>
      <c r="PE140" s="27"/>
      <c r="PF140" s="27"/>
      <c r="PG140" s="27"/>
      <c r="PH140" s="27"/>
      <c r="PI140" s="28"/>
      <c r="PJ140" s="25"/>
      <c r="PK140" s="27"/>
      <c r="PL140" s="27"/>
      <c r="PM140" s="27"/>
      <c r="PN140" s="27"/>
      <c r="PO140" s="27"/>
      <c r="PP140" s="28"/>
      <c r="PQ140" s="25"/>
      <c r="PR140" s="27"/>
      <c r="PS140" s="27"/>
      <c r="PT140" s="27"/>
      <c r="PU140" s="27"/>
      <c r="PV140" s="27"/>
      <c r="PW140" s="28"/>
      <c r="PX140" s="25"/>
      <c r="PY140" s="27"/>
      <c r="PZ140" s="27"/>
      <c r="QA140" s="27"/>
      <c r="QB140" s="27"/>
      <c r="QC140" s="27"/>
      <c r="QD140" s="28"/>
      <c r="QE140" s="25"/>
      <c r="QF140" s="27"/>
      <c r="QG140" s="27"/>
      <c r="QH140" s="27"/>
      <c r="QI140" s="27"/>
      <c r="QJ140" s="27"/>
      <c r="QK140" s="28"/>
      <c r="QL140" s="25"/>
      <c r="QM140" s="27"/>
      <c r="QN140" s="27"/>
      <c r="QO140" s="27"/>
      <c r="QP140" s="27"/>
      <c r="QQ140" s="27"/>
      <c r="QR140" s="28"/>
      <c r="QS140" s="25"/>
      <c r="QT140" s="27"/>
      <c r="QU140" s="27"/>
      <c r="QV140" s="27"/>
      <c r="QW140" s="27"/>
      <c r="QX140" s="27"/>
      <c r="QY140" s="28"/>
      <c r="QZ140" s="25"/>
      <c r="RA140" s="27"/>
      <c r="RB140" s="27"/>
      <c r="RC140" s="27"/>
      <c r="RD140" s="27"/>
      <c r="RE140" s="27"/>
      <c r="RF140" s="28"/>
      <c r="RG140" s="25"/>
      <c r="RH140" s="27"/>
      <c r="RI140" s="27"/>
      <c r="RJ140" s="27"/>
      <c r="RK140" s="27"/>
      <c r="RL140" s="27"/>
      <c r="RM140" s="28"/>
      <c r="RN140" s="25"/>
      <c r="RO140" s="27"/>
      <c r="RP140" s="27"/>
      <c r="RQ140" s="27"/>
      <c r="RR140" s="27"/>
      <c r="RS140" s="27"/>
      <c r="RT140" s="28"/>
      <c r="RU140" s="25"/>
      <c r="RV140" s="27"/>
      <c r="RW140" s="27"/>
      <c r="RX140" s="27"/>
      <c r="RY140" s="27"/>
      <c r="RZ140" s="27"/>
      <c r="SA140" s="28"/>
      <c r="SB140" s="25"/>
      <c r="SC140" s="27"/>
      <c r="SD140" s="27"/>
      <c r="SE140" s="27"/>
      <c r="SF140" s="27"/>
      <c r="SG140" s="27"/>
      <c r="SH140" s="28"/>
      <c r="SI140" s="25"/>
      <c r="SJ140" s="27"/>
      <c r="SK140" s="27"/>
      <c r="SL140" s="27"/>
      <c r="SM140" s="27"/>
      <c r="SN140" s="27"/>
      <c r="SO140" s="28"/>
      <c r="SP140" s="25"/>
      <c r="SQ140" s="27"/>
      <c r="SR140" s="27"/>
    </row>
    <row r="141" spans="1:512" x14ac:dyDescent="0.15">
      <c r="A141" s="101">
        <f ca="1">IF(D141=D140,A140,B141)</f>
        <v>4</v>
      </c>
      <c r="B141" s="111">
        <v>4</v>
      </c>
      <c r="C141" s="71" t="str">
        <f t="shared" ca="1" si="1555"/>
        <v>Jochen</v>
      </c>
      <c r="D141" s="112">
        <f ca="1">VLOOKUP(B141,$P$138:$R$209,3,0)</f>
        <v>257.39999999999998</v>
      </c>
      <c r="E141" s="25"/>
      <c r="G141" s="88" t="s">
        <v>19</v>
      </c>
      <c r="H141" s="119">
        <v>6</v>
      </c>
      <c r="I141" s="25"/>
      <c r="J141" s="25"/>
      <c r="K141" s="26"/>
      <c r="L141" s="62"/>
      <c r="M141" s="61" t="s">
        <v>191</v>
      </c>
      <c r="N141" s="63" t="s">
        <v>72</v>
      </c>
      <c r="O141" s="32"/>
      <c r="P141" s="32">
        <f t="shared" ca="1" si="1556"/>
        <v>61</v>
      </c>
      <c r="Q141" s="32" t="str">
        <f t="shared" ca="1" si="1557"/>
        <v>Tina</v>
      </c>
      <c r="R141" s="113">
        <f t="shared" ca="1" si="1558"/>
        <v>191.39999999999995</v>
      </c>
      <c r="S141" s="73">
        <v>4</v>
      </c>
      <c r="T141" s="32">
        <f ca="1">R141+S141/100000</f>
        <v>191.40003999999996</v>
      </c>
      <c r="U141" s="32"/>
      <c r="V141" s="61"/>
      <c r="W141" s="62"/>
      <c r="X141" s="32">
        <f t="shared" si="1559"/>
        <v>1</v>
      </c>
      <c r="Y141" s="63" t="s">
        <v>570</v>
      </c>
      <c r="Z141" s="118">
        <f>(ED3+HC3+HJ3+HQ3)/4</f>
        <v>250.47500000000002</v>
      </c>
      <c r="AA141" s="32">
        <v>4</v>
      </c>
      <c r="AB141" s="32">
        <f t="shared" si="1560"/>
        <v>250.47504000000004</v>
      </c>
      <c r="AC141" s="61"/>
      <c r="AD141" s="27"/>
      <c r="AE141" s="27"/>
      <c r="AF141" s="27"/>
      <c r="AG141" s="28"/>
      <c r="AH141" s="25"/>
      <c r="AI141" s="27"/>
      <c r="AJ141" s="27"/>
      <c r="AK141" s="27"/>
      <c r="AL141" s="27"/>
      <c r="AM141" s="27"/>
      <c r="AN141" s="28"/>
      <c r="AO141" s="25"/>
      <c r="AP141" s="27"/>
      <c r="AQ141" s="27"/>
      <c r="AR141" s="27"/>
      <c r="AS141" s="27"/>
      <c r="AT141" s="27"/>
      <c r="AU141" s="28"/>
      <c r="AV141" s="25"/>
      <c r="AW141" s="27"/>
      <c r="AX141" s="27"/>
      <c r="AY141" s="27"/>
      <c r="AZ141" s="27"/>
      <c r="BA141" s="27"/>
      <c r="BB141" s="28"/>
      <c r="BC141" s="25"/>
      <c r="BD141" s="27"/>
      <c r="BE141" s="27"/>
      <c r="BF141" s="27"/>
      <c r="BG141" s="27"/>
      <c r="BH141" s="27"/>
      <c r="BI141" s="28"/>
      <c r="BJ141" s="25"/>
      <c r="BK141" s="27"/>
      <c r="BL141" s="27"/>
      <c r="BM141" s="27"/>
      <c r="BN141" s="27"/>
      <c r="BO141" s="27"/>
      <c r="BP141" s="28"/>
      <c r="BQ141" s="25"/>
      <c r="BR141" s="27"/>
      <c r="BS141" s="27"/>
      <c r="BT141" s="27"/>
      <c r="BU141" s="27"/>
      <c r="BV141" s="27"/>
      <c r="BW141" s="28"/>
      <c r="BX141" s="25"/>
      <c r="BY141" s="27"/>
      <c r="BZ141" s="27"/>
      <c r="CA141" s="27"/>
      <c r="CB141" s="27"/>
      <c r="CC141" s="27"/>
      <c r="CD141" s="28"/>
      <c r="CE141" s="25"/>
      <c r="CF141" s="27"/>
      <c r="CG141" s="27"/>
      <c r="CH141" s="27"/>
      <c r="CI141" s="27"/>
      <c r="CJ141" s="27"/>
      <c r="CK141" s="28"/>
      <c r="CL141" s="25"/>
      <c r="CM141" s="27"/>
      <c r="CN141" s="27"/>
      <c r="CO141" s="27"/>
      <c r="CP141" s="27"/>
      <c r="CQ141" s="27"/>
      <c r="CR141" s="28"/>
      <c r="CS141" s="25"/>
      <c r="CT141" s="27"/>
      <c r="CU141" s="27"/>
      <c r="CV141" s="27"/>
      <c r="CW141" s="27"/>
      <c r="CX141" s="27"/>
      <c r="CY141" s="28"/>
      <c r="CZ141" s="25"/>
      <c r="DA141" s="27"/>
      <c r="DB141" s="27"/>
      <c r="DC141" s="27"/>
      <c r="DD141" s="27"/>
      <c r="DE141" s="27"/>
      <c r="DF141" s="28"/>
      <c r="DG141" s="25"/>
      <c r="DH141" s="27"/>
      <c r="DI141" s="27"/>
      <c r="DJ141" s="27"/>
      <c r="DK141" s="27"/>
      <c r="DL141" s="27"/>
      <c r="DM141" s="28"/>
      <c r="DN141" s="25"/>
      <c r="DO141" s="27"/>
      <c r="DP141" s="27"/>
      <c r="DQ141" s="27"/>
      <c r="DR141" s="27"/>
      <c r="DS141" s="27"/>
      <c r="DT141" s="28"/>
      <c r="DU141" s="25"/>
      <c r="DV141" s="27"/>
      <c r="DW141" s="27"/>
      <c r="DX141" s="27"/>
      <c r="DY141" s="27"/>
      <c r="DZ141" s="27"/>
      <c r="EA141" s="28"/>
      <c r="EB141" s="25"/>
      <c r="EC141" s="27"/>
      <c r="ED141" s="27"/>
      <c r="EE141" s="27"/>
      <c r="EF141" s="27"/>
      <c r="EG141" s="27"/>
      <c r="EH141" s="28"/>
      <c r="EI141" s="25"/>
      <c r="EJ141" s="27"/>
      <c r="EK141" s="27"/>
      <c r="EL141" s="27"/>
      <c r="EM141" s="27"/>
      <c r="EN141" s="27"/>
      <c r="EO141" s="28"/>
      <c r="EP141" s="25"/>
      <c r="EQ141" s="27"/>
      <c r="ER141" s="27"/>
      <c r="ES141" s="27"/>
      <c r="ET141" s="27"/>
      <c r="EU141" s="27"/>
      <c r="EV141" s="28"/>
      <c r="EW141" s="25"/>
      <c r="EX141" s="27"/>
      <c r="EY141" s="27"/>
      <c r="EZ141" s="27"/>
      <c r="FA141" s="27"/>
      <c r="FB141" s="27"/>
      <c r="FC141" s="28"/>
      <c r="FD141" s="25"/>
      <c r="FE141" s="27"/>
      <c r="FF141" s="27"/>
      <c r="FG141" s="27"/>
      <c r="FH141" s="27"/>
      <c r="FI141" s="27"/>
      <c r="FJ141" s="28"/>
      <c r="FK141" s="25"/>
      <c r="FL141" s="27"/>
      <c r="FM141" s="27"/>
      <c r="FN141" s="27"/>
      <c r="FO141" s="27"/>
      <c r="FP141" s="27"/>
      <c r="FQ141" s="28"/>
      <c r="FR141" s="25"/>
      <c r="FS141" s="27"/>
      <c r="FT141" s="27"/>
      <c r="FU141" s="27"/>
      <c r="FV141" s="27"/>
      <c r="FW141" s="27"/>
      <c r="FX141" s="28"/>
      <c r="FY141" s="25"/>
      <c r="FZ141" s="27"/>
      <c r="GA141" s="27"/>
      <c r="GB141" s="27"/>
      <c r="GC141" s="27"/>
      <c r="GD141" s="27"/>
      <c r="GE141" s="28"/>
      <c r="GF141" s="25"/>
      <c r="GG141" s="27"/>
      <c r="GH141" s="27"/>
      <c r="GI141" s="27"/>
      <c r="GJ141" s="27"/>
      <c r="GK141" s="27"/>
      <c r="GL141" s="28"/>
      <c r="GM141" s="25"/>
      <c r="GN141" s="27"/>
      <c r="GO141" s="27"/>
      <c r="GP141" s="27"/>
      <c r="GQ141" s="27"/>
      <c r="GR141" s="27"/>
      <c r="GS141" s="28"/>
      <c r="GT141" s="25"/>
      <c r="GU141" s="27"/>
      <c r="GV141" s="27"/>
      <c r="GW141" s="27"/>
      <c r="GX141" s="27"/>
      <c r="GY141" s="27"/>
      <c r="GZ141" s="28"/>
      <c r="HA141" s="25"/>
      <c r="HB141" s="27"/>
      <c r="HC141" s="27"/>
      <c r="HD141" s="27"/>
      <c r="HE141" s="27"/>
      <c r="HF141" s="27"/>
      <c r="HG141" s="28"/>
      <c r="HH141" s="25"/>
      <c r="HI141" s="27"/>
      <c r="HJ141" s="27"/>
      <c r="HK141" s="27"/>
      <c r="HL141" s="27"/>
      <c r="HM141" s="27"/>
      <c r="HN141" s="28"/>
      <c r="HO141" s="25"/>
      <c r="HP141" s="27"/>
      <c r="HQ141" s="27"/>
      <c r="HR141" s="27"/>
      <c r="HS141" s="27"/>
      <c r="HT141" s="27"/>
      <c r="HU141" s="28"/>
      <c r="HV141" s="25"/>
      <c r="HW141" s="27"/>
      <c r="HX141" s="27"/>
      <c r="HY141" s="27"/>
      <c r="HZ141" s="27"/>
      <c r="IA141" s="27"/>
      <c r="IB141" s="28"/>
      <c r="IC141" s="25"/>
      <c r="ID141" s="27"/>
      <c r="IE141" s="27"/>
      <c r="IF141" s="27"/>
      <c r="IG141" s="27"/>
      <c r="IH141" s="27"/>
      <c r="II141" s="28"/>
      <c r="IJ141" s="25"/>
      <c r="IK141" s="27"/>
      <c r="IL141" s="27"/>
      <c r="IM141" s="27"/>
      <c r="IN141" s="27"/>
      <c r="IO141" s="27"/>
      <c r="IP141" s="28"/>
      <c r="IQ141" s="25"/>
      <c r="IR141" s="27"/>
      <c r="IS141" s="27"/>
      <c r="IT141" s="27"/>
      <c r="IU141" s="27"/>
      <c r="IV141" s="27"/>
      <c r="IW141" s="28"/>
      <c r="IX141" s="25"/>
      <c r="IY141" s="27"/>
      <c r="IZ141" s="27"/>
      <c r="JA141" s="27"/>
      <c r="JB141" s="27"/>
      <c r="JC141" s="27"/>
      <c r="JD141" s="28"/>
      <c r="JE141" s="25"/>
      <c r="JF141" s="27"/>
      <c r="JG141" s="27"/>
      <c r="JH141" s="27"/>
      <c r="JI141" s="27"/>
      <c r="JJ141" s="27"/>
      <c r="JK141" s="28"/>
      <c r="JL141" s="25"/>
      <c r="JM141" s="27"/>
      <c r="JN141" s="27"/>
      <c r="JO141" s="27"/>
      <c r="JP141" s="27"/>
      <c r="JQ141" s="27"/>
      <c r="JR141" s="28"/>
      <c r="JS141" s="25"/>
      <c r="JT141" s="27"/>
      <c r="JU141" s="27"/>
      <c r="JV141" s="27"/>
      <c r="JW141" s="27"/>
      <c r="JX141" s="27"/>
      <c r="JY141" s="28"/>
      <c r="JZ141" s="25"/>
      <c r="KA141" s="27"/>
      <c r="KB141" s="27"/>
      <c r="KC141" s="27"/>
      <c r="KD141" s="27"/>
      <c r="KE141" s="27"/>
      <c r="KF141" s="28"/>
      <c r="KG141" s="25"/>
      <c r="KH141" s="27"/>
      <c r="KI141" s="27"/>
      <c r="KJ141" s="27"/>
      <c r="KK141" s="27"/>
      <c r="KL141" s="27"/>
      <c r="KM141" s="28"/>
      <c r="KN141" s="25"/>
      <c r="KO141" s="27"/>
      <c r="KP141" s="27"/>
      <c r="KQ141" s="27"/>
      <c r="KR141" s="27"/>
      <c r="KS141" s="27"/>
      <c r="KT141" s="28"/>
      <c r="KU141" s="25"/>
      <c r="KV141" s="27"/>
      <c r="KW141" s="27"/>
      <c r="KX141" s="27"/>
      <c r="KY141" s="27"/>
      <c r="KZ141" s="27"/>
      <c r="LA141" s="28"/>
      <c r="LB141" s="25"/>
      <c r="LC141" s="27"/>
      <c r="LD141" s="27"/>
      <c r="LE141" s="27"/>
      <c r="LF141" s="27"/>
      <c r="LG141" s="27"/>
      <c r="LH141" s="28"/>
      <c r="LI141" s="25"/>
      <c r="LJ141" s="27"/>
      <c r="LK141" s="27"/>
      <c r="LL141" s="27"/>
      <c r="LM141" s="27"/>
      <c r="LN141" s="27"/>
      <c r="LO141" s="28"/>
      <c r="LP141" s="25"/>
      <c r="LQ141" s="27"/>
      <c r="LR141" s="27"/>
      <c r="LS141" s="27"/>
      <c r="LT141" s="27"/>
      <c r="LU141" s="27"/>
      <c r="LV141" s="28"/>
      <c r="LW141" s="25"/>
      <c r="LX141" s="27"/>
      <c r="LY141" s="27"/>
      <c r="LZ141" s="27"/>
      <c r="MA141" s="27"/>
      <c r="MB141" s="27"/>
      <c r="MC141" s="28"/>
      <c r="MD141" s="25"/>
      <c r="ME141" s="27"/>
      <c r="MF141" s="27"/>
      <c r="MG141" s="27"/>
      <c r="MH141" s="27"/>
      <c r="MI141" s="27"/>
      <c r="MJ141" s="28"/>
      <c r="MK141" s="25"/>
      <c r="ML141" s="27"/>
      <c r="MM141" s="27"/>
      <c r="MN141" s="27"/>
      <c r="MO141" s="27"/>
      <c r="MP141" s="27"/>
      <c r="MQ141" s="28"/>
      <c r="MR141" s="25"/>
      <c r="MS141" s="27"/>
      <c r="MT141" s="27"/>
      <c r="MU141" s="27"/>
      <c r="MV141" s="27"/>
      <c r="MW141" s="27"/>
      <c r="MX141" s="28"/>
      <c r="MY141" s="25"/>
      <c r="MZ141" s="27"/>
      <c r="NA141" s="27"/>
      <c r="NB141" s="27"/>
      <c r="NC141" s="27"/>
      <c r="ND141" s="27"/>
      <c r="NE141" s="28"/>
      <c r="NF141" s="25"/>
      <c r="NG141" s="27"/>
      <c r="NH141" s="27"/>
      <c r="NI141" s="27"/>
      <c r="NJ141" s="27"/>
      <c r="NK141" s="27"/>
      <c r="NL141" s="28"/>
      <c r="NM141" s="25"/>
      <c r="NN141" s="27"/>
      <c r="NO141" s="27"/>
      <c r="NP141" s="27"/>
      <c r="NQ141" s="27"/>
      <c r="NR141" s="27"/>
      <c r="NS141" s="28"/>
      <c r="NT141" s="25"/>
      <c r="NU141" s="27"/>
      <c r="NV141" s="27"/>
      <c r="NW141" s="27"/>
      <c r="NX141" s="27"/>
      <c r="NY141" s="27"/>
      <c r="NZ141" s="28"/>
      <c r="OA141" s="25"/>
      <c r="OB141" s="27"/>
      <c r="OC141" s="27"/>
      <c r="OD141" s="27"/>
      <c r="OE141" s="27"/>
      <c r="OF141" s="27"/>
      <c r="OG141" s="28"/>
      <c r="OH141" s="25"/>
      <c r="OI141" s="27"/>
      <c r="OJ141" s="27"/>
      <c r="OK141" s="27"/>
      <c r="OL141" s="27"/>
      <c r="OM141" s="27"/>
      <c r="ON141" s="28"/>
      <c r="OO141" s="25"/>
      <c r="OP141" s="27"/>
      <c r="OQ141" s="27"/>
      <c r="OR141" s="27"/>
      <c r="OS141" s="27"/>
      <c r="OT141" s="27"/>
      <c r="OU141" s="28"/>
      <c r="OV141" s="25"/>
      <c r="OW141" s="27"/>
      <c r="OX141" s="27"/>
      <c r="OY141" s="27"/>
      <c r="OZ141" s="27"/>
      <c r="PA141" s="27"/>
      <c r="PB141" s="28"/>
      <c r="PC141" s="25"/>
      <c r="PD141" s="27"/>
      <c r="PE141" s="27"/>
      <c r="PF141" s="27"/>
      <c r="PG141" s="27"/>
      <c r="PH141" s="27"/>
      <c r="PI141" s="28"/>
      <c r="PJ141" s="25"/>
      <c r="PK141" s="27"/>
      <c r="PL141" s="27"/>
      <c r="PM141" s="27"/>
      <c r="PN141" s="27"/>
      <c r="PO141" s="27"/>
      <c r="PP141" s="28"/>
      <c r="PQ141" s="25"/>
      <c r="PR141" s="27"/>
      <c r="PS141" s="27"/>
      <c r="PT141" s="27"/>
      <c r="PU141" s="27"/>
      <c r="PV141" s="27"/>
      <c r="PW141" s="28"/>
      <c r="PX141" s="25"/>
      <c r="PY141" s="27"/>
      <c r="PZ141" s="27"/>
      <c r="QA141" s="27"/>
      <c r="QB141" s="27"/>
      <c r="QC141" s="27"/>
      <c r="QD141" s="28"/>
      <c r="QE141" s="25"/>
      <c r="QF141" s="27"/>
      <c r="QG141" s="27"/>
      <c r="QH141" s="27"/>
      <c r="QI141" s="27"/>
      <c r="QJ141" s="27"/>
      <c r="QK141" s="28"/>
      <c r="QL141" s="25"/>
      <c r="QM141" s="27"/>
      <c r="QN141" s="27"/>
      <c r="QO141" s="27"/>
      <c r="QP141" s="27"/>
      <c r="QQ141" s="27"/>
      <c r="QR141" s="28"/>
      <c r="QS141" s="25"/>
      <c r="QT141" s="27"/>
      <c r="QU141" s="27"/>
      <c r="QV141" s="27"/>
      <c r="QW141" s="27"/>
      <c r="QX141" s="27"/>
      <c r="QY141" s="28"/>
      <c r="QZ141" s="25"/>
      <c r="RA141" s="27"/>
      <c r="RB141" s="27"/>
      <c r="RC141" s="27"/>
      <c r="RD141" s="27"/>
      <c r="RE141" s="27"/>
      <c r="RF141" s="28"/>
      <c r="RG141" s="25"/>
      <c r="RH141" s="27"/>
      <c r="RI141" s="27"/>
      <c r="RJ141" s="27"/>
      <c r="RK141" s="27"/>
      <c r="RL141" s="27"/>
      <c r="RM141" s="28"/>
      <c r="RN141" s="25"/>
      <c r="RO141" s="27"/>
      <c r="RP141" s="27"/>
      <c r="RQ141" s="27"/>
      <c r="RR141" s="27"/>
      <c r="RS141" s="27"/>
      <c r="RT141" s="28"/>
      <c r="RU141" s="25"/>
      <c r="RV141" s="27"/>
      <c r="RW141" s="27"/>
      <c r="RX141" s="27"/>
      <c r="RY141" s="27"/>
      <c r="RZ141" s="27"/>
      <c r="SA141" s="28"/>
      <c r="SB141" s="25"/>
      <c r="SC141" s="27"/>
      <c r="SD141" s="27"/>
      <c r="SE141" s="27"/>
      <c r="SF141" s="27"/>
      <c r="SG141" s="27"/>
      <c r="SH141" s="28"/>
      <c r="SI141" s="25"/>
      <c r="SJ141" s="27"/>
      <c r="SK141" s="27"/>
      <c r="SL141" s="27"/>
      <c r="SM141" s="27"/>
      <c r="SN141" s="27"/>
      <c r="SO141" s="28"/>
      <c r="SP141" s="25"/>
      <c r="SQ141" s="27"/>
      <c r="SR141" s="27"/>
    </row>
    <row r="142" spans="1:512" x14ac:dyDescent="0.15">
      <c r="A142" s="101">
        <f t="shared" ref="A142:A203" ca="1" si="1562">IF(D142=D141,A141,B142)</f>
        <v>5</v>
      </c>
      <c r="B142" s="111">
        <v>5</v>
      </c>
      <c r="C142" s="71" t="str">
        <f t="shared" ca="1" si="1555"/>
        <v>Arnd</v>
      </c>
      <c r="D142" s="112">
        <f t="shared" ref="D142:D203" ca="1" si="1563">VLOOKUP(B142,$P$138:$R$209,3,0)</f>
        <v>255.00000000000003</v>
      </c>
      <c r="E142" s="25"/>
      <c r="G142" s="88" t="s">
        <v>341</v>
      </c>
      <c r="H142" s="119">
        <v>5</v>
      </c>
      <c r="I142" s="25"/>
      <c r="J142" s="25"/>
      <c r="K142" s="26"/>
      <c r="L142" s="62"/>
      <c r="M142" s="62" t="s">
        <v>192</v>
      </c>
      <c r="N142" s="32" t="s">
        <v>73</v>
      </c>
      <c r="O142" s="32"/>
      <c r="P142" s="32">
        <f t="shared" ca="1" si="1556"/>
        <v>2</v>
      </c>
      <c r="Q142" s="32" t="str">
        <f t="shared" ca="1" si="1557"/>
        <v>ChatGPT-Charly</v>
      </c>
      <c r="R142" s="113">
        <f t="shared" ca="1" si="1558"/>
        <v>265.69999999999993</v>
      </c>
      <c r="S142" s="73">
        <v>5</v>
      </c>
      <c r="T142" s="32">
        <f t="shared" ca="1" si="1561"/>
        <v>265.70004999999992</v>
      </c>
      <c r="U142" s="32"/>
      <c r="V142" s="61"/>
      <c r="W142" s="62"/>
      <c r="X142" s="32">
        <f t="shared" si="1559"/>
        <v>2</v>
      </c>
      <c r="Y142" s="63" t="s">
        <v>575</v>
      </c>
      <c r="Z142" s="118">
        <f>(DP3+DW3+GO3)/3</f>
        <v>240.13333333333333</v>
      </c>
      <c r="AA142" s="32">
        <v>5</v>
      </c>
      <c r="AB142" s="32">
        <f t="shared" si="1560"/>
        <v>240.13338333333331</v>
      </c>
      <c r="AC142" s="61"/>
      <c r="AD142" s="27"/>
      <c r="AE142" s="27"/>
      <c r="AF142" s="27"/>
      <c r="AG142" s="28"/>
      <c r="AH142" s="25"/>
      <c r="AI142" s="27"/>
      <c r="AJ142" s="27"/>
      <c r="AK142" s="27"/>
      <c r="AL142" s="27"/>
      <c r="AM142" s="27"/>
      <c r="AN142" s="28"/>
      <c r="AO142" s="25"/>
      <c r="AP142" s="27"/>
      <c r="AQ142" s="27"/>
      <c r="AR142" s="27"/>
      <c r="AS142" s="27"/>
      <c r="AT142" s="27"/>
      <c r="AU142" s="28"/>
      <c r="AV142" s="25"/>
      <c r="AW142" s="27"/>
      <c r="AX142" s="27"/>
      <c r="AY142" s="27"/>
      <c r="AZ142" s="27"/>
      <c r="BA142" s="27"/>
      <c r="BB142" s="28"/>
      <c r="BC142" s="25"/>
      <c r="BD142" s="27"/>
      <c r="BE142" s="27"/>
      <c r="BF142" s="27"/>
      <c r="BG142" s="27"/>
      <c r="BH142" s="27"/>
      <c r="BI142" s="28"/>
      <c r="BJ142" s="25"/>
      <c r="BK142" s="27"/>
      <c r="BL142" s="27"/>
      <c r="BM142" s="27"/>
      <c r="BN142" s="27"/>
      <c r="BO142" s="27"/>
      <c r="BP142" s="28"/>
      <c r="BQ142" s="25"/>
      <c r="BR142" s="27"/>
      <c r="BS142" s="27"/>
      <c r="BT142" s="27"/>
      <c r="BU142" s="27"/>
      <c r="BV142" s="27"/>
      <c r="BW142" s="28"/>
      <c r="BX142" s="25"/>
      <c r="BY142" s="27"/>
      <c r="BZ142" s="27"/>
      <c r="CA142" s="27"/>
      <c r="CB142" s="27"/>
      <c r="CC142" s="27"/>
      <c r="CD142" s="28"/>
      <c r="CE142" s="25"/>
      <c r="CF142" s="27"/>
      <c r="CG142" s="27"/>
      <c r="CH142" s="27"/>
      <c r="CI142" s="27"/>
      <c r="CJ142" s="27"/>
      <c r="CK142" s="28"/>
      <c r="CL142" s="25"/>
      <c r="CM142" s="27"/>
      <c r="CN142" s="27"/>
      <c r="CO142" s="27"/>
      <c r="CP142" s="27"/>
      <c r="CQ142" s="27"/>
      <c r="CR142" s="28"/>
      <c r="CS142" s="25"/>
      <c r="CT142" s="27"/>
      <c r="CU142" s="27"/>
      <c r="CV142" s="27"/>
      <c r="CW142" s="27"/>
      <c r="CX142" s="27"/>
      <c r="CY142" s="28"/>
      <c r="CZ142" s="25"/>
      <c r="DA142" s="27"/>
      <c r="DB142" s="27"/>
      <c r="DC142" s="27"/>
      <c r="DD142" s="27"/>
      <c r="DE142" s="27"/>
      <c r="DF142" s="28"/>
      <c r="DG142" s="25"/>
      <c r="DH142" s="27"/>
      <c r="DI142" s="27"/>
      <c r="DJ142" s="27"/>
      <c r="DK142" s="27"/>
      <c r="DL142" s="27"/>
      <c r="DM142" s="28"/>
      <c r="DN142" s="25"/>
      <c r="DO142" s="27"/>
      <c r="DP142" s="27"/>
      <c r="DQ142" s="27"/>
      <c r="DR142" s="27"/>
      <c r="DS142" s="27"/>
      <c r="DT142" s="28"/>
      <c r="DU142" s="25"/>
      <c r="DV142" s="27"/>
      <c r="DW142" s="27"/>
      <c r="DX142" s="27"/>
      <c r="DY142" s="27"/>
      <c r="DZ142" s="27"/>
      <c r="EA142" s="28"/>
      <c r="EB142" s="25"/>
      <c r="EC142" s="27"/>
      <c r="ED142" s="27"/>
      <c r="EE142" s="27"/>
      <c r="EF142" s="27"/>
      <c r="EG142" s="27"/>
      <c r="EH142" s="28"/>
      <c r="EI142" s="25"/>
      <c r="EJ142" s="27"/>
      <c r="EK142" s="27"/>
      <c r="EL142" s="27"/>
      <c r="EM142" s="27"/>
      <c r="EN142" s="27"/>
      <c r="EO142" s="28"/>
      <c r="EP142" s="25"/>
      <c r="EQ142" s="27"/>
      <c r="ER142" s="27"/>
      <c r="ES142" s="27"/>
      <c r="ET142" s="27"/>
      <c r="EU142" s="27"/>
      <c r="EV142" s="28"/>
      <c r="EW142" s="25"/>
      <c r="EX142" s="27"/>
      <c r="EY142" s="27"/>
      <c r="EZ142" s="27"/>
      <c r="FA142" s="27"/>
      <c r="FB142" s="27"/>
      <c r="FC142" s="28"/>
      <c r="FD142" s="25"/>
      <c r="FE142" s="27"/>
      <c r="FF142" s="27"/>
      <c r="FG142" s="27"/>
      <c r="FH142" s="27"/>
      <c r="FI142" s="27"/>
      <c r="FJ142" s="28"/>
      <c r="FK142" s="25"/>
      <c r="FL142" s="27"/>
      <c r="FM142" s="27"/>
      <c r="FN142" s="27"/>
      <c r="FO142" s="27"/>
      <c r="FP142" s="27"/>
      <c r="FQ142" s="28"/>
      <c r="FR142" s="25"/>
      <c r="FS142" s="27"/>
      <c r="FT142" s="27"/>
      <c r="FU142" s="27"/>
      <c r="FV142" s="27"/>
      <c r="FW142" s="27"/>
      <c r="FX142" s="28"/>
      <c r="FY142" s="25"/>
      <c r="FZ142" s="27"/>
      <c r="GA142" s="27"/>
      <c r="GB142" s="27"/>
      <c r="GC142" s="27"/>
      <c r="GD142" s="27"/>
      <c r="GE142" s="28"/>
      <c r="GF142" s="25"/>
      <c r="GG142" s="27"/>
      <c r="GH142" s="27"/>
      <c r="GI142" s="27"/>
      <c r="GJ142" s="27"/>
      <c r="GK142" s="27"/>
      <c r="GL142" s="28"/>
      <c r="GM142" s="25"/>
      <c r="GN142" s="27"/>
      <c r="GO142" s="27"/>
      <c r="GP142" s="27"/>
      <c r="GQ142" s="27"/>
      <c r="GR142" s="27"/>
      <c r="GS142" s="28"/>
      <c r="GT142" s="25"/>
      <c r="GU142" s="27"/>
      <c r="GV142" s="27"/>
      <c r="GW142" s="27"/>
      <c r="GX142" s="27"/>
      <c r="GY142" s="27"/>
      <c r="GZ142" s="28"/>
      <c r="HA142" s="25"/>
      <c r="HB142" s="27"/>
      <c r="HC142" s="27"/>
      <c r="HD142" s="27"/>
      <c r="HE142" s="27"/>
      <c r="HF142" s="27"/>
      <c r="HG142" s="28"/>
      <c r="HH142" s="25"/>
      <c r="HI142" s="27"/>
      <c r="HJ142" s="27"/>
      <c r="HK142" s="27"/>
      <c r="HL142" s="27"/>
      <c r="HM142" s="27"/>
      <c r="HN142" s="28"/>
      <c r="HO142" s="25"/>
      <c r="HP142" s="27"/>
      <c r="HQ142" s="27"/>
      <c r="HR142" s="27"/>
      <c r="HS142" s="27"/>
      <c r="HT142" s="27"/>
      <c r="HU142" s="28"/>
      <c r="HV142" s="25"/>
      <c r="HW142" s="27"/>
      <c r="HX142" s="27"/>
      <c r="HY142" s="27"/>
      <c r="HZ142" s="27"/>
      <c r="IA142" s="27"/>
      <c r="IB142" s="28"/>
      <c r="IC142" s="25"/>
      <c r="ID142" s="27"/>
      <c r="IE142" s="27"/>
      <c r="IF142" s="27"/>
      <c r="IG142" s="27"/>
      <c r="IH142" s="27"/>
      <c r="II142" s="28"/>
      <c r="IJ142" s="25"/>
      <c r="IK142" s="27"/>
      <c r="IL142" s="27"/>
      <c r="IM142" s="27"/>
      <c r="IN142" s="27"/>
      <c r="IO142" s="27"/>
      <c r="IP142" s="28"/>
      <c r="IQ142" s="25"/>
      <c r="IR142" s="27"/>
      <c r="IS142" s="27"/>
      <c r="IT142" s="27"/>
      <c r="IU142" s="27"/>
      <c r="IV142" s="27"/>
      <c r="IW142" s="28"/>
      <c r="IX142" s="25"/>
      <c r="IY142" s="27"/>
      <c r="IZ142" s="27"/>
      <c r="JA142" s="27"/>
      <c r="JB142" s="27"/>
      <c r="JC142" s="27"/>
      <c r="JD142" s="28"/>
      <c r="JE142" s="25"/>
      <c r="JF142" s="27"/>
      <c r="JG142" s="27"/>
      <c r="JH142" s="27"/>
      <c r="JI142" s="27"/>
      <c r="JJ142" s="27"/>
      <c r="JK142" s="28"/>
      <c r="JL142" s="25"/>
      <c r="JM142" s="27"/>
      <c r="JN142" s="27"/>
      <c r="JO142" s="27"/>
      <c r="JP142" s="27"/>
      <c r="JQ142" s="27"/>
      <c r="JR142" s="28"/>
      <c r="JS142" s="25"/>
      <c r="JT142" s="27"/>
      <c r="JU142" s="27"/>
      <c r="JV142" s="27"/>
      <c r="JW142" s="27"/>
      <c r="JX142" s="27"/>
      <c r="JY142" s="28"/>
      <c r="JZ142" s="25"/>
      <c r="KA142" s="27"/>
      <c r="KB142" s="27"/>
      <c r="KC142" s="27"/>
      <c r="KD142" s="27"/>
      <c r="KE142" s="27"/>
      <c r="KF142" s="28"/>
      <c r="KG142" s="25"/>
      <c r="KH142" s="27"/>
      <c r="KI142" s="27"/>
      <c r="KJ142" s="27"/>
      <c r="KK142" s="27"/>
      <c r="KL142" s="27"/>
      <c r="KM142" s="28"/>
      <c r="KN142" s="25"/>
      <c r="KO142" s="27"/>
      <c r="KP142" s="27"/>
      <c r="KQ142" s="27"/>
      <c r="KR142" s="27"/>
      <c r="KS142" s="27"/>
      <c r="KT142" s="28"/>
      <c r="KU142" s="25"/>
      <c r="KV142" s="27"/>
      <c r="KW142" s="27"/>
      <c r="KX142" s="27"/>
      <c r="KY142" s="27"/>
      <c r="KZ142" s="27"/>
      <c r="LA142" s="28"/>
      <c r="LB142" s="25"/>
      <c r="LC142" s="27"/>
      <c r="LD142" s="27"/>
      <c r="LE142" s="27"/>
      <c r="LF142" s="27"/>
      <c r="LG142" s="27"/>
      <c r="LH142" s="28"/>
      <c r="LI142" s="25"/>
      <c r="LJ142" s="27"/>
      <c r="LK142" s="27"/>
      <c r="LL142" s="27"/>
      <c r="LM142" s="27"/>
      <c r="LN142" s="27"/>
      <c r="LO142" s="28"/>
      <c r="LP142" s="25"/>
      <c r="LQ142" s="27"/>
      <c r="LR142" s="27"/>
      <c r="LS142" s="27"/>
      <c r="LT142" s="27"/>
      <c r="LU142" s="27"/>
      <c r="LV142" s="28"/>
      <c r="LW142" s="25"/>
      <c r="LX142" s="27"/>
      <c r="LY142" s="27"/>
      <c r="LZ142" s="27"/>
      <c r="MA142" s="27"/>
      <c r="MB142" s="27"/>
      <c r="MC142" s="28"/>
      <c r="MD142" s="25"/>
      <c r="ME142" s="27"/>
      <c r="MF142" s="27"/>
      <c r="MG142" s="27"/>
      <c r="MH142" s="27"/>
      <c r="MI142" s="27"/>
      <c r="MJ142" s="28"/>
      <c r="MK142" s="25"/>
      <c r="ML142" s="27"/>
      <c r="MM142" s="27"/>
      <c r="MN142" s="27"/>
      <c r="MO142" s="27"/>
      <c r="MP142" s="27"/>
      <c r="MQ142" s="28"/>
      <c r="MR142" s="25"/>
      <c r="MS142" s="27"/>
      <c r="MT142" s="27"/>
      <c r="MU142" s="27"/>
      <c r="MV142" s="27"/>
      <c r="MW142" s="27"/>
      <c r="MX142" s="28"/>
      <c r="MY142" s="25"/>
      <c r="MZ142" s="27"/>
      <c r="NA142" s="27"/>
      <c r="NB142" s="27"/>
      <c r="NC142" s="27"/>
      <c r="ND142" s="27"/>
      <c r="NE142" s="28"/>
      <c r="NF142" s="25"/>
      <c r="NG142" s="27"/>
      <c r="NH142" s="27"/>
      <c r="NI142" s="27"/>
      <c r="NJ142" s="27"/>
      <c r="NK142" s="27"/>
      <c r="NL142" s="28"/>
      <c r="NM142" s="25"/>
      <c r="NN142" s="27"/>
      <c r="NO142" s="27"/>
      <c r="NP142" s="27"/>
      <c r="NQ142" s="27"/>
      <c r="NR142" s="27"/>
      <c r="NS142" s="28"/>
      <c r="NT142" s="25"/>
      <c r="NU142" s="27"/>
      <c r="NV142" s="27"/>
      <c r="NW142" s="27"/>
      <c r="NX142" s="27"/>
      <c r="NY142" s="27"/>
      <c r="NZ142" s="28"/>
      <c r="OA142" s="25"/>
      <c r="OB142" s="27"/>
      <c r="OC142" s="27"/>
      <c r="OD142" s="27"/>
      <c r="OE142" s="27"/>
      <c r="OF142" s="27"/>
      <c r="OG142" s="28"/>
      <c r="OH142" s="25"/>
      <c r="OI142" s="27"/>
      <c r="OJ142" s="27"/>
      <c r="OK142" s="27"/>
      <c r="OL142" s="27"/>
      <c r="OM142" s="27"/>
      <c r="ON142" s="28"/>
      <c r="OO142" s="25"/>
      <c r="OP142" s="27"/>
      <c r="OQ142" s="27"/>
      <c r="OR142" s="27"/>
      <c r="OS142" s="27"/>
      <c r="OT142" s="27"/>
      <c r="OU142" s="28"/>
      <c r="OV142" s="25"/>
      <c r="OW142" s="27"/>
      <c r="OX142" s="27"/>
      <c r="OY142" s="27"/>
      <c r="OZ142" s="27"/>
      <c r="PA142" s="27"/>
      <c r="PB142" s="28"/>
      <c r="PC142" s="25"/>
      <c r="PD142" s="27"/>
      <c r="PE142" s="27"/>
      <c r="PF142" s="27"/>
      <c r="PG142" s="27"/>
      <c r="PH142" s="27"/>
      <c r="PI142" s="28"/>
      <c r="PJ142" s="25"/>
      <c r="PK142" s="27"/>
      <c r="PL142" s="27"/>
      <c r="PM142" s="27"/>
      <c r="PN142" s="27"/>
      <c r="PO142" s="27"/>
      <c r="PP142" s="28"/>
      <c r="PQ142" s="25"/>
      <c r="PR142" s="27"/>
      <c r="PS142" s="27"/>
      <c r="PT142" s="27"/>
      <c r="PU142" s="27"/>
      <c r="PV142" s="27"/>
      <c r="PW142" s="28"/>
      <c r="PX142" s="25"/>
      <c r="PY142" s="27"/>
      <c r="PZ142" s="27"/>
      <c r="QA142" s="27"/>
      <c r="QB142" s="27"/>
      <c r="QC142" s="27"/>
      <c r="QD142" s="28"/>
      <c r="QE142" s="25"/>
      <c r="QF142" s="27"/>
      <c r="QG142" s="27"/>
      <c r="QH142" s="27"/>
      <c r="QI142" s="27"/>
      <c r="QJ142" s="27"/>
      <c r="QK142" s="28"/>
      <c r="QL142" s="25"/>
      <c r="QM142" s="27"/>
      <c r="QN142" s="27"/>
      <c r="QO142" s="27"/>
      <c r="QP142" s="27"/>
      <c r="QQ142" s="27"/>
      <c r="QR142" s="28"/>
      <c r="QS142" s="25"/>
      <c r="QT142" s="27"/>
      <c r="QU142" s="27"/>
      <c r="QV142" s="27"/>
      <c r="QW142" s="27"/>
      <c r="QX142" s="27"/>
      <c r="QY142" s="28"/>
      <c r="QZ142" s="25"/>
      <c r="RA142" s="27"/>
      <c r="RB142" s="27"/>
      <c r="RC142" s="27"/>
      <c r="RD142" s="27"/>
      <c r="RE142" s="27"/>
      <c r="RF142" s="28"/>
      <c r="RG142" s="25"/>
      <c r="RH142" s="27"/>
      <c r="RI142" s="27"/>
      <c r="RJ142" s="27"/>
      <c r="RK142" s="27"/>
      <c r="RL142" s="27"/>
      <c r="RM142" s="28"/>
      <c r="RN142" s="25"/>
      <c r="RO142" s="27"/>
      <c r="RP142" s="27"/>
      <c r="RQ142" s="27"/>
      <c r="RR142" s="27"/>
      <c r="RS142" s="27"/>
      <c r="RT142" s="28"/>
      <c r="RU142" s="25"/>
      <c r="RV142" s="27"/>
      <c r="RW142" s="27"/>
      <c r="RX142" s="27"/>
      <c r="RY142" s="27"/>
      <c r="RZ142" s="27"/>
      <c r="SA142" s="28"/>
      <c r="SB142" s="25"/>
      <c r="SC142" s="27"/>
      <c r="SD142" s="27"/>
      <c r="SE142" s="27"/>
      <c r="SF142" s="27"/>
      <c r="SG142" s="27"/>
      <c r="SH142" s="28"/>
      <c r="SI142" s="25"/>
      <c r="SJ142" s="27"/>
      <c r="SK142" s="27"/>
      <c r="SL142" s="27"/>
      <c r="SM142" s="27"/>
      <c r="SN142" s="27"/>
      <c r="SO142" s="28"/>
      <c r="SP142" s="25"/>
      <c r="SQ142" s="27"/>
      <c r="SR142" s="27"/>
    </row>
    <row r="143" spans="1:512" x14ac:dyDescent="0.15">
      <c r="A143" s="101">
        <f t="shared" ca="1" si="1562"/>
        <v>6</v>
      </c>
      <c r="B143" s="111">
        <v>6</v>
      </c>
      <c r="C143" s="71" t="str">
        <f t="shared" ca="1" si="1555"/>
        <v>Severin</v>
      </c>
      <c r="D143" s="112">
        <f t="shared" ca="1" si="1563"/>
        <v>253.10000000000002</v>
      </c>
      <c r="E143" s="25"/>
      <c r="G143" s="88" t="s">
        <v>343</v>
      </c>
      <c r="H143" s="119">
        <v>4</v>
      </c>
      <c r="I143" s="25"/>
      <c r="J143" s="25"/>
      <c r="K143" s="26"/>
      <c r="L143" s="62"/>
      <c r="M143" s="62" t="s">
        <v>193</v>
      </c>
      <c r="N143" s="32" t="s">
        <v>74</v>
      </c>
      <c r="O143" s="32"/>
      <c r="P143" s="32">
        <f t="shared" ca="1" si="1556"/>
        <v>40</v>
      </c>
      <c r="Q143" s="32" t="str">
        <f t="shared" ca="1" si="1557"/>
        <v>Johanna</v>
      </c>
      <c r="R143" s="113">
        <f t="shared" ca="1" si="1558"/>
        <v>218.9</v>
      </c>
      <c r="S143" s="73">
        <v>6</v>
      </c>
      <c r="T143" s="32">
        <f t="shared" ca="1" si="1561"/>
        <v>218.90006</v>
      </c>
      <c r="U143" s="32"/>
      <c r="V143" s="61"/>
      <c r="W143" s="62"/>
      <c r="X143" s="32">
        <f t="shared" si="1559"/>
        <v>8</v>
      </c>
      <c r="Y143" s="63" t="s">
        <v>572</v>
      </c>
      <c r="Z143" s="118">
        <f>(KB3+KI3+KP3+KW3)/4</f>
        <v>214.52500000000001</v>
      </c>
      <c r="AA143" s="32">
        <v>6</v>
      </c>
      <c r="AB143" s="32">
        <f t="shared" si="1560"/>
        <v>214.52506</v>
      </c>
      <c r="AC143" s="61"/>
      <c r="AD143" s="27"/>
      <c r="AE143" s="27"/>
      <c r="AF143" s="27"/>
      <c r="AG143" s="28"/>
      <c r="AH143" s="25"/>
      <c r="AI143" s="27"/>
      <c r="AJ143" s="27"/>
      <c r="AK143" s="27"/>
      <c r="AL143" s="27"/>
      <c r="AM143" s="27"/>
      <c r="AN143" s="28"/>
      <c r="AO143" s="25"/>
      <c r="AP143" s="27"/>
      <c r="AQ143" s="27"/>
      <c r="AR143" s="27"/>
      <c r="AS143" s="27"/>
      <c r="AT143" s="27"/>
      <c r="AU143" s="28"/>
      <c r="AV143" s="25"/>
      <c r="AW143" s="27"/>
      <c r="AX143" s="27"/>
      <c r="AY143" s="27"/>
      <c r="AZ143" s="27"/>
      <c r="BA143" s="27"/>
      <c r="BB143" s="28"/>
      <c r="BC143" s="25"/>
      <c r="BD143" s="27"/>
      <c r="BE143" s="27"/>
      <c r="BF143" s="27"/>
      <c r="BG143" s="27"/>
      <c r="BH143" s="27"/>
      <c r="BI143" s="28"/>
      <c r="BJ143" s="25"/>
      <c r="BK143" s="27"/>
      <c r="BL143" s="27"/>
      <c r="BM143" s="27"/>
      <c r="BN143" s="27"/>
      <c r="BO143" s="27"/>
      <c r="BP143" s="28"/>
      <c r="BQ143" s="25"/>
      <c r="BR143" s="27"/>
      <c r="BS143" s="27"/>
      <c r="BT143" s="27"/>
      <c r="BU143" s="27"/>
      <c r="BV143" s="27"/>
      <c r="BW143" s="28"/>
      <c r="BX143" s="25"/>
      <c r="BY143" s="27"/>
      <c r="BZ143" s="27"/>
      <c r="CA143" s="27"/>
      <c r="CB143" s="27"/>
      <c r="CC143" s="27"/>
      <c r="CD143" s="28"/>
      <c r="CE143" s="25"/>
      <c r="CF143" s="27"/>
      <c r="CG143" s="27"/>
      <c r="CH143" s="27"/>
      <c r="CI143" s="27"/>
      <c r="CJ143" s="27"/>
      <c r="CK143" s="28"/>
      <c r="CL143" s="25"/>
      <c r="CM143" s="27"/>
      <c r="CN143" s="27"/>
      <c r="CO143" s="27"/>
      <c r="CP143" s="27"/>
      <c r="CQ143" s="27"/>
      <c r="CR143" s="28"/>
      <c r="CS143" s="25"/>
      <c r="CT143" s="27"/>
      <c r="CU143" s="27"/>
      <c r="CV143" s="27"/>
      <c r="CW143" s="27"/>
      <c r="CX143" s="27"/>
      <c r="CY143" s="28"/>
      <c r="CZ143" s="25"/>
      <c r="DA143" s="27"/>
      <c r="DB143" s="27"/>
      <c r="DC143" s="27"/>
      <c r="DD143" s="27"/>
      <c r="DE143" s="27"/>
      <c r="DF143" s="28"/>
      <c r="DG143" s="25"/>
      <c r="DH143" s="27"/>
      <c r="DI143" s="27"/>
      <c r="DJ143" s="27"/>
      <c r="DK143" s="27"/>
      <c r="DL143" s="27"/>
      <c r="DM143" s="28"/>
      <c r="DN143" s="25"/>
      <c r="DO143" s="27"/>
      <c r="DP143" s="27"/>
      <c r="DQ143" s="27"/>
      <c r="DR143" s="27"/>
      <c r="DS143" s="27"/>
      <c r="DT143" s="28"/>
      <c r="DU143" s="25"/>
      <c r="DV143" s="27"/>
      <c r="DW143" s="27"/>
      <c r="DX143" s="27"/>
      <c r="DY143" s="27"/>
      <c r="DZ143" s="27"/>
      <c r="EA143" s="28"/>
      <c r="EB143" s="25"/>
      <c r="EC143" s="27"/>
      <c r="ED143" s="27"/>
      <c r="EE143" s="27"/>
      <c r="EF143" s="27"/>
      <c r="EG143" s="27"/>
      <c r="EH143" s="28"/>
      <c r="EI143" s="25"/>
      <c r="EJ143" s="27"/>
      <c r="EK143" s="27"/>
      <c r="EL143" s="27"/>
      <c r="EM143" s="27"/>
      <c r="EN143" s="27"/>
      <c r="EO143" s="28"/>
      <c r="EP143" s="25"/>
      <c r="EQ143" s="27"/>
      <c r="ER143" s="27"/>
      <c r="ES143" s="27"/>
      <c r="ET143" s="27"/>
      <c r="EU143" s="27"/>
      <c r="EV143" s="28"/>
      <c r="EW143" s="25"/>
      <c r="EX143" s="27"/>
      <c r="EY143" s="27"/>
      <c r="EZ143" s="27"/>
      <c r="FA143" s="27"/>
      <c r="FB143" s="27"/>
      <c r="FC143" s="28"/>
      <c r="FD143" s="25"/>
      <c r="FE143" s="27"/>
      <c r="FF143" s="27"/>
      <c r="FG143" s="27"/>
      <c r="FH143" s="27"/>
      <c r="FI143" s="27"/>
      <c r="FJ143" s="28"/>
      <c r="FK143" s="25"/>
      <c r="FL143" s="27"/>
      <c r="FM143" s="27"/>
      <c r="FN143" s="27"/>
      <c r="FO143" s="27"/>
      <c r="FP143" s="27"/>
      <c r="FQ143" s="28"/>
      <c r="FR143" s="25"/>
      <c r="FS143" s="27"/>
      <c r="FT143" s="27"/>
      <c r="FU143" s="27"/>
      <c r="FV143" s="27"/>
      <c r="FW143" s="27"/>
      <c r="FX143" s="28"/>
      <c r="FY143" s="25"/>
      <c r="FZ143" s="27"/>
      <c r="GA143" s="27"/>
      <c r="GB143" s="27"/>
      <c r="GC143" s="27"/>
      <c r="GD143" s="27"/>
      <c r="GE143" s="28"/>
      <c r="GF143" s="25"/>
      <c r="GG143" s="27"/>
      <c r="GH143" s="27"/>
      <c r="GI143" s="27"/>
      <c r="GJ143" s="27"/>
      <c r="GK143" s="27"/>
      <c r="GL143" s="28"/>
      <c r="GM143" s="25"/>
      <c r="GN143" s="27"/>
      <c r="GO143" s="27"/>
      <c r="GP143" s="27"/>
      <c r="GQ143" s="27"/>
      <c r="GR143" s="27"/>
      <c r="GS143" s="28"/>
      <c r="GT143" s="25"/>
      <c r="GU143" s="27"/>
      <c r="GV143" s="27"/>
      <c r="GW143" s="27"/>
      <c r="GX143" s="27"/>
      <c r="GY143" s="27"/>
      <c r="GZ143" s="28"/>
      <c r="HA143" s="25"/>
      <c r="HB143" s="27"/>
      <c r="HC143" s="27"/>
      <c r="HD143" s="27"/>
      <c r="HE143" s="27"/>
      <c r="HF143" s="27"/>
      <c r="HG143" s="28"/>
      <c r="HH143" s="25"/>
      <c r="HI143" s="27"/>
      <c r="HJ143" s="27"/>
      <c r="HK143" s="27"/>
      <c r="HL143" s="27"/>
      <c r="HM143" s="27"/>
      <c r="HN143" s="28"/>
      <c r="HO143" s="25"/>
      <c r="HP143" s="27"/>
      <c r="HQ143" s="27"/>
      <c r="HR143" s="27"/>
      <c r="HS143" s="27"/>
      <c r="HT143" s="27"/>
      <c r="HU143" s="28"/>
      <c r="HV143" s="25"/>
      <c r="HW143" s="27"/>
      <c r="HX143" s="27"/>
      <c r="HY143" s="27"/>
      <c r="HZ143" s="27"/>
      <c r="IA143" s="27"/>
      <c r="IB143" s="28"/>
      <c r="IC143" s="25"/>
      <c r="ID143" s="27"/>
      <c r="IE143" s="27"/>
      <c r="IF143" s="27"/>
      <c r="IG143" s="27"/>
      <c r="IH143" s="27"/>
      <c r="II143" s="28"/>
      <c r="IJ143" s="25"/>
      <c r="IK143" s="27"/>
      <c r="IL143" s="27"/>
      <c r="IM143" s="27"/>
      <c r="IN143" s="27"/>
      <c r="IO143" s="27"/>
      <c r="IP143" s="28"/>
      <c r="IQ143" s="25"/>
      <c r="IR143" s="27"/>
      <c r="IS143" s="27"/>
      <c r="IT143" s="27"/>
      <c r="IU143" s="27"/>
      <c r="IV143" s="27"/>
      <c r="IW143" s="28"/>
      <c r="IX143" s="25"/>
      <c r="IY143" s="27"/>
      <c r="IZ143" s="27"/>
      <c r="JA143" s="27"/>
      <c r="JB143" s="27"/>
      <c r="JC143" s="27"/>
      <c r="JD143" s="28"/>
      <c r="JE143" s="25"/>
      <c r="JF143" s="27"/>
      <c r="JG143" s="27"/>
      <c r="JH143" s="27"/>
      <c r="JI143" s="27"/>
      <c r="JJ143" s="27"/>
      <c r="JK143" s="28"/>
      <c r="JL143" s="25"/>
      <c r="JM143" s="27"/>
      <c r="JN143" s="27"/>
      <c r="JO143" s="27"/>
      <c r="JP143" s="27"/>
      <c r="JQ143" s="27"/>
      <c r="JR143" s="28"/>
      <c r="JS143" s="25"/>
      <c r="JT143" s="27"/>
      <c r="JU143" s="27"/>
      <c r="JV143" s="27"/>
      <c r="JW143" s="27"/>
      <c r="JX143" s="27"/>
      <c r="JY143" s="28"/>
      <c r="JZ143" s="25"/>
      <c r="KA143" s="27"/>
      <c r="KB143" s="27"/>
      <c r="KC143" s="27"/>
      <c r="KD143" s="27"/>
      <c r="KE143" s="27"/>
      <c r="KF143" s="28"/>
      <c r="KG143" s="25"/>
      <c r="KH143" s="27"/>
      <c r="KI143" s="27"/>
      <c r="KJ143" s="27"/>
      <c r="KK143" s="27"/>
      <c r="KL143" s="27"/>
      <c r="KM143" s="28"/>
      <c r="KN143" s="25"/>
      <c r="KO143" s="27"/>
      <c r="KP143" s="27"/>
      <c r="KQ143" s="27"/>
      <c r="KR143" s="27"/>
      <c r="KS143" s="27"/>
      <c r="KT143" s="28"/>
      <c r="KU143" s="25"/>
      <c r="KV143" s="27"/>
      <c r="KW143" s="27"/>
      <c r="KX143" s="27"/>
      <c r="KY143" s="27"/>
      <c r="KZ143" s="27"/>
      <c r="LA143" s="28"/>
      <c r="LB143" s="25"/>
      <c r="LC143" s="27"/>
      <c r="LD143" s="27"/>
      <c r="LE143" s="27"/>
      <c r="LF143" s="27"/>
      <c r="LG143" s="27"/>
      <c r="LH143" s="28"/>
      <c r="LI143" s="25"/>
      <c r="LJ143" s="27"/>
      <c r="LK143" s="27"/>
      <c r="LL143" s="27"/>
      <c r="LM143" s="27"/>
      <c r="LN143" s="27"/>
      <c r="LO143" s="28"/>
      <c r="LP143" s="25"/>
      <c r="LQ143" s="27"/>
      <c r="LR143" s="27"/>
      <c r="LS143" s="27"/>
      <c r="LT143" s="27"/>
      <c r="LU143" s="27"/>
      <c r="LV143" s="28"/>
      <c r="LW143" s="25"/>
      <c r="LX143" s="27"/>
      <c r="LY143" s="27"/>
      <c r="LZ143" s="27"/>
      <c r="MA143" s="27"/>
      <c r="MB143" s="27"/>
      <c r="MC143" s="28"/>
      <c r="MD143" s="25"/>
      <c r="ME143" s="27"/>
      <c r="MF143" s="27"/>
      <c r="MG143" s="27"/>
      <c r="MH143" s="27"/>
      <c r="MI143" s="27"/>
      <c r="MJ143" s="28"/>
      <c r="MK143" s="25"/>
      <c r="ML143" s="27"/>
      <c r="MM143" s="27"/>
      <c r="MN143" s="27"/>
      <c r="MO143" s="27"/>
      <c r="MP143" s="27"/>
      <c r="MQ143" s="28"/>
      <c r="MR143" s="25"/>
      <c r="MS143" s="27"/>
      <c r="MT143" s="27"/>
      <c r="MU143" s="27"/>
      <c r="MV143" s="27"/>
      <c r="MW143" s="27"/>
      <c r="MX143" s="28"/>
      <c r="MY143" s="25"/>
      <c r="MZ143" s="27"/>
      <c r="NA143" s="27"/>
      <c r="NB143" s="27"/>
      <c r="NC143" s="27"/>
      <c r="ND143" s="27"/>
      <c r="NE143" s="28"/>
      <c r="NF143" s="25"/>
      <c r="NG143" s="27"/>
      <c r="NH143" s="27"/>
      <c r="NI143" s="27"/>
      <c r="NJ143" s="27"/>
      <c r="NK143" s="27"/>
      <c r="NL143" s="28"/>
      <c r="NM143" s="25"/>
      <c r="NN143" s="27"/>
      <c r="NO143" s="27"/>
      <c r="NP143" s="27"/>
      <c r="NQ143" s="27"/>
      <c r="NR143" s="27"/>
      <c r="NS143" s="28"/>
      <c r="NT143" s="25"/>
      <c r="NU143" s="27"/>
      <c r="NV143" s="27"/>
      <c r="NW143" s="27"/>
      <c r="NX143" s="27"/>
      <c r="NY143" s="27"/>
      <c r="NZ143" s="28"/>
      <c r="OA143" s="25"/>
      <c r="OB143" s="27"/>
      <c r="OC143" s="27"/>
      <c r="OD143" s="27"/>
      <c r="OE143" s="27"/>
      <c r="OF143" s="27"/>
      <c r="OG143" s="28"/>
      <c r="OH143" s="25"/>
      <c r="OI143" s="27"/>
      <c r="OJ143" s="27"/>
      <c r="OK143" s="27"/>
      <c r="OL143" s="27"/>
      <c r="OM143" s="27"/>
      <c r="ON143" s="28"/>
      <c r="OO143" s="25"/>
      <c r="OP143" s="27"/>
      <c r="OQ143" s="27"/>
      <c r="OR143" s="27"/>
      <c r="OS143" s="27"/>
      <c r="OT143" s="27"/>
      <c r="OU143" s="28"/>
      <c r="OV143" s="25"/>
      <c r="OW143" s="27"/>
      <c r="OX143" s="27"/>
      <c r="OY143" s="27"/>
      <c r="OZ143" s="27"/>
      <c r="PA143" s="27"/>
      <c r="PB143" s="28"/>
      <c r="PC143" s="25"/>
      <c r="PD143" s="27"/>
      <c r="PE143" s="27"/>
      <c r="PF143" s="27"/>
      <c r="PG143" s="27"/>
      <c r="PH143" s="27"/>
      <c r="PI143" s="28"/>
      <c r="PJ143" s="25"/>
      <c r="PK143" s="27"/>
      <c r="PL143" s="27"/>
      <c r="PM143" s="27"/>
      <c r="PN143" s="27"/>
      <c r="PO143" s="27"/>
      <c r="PP143" s="28"/>
      <c r="PQ143" s="25"/>
      <c r="PR143" s="27"/>
      <c r="PS143" s="27"/>
      <c r="PT143" s="27"/>
      <c r="PU143" s="27"/>
      <c r="PV143" s="27"/>
      <c r="PW143" s="28"/>
      <c r="PX143" s="25"/>
      <c r="PY143" s="27"/>
      <c r="PZ143" s="27"/>
      <c r="QA143" s="27"/>
      <c r="QB143" s="27"/>
      <c r="QC143" s="27"/>
      <c r="QD143" s="28"/>
      <c r="QE143" s="25"/>
      <c r="QF143" s="27"/>
      <c r="QG143" s="27"/>
      <c r="QH143" s="27"/>
      <c r="QI143" s="27"/>
      <c r="QJ143" s="27"/>
      <c r="QK143" s="28"/>
      <c r="QL143" s="25"/>
      <c r="QM143" s="27"/>
      <c r="QN143" s="27"/>
      <c r="QO143" s="27"/>
      <c r="QP143" s="27"/>
      <c r="QQ143" s="27"/>
      <c r="QR143" s="28"/>
      <c r="QS143" s="25"/>
      <c r="QT143" s="27"/>
      <c r="QU143" s="27"/>
      <c r="QV143" s="27"/>
      <c r="QW143" s="27"/>
      <c r="QX143" s="27"/>
      <c r="QY143" s="28"/>
      <c r="QZ143" s="25"/>
      <c r="RA143" s="27"/>
      <c r="RB143" s="27"/>
      <c r="RC143" s="27"/>
      <c r="RD143" s="27"/>
      <c r="RE143" s="27"/>
      <c r="RF143" s="28"/>
      <c r="RG143" s="25"/>
      <c r="RH143" s="27"/>
      <c r="RI143" s="27"/>
      <c r="RJ143" s="27"/>
      <c r="RK143" s="27"/>
      <c r="RL143" s="27"/>
      <c r="RM143" s="28"/>
      <c r="RN143" s="25"/>
      <c r="RO143" s="27"/>
      <c r="RP143" s="27"/>
      <c r="RQ143" s="27"/>
      <c r="RR143" s="27"/>
      <c r="RS143" s="27"/>
      <c r="RT143" s="28"/>
      <c r="RU143" s="25"/>
      <c r="RV143" s="27"/>
      <c r="RW143" s="27"/>
      <c r="RX143" s="27"/>
      <c r="RY143" s="27"/>
      <c r="RZ143" s="27"/>
      <c r="SA143" s="28"/>
      <c r="SB143" s="25"/>
      <c r="SC143" s="27"/>
      <c r="SD143" s="27"/>
      <c r="SE143" s="27"/>
      <c r="SF143" s="27"/>
      <c r="SG143" s="27"/>
      <c r="SH143" s="28"/>
      <c r="SI143" s="25"/>
      <c r="SJ143" s="27"/>
      <c r="SK143" s="27"/>
      <c r="SL143" s="27"/>
      <c r="SM143" s="27"/>
      <c r="SN143" s="27"/>
      <c r="SO143" s="28"/>
      <c r="SP143" s="25"/>
      <c r="SQ143" s="27"/>
      <c r="SR143" s="27"/>
    </row>
    <row r="144" spans="1:512" x14ac:dyDescent="0.15">
      <c r="A144" s="101">
        <f t="shared" ca="1" si="1562"/>
        <v>7</v>
      </c>
      <c r="B144" s="111">
        <v>7</v>
      </c>
      <c r="C144" s="71" t="str">
        <f t="shared" ca="1" si="1555"/>
        <v>Tanja</v>
      </c>
      <c r="D144" s="112">
        <f t="shared" ca="1" si="1563"/>
        <v>248.79999999999995</v>
      </c>
      <c r="E144" s="25"/>
      <c r="G144" s="88" t="s">
        <v>566</v>
      </c>
      <c r="H144" s="119">
        <v>0</v>
      </c>
      <c r="I144" s="25"/>
      <c r="J144" s="25"/>
      <c r="K144" s="26"/>
      <c r="L144" s="62"/>
      <c r="M144" s="63" t="s">
        <v>194</v>
      </c>
      <c r="N144" s="32" t="s">
        <v>75</v>
      </c>
      <c r="O144" s="32"/>
      <c r="P144" s="32">
        <f t="shared" ca="1" si="1556"/>
        <v>19</v>
      </c>
      <c r="Q144" s="32" t="str">
        <f t="shared" ca="1" si="1557"/>
        <v>Basti</v>
      </c>
      <c r="R144" s="113">
        <f t="shared" ca="1" si="1558"/>
        <v>237.79999999999993</v>
      </c>
      <c r="S144" s="73">
        <v>7</v>
      </c>
      <c r="T144" s="32">
        <f t="shared" ca="1" si="1561"/>
        <v>237.80006999999992</v>
      </c>
      <c r="U144" s="32"/>
      <c r="V144" s="61"/>
      <c r="W144" s="62"/>
      <c r="X144" s="32">
        <f t="shared" si="1559"/>
        <v>11</v>
      </c>
      <c r="Y144" s="63" t="s">
        <v>573</v>
      </c>
      <c r="Z144" s="118">
        <f>(JG3+IL3+IZ3+LD3)/4</f>
        <v>206.47499999999997</v>
      </c>
      <c r="AA144" s="32">
        <v>7</v>
      </c>
      <c r="AB144" s="32">
        <f t="shared" si="1560"/>
        <v>206.47506999999996</v>
      </c>
      <c r="AC144" s="61"/>
      <c r="AD144" s="27"/>
      <c r="AE144" s="27"/>
      <c r="AF144" s="27"/>
      <c r="AG144" s="28"/>
      <c r="AH144" s="25"/>
      <c r="AI144" s="27"/>
      <c r="AJ144" s="27"/>
      <c r="AK144" s="27"/>
      <c r="AL144" s="27"/>
      <c r="AM144" s="27"/>
      <c r="AN144" s="28"/>
      <c r="AO144" s="25"/>
      <c r="AP144" s="27"/>
      <c r="AQ144" s="27"/>
      <c r="AR144" s="27"/>
      <c r="AS144" s="27"/>
      <c r="AT144" s="27"/>
      <c r="AU144" s="28"/>
      <c r="AV144" s="25"/>
      <c r="AW144" s="27"/>
      <c r="AX144" s="27"/>
      <c r="AY144" s="27"/>
      <c r="AZ144" s="27"/>
      <c r="BA144" s="27"/>
      <c r="BB144" s="28"/>
      <c r="BC144" s="25"/>
      <c r="BD144" s="27"/>
      <c r="BE144" s="27"/>
      <c r="BF144" s="27"/>
      <c r="BG144" s="27"/>
      <c r="BH144" s="27"/>
      <c r="BI144" s="28"/>
      <c r="BJ144" s="25"/>
      <c r="BK144" s="27"/>
      <c r="BL144" s="27"/>
      <c r="BM144" s="27"/>
      <c r="BN144" s="27"/>
      <c r="BO144" s="27"/>
      <c r="BP144" s="28"/>
      <c r="BQ144" s="25"/>
      <c r="BR144" s="27"/>
      <c r="BS144" s="27"/>
      <c r="BT144" s="27"/>
      <c r="BU144" s="27"/>
      <c r="BV144" s="27"/>
      <c r="BW144" s="28"/>
      <c r="BX144" s="25"/>
      <c r="BY144" s="27"/>
      <c r="BZ144" s="27"/>
      <c r="CA144" s="27"/>
      <c r="CB144" s="27"/>
      <c r="CC144" s="27"/>
      <c r="CD144" s="28"/>
      <c r="CE144" s="25"/>
      <c r="CF144" s="27"/>
      <c r="CG144" s="27"/>
      <c r="CH144" s="27"/>
      <c r="CI144" s="27"/>
      <c r="CJ144" s="27"/>
      <c r="CK144" s="28"/>
      <c r="CL144" s="25"/>
      <c r="CM144" s="27"/>
      <c r="CN144" s="27"/>
      <c r="CO144" s="27"/>
      <c r="CP144" s="27"/>
      <c r="CQ144" s="27"/>
      <c r="CR144" s="28"/>
      <c r="CS144" s="25"/>
      <c r="CT144" s="27"/>
      <c r="CU144" s="27"/>
      <c r="CV144" s="27"/>
      <c r="CW144" s="27"/>
      <c r="CX144" s="27"/>
      <c r="CY144" s="28"/>
      <c r="CZ144" s="25"/>
      <c r="DA144" s="27"/>
      <c r="DB144" s="27"/>
      <c r="DC144" s="27"/>
      <c r="DD144" s="27"/>
      <c r="DE144" s="27"/>
      <c r="DF144" s="28"/>
      <c r="DG144" s="25"/>
      <c r="DH144" s="27"/>
      <c r="DI144" s="27"/>
      <c r="DJ144" s="27"/>
      <c r="DK144" s="27"/>
      <c r="DL144" s="27"/>
      <c r="DM144" s="28"/>
      <c r="DN144" s="25"/>
      <c r="DO144" s="27"/>
      <c r="DP144" s="27"/>
      <c r="DQ144" s="27"/>
      <c r="DR144" s="27"/>
      <c r="DS144" s="27"/>
      <c r="DT144" s="28"/>
      <c r="DU144" s="25"/>
      <c r="DV144" s="27"/>
      <c r="DW144" s="27"/>
      <c r="DX144" s="27"/>
      <c r="DY144" s="27"/>
      <c r="DZ144" s="27"/>
      <c r="EA144" s="28"/>
      <c r="EB144" s="25"/>
      <c r="EC144" s="27"/>
      <c r="ED144" s="27"/>
      <c r="EE144" s="27"/>
      <c r="EF144" s="27"/>
      <c r="EG144" s="27"/>
      <c r="EH144" s="28"/>
      <c r="EI144" s="25"/>
      <c r="EJ144" s="27"/>
      <c r="EK144" s="27"/>
      <c r="EL144" s="27"/>
      <c r="EM144" s="27"/>
      <c r="EN144" s="27"/>
      <c r="EO144" s="28"/>
      <c r="EP144" s="25"/>
      <c r="EQ144" s="27"/>
      <c r="ER144" s="27"/>
      <c r="ES144" s="27"/>
      <c r="ET144" s="27"/>
      <c r="EU144" s="27"/>
      <c r="EV144" s="28"/>
      <c r="EW144" s="25"/>
      <c r="EX144" s="27"/>
      <c r="EY144" s="27"/>
      <c r="EZ144" s="27"/>
      <c r="FA144" s="27"/>
      <c r="FB144" s="27"/>
      <c r="FC144" s="28"/>
      <c r="FD144" s="25"/>
      <c r="FE144" s="27"/>
      <c r="FF144" s="27"/>
      <c r="FG144" s="27"/>
      <c r="FH144" s="27"/>
      <c r="FI144" s="27"/>
      <c r="FJ144" s="28"/>
      <c r="FK144" s="25"/>
      <c r="FL144" s="27"/>
      <c r="FM144" s="27"/>
      <c r="FN144" s="27"/>
      <c r="FO144" s="27"/>
      <c r="FP144" s="27"/>
      <c r="FQ144" s="28"/>
      <c r="FR144" s="25"/>
      <c r="FS144" s="27"/>
      <c r="FT144" s="27"/>
      <c r="FU144" s="27"/>
      <c r="FV144" s="27"/>
      <c r="FW144" s="27"/>
      <c r="FX144" s="28"/>
      <c r="FY144" s="25"/>
      <c r="FZ144" s="27"/>
      <c r="GA144" s="27"/>
      <c r="GB144" s="27"/>
      <c r="GC144" s="27"/>
      <c r="GD144" s="27"/>
      <c r="GE144" s="28"/>
      <c r="GF144" s="25"/>
      <c r="GG144" s="27"/>
      <c r="GH144" s="27"/>
      <c r="GI144" s="27"/>
      <c r="GJ144" s="27"/>
      <c r="GK144" s="27"/>
      <c r="GL144" s="28"/>
      <c r="GM144" s="25"/>
      <c r="GN144" s="27"/>
      <c r="GO144" s="27"/>
      <c r="GP144" s="27"/>
      <c r="GQ144" s="27"/>
      <c r="GR144" s="27"/>
      <c r="GS144" s="28"/>
      <c r="GT144" s="25"/>
      <c r="GU144" s="27"/>
      <c r="GV144" s="27"/>
      <c r="GW144" s="27"/>
      <c r="GX144" s="27"/>
      <c r="GY144" s="27"/>
      <c r="GZ144" s="28"/>
      <c r="HA144" s="25"/>
      <c r="HB144" s="27"/>
      <c r="HC144" s="27"/>
      <c r="HD144" s="27"/>
      <c r="HE144" s="27"/>
      <c r="HF144" s="27"/>
      <c r="HG144" s="28"/>
      <c r="HH144" s="25"/>
      <c r="HI144" s="27"/>
      <c r="HJ144" s="27"/>
      <c r="HK144" s="27"/>
      <c r="HL144" s="27"/>
      <c r="HM144" s="27"/>
      <c r="HN144" s="28"/>
      <c r="HO144" s="25"/>
      <c r="HP144" s="27"/>
      <c r="HQ144" s="27"/>
      <c r="HR144" s="27"/>
      <c r="HS144" s="27"/>
      <c r="HT144" s="27"/>
      <c r="HU144" s="28"/>
      <c r="HV144" s="25"/>
      <c r="HW144" s="27"/>
      <c r="HX144" s="27"/>
      <c r="HY144" s="27"/>
      <c r="HZ144" s="27"/>
      <c r="IA144" s="27"/>
      <c r="IB144" s="28"/>
      <c r="IC144" s="25"/>
      <c r="ID144" s="27"/>
      <c r="IE144" s="27"/>
      <c r="IF144" s="27"/>
      <c r="IG144" s="27"/>
      <c r="IH144" s="27"/>
      <c r="II144" s="28"/>
      <c r="IJ144" s="25"/>
      <c r="IK144" s="27"/>
      <c r="IL144" s="27"/>
      <c r="IM144" s="27"/>
      <c r="IN144" s="27"/>
      <c r="IO144" s="27"/>
      <c r="IP144" s="28"/>
      <c r="IQ144" s="25"/>
      <c r="IR144" s="27"/>
      <c r="IS144" s="27"/>
      <c r="IT144" s="27"/>
      <c r="IU144" s="27"/>
      <c r="IV144" s="27"/>
      <c r="IW144" s="28"/>
      <c r="IX144" s="25"/>
      <c r="IY144" s="27"/>
      <c r="IZ144" s="27"/>
      <c r="JA144" s="27"/>
      <c r="JB144" s="27"/>
      <c r="JC144" s="27"/>
      <c r="JD144" s="28"/>
      <c r="JE144" s="25"/>
      <c r="JF144" s="27"/>
      <c r="JG144" s="27"/>
      <c r="JH144" s="27"/>
      <c r="JI144" s="27"/>
      <c r="JJ144" s="27"/>
      <c r="JK144" s="28"/>
      <c r="JL144" s="25"/>
      <c r="JM144" s="27"/>
      <c r="JN144" s="27"/>
      <c r="JO144" s="27"/>
      <c r="JP144" s="27"/>
      <c r="JQ144" s="27"/>
      <c r="JR144" s="28"/>
      <c r="JS144" s="25"/>
      <c r="JT144" s="27"/>
      <c r="JU144" s="27"/>
      <c r="JV144" s="27"/>
      <c r="JW144" s="27"/>
      <c r="JX144" s="27"/>
      <c r="JY144" s="28"/>
      <c r="JZ144" s="25"/>
      <c r="KA144" s="27"/>
      <c r="KB144" s="27"/>
      <c r="KC144" s="27"/>
      <c r="KD144" s="27"/>
      <c r="KE144" s="27"/>
      <c r="KF144" s="28"/>
      <c r="KG144" s="25"/>
      <c r="KH144" s="27"/>
      <c r="KI144" s="27"/>
      <c r="KJ144" s="27"/>
      <c r="KK144" s="27"/>
      <c r="KL144" s="27"/>
      <c r="KM144" s="28"/>
      <c r="KN144" s="25"/>
      <c r="KO144" s="27"/>
      <c r="KP144" s="27"/>
      <c r="KQ144" s="27"/>
      <c r="KR144" s="27"/>
      <c r="KS144" s="27"/>
      <c r="KT144" s="28"/>
      <c r="KU144" s="25"/>
      <c r="KV144" s="27"/>
      <c r="KW144" s="27"/>
      <c r="KX144" s="27"/>
      <c r="KY144" s="27"/>
      <c r="KZ144" s="27"/>
      <c r="LA144" s="28"/>
      <c r="LB144" s="25"/>
      <c r="LC144" s="27"/>
      <c r="LD144" s="27"/>
      <c r="LE144" s="27"/>
      <c r="LF144" s="27"/>
      <c r="LG144" s="27"/>
      <c r="LH144" s="28"/>
      <c r="LI144" s="25"/>
      <c r="LJ144" s="27"/>
      <c r="LK144" s="27"/>
      <c r="LL144" s="27"/>
      <c r="LM144" s="27"/>
      <c r="LN144" s="27"/>
      <c r="LO144" s="28"/>
      <c r="LP144" s="25"/>
      <c r="LQ144" s="27"/>
      <c r="LR144" s="27"/>
      <c r="LS144" s="27"/>
      <c r="LT144" s="27"/>
      <c r="LU144" s="27"/>
      <c r="LV144" s="28"/>
      <c r="LW144" s="25"/>
      <c r="LX144" s="27"/>
      <c r="LY144" s="27"/>
      <c r="LZ144" s="27"/>
      <c r="MA144" s="27"/>
      <c r="MB144" s="27"/>
      <c r="MC144" s="28"/>
      <c r="MD144" s="25"/>
      <c r="ME144" s="27"/>
      <c r="MF144" s="27"/>
      <c r="MG144" s="27"/>
      <c r="MH144" s="27"/>
      <c r="MI144" s="27"/>
      <c r="MJ144" s="28"/>
      <c r="MK144" s="25"/>
      <c r="ML144" s="27"/>
      <c r="MM144" s="27"/>
      <c r="MN144" s="27"/>
      <c r="MO144" s="27"/>
      <c r="MP144" s="27"/>
      <c r="MQ144" s="28"/>
      <c r="MR144" s="25"/>
      <c r="MS144" s="27"/>
      <c r="MT144" s="27"/>
      <c r="MU144" s="27"/>
      <c r="MV144" s="27"/>
      <c r="MW144" s="27"/>
      <c r="MX144" s="28"/>
      <c r="MY144" s="25"/>
      <c r="MZ144" s="27"/>
      <c r="NA144" s="27"/>
      <c r="NB144" s="27"/>
      <c r="NC144" s="27"/>
      <c r="ND144" s="27"/>
      <c r="NE144" s="28"/>
      <c r="NF144" s="25"/>
      <c r="NG144" s="27"/>
      <c r="NH144" s="27"/>
      <c r="NI144" s="27"/>
      <c r="NJ144" s="27"/>
      <c r="NK144" s="27"/>
      <c r="NL144" s="28"/>
      <c r="NM144" s="25"/>
      <c r="NN144" s="27"/>
      <c r="NO144" s="27"/>
      <c r="NP144" s="27"/>
      <c r="NQ144" s="27"/>
      <c r="NR144" s="27"/>
      <c r="NS144" s="28"/>
      <c r="NT144" s="25"/>
      <c r="NU144" s="27"/>
      <c r="NV144" s="27"/>
      <c r="NW144" s="27"/>
      <c r="NX144" s="27"/>
      <c r="NY144" s="27"/>
      <c r="NZ144" s="28"/>
      <c r="OA144" s="25"/>
      <c r="OB144" s="27"/>
      <c r="OC144" s="27"/>
      <c r="OD144" s="27"/>
      <c r="OE144" s="27"/>
      <c r="OF144" s="27"/>
      <c r="OG144" s="28"/>
      <c r="OH144" s="25"/>
      <c r="OI144" s="27"/>
      <c r="OJ144" s="27"/>
      <c r="OK144" s="27"/>
      <c r="OL144" s="27"/>
      <c r="OM144" s="27"/>
      <c r="ON144" s="28"/>
      <c r="OO144" s="25"/>
      <c r="OP144" s="27"/>
      <c r="OQ144" s="27"/>
      <c r="OR144" s="27"/>
      <c r="OS144" s="27"/>
      <c r="OT144" s="27"/>
      <c r="OU144" s="28"/>
      <c r="OV144" s="25"/>
      <c r="OW144" s="27"/>
      <c r="OX144" s="27"/>
      <c r="OY144" s="27"/>
      <c r="OZ144" s="27"/>
      <c r="PA144" s="27"/>
      <c r="PB144" s="28"/>
      <c r="PC144" s="25"/>
      <c r="PD144" s="27"/>
      <c r="PE144" s="27"/>
      <c r="PF144" s="27"/>
      <c r="PG144" s="27"/>
      <c r="PH144" s="27"/>
      <c r="PI144" s="28"/>
      <c r="PJ144" s="25"/>
      <c r="PK144" s="27"/>
      <c r="PL144" s="27"/>
      <c r="PM144" s="27"/>
      <c r="PN144" s="27"/>
      <c r="PO144" s="27"/>
      <c r="PP144" s="28"/>
      <c r="PQ144" s="25"/>
      <c r="PR144" s="27"/>
      <c r="PS144" s="27"/>
      <c r="PT144" s="27"/>
      <c r="PU144" s="27"/>
      <c r="PV144" s="27"/>
      <c r="PW144" s="28"/>
      <c r="PX144" s="25"/>
      <c r="PY144" s="27"/>
      <c r="PZ144" s="27"/>
      <c r="QA144" s="27"/>
      <c r="QB144" s="27"/>
      <c r="QC144" s="27"/>
      <c r="QD144" s="28"/>
      <c r="QE144" s="25"/>
      <c r="QF144" s="27"/>
      <c r="QG144" s="27"/>
      <c r="QH144" s="27"/>
      <c r="QI144" s="27"/>
      <c r="QJ144" s="27"/>
      <c r="QK144" s="28"/>
      <c r="QL144" s="25"/>
      <c r="QM144" s="27"/>
      <c r="QN144" s="27"/>
      <c r="QO144" s="27"/>
      <c r="QP144" s="27"/>
      <c r="QQ144" s="27"/>
      <c r="QR144" s="28"/>
      <c r="QS144" s="25"/>
      <c r="QT144" s="27"/>
      <c r="QU144" s="27"/>
      <c r="QV144" s="27"/>
      <c r="QW144" s="27"/>
      <c r="QX144" s="27"/>
      <c r="QY144" s="28"/>
      <c r="QZ144" s="25"/>
      <c r="RA144" s="27"/>
      <c r="RB144" s="27"/>
      <c r="RC144" s="27"/>
      <c r="RD144" s="27"/>
      <c r="RE144" s="27"/>
      <c r="RF144" s="28"/>
      <c r="RG144" s="25"/>
      <c r="RH144" s="27"/>
      <c r="RI144" s="27"/>
      <c r="RJ144" s="27"/>
      <c r="RK144" s="27"/>
      <c r="RL144" s="27"/>
      <c r="RM144" s="28"/>
      <c r="RN144" s="25"/>
      <c r="RO144" s="27"/>
      <c r="RP144" s="27"/>
      <c r="RQ144" s="27"/>
      <c r="RR144" s="27"/>
      <c r="RS144" s="27"/>
      <c r="RT144" s="28"/>
      <c r="RU144" s="25"/>
      <c r="RV144" s="27"/>
      <c r="RW144" s="27"/>
      <c r="RX144" s="27"/>
      <c r="RY144" s="27"/>
      <c r="RZ144" s="27"/>
      <c r="SA144" s="28"/>
      <c r="SB144" s="25"/>
      <c r="SC144" s="27"/>
      <c r="SD144" s="27"/>
      <c r="SE144" s="27"/>
      <c r="SF144" s="27"/>
      <c r="SG144" s="27"/>
      <c r="SH144" s="28"/>
      <c r="SI144" s="25"/>
      <c r="SJ144" s="27"/>
      <c r="SK144" s="27"/>
      <c r="SL144" s="27"/>
      <c r="SM144" s="27"/>
      <c r="SN144" s="27"/>
      <c r="SO144" s="28"/>
      <c r="SP144" s="25"/>
      <c r="SQ144" s="27"/>
      <c r="SR144" s="27"/>
    </row>
    <row r="145" spans="1:512" x14ac:dyDescent="0.15">
      <c r="A145" s="101">
        <f t="shared" ca="1" si="1562"/>
        <v>8</v>
      </c>
      <c r="B145" s="111">
        <v>8</v>
      </c>
      <c r="C145" s="71" t="str">
        <f t="shared" ca="1" si="1555"/>
        <v>Emma H</v>
      </c>
      <c r="D145" s="112">
        <f t="shared" ca="1" si="1563"/>
        <v>248.59999999999997</v>
      </c>
      <c r="E145" s="25"/>
      <c r="G145" s="88" t="s">
        <v>556</v>
      </c>
      <c r="H145" s="119">
        <v>2</v>
      </c>
      <c r="I145" s="25"/>
      <c r="J145" s="25"/>
      <c r="K145" s="26"/>
      <c r="L145" s="62"/>
      <c r="M145" s="32" t="s">
        <v>195</v>
      </c>
      <c r="N145" s="32" t="s">
        <v>76</v>
      </c>
      <c r="O145" s="32"/>
      <c r="P145" s="32">
        <f t="shared" ca="1" si="1556"/>
        <v>50</v>
      </c>
      <c r="Q145" s="32" t="str">
        <f t="shared" ca="1" si="1557"/>
        <v>Andrea</v>
      </c>
      <c r="R145" s="113">
        <f t="shared" ca="1" si="1558"/>
        <v>214.39999999999995</v>
      </c>
      <c r="S145" s="73">
        <v>8</v>
      </c>
      <c r="T145" s="32">
        <f t="shared" ca="1" si="1561"/>
        <v>214.40007999999995</v>
      </c>
      <c r="U145" s="32"/>
      <c r="V145" s="61"/>
      <c r="W145" s="62"/>
      <c r="X145" s="32">
        <f t="shared" si="1559"/>
        <v>13</v>
      </c>
      <c r="Y145" s="63" t="s">
        <v>574</v>
      </c>
      <c r="Z145" s="118">
        <f>(AJ3+BL3+CG3)/3</f>
        <v>178.1333333333333</v>
      </c>
      <c r="AA145" s="32">
        <v>8</v>
      </c>
      <c r="AB145" s="32">
        <f t="shared" si="1560"/>
        <v>178.13341333333329</v>
      </c>
      <c r="AC145" s="61"/>
      <c r="AD145" s="27"/>
      <c r="AE145" s="27"/>
      <c r="AF145" s="27"/>
      <c r="AG145" s="28"/>
      <c r="AH145" s="25"/>
      <c r="AI145" s="27"/>
      <c r="AJ145" s="27"/>
      <c r="AK145" s="27"/>
      <c r="AL145" s="27"/>
      <c r="AM145" s="27"/>
      <c r="AN145" s="28"/>
      <c r="AO145" s="25"/>
      <c r="AP145" s="27"/>
      <c r="AQ145" s="27"/>
      <c r="AR145" s="27"/>
      <c r="AS145" s="27"/>
      <c r="AT145" s="27"/>
      <c r="AU145" s="28"/>
      <c r="AV145" s="25"/>
      <c r="AW145" s="27"/>
      <c r="AX145" s="27"/>
      <c r="AY145" s="27"/>
      <c r="AZ145" s="27"/>
      <c r="BA145" s="27"/>
      <c r="BB145" s="28"/>
      <c r="BC145" s="25"/>
      <c r="BD145" s="27"/>
      <c r="BE145" s="27"/>
      <c r="BF145" s="27"/>
      <c r="BG145" s="27"/>
      <c r="BH145" s="27"/>
      <c r="BI145" s="28"/>
      <c r="BJ145" s="25"/>
      <c r="BK145" s="27"/>
      <c r="BL145" s="27"/>
      <c r="BM145" s="27"/>
      <c r="BN145" s="27"/>
      <c r="BO145" s="27"/>
      <c r="BP145" s="28"/>
      <c r="BQ145" s="25"/>
      <c r="BR145" s="27"/>
      <c r="BS145" s="27"/>
      <c r="BT145" s="27"/>
      <c r="BU145" s="27"/>
      <c r="BV145" s="27"/>
      <c r="BW145" s="28"/>
      <c r="BX145" s="25"/>
      <c r="BY145" s="27"/>
      <c r="BZ145" s="27"/>
      <c r="CA145" s="27"/>
      <c r="CB145" s="27"/>
      <c r="CC145" s="27"/>
      <c r="CD145" s="28"/>
      <c r="CE145" s="25"/>
      <c r="CF145" s="27"/>
      <c r="CG145" s="27"/>
      <c r="CH145" s="27"/>
      <c r="CI145" s="27"/>
      <c r="CJ145" s="27"/>
      <c r="CK145" s="28"/>
      <c r="CL145" s="25"/>
      <c r="CM145" s="27"/>
      <c r="CN145" s="27"/>
      <c r="CO145" s="27"/>
      <c r="CP145" s="27"/>
      <c r="CQ145" s="27"/>
      <c r="CR145" s="28"/>
      <c r="CS145" s="25"/>
      <c r="CT145" s="27"/>
      <c r="CU145" s="27"/>
      <c r="CV145" s="27"/>
      <c r="CW145" s="27"/>
      <c r="CX145" s="27"/>
      <c r="CY145" s="28"/>
      <c r="CZ145" s="25"/>
      <c r="DA145" s="27"/>
      <c r="DB145" s="27"/>
      <c r="DC145" s="27"/>
      <c r="DD145" s="27"/>
      <c r="DE145" s="27"/>
      <c r="DF145" s="28"/>
      <c r="DG145" s="25"/>
      <c r="DH145" s="27"/>
      <c r="DI145" s="27"/>
      <c r="DJ145" s="27"/>
      <c r="DK145" s="27"/>
      <c r="DL145" s="27"/>
      <c r="DM145" s="28"/>
      <c r="DN145" s="25"/>
      <c r="DO145" s="27"/>
      <c r="DP145" s="27"/>
      <c r="DQ145" s="27"/>
      <c r="DR145" s="27"/>
      <c r="DS145" s="27"/>
      <c r="DT145" s="28"/>
      <c r="DU145" s="25"/>
      <c r="DV145" s="27"/>
      <c r="DW145" s="27"/>
      <c r="DX145" s="27"/>
      <c r="DY145" s="27"/>
      <c r="DZ145" s="27"/>
      <c r="EA145" s="28"/>
      <c r="EB145" s="25"/>
      <c r="EC145" s="27"/>
      <c r="ED145" s="27"/>
      <c r="EE145" s="27"/>
      <c r="EF145" s="27"/>
      <c r="EG145" s="27"/>
      <c r="EH145" s="28"/>
      <c r="EI145" s="25"/>
      <c r="EJ145" s="27"/>
      <c r="EK145" s="27"/>
      <c r="EL145" s="27"/>
      <c r="EM145" s="27"/>
      <c r="EN145" s="27"/>
      <c r="EO145" s="28"/>
      <c r="EP145" s="25"/>
      <c r="EQ145" s="27"/>
      <c r="ER145" s="27"/>
      <c r="ES145" s="27"/>
      <c r="ET145" s="27"/>
      <c r="EU145" s="27"/>
      <c r="EV145" s="28"/>
      <c r="EW145" s="25"/>
      <c r="EX145" s="27"/>
      <c r="EY145" s="27"/>
      <c r="EZ145" s="27"/>
      <c r="FA145" s="27"/>
      <c r="FB145" s="27"/>
      <c r="FC145" s="28"/>
      <c r="FD145" s="25"/>
      <c r="FE145" s="27"/>
      <c r="FF145" s="27"/>
      <c r="FG145" s="27"/>
      <c r="FH145" s="27"/>
      <c r="FI145" s="27"/>
      <c r="FJ145" s="28"/>
      <c r="FK145" s="25"/>
      <c r="FL145" s="27"/>
      <c r="FM145" s="27"/>
      <c r="FN145" s="27"/>
      <c r="FO145" s="27"/>
      <c r="FP145" s="27"/>
      <c r="FQ145" s="28"/>
      <c r="FR145" s="25"/>
      <c r="FS145" s="27"/>
      <c r="FT145" s="27"/>
      <c r="FU145" s="27"/>
      <c r="FV145" s="27"/>
      <c r="FW145" s="27"/>
      <c r="FX145" s="28"/>
      <c r="FY145" s="25"/>
      <c r="FZ145" s="27"/>
      <c r="GA145" s="27"/>
      <c r="GB145" s="27"/>
      <c r="GC145" s="27"/>
      <c r="GD145" s="27"/>
      <c r="GE145" s="28"/>
      <c r="GF145" s="25"/>
      <c r="GG145" s="27"/>
      <c r="GH145" s="27"/>
      <c r="GI145" s="27"/>
      <c r="GJ145" s="27"/>
      <c r="GK145" s="27"/>
      <c r="GL145" s="28"/>
      <c r="GM145" s="25"/>
      <c r="GN145" s="27"/>
      <c r="GO145" s="27"/>
      <c r="GP145" s="27"/>
      <c r="GQ145" s="27"/>
      <c r="GR145" s="27"/>
      <c r="GS145" s="28"/>
      <c r="GT145" s="25"/>
      <c r="GU145" s="27"/>
      <c r="GV145" s="27"/>
      <c r="GW145" s="27"/>
      <c r="GX145" s="27"/>
      <c r="GY145" s="27"/>
      <c r="GZ145" s="28"/>
      <c r="HA145" s="25"/>
      <c r="HB145" s="27"/>
      <c r="HC145" s="27"/>
      <c r="HD145" s="27"/>
      <c r="HE145" s="27"/>
      <c r="HF145" s="27"/>
      <c r="HG145" s="28"/>
      <c r="HH145" s="25"/>
      <c r="HI145" s="27"/>
      <c r="HJ145" s="27"/>
      <c r="HK145" s="27"/>
      <c r="HL145" s="27"/>
      <c r="HM145" s="27"/>
      <c r="HN145" s="28"/>
      <c r="HO145" s="25"/>
      <c r="HP145" s="27"/>
      <c r="HQ145" s="27"/>
      <c r="HR145" s="27"/>
      <c r="HS145" s="27"/>
      <c r="HT145" s="27"/>
      <c r="HU145" s="28"/>
      <c r="HV145" s="25"/>
      <c r="HW145" s="27"/>
      <c r="HX145" s="27"/>
      <c r="HY145" s="27"/>
      <c r="HZ145" s="27"/>
      <c r="IA145" s="27"/>
      <c r="IB145" s="28"/>
      <c r="IC145" s="25"/>
      <c r="ID145" s="27"/>
      <c r="IE145" s="27"/>
      <c r="IF145" s="27"/>
      <c r="IG145" s="27"/>
      <c r="IH145" s="27"/>
      <c r="II145" s="28"/>
      <c r="IJ145" s="25"/>
      <c r="IK145" s="27"/>
      <c r="IL145" s="27"/>
      <c r="IM145" s="27"/>
      <c r="IN145" s="27"/>
      <c r="IO145" s="27"/>
      <c r="IP145" s="28"/>
      <c r="IQ145" s="25"/>
      <c r="IR145" s="27"/>
      <c r="IS145" s="27"/>
      <c r="IT145" s="27"/>
      <c r="IU145" s="27"/>
      <c r="IV145" s="27"/>
      <c r="IW145" s="28"/>
      <c r="IX145" s="25"/>
      <c r="IY145" s="27"/>
      <c r="IZ145" s="27"/>
      <c r="JA145" s="27"/>
      <c r="JB145" s="27"/>
      <c r="JC145" s="27"/>
      <c r="JD145" s="28"/>
      <c r="JE145" s="25"/>
      <c r="JF145" s="27"/>
      <c r="JG145" s="27"/>
      <c r="JH145" s="27"/>
      <c r="JI145" s="27"/>
      <c r="JJ145" s="27"/>
      <c r="JK145" s="28"/>
      <c r="JL145" s="25"/>
      <c r="JM145" s="27"/>
      <c r="JN145" s="27"/>
      <c r="JO145" s="27"/>
      <c r="JP145" s="27"/>
      <c r="JQ145" s="27"/>
      <c r="JR145" s="28"/>
      <c r="JS145" s="25"/>
      <c r="JT145" s="27"/>
      <c r="JU145" s="27"/>
      <c r="JV145" s="27"/>
      <c r="JW145" s="27"/>
      <c r="JX145" s="27"/>
      <c r="JY145" s="28"/>
      <c r="JZ145" s="25"/>
      <c r="KA145" s="27"/>
      <c r="KB145" s="27"/>
      <c r="KC145" s="27"/>
      <c r="KD145" s="27"/>
      <c r="KE145" s="27"/>
      <c r="KF145" s="28"/>
      <c r="KG145" s="25"/>
      <c r="KH145" s="27"/>
      <c r="KI145" s="27"/>
      <c r="KJ145" s="27"/>
      <c r="KK145" s="27"/>
      <c r="KL145" s="27"/>
      <c r="KM145" s="28"/>
      <c r="KN145" s="25"/>
      <c r="KO145" s="27"/>
      <c r="KP145" s="27"/>
      <c r="KQ145" s="27"/>
      <c r="KR145" s="27"/>
      <c r="KS145" s="27"/>
      <c r="KT145" s="28"/>
      <c r="KU145" s="25"/>
      <c r="KV145" s="27"/>
      <c r="KW145" s="27"/>
      <c r="KX145" s="27"/>
      <c r="KY145" s="27"/>
      <c r="KZ145" s="27"/>
      <c r="LA145" s="28"/>
      <c r="LB145" s="25"/>
      <c r="LC145" s="27"/>
      <c r="LD145" s="27"/>
      <c r="LE145" s="27"/>
      <c r="LF145" s="27"/>
      <c r="LG145" s="27"/>
      <c r="LH145" s="28"/>
      <c r="LI145" s="25"/>
      <c r="LJ145" s="27"/>
      <c r="LK145" s="27"/>
      <c r="LL145" s="27"/>
      <c r="LM145" s="27"/>
      <c r="LN145" s="27"/>
      <c r="LO145" s="28"/>
      <c r="LP145" s="25"/>
      <c r="LQ145" s="27"/>
      <c r="LR145" s="27"/>
      <c r="LS145" s="27"/>
      <c r="LT145" s="27"/>
      <c r="LU145" s="27"/>
      <c r="LV145" s="28"/>
      <c r="LW145" s="25"/>
      <c r="LX145" s="27"/>
      <c r="LY145" s="27"/>
      <c r="LZ145" s="27"/>
      <c r="MA145" s="27"/>
      <c r="MB145" s="27"/>
      <c r="MC145" s="28"/>
      <c r="MD145" s="25"/>
      <c r="ME145" s="27"/>
      <c r="MF145" s="27"/>
      <c r="MG145" s="27"/>
      <c r="MH145" s="27"/>
      <c r="MI145" s="27"/>
      <c r="MJ145" s="28"/>
      <c r="MK145" s="25"/>
      <c r="ML145" s="27"/>
      <c r="MM145" s="27"/>
      <c r="MN145" s="27"/>
      <c r="MO145" s="27"/>
      <c r="MP145" s="27"/>
      <c r="MQ145" s="28"/>
      <c r="MR145" s="25"/>
      <c r="MS145" s="27"/>
      <c r="MT145" s="27"/>
      <c r="MU145" s="27"/>
      <c r="MV145" s="27"/>
      <c r="MW145" s="27"/>
      <c r="MX145" s="28"/>
      <c r="MY145" s="25"/>
      <c r="MZ145" s="27"/>
      <c r="NA145" s="27"/>
      <c r="NB145" s="27"/>
      <c r="NC145" s="27"/>
      <c r="ND145" s="27"/>
      <c r="NE145" s="28"/>
      <c r="NF145" s="25"/>
      <c r="NG145" s="27"/>
      <c r="NH145" s="27"/>
      <c r="NI145" s="27"/>
      <c r="NJ145" s="27"/>
      <c r="NK145" s="27"/>
      <c r="NL145" s="28"/>
      <c r="NM145" s="25"/>
      <c r="NN145" s="27"/>
      <c r="NO145" s="27"/>
      <c r="NP145" s="27"/>
      <c r="NQ145" s="27"/>
      <c r="NR145" s="27"/>
      <c r="NS145" s="28"/>
      <c r="NT145" s="25"/>
      <c r="NU145" s="27"/>
      <c r="NV145" s="27"/>
      <c r="NW145" s="27"/>
      <c r="NX145" s="27"/>
      <c r="NY145" s="27"/>
      <c r="NZ145" s="28"/>
      <c r="OA145" s="25"/>
      <c r="OB145" s="27"/>
      <c r="OC145" s="27"/>
      <c r="OD145" s="27"/>
      <c r="OE145" s="27"/>
      <c r="OF145" s="27"/>
      <c r="OG145" s="28"/>
      <c r="OH145" s="25"/>
      <c r="OI145" s="27"/>
      <c r="OJ145" s="27"/>
      <c r="OK145" s="27"/>
      <c r="OL145" s="27"/>
      <c r="OM145" s="27"/>
      <c r="ON145" s="28"/>
      <c r="OO145" s="25"/>
      <c r="OP145" s="27"/>
      <c r="OQ145" s="27"/>
      <c r="OR145" s="27"/>
      <c r="OS145" s="27"/>
      <c r="OT145" s="27"/>
      <c r="OU145" s="28"/>
      <c r="OV145" s="25"/>
      <c r="OW145" s="27"/>
      <c r="OX145" s="27"/>
      <c r="OY145" s="27"/>
      <c r="OZ145" s="27"/>
      <c r="PA145" s="27"/>
      <c r="PB145" s="28"/>
      <c r="PC145" s="25"/>
      <c r="PD145" s="27"/>
      <c r="PE145" s="27"/>
      <c r="PF145" s="27"/>
      <c r="PG145" s="27"/>
      <c r="PH145" s="27"/>
      <c r="PI145" s="28"/>
      <c r="PJ145" s="25"/>
      <c r="PK145" s="27"/>
      <c r="PL145" s="27"/>
      <c r="PM145" s="27"/>
      <c r="PN145" s="27"/>
      <c r="PO145" s="27"/>
      <c r="PP145" s="28"/>
      <c r="PQ145" s="25"/>
      <c r="PR145" s="27"/>
      <c r="PS145" s="27"/>
      <c r="PT145" s="27"/>
      <c r="PU145" s="27"/>
      <c r="PV145" s="27"/>
      <c r="PW145" s="28"/>
      <c r="PX145" s="25"/>
      <c r="PY145" s="27"/>
      <c r="PZ145" s="27"/>
      <c r="QA145" s="27"/>
      <c r="QB145" s="27"/>
      <c r="QC145" s="27"/>
      <c r="QD145" s="28"/>
      <c r="QE145" s="25"/>
      <c r="QF145" s="27"/>
      <c r="QG145" s="27"/>
      <c r="QH145" s="27"/>
      <c r="QI145" s="27"/>
      <c r="QJ145" s="27"/>
      <c r="QK145" s="28"/>
      <c r="QL145" s="25"/>
      <c r="QM145" s="27"/>
      <c r="QN145" s="27"/>
      <c r="QO145" s="27"/>
      <c r="QP145" s="27"/>
      <c r="QQ145" s="27"/>
      <c r="QR145" s="28"/>
      <c r="QS145" s="25"/>
      <c r="QT145" s="27"/>
      <c r="QU145" s="27"/>
      <c r="QV145" s="27"/>
      <c r="QW145" s="27"/>
      <c r="QX145" s="27"/>
      <c r="QY145" s="28"/>
      <c r="QZ145" s="25"/>
      <c r="RA145" s="27"/>
      <c r="RB145" s="27"/>
      <c r="RC145" s="27"/>
      <c r="RD145" s="27"/>
      <c r="RE145" s="27"/>
      <c r="RF145" s="28"/>
      <c r="RG145" s="25"/>
      <c r="RH145" s="27"/>
      <c r="RI145" s="27"/>
      <c r="RJ145" s="27"/>
      <c r="RK145" s="27"/>
      <c r="RL145" s="27"/>
      <c r="RM145" s="28"/>
      <c r="RN145" s="25"/>
      <c r="RO145" s="27"/>
      <c r="RP145" s="27"/>
      <c r="RQ145" s="27"/>
      <c r="RR145" s="27"/>
      <c r="RS145" s="27"/>
      <c r="RT145" s="28"/>
      <c r="RU145" s="25"/>
      <c r="RV145" s="27"/>
      <c r="RW145" s="27"/>
      <c r="RX145" s="27"/>
      <c r="RY145" s="27"/>
      <c r="RZ145" s="27"/>
      <c r="SA145" s="28"/>
      <c r="SB145" s="25"/>
      <c r="SC145" s="27"/>
      <c r="SD145" s="27"/>
      <c r="SE145" s="27"/>
      <c r="SF145" s="27"/>
      <c r="SG145" s="27"/>
      <c r="SH145" s="28"/>
      <c r="SI145" s="25"/>
      <c r="SJ145" s="27"/>
      <c r="SK145" s="27"/>
      <c r="SL145" s="27"/>
      <c r="SM145" s="27"/>
      <c r="SN145" s="27"/>
      <c r="SO145" s="28"/>
      <c r="SP145" s="25"/>
      <c r="SQ145" s="27"/>
      <c r="SR145" s="27"/>
    </row>
    <row r="146" spans="1:512" x14ac:dyDescent="0.15">
      <c r="A146" s="101">
        <f t="shared" ca="1" si="1562"/>
        <v>9</v>
      </c>
      <c r="B146" s="111">
        <v>9</v>
      </c>
      <c r="C146" s="71" t="str">
        <f t="shared" ca="1" si="1555"/>
        <v>Alfons</v>
      </c>
      <c r="D146" s="112">
        <f t="shared" ca="1" si="1563"/>
        <v>248.10000000000002</v>
      </c>
      <c r="E146" s="25"/>
      <c r="G146" s="88" t="s">
        <v>578</v>
      </c>
      <c r="H146" s="119">
        <v>0</v>
      </c>
      <c r="I146" s="25"/>
      <c r="J146" s="25"/>
      <c r="K146" s="26"/>
      <c r="L146" s="62"/>
      <c r="M146" s="32" t="s">
        <v>196</v>
      </c>
      <c r="N146" s="62" t="s">
        <v>77</v>
      </c>
      <c r="O146" s="32"/>
      <c r="P146" s="32">
        <f t="shared" ca="1" si="1556"/>
        <v>45</v>
      </c>
      <c r="Q146" s="32" t="str">
        <f t="shared" ca="1" si="1557"/>
        <v>Folker</v>
      </c>
      <c r="R146" s="113">
        <f t="shared" ca="1" si="1558"/>
        <v>216.30000000000004</v>
      </c>
      <c r="S146" s="73">
        <v>9</v>
      </c>
      <c r="T146" s="32">
        <f t="shared" ca="1" si="1561"/>
        <v>216.30009000000004</v>
      </c>
      <c r="U146" s="32"/>
      <c r="V146" s="61"/>
      <c r="W146" s="62"/>
      <c r="X146" s="32">
        <f t="shared" si="1559"/>
        <v>7</v>
      </c>
      <c r="Y146" s="63" t="s">
        <v>571</v>
      </c>
      <c r="Z146" s="118">
        <f>(MF3+MM3+MT3)/3</f>
        <v>218.1</v>
      </c>
      <c r="AA146" s="32">
        <v>9</v>
      </c>
      <c r="AB146" s="32">
        <f t="shared" si="1560"/>
        <v>218.10008999999999</v>
      </c>
      <c r="AC146" s="61"/>
      <c r="AD146" s="27"/>
      <c r="AE146" s="27"/>
      <c r="AF146" s="27"/>
      <c r="AG146" s="28"/>
      <c r="AH146" s="25"/>
      <c r="AI146" s="27"/>
      <c r="AJ146" s="27"/>
      <c r="AK146" s="27"/>
      <c r="AL146" s="27"/>
      <c r="AM146" s="27"/>
      <c r="AN146" s="28"/>
      <c r="AO146" s="25"/>
      <c r="AP146" s="27"/>
      <c r="AQ146" s="27"/>
      <c r="AR146" s="27"/>
      <c r="AS146" s="27"/>
      <c r="AT146" s="27"/>
      <c r="AU146" s="28"/>
      <c r="AV146" s="25"/>
      <c r="AW146" s="27"/>
      <c r="AX146" s="27"/>
      <c r="AY146" s="27"/>
      <c r="AZ146" s="27"/>
      <c r="BA146" s="27"/>
      <c r="BB146" s="28"/>
      <c r="BC146" s="25"/>
      <c r="BD146" s="27"/>
      <c r="BE146" s="27"/>
      <c r="BF146" s="27"/>
      <c r="BG146" s="27"/>
      <c r="BH146" s="27"/>
      <c r="BI146" s="28"/>
      <c r="BJ146" s="25"/>
      <c r="BK146" s="27"/>
      <c r="BL146" s="27"/>
      <c r="BM146" s="27"/>
      <c r="BN146" s="27"/>
      <c r="BO146" s="27"/>
      <c r="BP146" s="28"/>
      <c r="BQ146" s="25"/>
      <c r="BR146" s="27"/>
      <c r="BS146" s="27"/>
      <c r="BT146" s="27"/>
      <c r="BU146" s="27"/>
      <c r="BV146" s="27"/>
      <c r="BW146" s="28"/>
      <c r="BX146" s="25"/>
      <c r="BY146" s="27"/>
      <c r="BZ146" s="27"/>
      <c r="CA146" s="27"/>
      <c r="CB146" s="27"/>
      <c r="CC146" s="27"/>
      <c r="CD146" s="28"/>
      <c r="CE146" s="25"/>
      <c r="CF146" s="27"/>
      <c r="CG146" s="27"/>
      <c r="CH146" s="27"/>
      <c r="CI146" s="27"/>
      <c r="CJ146" s="27"/>
      <c r="CK146" s="28"/>
      <c r="CL146" s="25"/>
      <c r="CM146" s="27"/>
      <c r="CN146" s="27"/>
      <c r="CO146" s="27"/>
      <c r="CP146" s="27"/>
      <c r="CQ146" s="27"/>
      <c r="CR146" s="28"/>
      <c r="CS146" s="25"/>
      <c r="CT146" s="27"/>
      <c r="CU146" s="27"/>
      <c r="CV146" s="27"/>
      <c r="CW146" s="27"/>
      <c r="CX146" s="27"/>
      <c r="CY146" s="28"/>
      <c r="CZ146" s="25"/>
      <c r="DA146" s="27"/>
      <c r="DB146" s="27"/>
      <c r="DC146" s="27"/>
      <c r="DD146" s="27"/>
      <c r="DE146" s="27"/>
      <c r="DF146" s="28"/>
      <c r="DG146" s="25"/>
      <c r="DH146" s="27"/>
      <c r="DI146" s="27"/>
      <c r="DJ146" s="27"/>
      <c r="DK146" s="27"/>
      <c r="DL146" s="27"/>
      <c r="DM146" s="28"/>
      <c r="DN146" s="25"/>
      <c r="DO146" s="27"/>
      <c r="DP146" s="27"/>
      <c r="DQ146" s="27"/>
      <c r="DR146" s="27"/>
      <c r="DS146" s="27"/>
      <c r="DT146" s="28"/>
      <c r="DU146" s="25"/>
      <c r="DV146" s="27"/>
      <c r="DW146" s="27"/>
      <c r="DX146" s="27"/>
      <c r="DY146" s="27"/>
      <c r="DZ146" s="27"/>
      <c r="EA146" s="28"/>
      <c r="EB146" s="25"/>
      <c r="EC146" s="27"/>
      <c r="ED146" s="27"/>
      <c r="EE146" s="27"/>
      <c r="EF146" s="27"/>
      <c r="EG146" s="27"/>
      <c r="EH146" s="28"/>
      <c r="EI146" s="25"/>
      <c r="EJ146" s="27"/>
      <c r="EK146" s="27"/>
      <c r="EL146" s="27"/>
      <c r="EM146" s="27"/>
      <c r="EN146" s="27"/>
      <c r="EO146" s="28"/>
      <c r="EP146" s="25"/>
      <c r="EQ146" s="27"/>
      <c r="ER146" s="27"/>
      <c r="ES146" s="27"/>
      <c r="ET146" s="27"/>
      <c r="EU146" s="27"/>
      <c r="EV146" s="28"/>
      <c r="EW146" s="25"/>
      <c r="EX146" s="27"/>
      <c r="EY146" s="27"/>
      <c r="EZ146" s="27"/>
      <c r="FA146" s="27"/>
      <c r="FB146" s="27"/>
      <c r="FC146" s="28"/>
      <c r="FD146" s="25"/>
      <c r="FE146" s="27"/>
      <c r="FF146" s="27"/>
      <c r="FG146" s="27"/>
      <c r="FH146" s="27"/>
      <c r="FI146" s="27"/>
      <c r="FJ146" s="28"/>
      <c r="FK146" s="25"/>
      <c r="FL146" s="27"/>
      <c r="FM146" s="27"/>
      <c r="FN146" s="27"/>
      <c r="FO146" s="27"/>
      <c r="FP146" s="27"/>
      <c r="FQ146" s="28"/>
      <c r="FR146" s="25"/>
      <c r="FS146" s="27"/>
      <c r="FT146" s="27"/>
      <c r="FU146" s="27"/>
      <c r="FV146" s="27"/>
      <c r="FW146" s="27"/>
      <c r="FX146" s="28"/>
      <c r="FY146" s="25"/>
      <c r="FZ146" s="27"/>
      <c r="GA146" s="27"/>
      <c r="GB146" s="27"/>
      <c r="GC146" s="27"/>
      <c r="GD146" s="27"/>
      <c r="GE146" s="28"/>
      <c r="GF146" s="25"/>
      <c r="GG146" s="27"/>
      <c r="GH146" s="27"/>
      <c r="GI146" s="27"/>
      <c r="GJ146" s="27"/>
      <c r="GK146" s="27"/>
      <c r="GL146" s="28"/>
      <c r="GM146" s="25"/>
      <c r="GN146" s="27"/>
      <c r="GO146" s="27"/>
      <c r="GP146" s="27"/>
      <c r="GQ146" s="27"/>
      <c r="GR146" s="27"/>
      <c r="GS146" s="28"/>
      <c r="GT146" s="25"/>
      <c r="GU146" s="27"/>
      <c r="GV146" s="27"/>
      <c r="GW146" s="27"/>
      <c r="GX146" s="27"/>
      <c r="GY146" s="27"/>
      <c r="GZ146" s="28"/>
      <c r="HA146" s="25"/>
      <c r="HB146" s="27"/>
      <c r="HC146" s="27"/>
      <c r="HD146" s="27"/>
      <c r="HE146" s="27"/>
      <c r="HF146" s="27"/>
      <c r="HG146" s="28"/>
      <c r="HH146" s="25"/>
      <c r="HI146" s="27"/>
      <c r="HJ146" s="27"/>
      <c r="HK146" s="27"/>
      <c r="HL146" s="27"/>
      <c r="HM146" s="27"/>
      <c r="HN146" s="28"/>
      <c r="HO146" s="25"/>
      <c r="HP146" s="27"/>
      <c r="HQ146" s="27"/>
      <c r="HR146" s="27"/>
      <c r="HS146" s="27"/>
      <c r="HT146" s="27"/>
      <c r="HU146" s="28"/>
      <c r="HV146" s="25"/>
      <c r="HW146" s="27"/>
      <c r="HX146" s="27"/>
      <c r="HY146" s="27"/>
      <c r="HZ146" s="27"/>
      <c r="IA146" s="27"/>
      <c r="IB146" s="28"/>
      <c r="IC146" s="25"/>
      <c r="ID146" s="27"/>
      <c r="IE146" s="27"/>
      <c r="IF146" s="27"/>
      <c r="IG146" s="27"/>
      <c r="IH146" s="27"/>
      <c r="II146" s="28"/>
      <c r="IJ146" s="25"/>
      <c r="IK146" s="27"/>
      <c r="IL146" s="27"/>
      <c r="IM146" s="27"/>
      <c r="IN146" s="27"/>
      <c r="IO146" s="27"/>
      <c r="IP146" s="28"/>
      <c r="IQ146" s="25"/>
      <c r="IR146" s="27"/>
      <c r="IS146" s="27"/>
      <c r="IT146" s="27"/>
      <c r="IU146" s="27"/>
      <c r="IV146" s="27"/>
      <c r="IW146" s="28"/>
      <c r="IX146" s="25"/>
      <c r="IY146" s="27"/>
      <c r="IZ146" s="27"/>
      <c r="JA146" s="27"/>
      <c r="JB146" s="27"/>
      <c r="JC146" s="27"/>
      <c r="JD146" s="28"/>
      <c r="JE146" s="25"/>
      <c r="JF146" s="27"/>
      <c r="JG146" s="27"/>
      <c r="JH146" s="27"/>
      <c r="JI146" s="27"/>
      <c r="JJ146" s="27"/>
      <c r="JK146" s="28"/>
      <c r="JL146" s="25"/>
      <c r="JM146" s="27"/>
      <c r="JN146" s="27"/>
      <c r="JO146" s="27"/>
      <c r="JP146" s="27"/>
      <c r="JQ146" s="27"/>
      <c r="JR146" s="28"/>
      <c r="JS146" s="25"/>
      <c r="JT146" s="27"/>
      <c r="JU146" s="27"/>
      <c r="JV146" s="27"/>
      <c r="JW146" s="27"/>
      <c r="JX146" s="27"/>
      <c r="JY146" s="28"/>
      <c r="JZ146" s="25"/>
      <c r="KA146" s="27"/>
      <c r="KB146" s="27"/>
      <c r="KC146" s="27"/>
      <c r="KD146" s="27"/>
      <c r="KE146" s="27"/>
      <c r="KF146" s="28"/>
      <c r="KG146" s="25"/>
      <c r="KH146" s="27"/>
      <c r="KI146" s="27"/>
      <c r="KJ146" s="27"/>
      <c r="KK146" s="27"/>
      <c r="KL146" s="27"/>
      <c r="KM146" s="28"/>
      <c r="KN146" s="25"/>
      <c r="KO146" s="27"/>
      <c r="KP146" s="27"/>
      <c r="KQ146" s="27"/>
      <c r="KR146" s="27"/>
      <c r="KS146" s="27"/>
      <c r="KT146" s="28"/>
      <c r="KU146" s="25"/>
      <c r="KV146" s="27"/>
      <c r="KW146" s="27"/>
      <c r="KX146" s="27"/>
      <c r="KY146" s="27"/>
      <c r="KZ146" s="27"/>
      <c r="LA146" s="28"/>
      <c r="LB146" s="25"/>
      <c r="LC146" s="27"/>
      <c r="LD146" s="27"/>
      <c r="LE146" s="27"/>
      <c r="LF146" s="27"/>
      <c r="LG146" s="27"/>
      <c r="LH146" s="28"/>
      <c r="LI146" s="25"/>
      <c r="LJ146" s="27"/>
      <c r="LK146" s="27"/>
      <c r="LL146" s="27"/>
      <c r="LM146" s="27"/>
      <c r="LN146" s="27"/>
      <c r="LO146" s="28"/>
      <c r="LP146" s="25"/>
      <c r="LQ146" s="27"/>
      <c r="LR146" s="27"/>
      <c r="LS146" s="27"/>
      <c r="LT146" s="27"/>
      <c r="LU146" s="27"/>
      <c r="LV146" s="28"/>
      <c r="LW146" s="25"/>
      <c r="LX146" s="27"/>
      <c r="LY146" s="27"/>
      <c r="LZ146" s="27"/>
      <c r="MA146" s="27"/>
      <c r="MB146" s="27"/>
      <c r="MC146" s="28"/>
      <c r="MD146" s="25"/>
      <c r="ME146" s="27"/>
      <c r="MF146" s="27"/>
      <c r="MG146" s="27"/>
      <c r="MH146" s="27"/>
      <c r="MI146" s="27"/>
      <c r="MJ146" s="28"/>
      <c r="MK146" s="25"/>
      <c r="ML146" s="27"/>
      <c r="MM146" s="27"/>
      <c r="MN146" s="27"/>
      <c r="MO146" s="27"/>
      <c r="MP146" s="27"/>
      <c r="MQ146" s="28"/>
      <c r="MR146" s="25"/>
      <c r="MS146" s="27"/>
      <c r="MT146" s="27"/>
      <c r="MU146" s="27"/>
      <c r="MV146" s="27"/>
      <c r="MW146" s="27"/>
      <c r="MX146" s="28"/>
      <c r="MY146" s="25"/>
      <c r="MZ146" s="27"/>
      <c r="NA146" s="27"/>
      <c r="NB146" s="27"/>
      <c r="NC146" s="27"/>
      <c r="ND146" s="27"/>
      <c r="NE146" s="28"/>
      <c r="NF146" s="25"/>
      <c r="NG146" s="27"/>
      <c r="NH146" s="27"/>
      <c r="NI146" s="27"/>
      <c r="NJ146" s="27"/>
      <c r="NK146" s="27"/>
      <c r="NL146" s="28"/>
      <c r="NM146" s="25"/>
      <c r="NN146" s="27"/>
      <c r="NO146" s="27"/>
      <c r="NP146" s="27"/>
      <c r="NQ146" s="27"/>
      <c r="NR146" s="27"/>
      <c r="NS146" s="28"/>
      <c r="NT146" s="25"/>
      <c r="NU146" s="27"/>
      <c r="NV146" s="27"/>
      <c r="NW146" s="27"/>
      <c r="NX146" s="27"/>
      <c r="NY146" s="27"/>
      <c r="NZ146" s="28"/>
      <c r="OA146" s="25"/>
      <c r="OB146" s="27"/>
      <c r="OC146" s="27"/>
      <c r="OD146" s="27"/>
      <c r="OE146" s="27"/>
      <c r="OF146" s="27"/>
      <c r="OG146" s="28"/>
      <c r="OH146" s="25"/>
      <c r="OI146" s="27"/>
      <c r="OJ146" s="27"/>
      <c r="OK146" s="27"/>
      <c r="OL146" s="27"/>
      <c r="OM146" s="27"/>
      <c r="ON146" s="28"/>
      <c r="OO146" s="25"/>
      <c r="OP146" s="27"/>
      <c r="OQ146" s="27"/>
      <c r="OR146" s="27"/>
      <c r="OS146" s="27"/>
      <c r="OT146" s="27"/>
      <c r="OU146" s="28"/>
      <c r="OV146" s="25"/>
      <c r="OW146" s="27"/>
      <c r="OX146" s="27"/>
      <c r="OY146" s="27"/>
      <c r="OZ146" s="27"/>
      <c r="PA146" s="27"/>
      <c r="PB146" s="28"/>
      <c r="PC146" s="25"/>
      <c r="PD146" s="27"/>
      <c r="PE146" s="27"/>
      <c r="PF146" s="27"/>
      <c r="PG146" s="27"/>
      <c r="PH146" s="27"/>
      <c r="PI146" s="28"/>
      <c r="PJ146" s="25"/>
      <c r="PK146" s="27"/>
      <c r="PL146" s="27"/>
      <c r="PM146" s="27"/>
      <c r="PN146" s="27"/>
      <c r="PO146" s="27"/>
      <c r="PP146" s="28"/>
      <c r="PQ146" s="25"/>
      <c r="PR146" s="27"/>
      <c r="PS146" s="27"/>
      <c r="PT146" s="27"/>
      <c r="PU146" s="27"/>
      <c r="PV146" s="27"/>
      <c r="PW146" s="28"/>
      <c r="PX146" s="25"/>
      <c r="PY146" s="27"/>
      <c r="PZ146" s="27"/>
      <c r="QA146" s="27"/>
      <c r="QB146" s="27"/>
      <c r="QC146" s="27"/>
      <c r="QD146" s="28"/>
      <c r="QE146" s="25"/>
      <c r="QF146" s="27"/>
      <c r="QG146" s="27"/>
      <c r="QH146" s="27"/>
      <c r="QI146" s="27"/>
      <c r="QJ146" s="27"/>
      <c r="QK146" s="28"/>
      <c r="QL146" s="25"/>
      <c r="QM146" s="27"/>
      <c r="QN146" s="27"/>
      <c r="QO146" s="27"/>
      <c r="QP146" s="27"/>
      <c r="QQ146" s="27"/>
      <c r="QR146" s="28"/>
      <c r="QS146" s="25"/>
      <c r="QT146" s="27"/>
      <c r="QU146" s="27"/>
      <c r="QV146" s="27"/>
      <c r="QW146" s="27"/>
      <c r="QX146" s="27"/>
      <c r="QY146" s="28"/>
      <c r="QZ146" s="25"/>
      <c r="RA146" s="27"/>
      <c r="RB146" s="27"/>
      <c r="RC146" s="27"/>
      <c r="RD146" s="27"/>
      <c r="RE146" s="27"/>
      <c r="RF146" s="28"/>
      <c r="RG146" s="25"/>
      <c r="RH146" s="27"/>
      <c r="RI146" s="27"/>
      <c r="RJ146" s="27"/>
      <c r="RK146" s="27"/>
      <c r="RL146" s="27"/>
      <c r="RM146" s="28"/>
      <c r="RN146" s="25"/>
      <c r="RO146" s="27"/>
      <c r="RP146" s="27"/>
      <c r="RQ146" s="27"/>
      <c r="RR146" s="27"/>
      <c r="RS146" s="27"/>
      <c r="RT146" s="28"/>
      <c r="RU146" s="25"/>
      <c r="RV146" s="27"/>
      <c r="RW146" s="27"/>
      <c r="RX146" s="27"/>
      <c r="RY146" s="27"/>
      <c r="RZ146" s="27"/>
      <c r="SA146" s="28"/>
      <c r="SB146" s="25"/>
      <c r="SC146" s="27"/>
      <c r="SD146" s="27"/>
      <c r="SE146" s="27"/>
      <c r="SF146" s="27"/>
      <c r="SG146" s="27"/>
      <c r="SH146" s="28"/>
      <c r="SI146" s="25"/>
      <c r="SJ146" s="27"/>
      <c r="SK146" s="27"/>
      <c r="SL146" s="27"/>
      <c r="SM146" s="27"/>
      <c r="SN146" s="27"/>
      <c r="SO146" s="28"/>
      <c r="SP146" s="25"/>
      <c r="SQ146" s="27"/>
      <c r="SR146" s="27"/>
    </row>
    <row r="147" spans="1:512" x14ac:dyDescent="0.15">
      <c r="A147" s="101">
        <f t="shared" ca="1" si="1562"/>
        <v>10</v>
      </c>
      <c r="B147" s="111">
        <v>10</v>
      </c>
      <c r="C147" s="71" t="str">
        <f t="shared" ca="1" si="1555"/>
        <v>Xaver</v>
      </c>
      <c r="D147" s="112">
        <f t="shared" ca="1" si="1563"/>
        <v>247.79999999999998</v>
      </c>
      <c r="E147" s="25"/>
      <c r="F147" s="69"/>
      <c r="G147" s="88" t="s">
        <v>598</v>
      </c>
      <c r="H147" s="119">
        <v>1</v>
      </c>
      <c r="I147" s="25"/>
      <c r="J147" s="25"/>
      <c r="K147" s="26"/>
      <c r="L147" s="62"/>
      <c r="M147" s="32" t="s">
        <v>197</v>
      </c>
      <c r="N147" s="62" t="s">
        <v>78</v>
      </c>
      <c r="O147" s="32"/>
      <c r="P147" s="32">
        <f t="shared" ca="1" si="1556"/>
        <v>32</v>
      </c>
      <c r="Q147" s="32" t="str">
        <f t="shared" ca="1" si="1557"/>
        <v>Franzi</v>
      </c>
      <c r="R147" s="113">
        <f t="shared" ca="1" si="1558"/>
        <v>222.20000000000002</v>
      </c>
      <c r="S147" s="73">
        <v>10</v>
      </c>
      <c r="T147" s="32">
        <f t="shared" ca="1" si="1561"/>
        <v>222.20010000000002</v>
      </c>
      <c r="U147" s="32"/>
      <c r="V147" s="61"/>
      <c r="W147" s="62"/>
      <c r="X147" s="32">
        <f t="shared" si="1559"/>
        <v>14</v>
      </c>
      <c r="Y147" s="63" t="s">
        <v>592</v>
      </c>
      <c r="Z147" s="118">
        <f>(NO3+NV3+OC3+RI3)/4</f>
        <v>163.5</v>
      </c>
      <c r="AA147" s="32">
        <v>10</v>
      </c>
      <c r="AB147" s="32">
        <f t="shared" si="1560"/>
        <v>163.5001</v>
      </c>
      <c r="AC147" s="61"/>
      <c r="AD147" s="27"/>
      <c r="AE147" s="27"/>
      <c r="AF147" s="27"/>
      <c r="AG147" s="28"/>
      <c r="AH147" s="25"/>
      <c r="AI147" s="27"/>
      <c r="AJ147" s="27"/>
      <c r="AK147" s="27"/>
      <c r="AL147" s="27"/>
      <c r="AM147" s="27"/>
      <c r="AN147" s="28"/>
      <c r="AO147" s="25"/>
      <c r="AP147" s="27"/>
      <c r="AQ147" s="27"/>
      <c r="AR147" s="27"/>
      <c r="AS147" s="27"/>
      <c r="AT147" s="27"/>
      <c r="AU147" s="28"/>
      <c r="AV147" s="25"/>
      <c r="AW147" s="27"/>
      <c r="AX147" s="27"/>
      <c r="AY147" s="27"/>
      <c r="AZ147" s="27"/>
      <c r="BA147" s="27"/>
      <c r="BB147" s="28"/>
      <c r="BC147" s="25"/>
      <c r="BD147" s="27"/>
      <c r="BE147" s="27"/>
      <c r="BF147" s="27"/>
      <c r="BG147" s="27"/>
      <c r="BH147" s="27"/>
      <c r="BI147" s="28"/>
      <c r="BJ147" s="25"/>
      <c r="BK147" s="27"/>
      <c r="BL147" s="27"/>
      <c r="BM147" s="27"/>
      <c r="BN147" s="27"/>
      <c r="BO147" s="27"/>
      <c r="BP147" s="28"/>
      <c r="BQ147" s="25"/>
      <c r="BR147" s="27"/>
      <c r="BS147" s="27"/>
      <c r="BT147" s="27"/>
      <c r="BU147" s="27"/>
      <c r="BV147" s="27"/>
      <c r="BW147" s="28"/>
      <c r="BX147" s="25"/>
      <c r="BY147" s="27"/>
      <c r="BZ147" s="27"/>
      <c r="CA147" s="27"/>
      <c r="CB147" s="27"/>
      <c r="CC147" s="27"/>
      <c r="CD147" s="28"/>
      <c r="CE147" s="25"/>
      <c r="CF147" s="27"/>
      <c r="CG147" s="27"/>
      <c r="CH147" s="27"/>
      <c r="CI147" s="27"/>
      <c r="CJ147" s="27"/>
      <c r="CK147" s="28"/>
      <c r="CL147" s="25"/>
      <c r="CM147" s="27"/>
      <c r="CN147" s="27"/>
      <c r="CO147" s="27"/>
      <c r="CP147" s="27"/>
      <c r="CQ147" s="27"/>
      <c r="CR147" s="28"/>
      <c r="CS147" s="25"/>
      <c r="CT147" s="27"/>
      <c r="CU147" s="27"/>
      <c r="CV147" s="27"/>
      <c r="CW147" s="27"/>
      <c r="CX147" s="27"/>
      <c r="CY147" s="28"/>
      <c r="CZ147" s="25"/>
      <c r="DA147" s="27"/>
      <c r="DB147" s="27"/>
      <c r="DC147" s="27"/>
      <c r="DD147" s="27"/>
      <c r="DE147" s="27"/>
      <c r="DF147" s="28"/>
      <c r="DG147" s="25"/>
      <c r="DH147" s="27"/>
      <c r="DI147" s="27"/>
      <c r="DJ147" s="27"/>
      <c r="DK147" s="27"/>
      <c r="DL147" s="27"/>
      <c r="DM147" s="28"/>
      <c r="DN147" s="25"/>
      <c r="DO147" s="27"/>
      <c r="DP147" s="27"/>
      <c r="DQ147" s="27"/>
      <c r="DR147" s="27"/>
      <c r="DS147" s="27"/>
      <c r="DT147" s="28"/>
      <c r="DU147" s="25"/>
      <c r="DV147" s="27"/>
      <c r="DW147" s="27"/>
      <c r="DX147" s="27"/>
      <c r="DY147" s="27"/>
      <c r="DZ147" s="27"/>
      <c r="EA147" s="28"/>
      <c r="EB147" s="25"/>
      <c r="EC147" s="27"/>
      <c r="ED147" s="27"/>
      <c r="EE147" s="27"/>
      <c r="EF147" s="27"/>
      <c r="EG147" s="27"/>
      <c r="EH147" s="28"/>
      <c r="EI147" s="25"/>
      <c r="EJ147" s="27"/>
      <c r="EK147" s="27"/>
      <c r="EL147" s="27"/>
      <c r="EM147" s="27"/>
      <c r="EN147" s="27"/>
      <c r="EO147" s="28"/>
      <c r="EP147" s="25"/>
      <c r="EQ147" s="27"/>
      <c r="ER147" s="27"/>
      <c r="ES147" s="27"/>
      <c r="ET147" s="27"/>
      <c r="EU147" s="27"/>
      <c r="EV147" s="28"/>
      <c r="EW147" s="25"/>
      <c r="EX147" s="27"/>
      <c r="EY147" s="27"/>
      <c r="EZ147" s="27"/>
      <c r="FA147" s="27"/>
      <c r="FB147" s="27"/>
      <c r="FC147" s="28"/>
      <c r="FD147" s="25"/>
      <c r="FE147" s="27"/>
      <c r="FF147" s="27"/>
      <c r="FG147" s="27"/>
      <c r="FH147" s="27"/>
      <c r="FI147" s="27"/>
      <c r="FJ147" s="28"/>
      <c r="FK147" s="25"/>
      <c r="FL147" s="27"/>
      <c r="FM147" s="27"/>
      <c r="FN147" s="27"/>
      <c r="FO147" s="27"/>
      <c r="FP147" s="27"/>
      <c r="FQ147" s="28"/>
      <c r="FR147" s="25"/>
      <c r="FS147" s="27"/>
      <c r="FT147" s="27"/>
      <c r="FU147" s="27"/>
      <c r="FV147" s="27"/>
      <c r="FW147" s="27"/>
      <c r="FX147" s="28"/>
      <c r="FY147" s="25"/>
      <c r="FZ147" s="27"/>
      <c r="GA147" s="27"/>
      <c r="GB147" s="27"/>
      <c r="GC147" s="27"/>
      <c r="GD147" s="27"/>
      <c r="GE147" s="28"/>
      <c r="GF147" s="25"/>
      <c r="GG147" s="27"/>
      <c r="GH147" s="27"/>
      <c r="GI147" s="27"/>
      <c r="GJ147" s="27"/>
      <c r="GK147" s="27"/>
      <c r="GL147" s="28"/>
      <c r="GM147" s="25"/>
      <c r="GN147" s="27"/>
      <c r="GO147" s="27"/>
      <c r="GP147" s="27"/>
      <c r="GQ147" s="27"/>
      <c r="GR147" s="27"/>
      <c r="GS147" s="28"/>
      <c r="GT147" s="25"/>
      <c r="GU147" s="27"/>
      <c r="GV147" s="27"/>
      <c r="GW147" s="27"/>
      <c r="GX147" s="27"/>
      <c r="GY147" s="27"/>
      <c r="GZ147" s="28"/>
      <c r="HA147" s="25"/>
      <c r="HB147" s="27"/>
      <c r="HC147" s="27"/>
      <c r="HD147" s="27"/>
      <c r="HE147" s="27"/>
      <c r="HF147" s="27"/>
      <c r="HG147" s="28"/>
      <c r="HH147" s="25"/>
      <c r="HI147" s="27"/>
      <c r="HJ147" s="27"/>
      <c r="HK147" s="27"/>
      <c r="HL147" s="27"/>
      <c r="HM147" s="27"/>
      <c r="HN147" s="28"/>
      <c r="HO147" s="25"/>
      <c r="HP147" s="27"/>
      <c r="HQ147" s="27"/>
      <c r="HR147" s="27"/>
      <c r="HS147" s="27"/>
      <c r="HT147" s="27"/>
      <c r="HU147" s="28"/>
      <c r="HV147" s="25"/>
      <c r="HW147" s="27"/>
      <c r="HX147" s="27"/>
      <c r="HY147" s="27"/>
      <c r="HZ147" s="27"/>
      <c r="IA147" s="27"/>
      <c r="IB147" s="28"/>
      <c r="IC147" s="25"/>
      <c r="ID147" s="27"/>
      <c r="IE147" s="27"/>
      <c r="IF147" s="27"/>
      <c r="IG147" s="27"/>
      <c r="IH147" s="27"/>
      <c r="II147" s="28"/>
      <c r="IJ147" s="25"/>
      <c r="IK147" s="27"/>
      <c r="IL147" s="27"/>
      <c r="IM147" s="27"/>
      <c r="IN147" s="27"/>
      <c r="IO147" s="27"/>
      <c r="IP147" s="28"/>
      <c r="IQ147" s="25"/>
      <c r="IR147" s="27"/>
      <c r="IS147" s="27"/>
      <c r="IT147" s="27"/>
      <c r="IU147" s="27"/>
      <c r="IV147" s="27"/>
      <c r="IW147" s="28"/>
      <c r="IX147" s="25"/>
      <c r="IY147" s="27"/>
      <c r="IZ147" s="27"/>
      <c r="JA147" s="27"/>
      <c r="JB147" s="27"/>
      <c r="JC147" s="27"/>
      <c r="JD147" s="28"/>
      <c r="JE147" s="25"/>
      <c r="JF147" s="27"/>
      <c r="JG147" s="27"/>
      <c r="JH147" s="27"/>
      <c r="JI147" s="27"/>
      <c r="JJ147" s="27"/>
      <c r="JK147" s="28"/>
      <c r="JL147" s="25"/>
      <c r="JM147" s="27"/>
      <c r="JN147" s="27"/>
      <c r="JO147" s="27"/>
      <c r="JP147" s="27"/>
      <c r="JQ147" s="27"/>
      <c r="JR147" s="28"/>
      <c r="JS147" s="25"/>
      <c r="JT147" s="27"/>
      <c r="JU147" s="27"/>
      <c r="JV147" s="27"/>
      <c r="JW147" s="27"/>
      <c r="JX147" s="27"/>
      <c r="JY147" s="28"/>
      <c r="JZ147" s="25"/>
      <c r="KA147" s="27"/>
      <c r="KB147" s="27"/>
      <c r="KC147" s="27"/>
      <c r="KD147" s="27"/>
      <c r="KE147" s="27"/>
      <c r="KF147" s="28"/>
      <c r="KG147" s="25"/>
      <c r="KH147" s="27"/>
      <c r="KI147" s="27"/>
      <c r="KJ147" s="27"/>
      <c r="KK147" s="27"/>
      <c r="KL147" s="27"/>
      <c r="KM147" s="28"/>
      <c r="KN147" s="25"/>
      <c r="KO147" s="27"/>
      <c r="KP147" s="27"/>
      <c r="KQ147" s="27"/>
      <c r="KR147" s="27"/>
      <c r="KS147" s="27"/>
      <c r="KT147" s="28"/>
      <c r="KU147" s="25"/>
      <c r="KV147" s="27"/>
      <c r="KW147" s="27"/>
      <c r="KX147" s="27"/>
      <c r="KY147" s="27"/>
      <c r="KZ147" s="27"/>
      <c r="LA147" s="28"/>
      <c r="LB147" s="25"/>
      <c r="LC147" s="27"/>
      <c r="LD147" s="27"/>
      <c r="LE147" s="27"/>
      <c r="LF147" s="27"/>
      <c r="LG147" s="27"/>
      <c r="LH147" s="28"/>
      <c r="LI147" s="25"/>
      <c r="LJ147" s="27"/>
      <c r="LK147" s="27"/>
      <c r="LL147" s="27"/>
      <c r="LM147" s="27"/>
      <c r="LN147" s="27"/>
      <c r="LO147" s="28"/>
      <c r="LP147" s="25"/>
      <c r="LQ147" s="27"/>
      <c r="LR147" s="27"/>
      <c r="LS147" s="27"/>
      <c r="LT147" s="27"/>
      <c r="LU147" s="27"/>
      <c r="LV147" s="28"/>
      <c r="LW147" s="25"/>
      <c r="LX147" s="27"/>
      <c r="LY147" s="27"/>
      <c r="LZ147" s="27"/>
      <c r="MA147" s="27"/>
      <c r="MB147" s="27"/>
      <c r="MC147" s="28"/>
      <c r="MD147" s="25"/>
      <c r="ME147" s="27"/>
      <c r="MF147" s="27"/>
      <c r="MG147" s="27"/>
      <c r="MH147" s="27"/>
      <c r="MI147" s="27"/>
      <c r="MJ147" s="28"/>
      <c r="MK147" s="25"/>
      <c r="ML147" s="27"/>
      <c r="MM147" s="27"/>
      <c r="MN147" s="27"/>
      <c r="MO147" s="27"/>
      <c r="MP147" s="27"/>
      <c r="MQ147" s="28"/>
      <c r="MR147" s="25"/>
      <c r="MS147" s="27"/>
      <c r="MT147" s="27"/>
      <c r="MU147" s="27"/>
      <c r="MV147" s="27"/>
      <c r="MW147" s="27"/>
      <c r="MX147" s="28"/>
      <c r="MY147" s="25"/>
      <c r="MZ147" s="27"/>
      <c r="NA147" s="27"/>
      <c r="NB147" s="27"/>
      <c r="NC147" s="27"/>
      <c r="ND147" s="27"/>
      <c r="NE147" s="28"/>
      <c r="NF147" s="25"/>
      <c r="NG147" s="27"/>
      <c r="NH147" s="27"/>
      <c r="NI147" s="27"/>
      <c r="NJ147" s="27"/>
      <c r="NK147" s="27"/>
      <c r="NL147" s="28"/>
      <c r="NM147" s="25"/>
      <c r="NN147" s="27"/>
      <c r="NO147" s="27"/>
      <c r="NP147" s="27"/>
      <c r="NQ147" s="27"/>
      <c r="NR147" s="27"/>
      <c r="NS147" s="28"/>
      <c r="NT147" s="25"/>
      <c r="NU147" s="27"/>
      <c r="NV147" s="27"/>
      <c r="NW147" s="27"/>
      <c r="NX147" s="27"/>
      <c r="NY147" s="27"/>
      <c r="NZ147" s="28"/>
      <c r="OA147" s="25"/>
      <c r="OB147" s="27"/>
      <c r="OC147" s="27"/>
      <c r="OD147" s="27"/>
      <c r="OE147" s="27"/>
      <c r="OF147" s="27"/>
      <c r="OG147" s="28"/>
      <c r="OH147" s="25"/>
      <c r="OI147" s="27"/>
      <c r="OJ147" s="27"/>
      <c r="OK147" s="27"/>
      <c r="OL147" s="27"/>
      <c r="OM147" s="27"/>
      <c r="ON147" s="28"/>
      <c r="OO147" s="25"/>
      <c r="OP147" s="27"/>
      <c r="OQ147" s="27"/>
      <c r="OR147" s="27"/>
      <c r="OS147" s="27"/>
      <c r="OT147" s="27"/>
      <c r="OU147" s="28"/>
      <c r="OV147" s="25"/>
      <c r="OW147" s="27"/>
      <c r="OX147" s="27"/>
      <c r="OY147" s="27"/>
      <c r="OZ147" s="27"/>
      <c r="PA147" s="27"/>
      <c r="PB147" s="28"/>
      <c r="PC147" s="25"/>
      <c r="PD147" s="27"/>
      <c r="PE147" s="27"/>
      <c r="PF147" s="27"/>
      <c r="PG147" s="27"/>
      <c r="PH147" s="27"/>
      <c r="PI147" s="28"/>
      <c r="PJ147" s="25"/>
      <c r="PK147" s="27"/>
      <c r="PL147" s="27"/>
      <c r="PM147" s="27"/>
      <c r="PN147" s="27"/>
      <c r="PO147" s="27"/>
      <c r="PP147" s="28"/>
      <c r="PQ147" s="25"/>
      <c r="PR147" s="27"/>
      <c r="PS147" s="27"/>
      <c r="PT147" s="27"/>
      <c r="PU147" s="27"/>
      <c r="PV147" s="27"/>
      <c r="PW147" s="28"/>
      <c r="PX147" s="25"/>
      <c r="PY147" s="27"/>
      <c r="PZ147" s="27"/>
      <c r="QA147" s="27"/>
      <c r="QB147" s="27"/>
      <c r="QC147" s="27"/>
      <c r="QD147" s="28"/>
      <c r="QE147" s="25"/>
      <c r="QF147" s="27"/>
      <c r="QG147" s="27"/>
      <c r="QH147" s="27"/>
      <c r="QI147" s="27"/>
      <c r="QJ147" s="27"/>
      <c r="QK147" s="28"/>
      <c r="QL147" s="25"/>
      <c r="QM147" s="27"/>
      <c r="QN147" s="27"/>
      <c r="QO147" s="27"/>
      <c r="QP147" s="27"/>
      <c r="QQ147" s="27"/>
      <c r="QR147" s="28"/>
      <c r="QS147" s="25"/>
      <c r="QT147" s="27"/>
      <c r="QU147" s="27"/>
      <c r="QV147" s="27"/>
      <c r="QW147" s="27"/>
      <c r="QX147" s="27"/>
      <c r="QY147" s="28"/>
      <c r="QZ147" s="25"/>
      <c r="RA147" s="27"/>
      <c r="RB147" s="27"/>
      <c r="RC147" s="27"/>
      <c r="RD147" s="27"/>
      <c r="RE147" s="27"/>
      <c r="RF147" s="28"/>
      <c r="RG147" s="25"/>
      <c r="RH147" s="27"/>
      <c r="RI147" s="27"/>
      <c r="RJ147" s="27"/>
      <c r="RK147" s="27"/>
      <c r="RL147" s="27"/>
      <c r="RM147" s="28"/>
      <c r="RN147" s="25"/>
      <c r="RO147" s="27"/>
      <c r="RP147" s="27"/>
      <c r="RQ147" s="27"/>
      <c r="RR147" s="27"/>
      <c r="RS147" s="27"/>
      <c r="RT147" s="28"/>
      <c r="RU147" s="25"/>
      <c r="RV147" s="27"/>
      <c r="RW147" s="27"/>
      <c r="RX147" s="27"/>
      <c r="RY147" s="27"/>
      <c r="RZ147" s="27"/>
      <c r="SA147" s="28"/>
      <c r="SB147" s="25"/>
      <c r="SC147" s="27"/>
      <c r="SD147" s="27"/>
      <c r="SE147" s="27"/>
      <c r="SF147" s="27"/>
      <c r="SG147" s="27"/>
      <c r="SH147" s="28"/>
      <c r="SI147" s="25"/>
      <c r="SJ147" s="27"/>
      <c r="SK147" s="27"/>
      <c r="SL147" s="27"/>
      <c r="SM147" s="27"/>
      <c r="SN147" s="27"/>
      <c r="SO147" s="28"/>
      <c r="SP147" s="25"/>
      <c r="SQ147" s="27"/>
      <c r="SR147" s="27"/>
    </row>
    <row r="148" spans="1:512" x14ac:dyDescent="0.15">
      <c r="A148" s="101">
        <f t="shared" ca="1" si="1562"/>
        <v>11</v>
      </c>
      <c r="B148" s="111">
        <v>11</v>
      </c>
      <c r="C148" s="71" t="str">
        <f t="shared" ca="1" si="1555"/>
        <v>Marius</v>
      </c>
      <c r="D148" s="112">
        <f t="shared" ca="1" si="1563"/>
        <v>247.5</v>
      </c>
      <c r="E148" s="25"/>
      <c r="F148" s="69"/>
      <c r="G148" s="88" t="s">
        <v>605</v>
      </c>
      <c r="H148" s="119">
        <v>1</v>
      </c>
      <c r="I148" s="25"/>
      <c r="J148" s="25"/>
      <c r="K148" s="26"/>
      <c r="L148" s="62"/>
      <c r="M148" s="61" t="s">
        <v>198</v>
      </c>
      <c r="N148" s="63" t="s">
        <v>79</v>
      </c>
      <c r="O148" s="32"/>
      <c r="P148" s="32">
        <f t="shared" ca="1" si="1556"/>
        <v>71</v>
      </c>
      <c r="Q148" s="32" t="str">
        <f t="shared" ca="1" si="1557"/>
        <v>Albert</v>
      </c>
      <c r="R148" s="113">
        <f t="shared" ca="1" si="1558"/>
        <v>128.60000000000002</v>
      </c>
      <c r="S148" s="73">
        <v>11</v>
      </c>
      <c r="T148" s="32">
        <f t="shared" ca="1" si="1561"/>
        <v>128.60011000000003</v>
      </c>
      <c r="U148" s="32"/>
      <c r="V148" s="61"/>
      <c r="W148" s="62"/>
      <c r="X148" s="32">
        <f t="shared" si="1559"/>
        <v>9</v>
      </c>
      <c r="Y148" s="63" t="s">
        <v>609</v>
      </c>
      <c r="Z148" s="73">
        <f>(QN3+QG3+AX3+PZ3)/4</f>
        <v>213.22499999999997</v>
      </c>
      <c r="AA148" s="32">
        <v>11</v>
      </c>
      <c r="AB148" s="32">
        <f t="shared" ref="AB148" si="1564">Z148+AA148/100000</f>
        <v>213.22510999999997</v>
      </c>
      <c r="AC148" s="61"/>
      <c r="AD148" s="27"/>
      <c r="AE148" s="27"/>
      <c r="AF148" s="27"/>
      <c r="AG148" s="28"/>
      <c r="AH148" s="25"/>
      <c r="AI148" s="27"/>
      <c r="AJ148" s="27"/>
      <c r="AK148" s="27"/>
      <c r="AL148" s="27"/>
      <c r="AM148" s="27"/>
      <c r="AN148" s="28"/>
      <c r="AO148" s="25"/>
      <c r="AP148" s="27"/>
      <c r="AQ148" s="27"/>
      <c r="AR148" s="27"/>
      <c r="AS148" s="27"/>
      <c r="AT148" s="27"/>
      <c r="AU148" s="28"/>
      <c r="AV148" s="25"/>
      <c r="AW148" s="27"/>
      <c r="AX148" s="27"/>
      <c r="AY148" s="27"/>
      <c r="AZ148" s="27"/>
      <c r="BA148" s="27"/>
      <c r="BB148" s="28"/>
      <c r="BC148" s="25"/>
      <c r="BD148" s="27"/>
      <c r="BE148" s="27"/>
      <c r="BF148" s="27"/>
      <c r="BG148" s="27"/>
      <c r="BH148" s="27"/>
      <c r="BI148" s="28"/>
      <c r="BJ148" s="25"/>
      <c r="BK148" s="27"/>
      <c r="BL148" s="27"/>
      <c r="BM148" s="27"/>
      <c r="BN148" s="27"/>
      <c r="BO148" s="27"/>
      <c r="BP148" s="28"/>
      <c r="BQ148" s="25"/>
      <c r="BR148" s="27"/>
      <c r="BS148" s="27"/>
      <c r="BT148" s="27"/>
      <c r="BU148" s="27"/>
      <c r="BV148" s="27"/>
      <c r="BW148" s="28"/>
      <c r="BX148" s="25"/>
      <c r="BY148" s="27"/>
      <c r="BZ148" s="27"/>
      <c r="CA148" s="27"/>
      <c r="CB148" s="27"/>
      <c r="CC148" s="27"/>
      <c r="CD148" s="28"/>
      <c r="CE148" s="25"/>
      <c r="CF148" s="27"/>
      <c r="CG148" s="27"/>
      <c r="CH148" s="27"/>
      <c r="CI148" s="27"/>
      <c r="CJ148" s="27"/>
      <c r="CK148" s="28"/>
      <c r="CL148" s="25"/>
      <c r="CM148" s="27"/>
      <c r="CN148" s="27"/>
      <c r="CO148" s="27"/>
      <c r="CP148" s="27"/>
      <c r="CQ148" s="27"/>
      <c r="CR148" s="28"/>
      <c r="CS148" s="25"/>
      <c r="CT148" s="27"/>
      <c r="CU148" s="27"/>
      <c r="CV148" s="27"/>
      <c r="CW148" s="27"/>
      <c r="CX148" s="27"/>
      <c r="CY148" s="28"/>
      <c r="CZ148" s="25"/>
      <c r="DA148" s="27"/>
      <c r="DB148" s="27"/>
      <c r="DC148" s="27"/>
      <c r="DD148" s="27"/>
      <c r="DE148" s="27"/>
      <c r="DF148" s="28"/>
      <c r="DG148" s="25"/>
      <c r="DH148" s="27"/>
      <c r="DI148" s="27"/>
      <c r="DJ148" s="27"/>
      <c r="DK148" s="27"/>
      <c r="DL148" s="27"/>
      <c r="DM148" s="28"/>
      <c r="DN148" s="25"/>
      <c r="DO148" s="27"/>
      <c r="DP148" s="27"/>
      <c r="DQ148" s="27"/>
      <c r="DR148" s="27"/>
      <c r="DS148" s="27"/>
      <c r="DT148" s="28"/>
      <c r="DU148" s="25"/>
      <c r="DV148" s="27"/>
      <c r="DW148" s="27"/>
      <c r="DX148" s="27"/>
      <c r="DY148" s="27"/>
      <c r="DZ148" s="27"/>
      <c r="EA148" s="28"/>
      <c r="EB148" s="25"/>
      <c r="EC148" s="27"/>
      <c r="ED148" s="27"/>
      <c r="EE148" s="27"/>
      <c r="EF148" s="27"/>
      <c r="EG148" s="27"/>
      <c r="EH148" s="28"/>
      <c r="EI148" s="25"/>
      <c r="EJ148" s="27"/>
      <c r="EK148" s="27"/>
      <c r="EL148" s="27"/>
      <c r="EM148" s="27"/>
      <c r="EN148" s="27"/>
      <c r="EO148" s="28"/>
      <c r="EP148" s="25"/>
      <c r="EQ148" s="27"/>
      <c r="ER148" s="27"/>
      <c r="ES148" s="27"/>
      <c r="ET148" s="27"/>
      <c r="EU148" s="27"/>
      <c r="EV148" s="28"/>
      <c r="EW148" s="25"/>
      <c r="EX148" s="27"/>
      <c r="EY148" s="27"/>
      <c r="EZ148" s="27"/>
      <c r="FA148" s="27"/>
      <c r="FB148" s="27"/>
      <c r="FC148" s="28"/>
      <c r="FD148" s="25"/>
      <c r="FE148" s="27"/>
      <c r="FF148" s="27"/>
      <c r="FG148" s="27"/>
      <c r="FH148" s="27"/>
      <c r="FI148" s="27"/>
      <c r="FJ148" s="28"/>
      <c r="FK148" s="25"/>
      <c r="FL148" s="27"/>
      <c r="FM148" s="27"/>
      <c r="FN148" s="27"/>
      <c r="FO148" s="27"/>
      <c r="FP148" s="27"/>
      <c r="FQ148" s="28"/>
      <c r="FR148" s="25"/>
      <c r="FS148" s="27"/>
      <c r="FT148" s="27"/>
      <c r="FU148" s="27"/>
      <c r="FV148" s="27"/>
      <c r="FW148" s="27"/>
      <c r="FX148" s="28"/>
      <c r="FY148" s="25"/>
      <c r="FZ148" s="27"/>
      <c r="GA148" s="27"/>
      <c r="GB148" s="27"/>
      <c r="GC148" s="27"/>
      <c r="GD148" s="27"/>
      <c r="GE148" s="28"/>
      <c r="GF148" s="25"/>
      <c r="GG148" s="27"/>
      <c r="GH148" s="27"/>
      <c r="GI148" s="27"/>
      <c r="GJ148" s="27"/>
      <c r="GK148" s="27"/>
      <c r="GL148" s="28"/>
      <c r="GM148" s="25"/>
      <c r="GN148" s="27"/>
      <c r="GO148" s="27"/>
      <c r="GP148" s="27"/>
      <c r="GQ148" s="27"/>
      <c r="GR148" s="27"/>
      <c r="GS148" s="28"/>
      <c r="GT148" s="25"/>
      <c r="GU148" s="27"/>
      <c r="GV148" s="27"/>
      <c r="GW148" s="27"/>
      <c r="GX148" s="27"/>
      <c r="GY148" s="27"/>
      <c r="GZ148" s="28"/>
      <c r="HA148" s="25"/>
      <c r="HB148" s="27"/>
      <c r="HC148" s="27"/>
      <c r="HD148" s="27"/>
      <c r="HE148" s="27"/>
      <c r="HF148" s="27"/>
      <c r="HG148" s="28"/>
      <c r="HH148" s="25"/>
      <c r="HI148" s="27"/>
      <c r="HJ148" s="27"/>
      <c r="HK148" s="27"/>
      <c r="HL148" s="27"/>
      <c r="HM148" s="27"/>
      <c r="HN148" s="28"/>
      <c r="HO148" s="25"/>
      <c r="HP148" s="27"/>
      <c r="HQ148" s="27"/>
      <c r="HR148" s="27"/>
      <c r="HS148" s="27"/>
      <c r="HT148" s="27"/>
      <c r="HU148" s="28"/>
      <c r="HV148" s="25"/>
      <c r="HW148" s="27"/>
      <c r="HX148" s="27"/>
      <c r="HY148" s="27"/>
      <c r="HZ148" s="27"/>
      <c r="IA148" s="27"/>
      <c r="IB148" s="28"/>
      <c r="IC148" s="25"/>
      <c r="ID148" s="27"/>
      <c r="IE148" s="27"/>
      <c r="IF148" s="27"/>
      <c r="IG148" s="27"/>
      <c r="IH148" s="27"/>
      <c r="II148" s="28"/>
      <c r="IJ148" s="25"/>
      <c r="IK148" s="27"/>
      <c r="IL148" s="27"/>
      <c r="IM148" s="27"/>
      <c r="IN148" s="27"/>
      <c r="IO148" s="27"/>
      <c r="IP148" s="28"/>
      <c r="IQ148" s="25"/>
      <c r="IR148" s="27"/>
      <c r="IS148" s="27"/>
      <c r="IT148" s="27"/>
      <c r="IU148" s="27"/>
      <c r="IV148" s="27"/>
      <c r="IW148" s="28"/>
      <c r="IX148" s="25"/>
      <c r="IY148" s="27"/>
      <c r="IZ148" s="27"/>
      <c r="JA148" s="27"/>
      <c r="JB148" s="27"/>
      <c r="JC148" s="27"/>
      <c r="JD148" s="28"/>
      <c r="JE148" s="25"/>
      <c r="JF148" s="27"/>
      <c r="JG148" s="27"/>
      <c r="JH148" s="27"/>
      <c r="JI148" s="27"/>
      <c r="JJ148" s="27"/>
      <c r="JK148" s="28"/>
      <c r="JL148" s="25"/>
      <c r="JM148" s="27"/>
      <c r="JN148" s="27"/>
      <c r="JO148" s="27"/>
      <c r="JP148" s="27"/>
      <c r="JQ148" s="27"/>
      <c r="JR148" s="28"/>
      <c r="JS148" s="25"/>
      <c r="JT148" s="27"/>
      <c r="JU148" s="27"/>
      <c r="JV148" s="27"/>
      <c r="JW148" s="27"/>
      <c r="JX148" s="27"/>
      <c r="JY148" s="28"/>
      <c r="JZ148" s="25"/>
      <c r="KA148" s="27"/>
      <c r="KB148" s="27"/>
      <c r="KC148" s="27"/>
      <c r="KD148" s="27"/>
      <c r="KE148" s="27"/>
      <c r="KF148" s="28"/>
      <c r="KG148" s="25"/>
      <c r="KH148" s="27"/>
      <c r="KI148" s="27"/>
      <c r="KJ148" s="27"/>
      <c r="KK148" s="27"/>
      <c r="KL148" s="27"/>
      <c r="KM148" s="28"/>
      <c r="KN148" s="25"/>
      <c r="KO148" s="27"/>
      <c r="KP148" s="27"/>
      <c r="KQ148" s="27"/>
      <c r="KR148" s="27"/>
      <c r="KS148" s="27"/>
      <c r="KT148" s="28"/>
      <c r="KU148" s="25"/>
      <c r="KV148" s="27"/>
      <c r="KW148" s="27"/>
      <c r="KX148" s="27"/>
      <c r="KY148" s="27"/>
      <c r="KZ148" s="27"/>
      <c r="LA148" s="28"/>
      <c r="LB148" s="25"/>
      <c r="LC148" s="27"/>
      <c r="LD148" s="27"/>
      <c r="LE148" s="27"/>
      <c r="LF148" s="27"/>
      <c r="LG148" s="27"/>
      <c r="LH148" s="28"/>
      <c r="LI148" s="25"/>
      <c r="LJ148" s="27"/>
      <c r="LK148" s="27"/>
      <c r="LL148" s="27"/>
      <c r="LM148" s="27"/>
      <c r="LN148" s="27"/>
      <c r="LO148" s="28"/>
      <c r="LP148" s="25"/>
      <c r="LQ148" s="27"/>
      <c r="LR148" s="27"/>
      <c r="LS148" s="27"/>
      <c r="LT148" s="27"/>
      <c r="LU148" s="27"/>
      <c r="LV148" s="28"/>
      <c r="LW148" s="25"/>
      <c r="LX148" s="27"/>
      <c r="LY148" s="27"/>
      <c r="LZ148" s="27"/>
      <c r="MA148" s="27"/>
      <c r="MB148" s="27"/>
      <c r="MC148" s="28"/>
      <c r="MD148" s="25"/>
      <c r="ME148" s="27"/>
      <c r="MF148" s="27"/>
      <c r="MG148" s="27"/>
      <c r="MH148" s="27"/>
      <c r="MI148" s="27"/>
      <c r="MJ148" s="28"/>
      <c r="MK148" s="25"/>
      <c r="ML148" s="27"/>
      <c r="MM148" s="27"/>
      <c r="MN148" s="27"/>
      <c r="MO148" s="27"/>
      <c r="MP148" s="27"/>
      <c r="MQ148" s="28"/>
      <c r="MR148" s="25"/>
      <c r="MS148" s="27"/>
      <c r="MT148" s="27"/>
      <c r="MU148" s="27"/>
      <c r="MV148" s="27"/>
      <c r="MW148" s="27"/>
      <c r="MX148" s="28"/>
      <c r="MY148" s="25"/>
      <c r="MZ148" s="27"/>
      <c r="NA148" s="27"/>
      <c r="NB148" s="27"/>
      <c r="NC148" s="27"/>
      <c r="ND148" s="27"/>
      <c r="NE148" s="28"/>
      <c r="NF148" s="25"/>
      <c r="NG148" s="27"/>
      <c r="NH148" s="27"/>
      <c r="NI148" s="27"/>
      <c r="NJ148" s="27"/>
      <c r="NK148" s="27"/>
      <c r="NL148" s="28"/>
      <c r="NM148" s="25"/>
      <c r="NN148" s="27"/>
      <c r="NO148" s="27"/>
      <c r="NP148" s="27"/>
      <c r="NQ148" s="27"/>
      <c r="NR148" s="27"/>
      <c r="NS148" s="28"/>
      <c r="NT148" s="25"/>
      <c r="NU148" s="27"/>
      <c r="NV148" s="27"/>
      <c r="NW148" s="27"/>
      <c r="NX148" s="27"/>
      <c r="NY148" s="27"/>
      <c r="NZ148" s="28"/>
      <c r="OA148" s="25"/>
      <c r="OB148" s="27"/>
      <c r="OC148" s="27"/>
      <c r="OD148" s="27"/>
      <c r="OE148" s="27"/>
      <c r="OF148" s="27"/>
      <c r="OG148" s="28"/>
      <c r="OH148" s="25"/>
      <c r="OI148" s="27"/>
      <c r="OJ148" s="27"/>
      <c r="OK148" s="27"/>
      <c r="OL148" s="27"/>
      <c r="OM148" s="27"/>
      <c r="ON148" s="28"/>
      <c r="OO148" s="25"/>
      <c r="OP148" s="27"/>
      <c r="OQ148" s="27"/>
      <c r="OR148" s="27"/>
      <c r="OS148" s="27"/>
      <c r="OT148" s="27"/>
      <c r="OU148" s="28"/>
      <c r="OV148" s="25"/>
      <c r="OW148" s="27"/>
      <c r="OX148" s="27"/>
      <c r="OY148" s="27"/>
      <c r="OZ148" s="27"/>
      <c r="PA148" s="27"/>
      <c r="PB148" s="28"/>
      <c r="PC148" s="25"/>
      <c r="PD148" s="27"/>
      <c r="PE148" s="27"/>
      <c r="PF148" s="27"/>
      <c r="PG148" s="27"/>
      <c r="PH148" s="27"/>
      <c r="PI148" s="28"/>
      <c r="PJ148" s="25"/>
      <c r="PK148" s="27"/>
      <c r="PL148" s="27"/>
      <c r="PM148" s="27"/>
      <c r="PN148" s="27"/>
      <c r="PO148" s="27"/>
      <c r="PP148" s="28"/>
      <c r="PQ148" s="25"/>
      <c r="PR148" s="27"/>
      <c r="PS148" s="27"/>
      <c r="PT148" s="27"/>
      <c r="PU148" s="27"/>
      <c r="PV148" s="27"/>
      <c r="PW148" s="28"/>
      <c r="PX148" s="25"/>
      <c r="PY148" s="27"/>
      <c r="PZ148" s="27"/>
      <c r="QA148" s="27"/>
      <c r="QB148" s="27"/>
      <c r="QC148" s="27"/>
      <c r="QD148" s="28"/>
      <c r="QE148" s="25"/>
      <c r="QF148" s="27"/>
      <c r="QG148" s="27"/>
      <c r="QH148" s="27"/>
      <c r="QI148" s="27"/>
      <c r="QJ148" s="27"/>
      <c r="QK148" s="28"/>
      <c r="QL148" s="25"/>
      <c r="QM148" s="27"/>
      <c r="QN148" s="27"/>
      <c r="QO148" s="27"/>
      <c r="QP148" s="27"/>
      <c r="QQ148" s="27"/>
      <c r="QR148" s="28"/>
      <c r="QS148" s="25"/>
      <c r="QT148" s="27"/>
      <c r="QU148" s="27"/>
      <c r="QV148" s="27"/>
      <c r="QW148" s="27"/>
      <c r="QX148" s="27"/>
      <c r="QY148" s="28"/>
      <c r="QZ148" s="25"/>
      <c r="RA148" s="27"/>
      <c r="RB148" s="27"/>
      <c r="RC148" s="27"/>
      <c r="RD148" s="27"/>
      <c r="RE148" s="27"/>
      <c r="RF148" s="28"/>
      <c r="RG148" s="25"/>
      <c r="RH148" s="27"/>
      <c r="RI148" s="27"/>
      <c r="RJ148" s="27"/>
      <c r="RK148" s="27"/>
      <c r="RL148" s="27"/>
      <c r="RM148" s="28"/>
      <c r="RN148" s="25"/>
      <c r="RO148" s="27"/>
      <c r="RP148" s="27"/>
      <c r="RQ148" s="27"/>
      <c r="RR148" s="27"/>
      <c r="RS148" s="27"/>
      <c r="RT148" s="28"/>
      <c r="RU148" s="25"/>
      <c r="RV148" s="27"/>
      <c r="RW148" s="27"/>
      <c r="RX148" s="27"/>
      <c r="RY148" s="27"/>
      <c r="RZ148" s="27"/>
      <c r="SA148" s="28"/>
      <c r="SB148" s="25"/>
      <c r="SC148" s="27"/>
      <c r="SD148" s="27"/>
      <c r="SE148" s="27"/>
      <c r="SF148" s="27"/>
      <c r="SG148" s="27"/>
      <c r="SH148" s="28"/>
      <c r="SI148" s="25"/>
      <c r="SJ148" s="27"/>
      <c r="SK148" s="27"/>
      <c r="SL148" s="27"/>
      <c r="SM148" s="27"/>
      <c r="SN148" s="27"/>
      <c r="SO148" s="28"/>
      <c r="SP148" s="25"/>
      <c r="SQ148" s="27"/>
      <c r="SR148" s="27"/>
    </row>
    <row r="149" spans="1:512" x14ac:dyDescent="0.15">
      <c r="A149" s="101">
        <f t="shared" ca="1" si="1562"/>
        <v>12</v>
      </c>
      <c r="B149" s="111">
        <v>12</v>
      </c>
      <c r="C149" s="71" t="str">
        <f t="shared" ca="1" si="1555"/>
        <v>Ben W</v>
      </c>
      <c r="D149" s="112">
        <f t="shared" ca="1" si="1563"/>
        <v>246.29999999999993</v>
      </c>
      <c r="E149" s="25"/>
      <c r="F149" s="69"/>
      <c r="G149" s="88" t="s">
        <v>608</v>
      </c>
      <c r="H149" s="119">
        <v>0</v>
      </c>
      <c r="I149" s="25"/>
      <c r="J149" s="25"/>
      <c r="K149" s="26"/>
      <c r="L149" s="62"/>
      <c r="M149" s="62" t="s">
        <v>199</v>
      </c>
      <c r="N149" s="32" t="s">
        <v>80</v>
      </c>
      <c r="O149" s="32"/>
      <c r="P149" s="32">
        <f t="shared" ca="1" si="1556"/>
        <v>27</v>
      </c>
      <c r="Q149" s="32" t="str">
        <f t="shared" ca="1" si="1557"/>
        <v>Helene</v>
      </c>
      <c r="R149" s="113">
        <f t="shared" ca="1" si="1558"/>
        <v>227.79999999999998</v>
      </c>
      <c r="S149" s="73">
        <v>12</v>
      </c>
      <c r="T149" s="32">
        <f t="shared" ca="1" si="1561"/>
        <v>227.80011999999999</v>
      </c>
      <c r="U149" s="32"/>
      <c r="V149" s="61"/>
      <c r="W149" s="62"/>
      <c r="X149" s="32">
        <f t="shared" si="1559"/>
        <v>6</v>
      </c>
      <c r="Y149" s="63" t="s">
        <v>610</v>
      </c>
      <c r="Z149" s="73">
        <f>(PE3+OJ3+LR3)/3</f>
        <v>219.86666666666665</v>
      </c>
      <c r="AA149" s="32">
        <v>12</v>
      </c>
      <c r="AB149" s="32">
        <f t="shared" ref="AB149:AB151" si="1565">Z149+AA149/100000</f>
        <v>219.86678666666666</v>
      </c>
      <c r="AC149" s="61"/>
      <c r="AD149" s="27"/>
      <c r="AE149" s="27"/>
      <c r="AF149" s="27"/>
      <c r="AG149" s="28"/>
      <c r="AH149" s="25"/>
      <c r="AI149" s="27"/>
      <c r="AJ149" s="27"/>
      <c r="AK149" s="27"/>
      <c r="AL149" s="27"/>
      <c r="AM149" s="27"/>
      <c r="AN149" s="28"/>
      <c r="AO149" s="25"/>
      <c r="AP149" s="27"/>
      <c r="AQ149" s="27"/>
      <c r="AR149" s="27"/>
      <c r="AS149" s="27"/>
      <c r="AT149" s="27"/>
      <c r="AU149" s="28"/>
      <c r="AV149" s="25"/>
      <c r="AW149" s="27"/>
      <c r="AX149" s="27"/>
      <c r="AY149" s="27"/>
      <c r="AZ149" s="27"/>
      <c r="BA149" s="27"/>
      <c r="BB149" s="28"/>
      <c r="BC149" s="25"/>
      <c r="BD149" s="27"/>
      <c r="BE149" s="27"/>
      <c r="BF149" s="27"/>
      <c r="BG149" s="27"/>
      <c r="BH149" s="27"/>
      <c r="BI149" s="28"/>
      <c r="BJ149" s="25"/>
      <c r="BK149" s="27"/>
      <c r="BL149" s="27"/>
      <c r="BM149" s="27"/>
      <c r="BN149" s="27"/>
      <c r="BO149" s="27"/>
      <c r="BP149" s="28"/>
      <c r="BQ149" s="25"/>
      <c r="BR149" s="27"/>
      <c r="BS149" s="27"/>
      <c r="BT149" s="27"/>
      <c r="BU149" s="27"/>
      <c r="BV149" s="27"/>
      <c r="BW149" s="28"/>
      <c r="BX149" s="25"/>
      <c r="BY149" s="27"/>
      <c r="BZ149" s="27"/>
      <c r="CA149" s="27"/>
      <c r="CB149" s="27"/>
      <c r="CC149" s="27"/>
      <c r="CD149" s="28"/>
      <c r="CE149" s="25"/>
      <c r="CF149" s="27"/>
      <c r="CG149" s="27"/>
      <c r="CH149" s="27"/>
      <c r="CI149" s="27"/>
      <c r="CJ149" s="27"/>
      <c r="CK149" s="28"/>
      <c r="CL149" s="25"/>
      <c r="CM149" s="27"/>
      <c r="CN149" s="27"/>
      <c r="CO149" s="27"/>
      <c r="CP149" s="27"/>
      <c r="CQ149" s="27"/>
      <c r="CR149" s="28"/>
      <c r="CS149" s="25"/>
      <c r="CT149" s="27"/>
      <c r="CU149" s="27"/>
      <c r="CV149" s="27"/>
      <c r="CW149" s="27"/>
      <c r="CX149" s="27"/>
      <c r="CY149" s="28"/>
      <c r="CZ149" s="25"/>
      <c r="DA149" s="27"/>
      <c r="DB149" s="27"/>
      <c r="DC149" s="27"/>
      <c r="DD149" s="27"/>
      <c r="DE149" s="27"/>
      <c r="DF149" s="28"/>
      <c r="DG149" s="25"/>
      <c r="DH149" s="27"/>
      <c r="DI149" s="27"/>
      <c r="DJ149" s="27"/>
      <c r="DK149" s="27"/>
      <c r="DL149" s="27"/>
      <c r="DM149" s="28"/>
      <c r="DN149" s="25"/>
      <c r="DO149" s="27"/>
      <c r="DP149" s="27"/>
      <c r="DQ149" s="27"/>
      <c r="DR149" s="27"/>
      <c r="DS149" s="27"/>
      <c r="DT149" s="28"/>
      <c r="DU149" s="25"/>
      <c r="DV149" s="27"/>
      <c r="DW149" s="27"/>
      <c r="DX149" s="27"/>
      <c r="DY149" s="27"/>
      <c r="DZ149" s="27"/>
      <c r="EA149" s="28"/>
      <c r="EB149" s="25"/>
      <c r="EC149" s="27"/>
      <c r="ED149" s="27"/>
      <c r="EE149" s="27"/>
      <c r="EF149" s="27"/>
      <c r="EG149" s="27"/>
      <c r="EH149" s="28"/>
      <c r="EI149" s="25"/>
      <c r="EJ149" s="27"/>
      <c r="EK149" s="27"/>
      <c r="EL149" s="27"/>
      <c r="EM149" s="27"/>
      <c r="EN149" s="27"/>
      <c r="EO149" s="28"/>
      <c r="EP149" s="25"/>
      <c r="EQ149" s="27"/>
      <c r="ER149" s="27"/>
      <c r="ES149" s="27"/>
      <c r="ET149" s="27"/>
      <c r="EU149" s="27"/>
      <c r="EV149" s="28"/>
      <c r="EW149" s="25"/>
      <c r="EX149" s="27"/>
      <c r="EY149" s="27"/>
      <c r="EZ149" s="27"/>
      <c r="FA149" s="27"/>
      <c r="FB149" s="27"/>
      <c r="FC149" s="28"/>
      <c r="FD149" s="25"/>
      <c r="FE149" s="27"/>
      <c r="FF149" s="27"/>
      <c r="FG149" s="27"/>
      <c r="FH149" s="27"/>
      <c r="FI149" s="27"/>
      <c r="FJ149" s="28"/>
      <c r="FK149" s="25"/>
      <c r="FL149" s="27"/>
      <c r="FM149" s="27"/>
      <c r="FN149" s="27"/>
      <c r="FO149" s="27"/>
      <c r="FP149" s="27"/>
      <c r="FQ149" s="28"/>
      <c r="FR149" s="25"/>
      <c r="FS149" s="27"/>
      <c r="FT149" s="27"/>
      <c r="FU149" s="27"/>
      <c r="FV149" s="27"/>
      <c r="FW149" s="27"/>
      <c r="FX149" s="28"/>
      <c r="FY149" s="25"/>
      <c r="FZ149" s="27"/>
      <c r="GA149" s="27"/>
      <c r="GB149" s="27"/>
      <c r="GC149" s="27"/>
      <c r="GD149" s="27"/>
      <c r="GE149" s="28"/>
      <c r="GF149" s="25"/>
      <c r="GG149" s="27"/>
      <c r="GH149" s="27"/>
      <c r="GI149" s="27"/>
      <c r="GJ149" s="27"/>
      <c r="GK149" s="27"/>
      <c r="GL149" s="28"/>
      <c r="GM149" s="25"/>
      <c r="GN149" s="27"/>
      <c r="GO149" s="27"/>
      <c r="GP149" s="27"/>
      <c r="GQ149" s="27"/>
      <c r="GR149" s="27"/>
      <c r="GS149" s="28"/>
      <c r="GT149" s="25"/>
      <c r="GU149" s="27"/>
      <c r="GV149" s="27"/>
      <c r="GW149" s="27"/>
      <c r="GX149" s="27"/>
      <c r="GY149" s="27"/>
      <c r="GZ149" s="28"/>
      <c r="HA149" s="25"/>
      <c r="HB149" s="27"/>
      <c r="HC149" s="27"/>
      <c r="HD149" s="27"/>
      <c r="HE149" s="27"/>
      <c r="HF149" s="27"/>
      <c r="HG149" s="28"/>
      <c r="HH149" s="25"/>
      <c r="HI149" s="27"/>
      <c r="HJ149" s="27"/>
      <c r="HK149" s="27"/>
      <c r="HL149" s="27"/>
      <c r="HM149" s="27"/>
      <c r="HN149" s="28"/>
      <c r="HO149" s="25"/>
      <c r="HP149" s="27"/>
      <c r="HQ149" s="27"/>
      <c r="HR149" s="27"/>
      <c r="HS149" s="27"/>
      <c r="HT149" s="27"/>
      <c r="HU149" s="28"/>
      <c r="HV149" s="25"/>
      <c r="HW149" s="27"/>
      <c r="HX149" s="27"/>
      <c r="HY149" s="27"/>
      <c r="HZ149" s="27"/>
      <c r="IA149" s="27"/>
      <c r="IB149" s="28"/>
      <c r="IC149" s="25"/>
      <c r="ID149" s="27"/>
      <c r="IE149" s="27"/>
      <c r="IF149" s="27"/>
      <c r="IG149" s="27"/>
      <c r="IH149" s="27"/>
      <c r="II149" s="28"/>
      <c r="IJ149" s="25"/>
      <c r="IK149" s="27"/>
      <c r="IL149" s="27"/>
      <c r="IM149" s="27"/>
      <c r="IN149" s="27"/>
      <c r="IO149" s="27"/>
      <c r="IP149" s="28"/>
      <c r="IQ149" s="25"/>
      <c r="IR149" s="27"/>
      <c r="IS149" s="27"/>
      <c r="IT149" s="27"/>
      <c r="IU149" s="27"/>
      <c r="IV149" s="27"/>
      <c r="IW149" s="28"/>
      <c r="IX149" s="25"/>
      <c r="IY149" s="27"/>
      <c r="IZ149" s="27"/>
      <c r="JA149" s="27"/>
      <c r="JB149" s="27"/>
      <c r="JC149" s="27"/>
      <c r="JD149" s="28"/>
      <c r="JE149" s="25"/>
      <c r="JF149" s="27"/>
      <c r="JG149" s="27"/>
      <c r="JH149" s="27"/>
      <c r="JI149" s="27"/>
      <c r="JJ149" s="27"/>
      <c r="JK149" s="28"/>
      <c r="JL149" s="25"/>
      <c r="JM149" s="27"/>
      <c r="JN149" s="27"/>
      <c r="JO149" s="27"/>
      <c r="JP149" s="27"/>
      <c r="JQ149" s="27"/>
      <c r="JR149" s="28"/>
      <c r="JS149" s="25"/>
      <c r="JT149" s="27"/>
      <c r="JU149" s="27"/>
      <c r="JV149" s="27"/>
      <c r="JW149" s="27"/>
      <c r="JX149" s="27"/>
      <c r="JY149" s="28"/>
      <c r="JZ149" s="25"/>
      <c r="KA149" s="27"/>
      <c r="KB149" s="27"/>
      <c r="KC149" s="27"/>
      <c r="KD149" s="27"/>
      <c r="KE149" s="27"/>
      <c r="KF149" s="28"/>
      <c r="KG149" s="25"/>
      <c r="KH149" s="27"/>
      <c r="KI149" s="27"/>
      <c r="KJ149" s="27"/>
      <c r="KK149" s="27"/>
      <c r="KL149" s="27"/>
      <c r="KM149" s="28"/>
      <c r="KN149" s="25"/>
      <c r="KO149" s="27"/>
      <c r="KP149" s="27"/>
      <c r="KQ149" s="27"/>
      <c r="KR149" s="27"/>
      <c r="KS149" s="27"/>
      <c r="KT149" s="28"/>
      <c r="KU149" s="25"/>
      <c r="KV149" s="27"/>
      <c r="KW149" s="27"/>
      <c r="KX149" s="27"/>
      <c r="KY149" s="27"/>
      <c r="KZ149" s="27"/>
      <c r="LA149" s="28"/>
      <c r="LB149" s="25"/>
      <c r="LC149" s="27"/>
      <c r="LD149" s="27"/>
      <c r="LE149" s="27"/>
      <c r="LF149" s="27"/>
      <c r="LG149" s="27"/>
      <c r="LH149" s="28"/>
      <c r="LI149" s="25"/>
      <c r="LJ149" s="27"/>
      <c r="LK149" s="27"/>
      <c r="LL149" s="27"/>
      <c r="LM149" s="27"/>
      <c r="LN149" s="27"/>
      <c r="LO149" s="28"/>
      <c r="LP149" s="25"/>
      <c r="LQ149" s="27"/>
      <c r="LR149" s="27"/>
      <c r="LS149" s="27"/>
      <c r="LT149" s="27"/>
      <c r="LU149" s="27"/>
      <c r="LV149" s="28"/>
      <c r="LW149" s="25"/>
      <c r="LX149" s="27"/>
      <c r="LY149" s="27"/>
      <c r="LZ149" s="27"/>
      <c r="MA149" s="27"/>
      <c r="MB149" s="27"/>
      <c r="MC149" s="28"/>
      <c r="MD149" s="25"/>
      <c r="ME149" s="27"/>
      <c r="MF149" s="27"/>
      <c r="MG149" s="27"/>
      <c r="MH149" s="27"/>
      <c r="MI149" s="27"/>
      <c r="MJ149" s="28"/>
      <c r="MK149" s="25"/>
      <c r="ML149" s="27"/>
      <c r="MM149" s="27"/>
      <c r="MN149" s="27"/>
      <c r="MO149" s="27"/>
      <c r="MP149" s="27"/>
      <c r="MQ149" s="28"/>
      <c r="MR149" s="25"/>
      <c r="MS149" s="27"/>
      <c r="MT149" s="27"/>
      <c r="MU149" s="27"/>
      <c r="MV149" s="27"/>
      <c r="MW149" s="27"/>
      <c r="MX149" s="28"/>
      <c r="MY149" s="25"/>
      <c r="MZ149" s="27"/>
      <c r="NA149" s="27"/>
      <c r="NB149" s="27"/>
      <c r="NC149" s="27"/>
      <c r="ND149" s="27"/>
      <c r="NE149" s="28"/>
      <c r="NF149" s="25"/>
      <c r="NG149" s="27"/>
      <c r="NH149" s="27"/>
      <c r="NI149" s="27"/>
      <c r="NJ149" s="27"/>
      <c r="NK149" s="27"/>
      <c r="NL149" s="28"/>
      <c r="NM149" s="25"/>
      <c r="NN149" s="27"/>
      <c r="NO149" s="27"/>
      <c r="NP149" s="27"/>
      <c r="NQ149" s="27"/>
      <c r="NR149" s="27"/>
      <c r="NS149" s="28"/>
      <c r="NT149" s="25"/>
      <c r="NU149" s="27"/>
      <c r="NV149" s="27"/>
      <c r="NW149" s="27"/>
      <c r="NX149" s="27"/>
      <c r="NY149" s="27"/>
      <c r="NZ149" s="28"/>
      <c r="OA149" s="25"/>
      <c r="OB149" s="27"/>
      <c r="OC149" s="27"/>
      <c r="OD149" s="27"/>
      <c r="OE149" s="27"/>
      <c r="OF149" s="27"/>
      <c r="OG149" s="28"/>
      <c r="OH149" s="25"/>
      <c r="OI149" s="27"/>
      <c r="OJ149" s="27"/>
      <c r="OK149" s="27"/>
      <c r="OL149" s="27"/>
      <c r="OM149" s="27"/>
      <c r="ON149" s="28"/>
      <c r="OO149" s="25"/>
      <c r="OP149" s="27"/>
      <c r="OQ149" s="27"/>
      <c r="OR149" s="27"/>
      <c r="OS149" s="27"/>
      <c r="OT149" s="27"/>
      <c r="OU149" s="28"/>
      <c r="OV149" s="25"/>
      <c r="OW149" s="27"/>
      <c r="OX149" s="27"/>
      <c r="OY149" s="27"/>
      <c r="OZ149" s="27"/>
      <c r="PA149" s="27"/>
      <c r="PB149" s="28"/>
      <c r="PC149" s="25"/>
      <c r="PD149" s="27"/>
      <c r="PE149" s="27"/>
      <c r="PF149" s="27"/>
      <c r="PG149" s="27"/>
      <c r="PH149" s="27"/>
      <c r="PI149" s="28"/>
      <c r="PJ149" s="25"/>
      <c r="PK149" s="27"/>
      <c r="PL149" s="27"/>
      <c r="PM149" s="27"/>
      <c r="PN149" s="27"/>
      <c r="PO149" s="27"/>
      <c r="PP149" s="28"/>
      <c r="PQ149" s="25"/>
      <c r="PR149" s="27"/>
      <c r="PS149" s="27"/>
      <c r="PT149" s="27"/>
      <c r="PU149" s="27"/>
      <c r="PV149" s="27"/>
      <c r="PW149" s="28"/>
      <c r="PX149" s="25"/>
      <c r="PY149" s="27"/>
      <c r="PZ149" s="27"/>
      <c r="QA149" s="27"/>
      <c r="QB149" s="27"/>
      <c r="QC149" s="27"/>
      <c r="QD149" s="28"/>
      <c r="QE149" s="25"/>
      <c r="QF149" s="27"/>
      <c r="QG149" s="27"/>
      <c r="QH149" s="27"/>
      <c r="QI149" s="27"/>
      <c r="QJ149" s="27"/>
      <c r="QK149" s="28"/>
      <c r="QL149" s="25"/>
      <c r="QM149" s="27"/>
      <c r="QN149" s="27"/>
      <c r="QO149" s="27"/>
      <c r="QP149" s="27"/>
      <c r="QQ149" s="27"/>
      <c r="QR149" s="28"/>
      <c r="QS149" s="25"/>
      <c r="QT149" s="27"/>
      <c r="QU149" s="27"/>
      <c r="QV149" s="27"/>
      <c r="QW149" s="27"/>
      <c r="QX149" s="27"/>
      <c r="QY149" s="28"/>
      <c r="QZ149" s="25"/>
      <c r="RA149" s="27"/>
      <c r="RB149" s="27"/>
      <c r="RC149" s="27"/>
      <c r="RD149" s="27"/>
      <c r="RE149" s="27"/>
      <c r="RF149" s="28"/>
      <c r="RG149" s="25"/>
      <c r="RH149" s="27"/>
      <c r="RI149" s="27"/>
      <c r="RJ149" s="27"/>
      <c r="RK149" s="27"/>
      <c r="RL149" s="27"/>
      <c r="RM149" s="28"/>
      <c r="RN149" s="25"/>
      <c r="RO149" s="27"/>
      <c r="RP149" s="27"/>
      <c r="RQ149" s="27"/>
      <c r="RR149" s="27"/>
      <c r="RS149" s="27"/>
      <c r="RT149" s="28"/>
      <c r="RU149" s="25"/>
      <c r="RV149" s="27"/>
      <c r="RW149" s="27"/>
      <c r="RX149" s="27"/>
      <c r="RY149" s="27"/>
      <c r="RZ149" s="27"/>
      <c r="SA149" s="28"/>
      <c r="SB149" s="25"/>
      <c r="SC149" s="27"/>
      <c r="SD149" s="27"/>
      <c r="SE149" s="27"/>
      <c r="SF149" s="27"/>
      <c r="SG149" s="27"/>
      <c r="SH149" s="28"/>
      <c r="SI149" s="25"/>
      <c r="SJ149" s="27"/>
      <c r="SK149" s="27"/>
      <c r="SL149" s="27"/>
      <c r="SM149" s="27"/>
      <c r="SN149" s="27"/>
      <c r="SO149" s="28"/>
      <c r="SP149" s="25"/>
      <c r="SQ149" s="27"/>
      <c r="SR149" s="27"/>
    </row>
    <row r="150" spans="1:512" x14ac:dyDescent="0.15">
      <c r="A150" s="101">
        <f t="shared" ca="1" si="1562"/>
        <v>13</v>
      </c>
      <c r="B150" s="111">
        <v>13</v>
      </c>
      <c r="C150" s="71" t="str">
        <f t="shared" ca="1" si="1555"/>
        <v>Cathrin</v>
      </c>
      <c r="D150" s="112">
        <f t="shared" ca="1" si="1563"/>
        <v>246.00000000000006</v>
      </c>
      <c r="E150" s="25"/>
      <c r="F150" s="69"/>
      <c r="G150" s="88" t="s">
        <v>617</v>
      </c>
      <c r="H150" s="119">
        <v>0</v>
      </c>
      <c r="I150" s="25"/>
      <c r="J150" s="25"/>
      <c r="K150" s="26"/>
      <c r="L150" s="62"/>
      <c r="M150" s="62" t="s">
        <v>200</v>
      </c>
      <c r="N150" s="32" t="s">
        <v>81</v>
      </c>
      <c r="O150" s="32"/>
      <c r="P150" s="32">
        <f t="shared" ca="1" si="1556"/>
        <v>20</v>
      </c>
      <c r="Q150" s="32" t="str">
        <f t="shared" ca="1" si="1557"/>
        <v>Carl</v>
      </c>
      <c r="R150" s="113">
        <f t="shared" ca="1" si="1558"/>
        <v>236.99999999999997</v>
      </c>
      <c r="S150" s="73">
        <v>13</v>
      </c>
      <c r="T150" s="32">
        <f t="shared" ca="1" si="1561"/>
        <v>237.00012999999998</v>
      </c>
      <c r="U150" s="32"/>
      <c r="V150" s="61"/>
      <c r="W150" s="62"/>
      <c r="X150" s="32">
        <f t="shared" si="1559"/>
        <v>10</v>
      </c>
      <c r="Y150" s="63" t="s">
        <v>616</v>
      </c>
      <c r="Z150" s="73">
        <f>(RB3+QU3+OX3+OQ3)/4</f>
        <v>206.74999999999994</v>
      </c>
      <c r="AA150" s="32">
        <v>13</v>
      </c>
      <c r="AB150" s="32">
        <f t="shared" si="1565"/>
        <v>206.75012999999996</v>
      </c>
      <c r="AC150" s="61"/>
      <c r="AD150" s="27"/>
      <c r="AE150" s="27"/>
      <c r="AF150" s="27"/>
      <c r="AG150" s="28"/>
      <c r="AH150" s="25"/>
      <c r="AI150" s="27"/>
      <c r="AJ150" s="27"/>
      <c r="AK150" s="27"/>
      <c r="AL150" s="27"/>
      <c r="AM150" s="27"/>
      <c r="AN150" s="28"/>
      <c r="AO150" s="25"/>
      <c r="AP150" s="27"/>
      <c r="AQ150" s="27"/>
      <c r="AR150" s="27"/>
      <c r="AS150" s="27"/>
      <c r="AT150" s="27"/>
      <c r="AU150" s="28"/>
      <c r="AV150" s="25"/>
      <c r="AW150" s="27"/>
      <c r="AX150" s="27"/>
      <c r="AY150" s="27"/>
      <c r="AZ150" s="27"/>
      <c r="BA150" s="27"/>
      <c r="BB150" s="28"/>
      <c r="BC150" s="25"/>
      <c r="BD150" s="27"/>
      <c r="BE150" s="27"/>
      <c r="BF150" s="27"/>
      <c r="BG150" s="27"/>
      <c r="BH150" s="27"/>
      <c r="BI150" s="28"/>
      <c r="BJ150" s="25"/>
      <c r="BK150" s="27"/>
      <c r="BL150" s="27"/>
      <c r="BM150" s="27"/>
      <c r="BN150" s="27"/>
      <c r="BO150" s="27"/>
      <c r="BP150" s="28"/>
      <c r="BQ150" s="25"/>
      <c r="BR150" s="27"/>
      <c r="BS150" s="27"/>
      <c r="BT150" s="27"/>
      <c r="BU150" s="27"/>
      <c r="BV150" s="27"/>
      <c r="BW150" s="28"/>
      <c r="BX150" s="25"/>
      <c r="BY150" s="27"/>
      <c r="BZ150" s="27"/>
      <c r="CA150" s="27"/>
      <c r="CB150" s="27"/>
      <c r="CC150" s="27"/>
      <c r="CD150" s="28"/>
      <c r="CE150" s="25"/>
      <c r="CF150" s="27"/>
      <c r="CG150" s="27"/>
      <c r="CH150" s="27"/>
      <c r="CI150" s="27"/>
      <c r="CJ150" s="27"/>
      <c r="CK150" s="28"/>
      <c r="CL150" s="25"/>
      <c r="CM150" s="27"/>
      <c r="CN150" s="27"/>
      <c r="CO150" s="27"/>
      <c r="CP150" s="27"/>
      <c r="CQ150" s="27"/>
      <c r="CR150" s="28"/>
      <c r="CS150" s="25"/>
      <c r="CT150" s="27"/>
      <c r="CU150" s="27"/>
      <c r="CV150" s="27"/>
      <c r="CW150" s="27"/>
      <c r="CX150" s="27"/>
      <c r="CY150" s="28"/>
      <c r="CZ150" s="25"/>
      <c r="DA150" s="27"/>
      <c r="DB150" s="27"/>
      <c r="DC150" s="27"/>
      <c r="DD150" s="27"/>
      <c r="DE150" s="27"/>
      <c r="DF150" s="28"/>
      <c r="DG150" s="25"/>
      <c r="DH150" s="27"/>
      <c r="DI150" s="27"/>
      <c r="DJ150" s="27"/>
      <c r="DK150" s="27"/>
      <c r="DL150" s="27"/>
      <c r="DM150" s="28"/>
      <c r="DN150" s="25"/>
      <c r="DO150" s="27"/>
      <c r="DP150" s="27"/>
      <c r="DQ150" s="27"/>
      <c r="DR150" s="27"/>
      <c r="DS150" s="27"/>
      <c r="DT150" s="28"/>
      <c r="DU150" s="25"/>
      <c r="DV150" s="27"/>
      <c r="DW150" s="27"/>
      <c r="DX150" s="27"/>
      <c r="DY150" s="27"/>
      <c r="DZ150" s="27"/>
      <c r="EA150" s="28"/>
      <c r="EB150" s="25"/>
      <c r="EC150" s="27"/>
      <c r="ED150" s="27"/>
      <c r="EE150" s="27"/>
      <c r="EF150" s="27"/>
      <c r="EG150" s="27"/>
      <c r="EH150" s="28"/>
      <c r="EI150" s="25"/>
      <c r="EJ150" s="27"/>
      <c r="EK150" s="27"/>
      <c r="EL150" s="27"/>
      <c r="EM150" s="27"/>
      <c r="EN150" s="27"/>
      <c r="EO150" s="28"/>
      <c r="EP150" s="25"/>
      <c r="EQ150" s="27"/>
      <c r="ER150" s="27"/>
      <c r="ES150" s="27"/>
      <c r="ET150" s="27"/>
      <c r="EU150" s="27"/>
      <c r="EV150" s="28"/>
      <c r="EW150" s="25"/>
      <c r="EX150" s="27"/>
      <c r="EY150" s="27"/>
      <c r="EZ150" s="27"/>
      <c r="FA150" s="27"/>
      <c r="FB150" s="27"/>
      <c r="FC150" s="28"/>
      <c r="FD150" s="25"/>
      <c r="FE150" s="27"/>
      <c r="FF150" s="27"/>
      <c r="FG150" s="27"/>
      <c r="FH150" s="27"/>
      <c r="FI150" s="27"/>
      <c r="FJ150" s="28"/>
      <c r="FK150" s="25"/>
      <c r="FL150" s="27"/>
      <c r="FM150" s="27"/>
      <c r="FN150" s="27"/>
      <c r="FO150" s="27"/>
      <c r="FP150" s="27"/>
      <c r="FQ150" s="28"/>
      <c r="FR150" s="25"/>
      <c r="FS150" s="27"/>
      <c r="FT150" s="27"/>
      <c r="FU150" s="27"/>
      <c r="FV150" s="27"/>
      <c r="FW150" s="27"/>
      <c r="FX150" s="28"/>
      <c r="FY150" s="25"/>
      <c r="FZ150" s="27"/>
      <c r="GA150" s="27"/>
      <c r="GB150" s="27"/>
      <c r="GC150" s="27"/>
      <c r="GD150" s="27"/>
      <c r="GE150" s="28"/>
      <c r="GF150" s="25"/>
      <c r="GG150" s="27"/>
      <c r="GH150" s="27"/>
      <c r="GI150" s="27"/>
      <c r="GJ150" s="27"/>
      <c r="GK150" s="27"/>
      <c r="GL150" s="28"/>
      <c r="GM150" s="25"/>
      <c r="GN150" s="27"/>
      <c r="GO150" s="27"/>
      <c r="GP150" s="27"/>
      <c r="GQ150" s="27"/>
      <c r="GR150" s="27"/>
      <c r="GS150" s="28"/>
      <c r="GT150" s="25"/>
      <c r="GU150" s="27"/>
      <c r="GV150" s="27"/>
      <c r="GW150" s="27"/>
      <c r="GX150" s="27"/>
      <c r="GY150" s="27"/>
      <c r="GZ150" s="28"/>
      <c r="HA150" s="25"/>
      <c r="HB150" s="27"/>
      <c r="HC150" s="27"/>
      <c r="HD150" s="27"/>
      <c r="HE150" s="27"/>
      <c r="HF150" s="27"/>
      <c r="HG150" s="28"/>
      <c r="HH150" s="25"/>
      <c r="HI150" s="27"/>
      <c r="HJ150" s="27"/>
      <c r="HK150" s="27"/>
      <c r="HL150" s="27"/>
      <c r="HM150" s="27"/>
      <c r="HN150" s="28"/>
      <c r="HO150" s="25"/>
      <c r="HP150" s="27"/>
      <c r="HQ150" s="27"/>
      <c r="HR150" s="27"/>
      <c r="HS150" s="27"/>
      <c r="HT150" s="27"/>
      <c r="HU150" s="28"/>
      <c r="HV150" s="25"/>
      <c r="HW150" s="27"/>
      <c r="HX150" s="27"/>
      <c r="HY150" s="27"/>
      <c r="HZ150" s="27"/>
      <c r="IA150" s="27"/>
      <c r="IB150" s="28"/>
      <c r="IC150" s="25"/>
      <c r="ID150" s="27"/>
      <c r="IE150" s="27"/>
      <c r="IF150" s="27"/>
      <c r="IG150" s="27"/>
      <c r="IH150" s="27"/>
      <c r="II150" s="28"/>
      <c r="IJ150" s="25"/>
      <c r="IK150" s="27"/>
      <c r="IL150" s="27"/>
      <c r="IM150" s="27"/>
      <c r="IN150" s="27"/>
      <c r="IO150" s="27"/>
      <c r="IP150" s="28"/>
      <c r="IQ150" s="25"/>
      <c r="IR150" s="27"/>
      <c r="IS150" s="27"/>
      <c r="IT150" s="27"/>
      <c r="IU150" s="27"/>
      <c r="IV150" s="27"/>
      <c r="IW150" s="28"/>
      <c r="IX150" s="25"/>
      <c r="IY150" s="27"/>
      <c r="IZ150" s="27"/>
      <c r="JA150" s="27"/>
      <c r="JB150" s="27"/>
      <c r="JC150" s="27"/>
      <c r="JD150" s="28"/>
      <c r="JE150" s="25"/>
      <c r="JF150" s="27"/>
      <c r="JG150" s="27"/>
      <c r="JH150" s="27"/>
      <c r="JI150" s="27"/>
      <c r="JJ150" s="27"/>
      <c r="JK150" s="28"/>
      <c r="JL150" s="25"/>
      <c r="JM150" s="27"/>
      <c r="JN150" s="27"/>
      <c r="JO150" s="27"/>
      <c r="JP150" s="27"/>
      <c r="JQ150" s="27"/>
      <c r="JR150" s="28"/>
      <c r="JS150" s="25"/>
      <c r="JT150" s="27"/>
      <c r="JU150" s="27"/>
      <c r="JV150" s="27"/>
      <c r="JW150" s="27"/>
      <c r="JX150" s="27"/>
      <c r="JY150" s="28"/>
      <c r="JZ150" s="25"/>
      <c r="KA150" s="27"/>
      <c r="KB150" s="27"/>
      <c r="KC150" s="27"/>
      <c r="KD150" s="27"/>
      <c r="KE150" s="27"/>
      <c r="KF150" s="28"/>
      <c r="KG150" s="25"/>
      <c r="KH150" s="27"/>
      <c r="KI150" s="27"/>
      <c r="KJ150" s="27"/>
      <c r="KK150" s="27"/>
      <c r="KL150" s="27"/>
      <c r="KM150" s="28"/>
      <c r="KN150" s="25"/>
      <c r="KO150" s="27"/>
      <c r="KP150" s="27"/>
      <c r="KQ150" s="27"/>
      <c r="KR150" s="27"/>
      <c r="KS150" s="27"/>
      <c r="KT150" s="28"/>
      <c r="KU150" s="25"/>
      <c r="KV150" s="27"/>
      <c r="KW150" s="27"/>
      <c r="KX150" s="27"/>
      <c r="KY150" s="27"/>
      <c r="KZ150" s="27"/>
      <c r="LA150" s="28"/>
      <c r="LB150" s="25"/>
      <c r="LC150" s="27"/>
      <c r="LD150" s="27"/>
      <c r="LE150" s="27"/>
      <c r="LF150" s="27"/>
      <c r="LG150" s="27"/>
      <c r="LH150" s="28"/>
      <c r="LI150" s="25"/>
      <c r="LJ150" s="27"/>
      <c r="LK150" s="27"/>
      <c r="LL150" s="27"/>
      <c r="LM150" s="27"/>
      <c r="LN150" s="27"/>
      <c r="LO150" s="28"/>
      <c r="LP150" s="25"/>
      <c r="LQ150" s="27"/>
      <c r="LR150" s="27"/>
      <c r="LS150" s="27"/>
      <c r="LT150" s="27"/>
      <c r="LU150" s="27"/>
      <c r="LV150" s="28"/>
      <c r="LW150" s="25"/>
      <c r="LX150" s="27"/>
      <c r="LY150" s="27"/>
      <c r="LZ150" s="27"/>
      <c r="MA150" s="27"/>
      <c r="MB150" s="27"/>
      <c r="MC150" s="28"/>
      <c r="MD150" s="25"/>
      <c r="ME150" s="27"/>
      <c r="MF150" s="27"/>
      <c r="MG150" s="27"/>
      <c r="MH150" s="27"/>
      <c r="MI150" s="27"/>
      <c r="MJ150" s="28"/>
      <c r="MK150" s="25"/>
      <c r="ML150" s="27"/>
      <c r="MM150" s="27"/>
      <c r="MN150" s="27"/>
      <c r="MO150" s="27"/>
      <c r="MP150" s="27"/>
      <c r="MQ150" s="28"/>
      <c r="MR150" s="25"/>
      <c r="MS150" s="27"/>
      <c r="MT150" s="27"/>
      <c r="MU150" s="27"/>
      <c r="MV150" s="27"/>
      <c r="MW150" s="27"/>
      <c r="MX150" s="28"/>
      <c r="MY150" s="25"/>
      <c r="MZ150" s="27"/>
      <c r="NA150" s="27"/>
      <c r="NB150" s="27"/>
      <c r="NC150" s="27"/>
      <c r="ND150" s="27"/>
      <c r="NE150" s="28"/>
      <c r="NF150" s="25"/>
      <c r="NG150" s="27"/>
      <c r="NH150" s="27"/>
      <c r="NI150" s="27"/>
      <c r="NJ150" s="27"/>
      <c r="NK150" s="27"/>
      <c r="NL150" s="28"/>
      <c r="NM150" s="25"/>
      <c r="NN150" s="27"/>
      <c r="NO150" s="27"/>
      <c r="NP150" s="27"/>
      <c r="NQ150" s="27"/>
      <c r="NR150" s="27"/>
      <c r="NS150" s="28"/>
      <c r="NT150" s="25"/>
      <c r="NU150" s="27"/>
      <c r="NV150" s="27"/>
      <c r="NW150" s="27"/>
      <c r="NX150" s="27"/>
      <c r="NY150" s="27"/>
      <c r="NZ150" s="28"/>
      <c r="OA150" s="25"/>
      <c r="OB150" s="27"/>
      <c r="OC150" s="27"/>
      <c r="OD150" s="27"/>
      <c r="OE150" s="27"/>
      <c r="OF150" s="27"/>
      <c r="OG150" s="28"/>
      <c r="OH150" s="25"/>
      <c r="OI150" s="27"/>
      <c r="OJ150" s="27"/>
      <c r="OK150" s="27"/>
      <c r="OL150" s="27"/>
      <c r="OM150" s="27"/>
      <c r="ON150" s="28"/>
      <c r="OO150" s="25"/>
      <c r="OP150" s="27"/>
      <c r="OQ150" s="27"/>
      <c r="OR150" s="27"/>
      <c r="OS150" s="27"/>
      <c r="OT150" s="27"/>
      <c r="OU150" s="28"/>
      <c r="OV150" s="25"/>
      <c r="OW150" s="27"/>
      <c r="OX150" s="27"/>
      <c r="OY150" s="27"/>
      <c r="OZ150" s="27"/>
      <c r="PA150" s="27"/>
      <c r="PB150" s="28"/>
      <c r="PC150" s="25"/>
      <c r="PD150" s="27"/>
      <c r="PE150" s="27"/>
      <c r="PF150" s="27"/>
      <c r="PG150" s="27"/>
      <c r="PH150" s="27"/>
      <c r="PI150" s="28"/>
      <c r="PJ150" s="25"/>
      <c r="PK150" s="27"/>
      <c r="PL150" s="27"/>
      <c r="PM150" s="27"/>
      <c r="PN150" s="27"/>
      <c r="PO150" s="27"/>
      <c r="PP150" s="28"/>
      <c r="PQ150" s="25"/>
      <c r="PR150" s="27"/>
      <c r="PS150" s="27"/>
      <c r="PT150" s="27"/>
      <c r="PU150" s="27"/>
      <c r="PV150" s="27"/>
      <c r="PW150" s="28"/>
      <c r="PX150" s="25"/>
      <c r="PY150" s="27"/>
      <c r="PZ150" s="27"/>
      <c r="QA150" s="27"/>
      <c r="QB150" s="27"/>
      <c r="QC150" s="27"/>
      <c r="QD150" s="28"/>
      <c r="QE150" s="25"/>
      <c r="QF150" s="27"/>
      <c r="QG150" s="27"/>
      <c r="QH150" s="27"/>
      <c r="QI150" s="27"/>
      <c r="QJ150" s="27"/>
      <c r="QK150" s="28"/>
      <c r="QL150" s="25"/>
      <c r="QM150" s="27"/>
      <c r="QN150" s="27"/>
      <c r="QO150" s="27"/>
      <c r="QP150" s="27"/>
      <c r="QQ150" s="27"/>
      <c r="QR150" s="28"/>
      <c r="QS150" s="25"/>
      <c r="QT150" s="27"/>
      <c r="QU150" s="27"/>
      <c r="QV150" s="27"/>
      <c r="QW150" s="27"/>
      <c r="QX150" s="27"/>
      <c r="QY150" s="28"/>
      <c r="QZ150" s="25"/>
      <c r="RA150" s="27"/>
      <c r="RB150" s="27"/>
      <c r="RC150" s="27"/>
      <c r="RD150" s="27"/>
      <c r="RE150" s="27"/>
      <c r="RF150" s="28"/>
      <c r="RG150" s="25"/>
      <c r="RH150" s="27"/>
      <c r="RI150" s="27"/>
      <c r="RJ150" s="27"/>
      <c r="RK150" s="27"/>
      <c r="RL150" s="27"/>
      <c r="RM150" s="28"/>
      <c r="RN150" s="25"/>
      <c r="RO150" s="27"/>
      <c r="RP150" s="27"/>
      <c r="RQ150" s="27"/>
      <c r="RR150" s="27"/>
      <c r="RS150" s="27"/>
      <c r="RT150" s="28"/>
      <c r="RU150" s="25"/>
      <c r="RV150" s="27"/>
      <c r="RW150" s="27"/>
      <c r="RX150" s="27"/>
      <c r="RY150" s="27"/>
      <c r="RZ150" s="27"/>
      <c r="SA150" s="28"/>
      <c r="SB150" s="25"/>
      <c r="SC150" s="27"/>
      <c r="SD150" s="27"/>
      <c r="SE150" s="27"/>
      <c r="SF150" s="27"/>
      <c r="SG150" s="27"/>
      <c r="SH150" s="28"/>
      <c r="SI150" s="25"/>
      <c r="SJ150" s="27"/>
      <c r="SK150" s="27"/>
      <c r="SL150" s="27"/>
      <c r="SM150" s="27"/>
      <c r="SN150" s="27"/>
      <c r="SO150" s="28"/>
      <c r="SP150" s="25"/>
      <c r="SQ150" s="27"/>
      <c r="SR150" s="27"/>
    </row>
    <row r="151" spans="1:512" x14ac:dyDescent="0.15">
      <c r="A151" s="101">
        <f t="shared" ca="1" si="1562"/>
        <v>14</v>
      </c>
      <c r="B151" s="111">
        <v>14</v>
      </c>
      <c r="C151" s="71" t="str">
        <f t="shared" ca="1" si="1555"/>
        <v>Anton</v>
      </c>
      <c r="D151" s="112">
        <f t="shared" ca="1" si="1563"/>
        <v>243.7</v>
      </c>
      <c r="E151" s="25"/>
      <c r="F151" s="69"/>
      <c r="G151" s="67"/>
      <c r="H151" s="68"/>
      <c r="I151" s="25"/>
      <c r="J151" s="25"/>
      <c r="K151" s="26"/>
      <c r="L151" s="62"/>
      <c r="M151" s="63" t="s">
        <v>201</v>
      </c>
      <c r="N151" s="32" t="s">
        <v>82</v>
      </c>
      <c r="O151" s="32"/>
      <c r="P151" s="32">
        <f t="shared" ca="1" si="1556"/>
        <v>9</v>
      </c>
      <c r="Q151" s="32" t="str">
        <f t="shared" ca="1" si="1557"/>
        <v>Alfons</v>
      </c>
      <c r="R151" s="113">
        <f t="shared" ca="1" si="1558"/>
        <v>248.10000000000002</v>
      </c>
      <c r="S151" s="73">
        <v>14</v>
      </c>
      <c r="T151" s="32">
        <f t="shared" ca="1" si="1561"/>
        <v>248.10014000000001</v>
      </c>
      <c r="U151" s="32"/>
      <c r="V151" s="61"/>
      <c r="W151" s="62"/>
      <c r="X151" s="32">
        <f t="shared" si="1559"/>
        <v>12</v>
      </c>
      <c r="Y151" s="63" t="s">
        <v>625</v>
      </c>
      <c r="Z151" s="73">
        <f>(SR3+SK3+SD3+RP3+RW3)/5</f>
        <v>183.94</v>
      </c>
      <c r="AA151" s="32">
        <v>14</v>
      </c>
      <c r="AB151" s="32">
        <f t="shared" si="1565"/>
        <v>183.94013999999999</v>
      </c>
      <c r="AC151" s="61"/>
      <c r="AD151" s="27"/>
      <c r="AE151" s="27"/>
      <c r="AF151" s="27"/>
      <c r="AG151" s="28"/>
      <c r="AH151" s="25"/>
      <c r="AI151" s="27"/>
      <c r="AJ151" s="27"/>
      <c r="AK151" s="27"/>
      <c r="AL151" s="27"/>
      <c r="AM151" s="27"/>
      <c r="AN151" s="28"/>
      <c r="AO151" s="25"/>
      <c r="AP151" s="27"/>
      <c r="AQ151" s="27"/>
      <c r="AR151" s="27"/>
      <c r="AS151" s="27"/>
      <c r="AT151" s="27"/>
      <c r="AU151" s="28"/>
      <c r="AV151" s="25"/>
      <c r="AW151" s="27"/>
      <c r="AX151" s="27"/>
      <c r="AY151" s="27"/>
      <c r="AZ151" s="27"/>
      <c r="BA151" s="27"/>
      <c r="BB151" s="28"/>
      <c r="BC151" s="25"/>
      <c r="BD151" s="27"/>
      <c r="BE151" s="27"/>
      <c r="BF151" s="27"/>
      <c r="BG151" s="27"/>
      <c r="BH151" s="27"/>
      <c r="BI151" s="28"/>
      <c r="BJ151" s="25"/>
      <c r="BK151" s="27"/>
      <c r="BL151" s="27"/>
      <c r="BM151" s="27"/>
      <c r="BN151" s="27"/>
      <c r="BO151" s="27"/>
      <c r="BP151" s="28"/>
      <c r="BQ151" s="25"/>
      <c r="BR151" s="27"/>
      <c r="BS151" s="27"/>
      <c r="BT151" s="27"/>
      <c r="BU151" s="27"/>
      <c r="BV151" s="27"/>
      <c r="BW151" s="28"/>
      <c r="BX151" s="25"/>
      <c r="BY151" s="27"/>
      <c r="BZ151" s="27"/>
      <c r="CA151" s="27"/>
      <c r="CB151" s="27"/>
      <c r="CC151" s="27"/>
      <c r="CD151" s="28"/>
      <c r="CE151" s="25"/>
      <c r="CF151" s="27"/>
      <c r="CG151" s="27"/>
      <c r="CH151" s="27"/>
      <c r="CI151" s="27"/>
      <c r="CJ151" s="27"/>
      <c r="CK151" s="28"/>
      <c r="CL151" s="25"/>
      <c r="CM151" s="27"/>
      <c r="CN151" s="27"/>
      <c r="CO151" s="27"/>
      <c r="CP151" s="27"/>
      <c r="CQ151" s="27"/>
      <c r="CR151" s="28"/>
      <c r="CS151" s="25"/>
      <c r="CT151" s="27"/>
      <c r="CU151" s="27"/>
      <c r="CV151" s="27"/>
      <c r="CW151" s="27"/>
      <c r="CX151" s="27"/>
      <c r="CY151" s="28"/>
      <c r="CZ151" s="25"/>
      <c r="DA151" s="27"/>
      <c r="DB151" s="27"/>
      <c r="DC151" s="27"/>
      <c r="DD151" s="27"/>
      <c r="DE151" s="27"/>
      <c r="DF151" s="28"/>
      <c r="DG151" s="25"/>
      <c r="DH151" s="27"/>
      <c r="DI151" s="27"/>
      <c r="DJ151" s="27"/>
      <c r="DK151" s="27"/>
      <c r="DL151" s="27"/>
      <c r="DM151" s="28"/>
      <c r="DN151" s="25"/>
      <c r="DO151" s="27"/>
      <c r="DP151" s="27"/>
      <c r="DQ151" s="27"/>
      <c r="DR151" s="27"/>
      <c r="DS151" s="27"/>
      <c r="DT151" s="28"/>
      <c r="DU151" s="25"/>
      <c r="DV151" s="27"/>
      <c r="DW151" s="27"/>
      <c r="DX151" s="27"/>
      <c r="DY151" s="27"/>
      <c r="DZ151" s="27"/>
      <c r="EA151" s="28"/>
      <c r="EB151" s="25"/>
      <c r="EC151" s="27"/>
      <c r="ED151" s="27"/>
      <c r="EE151" s="27"/>
      <c r="EF151" s="27"/>
      <c r="EG151" s="27"/>
      <c r="EH151" s="28"/>
      <c r="EI151" s="25"/>
      <c r="EJ151" s="27"/>
      <c r="EK151" s="27"/>
      <c r="EL151" s="27"/>
      <c r="EM151" s="27"/>
      <c r="EN151" s="27"/>
      <c r="EO151" s="28"/>
      <c r="EP151" s="25"/>
      <c r="EQ151" s="27"/>
      <c r="ER151" s="27"/>
      <c r="ES151" s="27"/>
      <c r="ET151" s="27"/>
      <c r="EU151" s="27"/>
      <c r="EV151" s="28"/>
      <c r="EW151" s="25"/>
      <c r="EX151" s="27"/>
      <c r="EY151" s="27"/>
      <c r="EZ151" s="27"/>
      <c r="FA151" s="27"/>
      <c r="FB151" s="27"/>
      <c r="FC151" s="28"/>
      <c r="FD151" s="25"/>
      <c r="FE151" s="27"/>
      <c r="FF151" s="27"/>
      <c r="FG151" s="27"/>
      <c r="FH151" s="27"/>
      <c r="FI151" s="27"/>
      <c r="FJ151" s="28"/>
      <c r="FK151" s="25"/>
      <c r="FL151" s="27"/>
      <c r="FM151" s="27"/>
      <c r="FN151" s="27"/>
      <c r="FO151" s="27"/>
      <c r="FP151" s="27"/>
      <c r="FQ151" s="28"/>
      <c r="FR151" s="25"/>
      <c r="FS151" s="27"/>
      <c r="FT151" s="27"/>
      <c r="FU151" s="27"/>
      <c r="FV151" s="27"/>
      <c r="FW151" s="27"/>
      <c r="FX151" s="28"/>
      <c r="FY151" s="25"/>
      <c r="FZ151" s="27"/>
      <c r="GA151" s="27"/>
      <c r="GB151" s="27"/>
      <c r="GC151" s="27"/>
      <c r="GD151" s="27"/>
      <c r="GE151" s="28"/>
      <c r="GF151" s="25"/>
      <c r="GG151" s="27"/>
      <c r="GH151" s="27"/>
      <c r="GI151" s="27"/>
      <c r="GJ151" s="27"/>
      <c r="GK151" s="27"/>
      <c r="GL151" s="28"/>
      <c r="GM151" s="25"/>
      <c r="GN151" s="27"/>
      <c r="GO151" s="27"/>
      <c r="GP151" s="27"/>
      <c r="GQ151" s="27"/>
      <c r="GR151" s="27"/>
      <c r="GS151" s="28"/>
      <c r="GT151" s="25"/>
      <c r="GU151" s="27"/>
      <c r="GV151" s="27"/>
      <c r="GW151" s="27"/>
      <c r="GX151" s="27"/>
      <c r="GY151" s="27"/>
      <c r="GZ151" s="28"/>
      <c r="HA151" s="25"/>
      <c r="HB151" s="27"/>
      <c r="HC151" s="27"/>
      <c r="HD151" s="27"/>
      <c r="HE151" s="27"/>
      <c r="HF151" s="27"/>
      <c r="HG151" s="28"/>
      <c r="HH151" s="25"/>
      <c r="HI151" s="27"/>
      <c r="HJ151" s="27"/>
      <c r="HK151" s="27"/>
      <c r="HL151" s="27"/>
      <c r="HM151" s="27"/>
      <c r="HN151" s="28"/>
      <c r="HO151" s="25"/>
      <c r="HP151" s="27"/>
      <c r="HQ151" s="27"/>
      <c r="HR151" s="27"/>
      <c r="HS151" s="27"/>
      <c r="HT151" s="27"/>
      <c r="HU151" s="28"/>
      <c r="HV151" s="25"/>
      <c r="HW151" s="27"/>
      <c r="HX151" s="27"/>
      <c r="HY151" s="27"/>
      <c r="HZ151" s="27"/>
      <c r="IA151" s="27"/>
      <c r="IB151" s="28"/>
      <c r="IC151" s="25"/>
      <c r="ID151" s="27"/>
      <c r="IE151" s="27"/>
      <c r="IF151" s="27"/>
      <c r="IG151" s="27"/>
      <c r="IH151" s="27"/>
      <c r="II151" s="28"/>
      <c r="IJ151" s="25"/>
      <c r="IK151" s="27"/>
      <c r="IL151" s="27"/>
      <c r="IM151" s="27"/>
      <c r="IN151" s="27"/>
      <c r="IO151" s="27"/>
      <c r="IP151" s="28"/>
      <c r="IQ151" s="25"/>
      <c r="IR151" s="27"/>
      <c r="IS151" s="27"/>
      <c r="IT151" s="27"/>
      <c r="IU151" s="27"/>
      <c r="IV151" s="27"/>
      <c r="IW151" s="28"/>
      <c r="IX151" s="25"/>
      <c r="IY151" s="27"/>
      <c r="IZ151" s="27"/>
      <c r="JA151" s="27"/>
      <c r="JB151" s="27"/>
      <c r="JC151" s="27"/>
      <c r="JD151" s="28"/>
      <c r="JE151" s="25"/>
      <c r="JF151" s="27"/>
      <c r="JG151" s="27"/>
      <c r="JH151" s="27"/>
      <c r="JI151" s="27"/>
      <c r="JJ151" s="27"/>
      <c r="JK151" s="28"/>
      <c r="JL151" s="25"/>
      <c r="JM151" s="27"/>
      <c r="JN151" s="27"/>
      <c r="JO151" s="27"/>
      <c r="JP151" s="27"/>
      <c r="JQ151" s="27"/>
      <c r="JR151" s="28"/>
      <c r="JS151" s="25"/>
      <c r="JT151" s="27"/>
      <c r="JU151" s="27"/>
      <c r="JV151" s="27"/>
      <c r="JW151" s="27"/>
      <c r="JX151" s="27"/>
      <c r="JY151" s="28"/>
      <c r="JZ151" s="25"/>
      <c r="KA151" s="27"/>
      <c r="KB151" s="27"/>
      <c r="KC151" s="27"/>
      <c r="KD151" s="27"/>
      <c r="KE151" s="27"/>
      <c r="KF151" s="28"/>
      <c r="KG151" s="25"/>
      <c r="KH151" s="27"/>
      <c r="KI151" s="27"/>
      <c r="KJ151" s="27"/>
      <c r="KK151" s="27"/>
      <c r="KL151" s="27"/>
      <c r="KM151" s="28"/>
      <c r="KN151" s="25"/>
      <c r="KO151" s="27"/>
      <c r="KP151" s="27"/>
      <c r="KQ151" s="27"/>
      <c r="KR151" s="27"/>
      <c r="KS151" s="27"/>
      <c r="KT151" s="28"/>
      <c r="KU151" s="25"/>
      <c r="KV151" s="27"/>
      <c r="KW151" s="27"/>
      <c r="KX151" s="27"/>
      <c r="KY151" s="27"/>
      <c r="KZ151" s="27"/>
      <c r="LA151" s="28"/>
      <c r="LB151" s="25"/>
      <c r="LC151" s="27"/>
      <c r="LD151" s="27"/>
      <c r="LE151" s="27"/>
      <c r="LF151" s="27"/>
      <c r="LG151" s="27"/>
      <c r="LH151" s="28"/>
      <c r="LI151" s="25"/>
      <c r="LJ151" s="27"/>
      <c r="LK151" s="27"/>
      <c r="LL151" s="27"/>
      <c r="LM151" s="27"/>
      <c r="LN151" s="27"/>
      <c r="LO151" s="28"/>
      <c r="LP151" s="25"/>
      <c r="LQ151" s="27"/>
      <c r="LR151" s="27"/>
      <c r="LS151" s="27"/>
      <c r="LT151" s="27"/>
      <c r="LU151" s="27"/>
      <c r="LV151" s="28"/>
      <c r="LW151" s="25"/>
      <c r="LX151" s="27"/>
      <c r="LY151" s="27"/>
      <c r="LZ151" s="27"/>
      <c r="MA151" s="27"/>
      <c r="MB151" s="27"/>
      <c r="MC151" s="28"/>
      <c r="MD151" s="25"/>
      <c r="ME151" s="27"/>
      <c r="MF151" s="27"/>
      <c r="MG151" s="27"/>
      <c r="MH151" s="27"/>
      <c r="MI151" s="27"/>
      <c r="MJ151" s="28"/>
      <c r="MK151" s="25"/>
      <c r="ML151" s="27"/>
      <c r="MM151" s="27"/>
      <c r="MN151" s="27"/>
      <c r="MO151" s="27"/>
      <c r="MP151" s="27"/>
      <c r="MQ151" s="28"/>
      <c r="MR151" s="25"/>
      <c r="MS151" s="27"/>
      <c r="MT151" s="27"/>
      <c r="MU151" s="27"/>
      <c r="MV151" s="27"/>
      <c r="MW151" s="27"/>
      <c r="MX151" s="28"/>
      <c r="MY151" s="25"/>
      <c r="MZ151" s="27"/>
      <c r="NA151" s="27"/>
      <c r="NB151" s="27"/>
      <c r="NC151" s="27"/>
      <c r="ND151" s="27"/>
      <c r="NE151" s="28"/>
      <c r="NF151" s="25"/>
      <c r="NG151" s="27"/>
      <c r="NH151" s="27"/>
      <c r="NI151" s="27"/>
      <c r="NJ151" s="27"/>
      <c r="NK151" s="27"/>
      <c r="NL151" s="28"/>
      <c r="NM151" s="25"/>
      <c r="NN151" s="27"/>
      <c r="NO151" s="27"/>
      <c r="NP151" s="27"/>
      <c r="NQ151" s="27"/>
      <c r="NR151" s="27"/>
      <c r="NS151" s="28"/>
      <c r="NT151" s="25"/>
      <c r="NU151" s="27"/>
      <c r="NV151" s="27"/>
      <c r="NW151" s="27"/>
      <c r="NX151" s="27"/>
      <c r="NY151" s="27"/>
      <c r="NZ151" s="28"/>
      <c r="OA151" s="25"/>
      <c r="OB151" s="27"/>
      <c r="OC151" s="27"/>
      <c r="OD151" s="27"/>
      <c r="OE151" s="27"/>
      <c r="OF151" s="27"/>
      <c r="OG151" s="28"/>
      <c r="OH151" s="25"/>
      <c r="OI151" s="27"/>
      <c r="OJ151" s="27"/>
      <c r="OK151" s="27"/>
      <c r="OL151" s="27"/>
      <c r="OM151" s="27"/>
      <c r="ON151" s="28"/>
      <c r="OO151" s="25"/>
      <c r="OP151" s="27"/>
      <c r="OQ151" s="27"/>
      <c r="OR151" s="27"/>
      <c r="OS151" s="27"/>
      <c r="OT151" s="27"/>
      <c r="OU151" s="28"/>
      <c r="OV151" s="25"/>
      <c r="OW151" s="27"/>
      <c r="OX151" s="27"/>
      <c r="OY151" s="27"/>
      <c r="OZ151" s="27"/>
      <c r="PA151" s="27"/>
      <c r="PB151" s="28"/>
      <c r="PC151" s="25"/>
      <c r="PD151" s="27"/>
      <c r="PE151" s="27"/>
      <c r="PF151" s="27"/>
      <c r="PG151" s="27"/>
      <c r="PH151" s="27"/>
      <c r="PI151" s="28"/>
      <c r="PJ151" s="25"/>
      <c r="PK151" s="27"/>
      <c r="PL151" s="27"/>
      <c r="PM151" s="27"/>
      <c r="PN151" s="27"/>
      <c r="PO151" s="27"/>
      <c r="PP151" s="28"/>
      <c r="PQ151" s="25"/>
      <c r="PR151" s="27"/>
      <c r="PS151" s="27"/>
      <c r="PT151" s="27"/>
      <c r="PU151" s="27"/>
      <c r="PV151" s="27"/>
      <c r="PW151" s="28"/>
      <c r="PX151" s="25"/>
      <c r="PY151" s="27"/>
      <c r="PZ151" s="27"/>
      <c r="QA151" s="27"/>
      <c r="QB151" s="27"/>
      <c r="QC151" s="27"/>
      <c r="QD151" s="28"/>
      <c r="QE151" s="25"/>
      <c r="QF151" s="27"/>
      <c r="QG151" s="27"/>
      <c r="QH151" s="27"/>
      <c r="QI151" s="27"/>
      <c r="QJ151" s="27"/>
      <c r="QK151" s="28"/>
      <c r="QL151" s="25"/>
      <c r="QM151" s="27"/>
      <c r="QN151" s="27"/>
      <c r="QO151" s="27"/>
      <c r="QP151" s="27"/>
      <c r="QQ151" s="27"/>
      <c r="QR151" s="28"/>
      <c r="QS151" s="25"/>
      <c r="QT151" s="27"/>
      <c r="QU151" s="27"/>
      <c r="QV151" s="27"/>
      <c r="QW151" s="27"/>
      <c r="QX151" s="27"/>
      <c r="QY151" s="28"/>
      <c r="QZ151" s="25"/>
      <c r="RA151" s="27"/>
      <c r="RB151" s="27"/>
      <c r="RC151" s="27"/>
      <c r="RD151" s="27"/>
      <c r="RE151" s="27"/>
      <c r="RF151" s="28"/>
      <c r="RG151" s="25"/>
      <c r="RH151" s="27"/>
      <c r="RI151" s="27"/>
      <c r="RJ151" s="27"/>
      <c r="RK151" s="27"/>
      <c r="RL151" s="27"/>
      <c r="RM151" s="28"/>
      <c r="RN151" s="25"/>
      <c r="RO151" s="27"/>
      <c r="RP151" s="27"/>
      <c r="RQ151" s="27"/>
      <c r="RR151" s="27"/>
      <c r="RS151" s="27"/>
      <c r="RT151" s="28"/>
      <c r="RU151" s="25"/>
      <c r="RV151" s="27"/>
      <c r="RW151" s="27"/>
      <c r="RX151" s="27"/>
      <c r="RY151" s="27"/>
      <c r="RZ151" s="27"/>
      <c r="SA151" s="28"/>
      <c r="SB151" s="25"/>
      <c r="SC151" s="27"/>
      <c r="SD151" s="27"/>
      <c r="SE151" s="27"/>
      <c r="SF151" s="27"/>
      <c r="SG151" s="27"/>
      <c r="SH151" s="28"/>
      <c r="SI151" s="25"/>
      <c r="SJ151" s="27"/>
      <c r="SK151" s="27"/>
      <c r="SL151" s="27"/>
      <c r="SM151" s="27"/>
      <c r="SN151" s="27"/>
      <c r="SO151" s="28"/>
      <c r="SP151" s="25"/>
      <c r="SQ151" s="27"/>
      <c r="SR151" s="27"/>
    </row>
    <row r="152" spans="1:512" x14ac:dyDescent="0.15">
      <c r="A152" s="101">
        <f t="shared" ca="1" si="1562"/>
        <v>15</v>
      </c>
      <c r="B152" s="111">
        <v>15</v>
      </c>
      <c r="C152" s="71" t="str">
        <f t="shared" ca="1" si="1555"/>
        <v>Ferdi</v>
      </c>
      <c r="D152" s="112">
        <f t="shared" ca="1" si="1563"/>
        <v>242.59999999999994</v>
      </c>
      <c r="E152" s="25"/>
      <c r="F152" s="25"/>
      <c r="G152" s="25"/>
      <c r="H152" s="28"/>
      <c r="I152" s="25"/>
      <c r="J152" s="25"/>
      <c r="K152" s="26"/>
      <c r="L152" s="62"/>
      <c r="M152" s="32" t="s">
        <v>202</v>
      </c>
      <c r="N152" s="32" t="s">
        <v>83</v>
      </c>
      <c r="O152" s="32"/>
      <c r="P152" s="32">
        <f t="shared" ca="1" si="1556"/>
        <v>33</v>
      </c>
      <c r="Q152" s="32" t="str">
        <f t="shared" ca="1" si="1557"/>
        <v>Claudia B</v>
      </c>
      <c r="R152" s="113">
        <f t="shared" ca="1" si="1558"/>
        <v>221.79999999999998</v>
      </c>
      <c r="S152" s="73">
        <v>15</v>
      </c>
      <c r="T152" s="32">
        <f t="shared" ca="1" si="1561"/>
        <v>221.80014999999997</v>
      </c>
      <c r="U152" s="32"/>
      <c r="V152" s="61"/>
      <c r="W152" s="62"/>
      <c r="X152" s="32"/>
      <c r="Y152" s="63"/>
      <c r="Z152" s="73"/>
      <c r="AA152" s="32"/>
      <c r="AB152" s="32"/>
      <c r="AC152" s="61"/>
      <c r="AD152" s="27"/>
      <c r="AE152" s="27"/>
      <c r="AF152" s="27"/>
      <c r="AG152" s="28"/>
      <c r="AH152" s="25"/>
      <c r="AI152" s="27"/>
      <c r="AJ152" s="27"/>
      <c r="AK152" s="27"/>
      <c r="AL152" s="27"/>
      <c r="AM152" s="27"/>
      <c r="AN152" s="28"/>
      <c r="AO152" s="25"/>
      <c r="AP152" s="27"/>
      <c r="AQ152" s="27"/>
      <c r="AR152" s="27"/>
      <c r="AS152" s="27"/>
      <c r="AT152" s="27"/>
      <c r="AU152" s="28"/>
      <c r="AV152" s="25"/>
      <c r="AW152" s="27"/>
      <c r="AX152" s="27"/>
      <c r="AY152" s="27"/>
      <c r="AZ152" s="27"/>
      <c r="BA152" s="27"/>
      <c r="BB152" s="28"/>
      <c r="BC152" s="25"/>
      <c r="BD152" s="27"/>
      <c r="BE152" s="27"/>
      <c r="BF152" s="27"/>
      <c r="BG152" s="27"/>
      <c r="BH152" s="27"/>
      <c r="BI152" s="28"/>
      <c r="BJ152" s="25"/>
      <c r="BK152" s="27"/>
      <c r="BL152" s="27"/>
      <c r="BM152" s="27"/>
      <c r="BN152" s="27"/>
      <c r="BO152" s="27"/>
      <c r="BP152" s="28"/>
      <c r="BQ152" s="25"/>
      <c r="BR152" s="27"/>
      <c r="BS152" s="27"/>
      <c r="BT152" s="27"/>
      <c r="BU152" s="27"/>
      <c r="BV152" s="27"/>
      <c r="BW152" s="28"/>
      <c r="BX152" s="25"/>
      <c r="BY152" s="27"/>
      <c r="BZ152" s="27"/>
      <c r="CA152" s="27"/>
      <c r="CB152" s="27"/>
      <c r="CC152" s="27"/>
      <c r="CD152" s="28"/>
      <c r="CE152" s="25"/>
      <c r="CF152" s="27"/>
      <c r="CG152" s="27"/>
      <c r="CH152" s="27"/>
      <c r="CI152" s="27"/>
      <c r="CJ152" s="27"/>
      <c r="CK152" s="28"/>
      <c r="CL152" s="25"/>
      <c r="CM152" s="27"/>
      <c r="CN152" s="27"/>
      <c r="CO152" s="27"/>
      <c r="CP152" s="27"/>
      <c r="CQ152" s="27"/>
      <c r="CR152" s="28"/>
      <c r="CS152" s="25"/>
      <c r="CT152" s="27"/>
      <c r="CU152" s="27"/>
      <c r="CV152" s="27"/>
      <c r="CW152" s="27"/>
      <c r="CX152" s="27"/>
      <c r="CY152" s="28"/>
      <c r="CZ152" s="25"/>
      <c r="DA152" s="27"/>
      <c r="DB152" s="27"/>
      <c r="DC152" s="27"/>
      <c r="DD152" s="27"/>
      <c r="DE152" s="27"/>
      <c r="DF152" s="28"/>
      <c r="DG152" s="25"/>
      <c r="DH152" s="27"/>
      <c r="DI152" s="27"/>
      <c r="DJ152" s="27"/>
      <c r="DK152" s="27"/>
      <c r="DL152" s="27"/>
      <c r="DM152" s="28"/>
      <c r="DN152" s="25"/>
      <c r="DO152" s="27"/>
      <c r="DP152" s="27"/>
      <c r="DQ152" s="27"/>
      <c r="DR152" s="27"/>
      <c r="DS152" s="27"/>
      <c r="DT152" s="28"/>
      <c r="DU152" s="25"/>
      <c r="DV152" s="27"/>
      <c r="DW152" s="27"/>
      <c r="DX152" s="27"/>
      <c r="DY152" s="27"/>
      <c r="DZ152" s="27"/>
      <c r="EA152" s="28"/>
      <c r="EB152" s="25"/>
      <c r="EC152" s="27"/>
      <c r="ED152" s="27"/>
      <c r="EE152" s="27"/>
      <c r="EF152" s="27"/>
      <c r="EG152" s="27"/>
      <c r="EH152" s="28"/>
      <c r="EI152" s="25"/>
      <c r="EJ152" s="27"/>
      <c r="EK152" s="27"/>
      <c r="EL152" s="27"/>
      <c r="EM152" s="27"/>
      <c r="EN152" s="27"/>
      <c r="EO152" s="28"/>
      <c r="EP152" s="25"/>
      <c r="EQ152" s="27"/>
      <c r="ER152" s="27"/>
      <c r="ES152" s="27"/>
      <c r="ET152" s="27"/>
      <c r="EU152" s="27"/>
      <c r="EV152" s="28"/>
      <c r="EW152" s="25"/>
      <c r="EX152" s="27"/>
      <c r="EY152" s="27"/>
      <c r="EZ152" s="27"/>
      <c r="FA152" s="27"/>
      <c r="FB152" s="27"/>
      <c r="FC152" s="28"/>
      <c r="FD152" s="25"/>
      <c r="FE152" s="27"/>
      <c r="FF152" s="27"/>
      <c r="FG152" s="27"/>
      <c r="FH152" s="27"/>
      <c r="FI152" s="27"/>
      <c r="FJ152" s="28"/>
      <c r="FK152" s="25"/>
      <c r="FL152" s="27"/>
      <c r="FM152" s="27"/>
      <c r="FN152" s="27"/>
      <c r="FO152" s="27"/>
      <c r="FP152" s="27"/>
      <c r="FQ152" s="28"/>
      <c r="FR152" s="25"/>
      <c r="FS152" s="27"/>
      <c r="FT152" s="27"/>
      <c r="FU152" s="27"/>
      <c r="FV152" s="27"/>
      <c r="FW152" s="27"/>
      <c r="FX152" s="28"/>
      <c r="FY152" s="25"/>
      <c r="FZ152" s="27"/>
      <c r="GA152" s="27"/>
      <c r="GB152" s="27"/>
      <c r="GC152" s="27"/>
      <c r="GD152" s="27"/>
      <c r="GE152" s="28"/>
      <c r="GF152" s="25"/>
      <c r="GG152" s="27"/>
      <c r="GH152" s="27"/>
      <c r="GI152" s="27"/>
      <c r="GJ152" s="27"/>
      <c r="GK152" s="27"/>
      <c r="GL152" s="28"/>
      <c r="GM152" s="25"/>
      <c r="GN152" s="27"/>
      <c r="GO152" s="27"/>
      <c r="GP152" s="27"/>
      <c r="GQ152" s="27"/>
      <c r="GR152" s="27"/>
      <c r="GS152" s="28"/>
      <c r="GT152" s="25"/>
      <c r="GU152" s="27"/>
      <c r="GV152" s="27"/>
      <c r="GW152" s="27"/>
      <c r="GX152" s="27"/>
      <c r="GY152" s="27"/>
      <c r="GZ152" s="28"/>
      <c r="HA152" s="25"/>
      <c r="HB152" s="27"/>
      <c r="HC152" s="27"/>
      <c r="HD152" s="27"/>
      <c r="HE152" s="27"/>
      <c r="HF152" s="27"/>
      <c r="HG152" s="28"/>
      <c r="HH152" s="25"/>
      <c r="HI152" s="27"/>
      <c r="HJ152" s="27"/>
      <c r="HK152" s="27"/>
      <c r="HL152" s="27"/>
      <c r="HM152" s="27"/>
      <c r="HN152" s="28"/>
      <c r="HO152" s="25"/>
      <c r="HP152" s="27"/>
      <c r="HQ152" s="27"/>
      <c r="HR152" s="27"/>
      <c r="HS152" s="27"/>
      <c r="HT152" s="27"/>
      <c r="HU152" s="28"/>
      <c r="HV152" s="25"/>
      <c r="HW152" s="27"/>
      <c r="HX152" s="27"/>
      <c r="HY152" s="27"/>
      <c r="HZ152" s="27"/>
      <c r="IA152" s="27"/>
      <c r="IB152" s="28"/>
      <c r="IC152" s="25"/>
      <c r="ID152" s="27"/>
      <c r="IE152" s="27"/>
      <c r="IF152" s="27"/>
      <c r="IG152" s="27"/>
      <c r="IH152" s="27"/>
      <c r="II152" s="28"/>
      <c r="IJ152" s="25"/>
      <c r="IK152" s="27"/>
      <c r="IL152" s="27"/>
      <c r="IM152" s="27"/>
      <c r="IN152" s="27"/>
      <c r="IO152" s="27"/>
      <c r="IP152" s="28"/>
      <c r="IQ152" s="25"/>
      <c r="IR152" s="27"/>
      <c r="IS152" s="27"/>
      <c r="IT152" s="27"/>
      <c r="IU152" s="27"/>
      <c r="IV152" s="27"/>
      <c r="IW152" s="28"/>
      <c r="IX152" s="25"/>
      <c r="IY152" s="27"/>
      <c r="IZ152" s="27"/>
      <c r="JA152" s="27"/>
      <c r="JB152" s="27"/>
      <c r="JC152" s="27"/>
      <c r="JD152" s="28"/>
      <c r="JE152" s="25"/>
      <c r="JF152" s="27"/>
      <c r="JG152" s="27"/>
      <c r="JH152" s="27"/>
      <c r="JI152" s="27"/>
      <c r="JJ152" s="27"/>
      <c r="JK152" s="28"/>
      <c r="JL152" s="25"/>
      <c r="JM152" s="27"/>
      <c r="JN152" s="27"/>
      <c r="JO152" s="27"/>
      <c r="JP152" s="27"/>
      <c r="JQ152" s="27"/>
      <c r="JR152" s="28"/>
      <c r="JS152" s="25"/>
      <c r="JT152" s="27"/>
      <c r="JU152" s="27"/>
      <c r="JV152" s="27"/>
      <c r="JW152" s="27"/>
      <c r="JX152" s="27"/>
      <c r="JY152" s="28"/>
      <c r="JZ152" s="25"/>
      <c r="KA152" s="27"/>
      <c r="KB152" s="27"/>
      <c r="KC152" s="27"/>
      <c r="KD152" s="27"/>
      <c r="KE152" s="27"/>
      <c r="KF152" s="28"/>
      <c r="KG152" s="25"/>
      <c r="KH152" s="27"/>
      <c r="KI152" s="27"/>
      <c r="KJ152" s="27"/>
      <c r="KK152" s="27"/>
      <c r="KL152" s="27"/>
      <c r="KM152" s="28"/>
      <c r="KN152" s="25"/>
      <c r="KO152" s="27"/>
      <c r="KP152" s="27"/>
      <c r="KQ152" s="27"/>
      <c r="KR152" s="27"/>
      <c r="KS152" s="27"/>
      <c r="KT152" s="28"/>
      <c r="KU152" s="25"/>
      <c r="KV152" s="27"/>
      <c r="KW152" s="27"/>
      <c r="KX152" s="27"/>
      <c r="KY152" s="27"/>
      <c r="KZ152" s="27"/>
      <c r="LA152" s="28"/>
      <c r="LB152" s="25"/>
      <c r="LC152" s="27"/>
      <c r="LD152" s="27"/>
      <c r="LE152" s="27"/>
      <c r="LF152" s="27"/>
      <c r="LG152" s="27"/>
      <c r="LH152" s="28"/>
      <c r="LI152" s="25"/>
      <c r="LJ152" s="27"/>
      <c r="LK152" s="27"/>
      <c r="LL152" s="27"/>
      <c r="LM152" s="27"/>
      <c r="LN152" s="27"/>
      <c r="LO152" s="28"/>
      <c r="LP152" s="25"/>
      <c r="LQ152" s="27"/>
      <c r="LR152" s="27"/>
      <c r="LS152" s="27"/>
      <c r="LT152" s="27"/>
      <c r="LU152" s="27"/>
      <c r="LV152" s="28"/>
      <c r="LW152" s="25"/>
      <c r="LX152" s="27"/>
      <c r="LY152" s="27"/>
      <c r="LZ152" s="27"/>
      <c r="MA152" s="27"/>
      <c r="MB152" s="27"/>
      <c r="MC152" s="28"/>
      <c r="MD152" s="25"/>
      <c r="ME152" s="27"/>
      <c r="MF152" s="27"/>
      <c r="MG152" s="27"/>
      <c r="MH152" s="27"/>
      <c r="MI152" s="27"/>
      <c r="MJ152" s="28"/>
      <c r="MK152" s="25"/>
      <c r="ML152" s="27"/>
      <c r="MM152" s="27"/>
      <c r="MN152" s="27"/>
      <c r="MO152" s="27"/>
      <c r="MP152" s="27"/>
      <c r="MQ152" s="28"/>
      <c r="MR152" s="25"/>
      <c r="MS152" s="27"/>
      <c r="MT152" s="27"/>
      <c r="MU152" s="27"/>
      <c r="MV152" s="27"/>
      <c r="MW152" s="27"/>
      <c r="MX152" s="28"/>
      <c r="MY152" s="25"/>
      <c r="MZ152" s="27"/>
      <c r="NA152" s="27"/>
      <c r="NB152" s="27"/>
      <c r="NC152" s="27"/>
      <c r="ND152" s="27"/>
      <c r="NE152" s="28"/>
      <c r="NF152" s="25"/>
      <c r="NG152" s="27"/>
      <c r="NH152" s="27"/>
      <c r="NI152" s="27"/>
      <c r="NJ152" s="27"/>
      <c r="NK152" s="27"/>
      <c r="NL152" s="28"/>
      <c r="NM152" s="25"/>
      <c r="NN152" s="27"/>
      <c r="NO152" s="27"/>
      <c r="NP152" s="27"/>
      <c r="NQ152" s="27"/>
      <c r="NR152" s="27"/>
      <c r="NS152" s="28"/>
      <c r="NT152" s="25"/>
      <c r="NU152" s="27"/>
      <c r="NV152" s="27"/>
      <c r="NW152" s="27"/>
      <c r="NX152" s="27"/>
      <c r="NY152" s="27"/>
      <c r="NZ152" s="28"/>
      <c r="OA152" s="25"/>
      <c r="OB152" s="27"/>
      <c r="OC152" s="27"/>
      <c r="OD152" s="27"/>
      <c r="OE152" s="27"/>
      <c r="OF152" s="27"/>
      <c r="OG152" s="28"/>
      <c r="OH152" s="25"/>
      <c r="OI152" s="27"/>
      <c r="OJ152" s="27"/>
      <c r="OK152" s="27"/>
      <c r="OL152" s="27"/>
      <c r="OM152" s="27"/>
      <c r="ON152" s="28"/>
      <c r="OO152" s="25"/>
      <c r="OP152" s="27"/>
      <c r="OQ152" s="27"/>
      <c r="OR152" s="27"/>
      <c r="OS152" s="27"/>
      <c r="OT152" s="27"/>
      <c r="OU152" s="28"/>
      <c r="OV152" s="25"/>
      <c r="OW152" s="27"/>
      <c r="OX152" s="27"/>
      <c r="OY152" s="27"/>
      <c r="OZ152" s="27"/>
      <c r="PA152" s="27"/>
      <c r="PB152" s="28"/>
      <c r="PC152" s="25"/>
      <c r="PD152" s="27"/>
      <c r="PE152" s="27"/>
      <c r="PF152" s="27"/>
      <c r="PG152" s="27"/>
      <c r="PH152" s="27"/>
      <c r="PI152" s="28"/>
      <c r="PJ152" s="25"/>
      <c r="PK152" s="27"/>
      <c r="PL152" s="27"/>
      <c r="PM152" s="27"/>
      <c r="PN152" s="27"/>
      <c r="PO152" s="27"/>
      <c r="PP152" s="28"/>
      <c r="PQ152" s="25"/>
      <c r="PR152" s="27"/>
      <c r="PS152" s="27"/>
      <c r="PT152" s="27"/>
      <c r="PU152" s="27"/>
      <c r="PV152" s="27"/>
      <c r="PW152" s="28"/>
      <c r="PX152" s="25"/>
      <c r="PY152" s="27"/>
      <c r="PZ152" s="27"/>
      <c r="QA152" s="27"/>
      <c r="QB152" s="27"/>
      <c r="QC152" s="27"/>
      <c r="QD152" s="28"/>
      <c r="QE152" s="25"/>
      <c r="QF152" s="27"/>
      <c r="QG152" s="27"/>
      <c r="QH152" s="27"/>
      <c r="QI152" s="27"/>
      <c r="QJ152" s="27"/>
      <c r="QK152" s="28"/>
      <c r="QL152" s="25"/>
      <c r="QM152" s="27"/>
      <c r="QN152" s="27"/>
      <c r="QO152" s="27"/>
      <c r="QP152" s="27"/>
      <c r="QQ152" s="27"/>
      <c r="QR152" s="28"/>
      <c r="QS152" s="25"/>
      <c r="QT152" s="27"/>
      <c r="QU152" s="27"/>
      <c r="QV152" s="27"/>
      <c r="QW152" s="27"/>
      <c r="QX152" s="27"/>
      <c r="QY152" s="28"/>
      <c r="QZ152" s="25"/>
      <c r="RA152" s="27"/>
      <c r="RB152" s="27"/>
      <c r="RC152" s="27"/>
      <c r="RD152" s="27"/>
      <c r="RE152" s="27"/>
      <c r="RF152" s="28"/>
      <c r="RG152" s="25"/>
      <c r="RH152" s="27"/>
      <c r="RI152" s="27"/>
      <c r="RJ152" s="27"/>
      <c r="RK152" s="27"/>
      <c r="RL152" s="27"/>
      <c r="RM152" s="28"/>
      <c r="RN152" s="25"/>
      <c r="RO152" s="27"/>
      <c r="RP152" s="27"/>
      <c r="RQ152" s="27"/>
      <c r="RR152" s="27"/>
      <c r="RS152" s="27"/>
      <c r="RT152" s="28"/>
      <c r="RU152" s="25"/>
      <c r="RV152" s="27"/>
      <c r="RW152" s="27"/>
      <c r="RX152" s="27"/>
      <c r="RY152" s="27"/>
      <c r="RZ152" s="27"/>
      <c r="SA152" s="28"/>
      <c r="SB152" s="25"/>
      <c r="SC152" s="27"/>
      <c r="SD152" s="27"/>
      <c r="SE152" s="27"/>
      <c r="SF152" s="27"/>
      <c r="SG152" s="27"/>
      <c r="SH152" s="28"/>
      <c r="SI152" s="25"/>
      <c r="SJ152" s="27"/>
      <c r="SK152" s="27"/>
      <c r="SL152" s="27"/>
      <c r="SM152" s="27"/>
      <c r="SN152" s="27"/>
      <c r="SO152" s="28"/>
      <c r="SP152" s="25"/>
      <c r="SQ152" s="27"/>
      <c r="SR152" s="27"/>
    </row>
    <row r="153" spans="1:512" x14ac:dyDescent="0.15">
      <c r="A153" s="101">
        <f t="shared" ca="1" si="1562"/>
        <v>16</v>
      </c>
      <c r="B153" s="111">
        <v>16</v>
      </c>
      <c r="C153" s="71" t="str">
        <f t="shared" ca="1" si="1555"/>
        <v>Tabea</v>
      </c>
      <c r="D153" s="112">
        <f t="shared" ca="1" si="1563"/>
        <v>240.70000000000005</v>
      </c>
      <c r="E153" s="25"/>
      <c r="F153" s="26"/>
      <c r="G153" s="27"/>
      <c r="H153" s="28"/>
      <c r="I153" s="25"/>
      <c r="J153" s="25"/>
      <c r="K153" s="26"/>
      <c r="L153" s="62"/>
      <c r="M153" s="32" t="s">
        <v>203</v>
      </c>
      <c r="N153" s="62" t="s">
        <v>84</v>
      </c>
      <c r="O153" s="32"/>
      <c r="P153" s="32">
        <f t="shared" ca="1" si="1556"/>
        <v>17</v>
      </c>
      <c r="Q153" s="32" t="str">
        <f t="shared" ca="1" si="1557"/>
        <v>Tobi</v>
      </c>
      <c r="R153" s="113">
        <f t="shared" ca="1" si="1558"/>
        <v>238.8</v>
      </c>
      <c r="S153" s="73">
        <v>16</v>
      </c>
      <c r="T153" s="32">
        <f t="shared" ca="1" si="1561"/>
        <v>238.80016000000001</v>
      </c>
      <c r="U153" s="32"/>
      <c r="V153" s="32"/>
      <c r="W153" s="32"/>
      <c r="X153" s="32"/>
      <c r="Y153" s="63"/>
      <c r="Z153" s="73"/>
      <c r="AA153" s="32"/>
      <c r="AB153" s="32"/>
      <c r="AC153" s="32"/>
      <c r="AD153" s="25"/>
      <c r="AE153" s="25"/>
      <c r="AF153" s="25"/>
      <c r="AG153" s="25"/>
      <c r="AH153" s="25"/>
      <c r="AI153" s="27"/>
      <c r="AJ153" s="27"/>
      <c r="AK153" s="27"/>
      <c r="AL153" s="25"/>
      <c r="AM153" s="25"/>
      <c r="AN153" s="25"/>
      <c r="AO153" s="25"/>
      <c r="AP153" s="27"/>
      <c r="AQ153" s="27"/>
      <c r="AR153" s="27"/>
      <c r="AS153" s="25"/>
      <c r="AT153" s="25"/>
      <c r="AU153" s="25"/>
      <c r="AV153" s="25"/>
      <c r="AW153" s="27"/>
      <c r="AX153" s="27"/>
      <c r="AY153" s="27"/>
      <c r="AZ153" s="25"/>
      <c r="BA153" s="25"/>
      <c r="BB153" s="25"/>
      <c r="BC153" s="25"/>
      <c r="BD153" s="27"/>
      <c r="BE153" s="27"/>
      <c r="BF153" s="25"/>
      <c r="BG153" s="25"/>
      <c r="BH153" s="25"/>
      <c r="BI153" s="25"/>
      <c r="BJ153" s="25"/>
      <c r="BK153" s="27"/>
      <c r="BL153" s="27"/>
      <c r="BM153" s="27"/>
      <c r="BN153" s="25"/>
      <c r="BO153" s="25"/>
      <c r="BP153" s="25"/>
      <c r="BQ153" s="25"/>
      <c r="BR153" s="27"/>
      <c r="BS153" s="27"/>
      <c r="BT153" s="27"/>
      <c r="BU153" s="25"/>
      <c r="BV153" s="25"/>
      <c r="BW153" s="25"/>
      <c r="BX153" s="25"/>
      <c r="BY153" s="27"/>
      <c r="BZ153" s="27"/>
      <c r="CA153" s="27"/>
      <c r="CB153" s="25"/>
      <c r="CC153" s="25"/>
      <c r="CD153" s="25"/>
      <c r="CE153" s="25"/>
      <c r="CF153" s="27"/>
      <c r="CG153" s="27"/>
      <c r="CH153" s="25"/>
      <c r="CI153" s="25"/>
      <c r="CJ153" s="25"/>
      <c r="CK153" s="25"/>
      <c r="CL153" s="25"/>
      <c r="CM153" s="27"/>
      <c r="CN153" s="27"/>
      <c r="CO153" s="27"/>
      <c r="CP153" s="25"/>
      <c r="CQ153" s="25"/>
      <c r="CR153" s="25"/>
      <c r="CS153" s="25"/>
      <c r="CT153" s="27"/>
      <c r="CU153" s="27"/>
      <c r="CV153" s="27"/>
      <c r="CW153" s="25"/>
      <c r="CX153" s="25"/>
      <c r="CY153" s="25"/>
      <c r="CZ153" s="25"/>
      <c r="DA153" s="27"/>
      <c r="DB153" s="27"/>
      <c r="DC153" s="27"/>
      <c r="DD153" s="25"/>
      <c r="DE153" s="25"/>
      <c r="DF153" s="25"/>
      <c r="DG153" s="25"/>
      <c r="DH153" s="27"/>
      <c r="DI153" s="27"/>
      <c r="DJ153" s="25"/>
      <c r="DK153" s="25"/>
      <c r="DL153" s="25"/>
      <c r="DM153" s="25"/>
      <c r="DN153" s="25"/>
      <c r="DO153" s="27"/>
      <c r="DP153" s="27"/>
      <c r="DQ153" s="27"/>
      <c r="DR153" s="25"/>
      <c r="DS153" s="25"/>
      <c r="DT153" s="25"/>
      <c r="DU153" s="25"/>
      <c r="DV153" s="27"/>
      <c r="DW153" s="27"/>
      <c r="DX153" s="27"/>
      <c r="DY153" s="25"/>
      <c r="DZ153" s="25"/>
      <c r="EA153" s="25"/>
      <c r="EB153" s="25"/>
      <c r="EC153" s="27"/>
      <c r="ED153" s="27"/>
      <c r="EE153" s="27"/>
      <c r="EF153" s="25"/>
      <c r="EG153" s="25"/>
      <c r="EH153" s="25"/>
      <c r="EI153" s="25"/>
      <c r="EJ153" s="27"/>
      <c r="EK153" s="27"/>
      <c r="EL153" s="25"/>
      <c r="EM153" s="25"/>
      <c r="EN153" s="25"/>
      <c r="EO153" s="25"/>
      <c r="EP153" s="25"/>
      <c r="EQ153" s="27"/>
      <c r="ER153" s="27"/>
      <c r="ES153" s="27"/>
      <c r="ET153" s="25"/>
      <c r="EU153" s="25"/>
      <c r="EV153" s="25"/>
      <c r="EW153" s="25"/>
      <c r="EX153" s="27"/>
      <c r="EY153" s="27"/>
      <c r="EZ153" s="27"/>
      <c r="FA153" s="25"/>
      <c r="FB153" s="25"/>
      <c r="FC153" s="25"/>
      <c r="FD153" s="25"/>
      <c r="FE153" s="27"/>
      <c r="FF153" s="27"/>
      <c r="FG153" s="27"/>
      <c r="FH153" s="25"/>
      <c r="FI153" s="25"/>
      <c r="FJ153" s="25"/>
      <c r="FK153" s="25"/>
      <c r="FL153" s="27"/>
      <c r="FM153" s="27"/>
      <c r="FN153" s="25"/>
      <c r="FO153" s="25"/>
      <c r="FP153" s="25"/>
      <c r="FQ153" s="25"/>
      <c r="FR153" s="25"/>
      <c r="FS153" s="27"/>
      <c r="FT153" s="27"/>
      <c r="FU153" s="27"/>
      <c r="FV153" s="25"/>
      <c r="FW153" s="25"/>
      <c r="FX153" s="25"/>
      <c r="FY153" s="25"/>
      <c r="FZ153" s="27"/>
      <c r="GA153" s="27"/>
      <c r="GB153" s="27"/>
      <c r="GC153" s="25"/>
      <c r="GD153" s="25"/>
      <c r="GE153" s="25"/>
      <c r="GF153" s="25"/>
      <c r="GG153" s="27"/>
      <c r="GH153" s="27"/>
      <c r="GI153" s="27"/>
      <c r="GJ153" s="25"/>
      <c r="GK153" s="25"/>
      <c r="GL153" s="25"/>
      <c r="GM153" s="25"/>
      <c r="GN153" s="27"/>
      <c r="GO153" s="27"/>
      <c r="GP153" s="25"/>
      <c r="GQ153" s="25"/>
      <c r="GR153" s="25"/>
      <c r="GS153" s="25"/>
      <c r="GT153" s="25"/>
      <c r="GU153" s="27"/>
      <c r="GV153" s="27"/>
      <c r="GW153" s="27"/>
      <c r="GX153" s="25"/>
      <c r="GY153" s="25"/>
      <c r="GZ153" s="25"/>
      <c r="HA153" s="25"/>
      <c r="HB153" s="27"/>
      <c r="HC153" s="27"/>
      <c r="HD153" s="27"/>
      <c r="HE153" s="25"/>
      <c r="HF153" s="25"/>
      <c r="HG153" s="25"/>
      <c r="HH153" s="25"/>
      <c r="HI153" s="27"/>
      <c r="HJ153" s="27"/>
      <c r="HK153" s="27"/>
      <c r="HL153" s="25"/>
      <c r="HM153" s="25"/>
      <c r="HN153" s="25"/>
      <c r="HO153" s="25"/>
      <c r="HP153" s="27"/>
      <c r="HQ153" s="27"/>
      <c r="HR153" s="25"/>
      <c r="HS153" s="25"/>
      <c r="HT153" s="25"/>
      <c r="HU153" s="25"/>
      <c r="HV153" s="25"/>
      <c r="HW153" s="27"/>
      <c r="HX153" s="27"/>
      <c r="HY153" s="27"/>
      <c r="HZ153" s="25"/>
      <c r="IA153" s="25"/>
      <c r="IB153" s="25"/>
      <c r="IC153" s="25"/>
      <c r="ID153" s="27"/>
      <c r="IE153" s="27"/>
      <c r="IF153" s="27"/>
      <c r="IG153" s="25"/>
      <c r="IH153" s="25"/>
      <c r="II153" s="25"/>
      <c r="IJ153" s="25"/>
      <c r="IK153" s="27"/>
      <c r="IL153" s="27"/>
      <c r="IM153" s="27"/>
      <c r="IN153" s="25"/>
      <c r="IO153" s="25"/>
      <c r="IP153" s="25"/>
      <c r="IQ153" s="25"/>
      <c r="IR153" s="27"/>
      <c r="IS153" s="27"/>
      <c r="IT153" s="25"/>
      <c r="IU153" s="25"/>
      <c r="IV153" s="25"/>
      <c r="IW153" s="25"/>
      <c r="IX153" s="25"/>
      <c r="IY153" s="27"/>
      <c r="IZ153" s="27"/>
      <c r="JA153" s="27"/>
      <c r="JB153" s="25"/>
      <c r="JC153" s="25"/>
      <c r="JD153" s="25"/>
      <c r="JE153" s="25"/>
      <c r="JF153" s="27"/>
      <c r="JG153" s="27"/>
      <c r="JH153" s="27"/>
      <c r="JI153" s="25"/>
      <c r="JJ153" s="25"/>
      <c r="JK153" s="25"/>
      <c r="JL153" s="25"/>
      <c r="JM153" s="27"/>
      <c r="JN153" s="27"/>
      <c r="JO153" s="27"/>
      <c r="JP153" s="25"/>
      <c r="JQ153" s="25"/>
      <c r="JR153" s="25"/>
      <c r="JS153" s="25"/>
      <c r="JT153" s="27"/>
      <c r="JU153" s="27"/>
      <c r="JV153" s="25"/>
      <c r="JW153" s="25"/>
      <c r="JX153" s="25"/>
      <c r="JY153" s="25"/>
      <c r="JZ153" s="25"/>
      <c r="KA153" s="27"/>
      <c r="KB153" s="27"/>
      <c r="KC153" s="27"/>
      <c r="KD153" s="25"/>
      <c r="KE153" s="25"/>
      <c r="KF153" s="25"/>
      <c r="KG153" s="25"/>
      <c r="KH153" s="27"/>
      <c r="KI153" s="27"/>
      <c r="KJ153" s="27"/>
      <c r="KK153" s="25"/>
      <c r="KL153" s="25"/>
      <c r="KM153" s="25"/>
      <c r="KN153" s="25"/>
      <c r="KO153" s="27"/>
      <c r="KP153" s="27"/>
      <c r="KQ153" s="27"/>
      <c r="KR153" s="25"/>
      <c r="KS153" s="25"/>
      <c r="KT153" s="25"/>
      <c r="KU153" s="25"/>
      <c r="KV153" s="27"/>
      <c r="KW153" s="27"/>
      <c r="KX153" s="27"/>
      <c r="KY153" s="25"/>
      <c r="KZ153" s="25"/>
      <c r="LA153" s="25"/>
      <c r="LB153" s="25"/>
      <c r="LC153" s="27"/>
      <c r="LD153" s="27"/>
      <c r="LE153" s="27"/>
      <c r="LF153" s="25"/>
      <c r="LG153" s="25"/>
      <c r="LH153" s="25"/>
      <c r="LI153" s="25"/>
      <c r="LJ153" s="27"/>
      <c r="LK153" s="27"/>
      <c r="LL153" s="27"/>
      <c r="LM153" s="25"/>
      <c r="LN153" s="25"/>
      <c r="LO153" s="25"/>
      <c r="LP153" s="25"/>
      <c r="LQ153" s="27"/>
      <c r="LR153" s="27"/>
      <c r="LS153" s="27"/>
      <c r="LT153" s="25"/>
      <c r="LU153" s="25"/>
      <c r="LV153" s="25"/>
      <c r="LW153" s="25"/>
      <c r="LX153" s="27"/>
      <c r="LY153" s="27"/>
      <c r="LZ153" s="27"/>
      <c r="MA153" s="25"/>
      <c r="MB153" s="25"/>
      <c r="MC153" s="25"/>
      <c r="MD153" s="25"/>
      <c r="ME153" s="27"/>
      <c r="MF153" s="27"/>
      <c r="MG153" s="27"/>
      <c r="MH153" s="25"/>
      <c r="MI153" s="25"/>
      <c r="MJ153" s="25"/>
      <c r="MK153" s="25"/>
      <c r="ML153" s="27"/>
      <c r="MM153" s="27"/>
      <c r="MN153" s="27"/>
      <c r="MO153" s="25"/>
      <c r="MP153" s="25"/>
      <c r="MQ153" s="25"/>
      <c r="MR153" s="25"/>
      <c r="MS153" s="27"/>
      <c r="MT153" s="27"/>
      <c r="MU153" s="27"/>
      <c r="MV153" s="25"/>
      <c r="MW153" s="25"/>
      <c r="MX153" s="25"/>
      <c r="MY153" s="25"/>
      <c r="MZ153" s="27"/>
      <c r="NA153" s="27"/>
      <c r="NB153" s="27"/>
      <c r="NC153" s="25"/>
      <c r="ND153" s="25"/>
      <c r="NE153" s="25"/>
      <c r="NF153" s="25"/>
      <c r="NG153" s="27"/>
      <c r="NH153" s="27"/>
      <c r="NI153" s="27"/>
      <c r="NJ153" s="25"/>
      <c r="NK153" s="25"/>
      <c r="NL153" s="25"/>
      <c r="NM153" s="25"/>
      <c r="NN153" s="27"/>
      <c r="NO153" s="27"/>
      <c r="NP153" s="27"/>
      <c r="NQ153" s="25"/>
      <c r="NR153" s="25"/>
      <c r="NS153" s="25"/>
      <c r="NT153" s="25"/>
      <c r="NU153" s="27"/>
      <c r="NV153" s="27"/>
      <c r="NW153" s="27"/>
      <c r="NX153" s="25"/>
      <c r="NY153" s="25"/>
      <c r="NZ153" s="25"/>
      <c r="OA153" s="25"/>
      <c r="OB153" s="27"/>
      <c r="OC153" s="27"/>
      <c r="OD153" s="27"/>
      <c r="OE153" s="25"/>
      <c r="OF153" s="25"/>
      <c r="OG153" s="25"/>
      <c r="OH153" s="25"/>
      <c r="OI153" s="27"/>
      <c r="OJ153" s="27"/>
      <c r="OK153" s="27"/>
      <c r="OL153" s="25"/>
      <c r="OM153" s="25"/>
      <c r="ON153" s="25"/>
      <c r="OO153" s="25"/>
      <c r="OP153" s="27"/>
      <c r="OQ153" s="27"/>
      <c r="OR153" s="27"/>
      <c r="OS153" s="25"/>
      <c r="OT153" s="25"/>
      <c r="OU153" s="25"/>
      <c r="OV153" s="25"/>
      <c r="OW153" s="27"/>
      <c r="OX153" s="27"/>
      <c r="OY153" s="27"/>
      <c r="OZ153" s="25"/>
      <c r="PA153" s="25"/>
      <c r="PB153" s="25"/>
      <c r="PC153" s="25"/>
      <c r="PD153" s="27"/>
      <c r="PE153" s="27"/>
      <c r="PF153" s="27"/>
      <c r="PG153" s="25"/>
      <c r="PH153" s="25"/>
      <c r="PI153" s="25"/>
      <c r="PJ153" s="25"/>
      <c r="PK153" s="27"/>
      <c r="PL153" s="27"/>
      <c r="PM153" s="27"/>
      <c r="PN153" s="25"/>
      <c r="PO153" s="25"/>
      <c r="PP153" s="25"/>
      <c r="PQ153" s="25"/>
      <c r="PR153" s="27"/>
      <c r="PS153" s="27"/>
      <c r="PT153" s="27"/>
      <c r="PU153" s="25"/>
      <c r="PV153" s="25"/>
      <c r="PW153" s="25"/>
      <c r="PX153" s="25"/>
      <c r="PY153" s="27"/>
      <c r="PZ153" s="27"/>
      <c r="QA153" s="27"/>
      <c r="QB153" s="25"/>
      <c r="QC153" s="25"/>
      <c r="QD153" s="25"/>
      <c r="QE153" s="25"/>
      <c r="QF153" s="27"/>
      <c r="QG153" s="27"/>
      <c r="QH153" s="27"/>
      <c r="QI153" s="25"/>
      <c r="QJ153" s="25"/>
      <c r="QK153" s="25"/>
      <c r="QL153" s="25"/>
      <c r="QM153" s="27"/>
      <c r="QN153" s="27"/>
      <c r="QO153" s="27"/>
      <c r="QP153" s="25"/>
      <c r="QQ153" s="25"/>
      <c r="QR153" s="25"/>
      <c r="QS153" s="25"/>
      <c r="QT153" s="27"/>
      <c r="QU153" s="27"/>
      <c r="QV153" s="27"/>
      <c r="QW153" s="25"/>
      <c r="QX153" s="25"/>
      <c r="QY153" s="25"/>
      <c r="QZ153" s="25"/>
      <c r="RA153" s="27"/>
      <c r="RB153" s="27"/>
      <c r="RC153" s="27"/>
      <c r="RD153" s="25"/>
      <c r="RE153" s="25"/>
      <c r="RF153" s="25"/>
      <c r="RG153" s="25"/>
      <c r="RH153" s="27"/>
      <c r="RI153" s="27"/>
      <c r="RJ153" s="27"/>
      <c r="RK153" s="25"/>
      <c r="RL153" s="25"/>
      <c r="RM153" s="25"/>
      <c r="RN153" s="25"/>
      <c r="RO153" s="27"/>
      <c r="RP153" s="27"/>
      <c r="RQ153" s="27"/>
      <c r="RR153" s="25"/>
      <c r="RS153" s="25"/>
      <c r="RT153" s="25"/>
      <c r="RU153" s="25"/>
      <c r="RV153" s="27"/>
      <c r="RW153" s="27"/>
      <c r="RX153" s="27"/>
      <c r="RY153" s="25"/>
      <c r="RZ153" s="25"/>
      <c r="SA153" s="25"/>
      <c r="SB153" s="25"/>
      <c r="SC153" s="27"/>
      <c r="SD153" s="27"/>
      <c r="SE153" s="27"/>
      <c r="SF153" s="25"/>
      <c r="SG153" s="25"/>
      <c r="SH153" s="25"/>
      <c r="SI153" s="25"/>
      <c r="SJ153" s="27"/>
      <c r="SK153" s="27"/>
      <c r="SL153" s="27"/>
      <c r="SM153" s="25"/>
      <c r="SN153" s="25"/>
      <c r="SO153" s="25"/>
      <c r="SP153" s="25"/>
      <c r="SQ153" s="27"/>
      <c r="SR153" s="27"/>
    </row>
    <row r="154" spans="1:512" x14ac:dyDescent="0.15">
      <c r="A154" s="101">
        <f t="shared" ca="1" si="1562"/>
        <v>17</v>
      </c>
      <c r="B154" s="111">
        <v>17</v>
      </c>
      <c r="C154" s="71" t="str">
        <f t="shared" ca="1" si="1555"/>
        <v>Tobi</v>
      </c>
      <c r="D154" s="112">
        <f t="shared" ca="1" si="1563"/>
        <v>238.8</v>
      </c>
      <c r="E154" s="25"/>
      <c r="F154" s="26"/>
      <c r="G154" s="27"/>
      <c r="H154" s="28"/>
      <c r="I154" s="25"/>
      <c r="J154" s="25"/>
      <c r="K154" s="26"/>
      <c r="L154" s="62"/>
      <c r="M154" s="32" t="s">
        <v>204</v>
      </c>
      <c r="N154" s="62" t="s">
        <v>85</v>
      </c>
      <c r="O154" s="32"/>
      <c r="P154" s="32">
        <f t="shared" ca="1" si="1556"/>
        <v>3</v>
      </c>
      <c r="Q154" s="32" t="str">
        <f t="shared" ca="1" si="1557"/>
        <v>Lukas</v>
      </c>
      <c r="R154" s="113">
        <f t="shared" ca="1" si="1558"/>
        <v>261.59999999999997</v>
      </c>
      <c r="S154" s="73">
        <v>17</v>
      </c>
      <c r="T154" s="32">
        <f t="shared" ca="1" si="1561"/>
        <v>261.60016999999999</v>
      </c>
      <c r="U154" s="32"/>
      <c r="V154" s="61"/>
      <c r="W154" s="62"/>
      <c r="X154" s="32"/>
      <c r="Y154" s="63"/>
      <c r="Z154" s="73"/>
      <c r="AA154" s="32"/>
      <c r="AB154" s="32"/>
      <c r="AC154" s="61"/>
      <c r="AD154" s="27"/>
      <c r="AE154" s="27"/>
      <c r="AF154" s="27"/>
      <c r="AG154" s="28"/>
      <c r="AH154" s="25"/>
      <c r="AI154" s="27"/>
      <c r="AJ154" s="27"/>
      <c r="AK154" s="27"/>
      <c r="AL154" s="27"/>
      <c r="AM154" s="27"/>
      <c r="AN154" s="28"/>
      <c r="AO154" s="25"/>
      <c r="AP154" s="27"/>
      <c r="AQ154" s="27"/>
      <c r="AR154" s="27"/>
      <c r="AS154" s="27"/>
      <c r="AT154" s="27"/>
      <c r="AU154" s="28"/>
      <c r="AV154" s="25"/>
      <c r="AW154" s="27"/>
      <c r="AX154" s="27"/>
      <c r="AY154" s="27"/>
      <c r="AZ154" s="27"/>
      <c r="BA154" s="27"/>
      <c r="BB154" s="28"/>
      <c r="BC154" s="25"/>
      <c r="BD154" s="27"/>
      <c r="BE154" s="27"/>
      <c r="BF154" s="27"/>
      <c r="BG154" s="27"/>
      <c r="BH154" s="27"/>
      <c r="BI154" s="28"/>
      <c r="BJ154" s="25"/>
      <c r="BK154" s="27"/>
      <c r="BL154" s="27"/>
      <c r="BM154" s="27"/>
      <c r="BN154" s="27"/>
      <c r="BO154" s="27"/>
      <c r="BP154" s="28"/>
      <c r="BQ154" s="25"/>
      <c r="BR154" s="27"/>
      <c r="BS154" s="27"/>
      <c r="BT154" s="27"/>
      <c r="BU154" s="27"/>
      <c r="BV154" s="27"/>
      <c r="BW154" s="28"/>
      <c r="BX154" s="25"/>
      <c r="BY154" s="27"/>
      <c r="BZ154" s="27"/>
      <c r="CA154" s="27"/>
      <c r="CB154" s="27"/>
      <c r="CC154" s="27"/>
      <c r="CD154" s="28"/>
      <c r="CE154" s="25"/>
      <c r="CF154" s="27"/>
      <c r="CG154" s="27"/>
      <c r="CH154" s="27"/>
      <c r="CI154" s="27"/>
      <c r="CJ154" s="27"/>
      <c r="CK154" s="28"/>
      <c r="CL154" s="25"/>
      <c r="CM154" s="27"/>
      <c r="CN154" s="27"/>
      <c r="CO154" s="27"/>
      <c r="CP154" s="27"/>
      <c r="CQ154" s="27"/>
      <c r="CR154" s="28"/>
      <c r="CS154" s="25"/>
      <c r="CT154" s="27"/>
      <c r="CU154" s="27"/>
      <c r="CV154" s="27"/>
      <c r="CW154" s="27"/>
      <c r="CX154" s="27"/>
      <c r="CY154" s="28"/>
      <c r="CZ154" s="25"/>
      <c r="DA154" s="27"/>
      <c r="DB154" s="27"/>
      <c r="DC154" s="27"/>
      <c r="DD154" s="27"/>
      <c r="DE154" s="27"/>
      <c r="DF154" s="28"/>
      <c r="DG154" s="25"/>
      <c r="DH154" s="27"/>
      <c r="DI154" s="27"/>
      <c r="DJ154" s="27"/>
      <c r="DK154" s="27"/>
      <c r="DL154" s="27"/>
      <c r="DM154" s="28"/>
      <c r="DN154" s="25"/>
      <c r="DO154" s="27"/>
      <c r="DP154" s="27"/>
      <c r="DQ154" s="27"/>
      <c r="DR154" s="27"/>
      <c r="DS154" s="27"/>
      <c r="DT154" s="28"/>
      <c r="DU154" s="25"/>
      <c r="DV154" s="27"/>
      <c r="DW154" s="27"/>
      <c r="DX154" s="27"/>
      <c r="DY154" s="27"/>
      <c r="DZ154" s="27"/>
      <c r="EA154" s="28"/>
      <c r="EB154" s="25"/>
      <c r="EC154" s="27"/>
      <c r="ED154" s="27"/>
      <c r="EE154" s="27"/>
      <c r="EF154" s="27"/>
      <c r="EG154" s="27"/>
      <c r="EH154" s="28"/>
      <c r="EI154" s="25"/>
      <c r="EJ154" s="27"/>
      <c r="EK154" s="27"/>
      <c r="EL154" s="27"/>
      <c r="EM154" s="27"/>
      <c r="EN154" s="27"/>
      <c r="EO154" s="28"/>
      <c r="EP154" s="25"/>
      <c r="EQ154" s="27"/>
      <c r="ER154" s="27"/>
      <c r="ES154" s="27"/>
      <c r="ET154" s="27"/>
      <c r="EU154" s="27"/>
      <c r="EV154" s="28"/>
      <c r="EW154" s="25"/>
      <c r="EX154" s="27"/>
      <c r="EY154" s="27"/>
      <c r="EZ154" s="27"/>
      <c r="FA154" s="27"/>
      <c r="FB154" s="27"/>
      <c r="FC154" s="28"/>
      <c r="FD154" s="25"/>
      <c r="FE154" s="27"/>
      <c r="FF154" s="27"/>
      <c r="FG154" s="27"/>
      <c r="FH154" s="27"/>
      <c r="FI154" s="27"/>
      <c r="FJ154" s="28"/>
      <c r="FK154" s="25"/>
      <c r="FL154" s="27"/>
      <c r="FM154" s="27"/>
      <c r="FN154" s="27"/>
      <c r="FO154" s="27"/>
      <c r="FP154" s="27"/>
      <c r="FQ154" s="28"/>
      <c r="FR154" s="25"/>
      <c r="FS154" s="27"/>
      <c r="FT154" s="27"/>
      <c r="FU154" s="27"/>
      <c r="FV154" s="27"/>
      <c r="FW154" s="27"/>
      <c r="FX154" s="28"/>
      <c r="FY154" s="25"/>
      <c r="FZ154" s="27"/>
      <c r="GA154" s="27"/>
      <c r="GB154" s="27"/>
      <c r="GC154" s="27"/>
      <c r="GD154" s="27"/>
      <c r="GE154" s="28"/>
      <c r="GF154" s="25"/>
      <c r="GG154" s="27"/>
      <c r="GH154" s="27"/>
      <c r="GI154" s="27"/>
      <c r="GJ154" s="27"/>
      <c r="GK154" s="27"/>
      <c r="GL154" s="28"/>
      <c r="GM154" s="25"/>
      <c r="GN154" s="27"/>
      <c r="GO154" s="27"/>
      <c r="GP154" s="27"/>
      <c r="GQ154" s="27"/>
      <c r="GR154" s="27"/>
      <c r="GS154" s="28"/>
      <c r="GT154" s="25"/>
      <c r="GU154" s="27"/>
      <c r="GV154" s="27"/>
      <c r="GW154" s="27"/>
      <c r="GX154" s="27"/>
      <c r="GY154" s="27"/>
      <c r="GZ154" s="28"/>
      <c r="HA154" s="25"/>
      <c r="HB154" s="27"/>
      <c r="HC154" s="27"/>
      <c r="HD154" s="27"/>
      <c r="HE154" s="27"/>
      <c r="HF154" s="27"/>
      <c r="HG154" s="28"/>
      <c r="HH154" s="25"/>
      <c r="HI154" s="27"/>
      <c r="HJ154" s="27"/>
      <c r="HK154" s="27"/>
      <c r="HL154" s="27"/>
      <c r="HM154" s="27"/>
      <c r="HN154" s="28"/>
      <c r="HO154" s="25"/>
      <c r="HP154" s="27"/>
      <c r="HQ154" s="27"/>
      <c r="HR154" s="27"/>
      <c r="HS154" s="27"/>
      <c r="HT154" s="27"/>
      <c r="HU154" s="28"/>
      <c r="HV154" s="25"/>
      <c r="HW154" s="27"/>
      <c r="HX154" s="27"/>
      <c r="HY154" s="27"/>
      <c r="HZ154" s="27"/>
      <c r="IA154" s="27"/>
      <c r="IB154" s="28"/>
      <c r="IC154" s="25"/>
      <c r="ID154" s="27"/>
      <c r="IE154" s="27"/>
      <c r="IF154" s="27"/>
      <c r="IG154" s="27"/>
      <c r="IH154" s="27"/>
      <c r="II154" s="28"/>
      <c r="IJ154" s="25"/>
      <c r="IK154" s="27"/>
      <c r="IL154" s="27"/>
      <c r="IM154" s="27"/>
      <c r="IN154" s="27"/>
      <c r="IO154" s="27"/>
      <c r="IP154" s="28"/>
      <c r="IQ154" s="25"/>
      <c r="IR154" s="27"/>
      <c r="IS154" s="27"/>
      <c r="IT154" s="27"/>
      <c r="IU154" s="27"/>
      <c r="IV154" s="27"/>
      <c r="IW154" s="28"/>
      <c r="IX154" s="25"/>
      <c r="IY154" s="27"/>
      <c r="IZ154" s="27"/>
      <c r="JA154" s="27"/>
      <c r="JB154" s="27"/>
      <c r="JC154" s="27"/>
      <c r="JD154" s="28"/>
      <c r="JE154" s="25"/>
      <c r="JF154" s="27"/>
      <c r="JG154" s="27"/>
      <c r="JH154" s="27"/>
      <c r="JI154" s="27"/>
      <c r="JJ154" s="27"/>
      <c r="JK154" s="28"/>
      <c r="JL154" s="25"/>
      <c r="JM154" s="27"/>
      <c r="JN154" s="27"/>
      <c r="JO154" s="27"/>
      <c r="JP154" s="27"/>
      <c r="JQ154" s="27"/>
      <c r="JR154" s="28"/>
      <c r="JS154" s="25"/>
      <c r="JT154" s="27"/>
      <c r="JU154" s="27"/>
      <c r="JV154" s="27"/>
      <c r="JW154" s="27"/>
      <c r="JX154" s="27"/>
      <c r="JY154" s="28"/>
      <c r="JZ154" s="25"/>
      <c r="KA154" s="27"/>
      <c r="KB154" s="27"/>
      <c r="KC154" s="27"/>
      <c r="KD154" s="27"/>
      <c r="KE154" s="27"/>
      <c r="KF154" s="28"/>
      <c r="KG154" s="25"/>
      <c r="KH154" s="27"/>
      <c r="KI154" s="27"/>
      <c r="KJ154" s="27"/>
      <c r="KK154" s="27"/>
      <c r="KL154" s="27"/>
      <c r="KM154" s="28"/>
      <c r="KN154" s="25"/>
      <c r="KO154" s="27"/>
      <c r="KP154" s="27"/>
      <c r="KQ154" s="27"/>
      <c r="KR154" s="27"/>
      <c r="KS154" s="27"/>
      <c r="KT154" s="28"/>
      <c r="KU154" s="25"/>
      <c r="KV154" s="27"/>
      <c r="KW154" s="27"/>
      <c r="KX154" s="27"/>
      <c r="KY154" s="27"/>
      <c r="KZ154" s="27"/>
      <c r="LA154" s="28"/>
      <c r="LB154" s="25"/>
      <c r="LC154" s="27"/>
      <c r="LD154" s="27"/>
      <c r="LE154" s="27"/>
      <c r="LF154" s="27"/>
      <c r="LG154" s="27"/>
      <c r="LH154" s="28"/>
      <c r="LI154" s="25"/>
      <c r="LJ154" s="27"/>
      <c r="LK154" s="27"/>
      <c r="LL154" s="27"/>
      <c r="LM154" s="27"/>
      <c r="LN154" s="27"/>
      <c r="LO154" s="28"/>
      <c r="LP154" s="25"/>
      <c r="LQ154" s="27"/>
      <c r="LR154" s="27"/>
      <c r="LS154" s="27"/>
      <c r="LT154" s="27"/>
      <c r="LU154" s="27"/>
      <c r="LV154" s="28"/>
      <c r="LW154" s="25"/>
      <c r="LX154" s="27"/>
      <c r="LY154" s="27"/>
      <c r="LZ154" s="27"/>
      <c r="MA154" s="27"/>
      <c r="MB154" s="27"/>
      <c r="MC154" s="28"/>
      <c r="MD154" s="25"/>
      <c r="ME154" s="27"/>
      <c r="MF154" s="27"/>
      <c r="MG154" s="27"/>
      <c r="MH154" s="27"/>
      <c r="MI154" s="27"/>
      <c r="MJ154" s="28"/>
      <c r="MK154" s="25"/>
      <c r="ML154" s="27"/>
      <c r="MM154" s="27"/>
      <c r="MN154" s="27"/>
      <c r="MO154" s="27"/>
      <c r="MP154" s="27"/>
      <c r="MQ154" s="28"/>
      <c r="MR154" s="25"/>
      <c r="MS154" s="27"/>
      <c r="MT154" s="27"/>
      <c r="MU154" s="27"/>
      <c r="MV154" s="27"/>
      <c r="MW154" s="27"/>
      <c r="MX154" s="28"/>
      <c r="MY154" s="25"/>
      <c r="MZ154" s="27"/>
      <c r="NA154" s="27"/>
      <c r="NB154" s="27"/>
      <c r="NC154" s="27"/>
      <c r="ND154" s="27"/>
      <c r="NE154" s="28"/>
      <c r="NF154" s="25"/>
      <c r="NG154" s="27"/>
      <c r="NH154" s="27"/>
      <c r="NI154" s="27"/>
      <c r="NJ154" s="27"/>
      <c r="NK154" s="27"/>
      <c r="NL154" s="28"/>
      <c r="NM154" s="25"/>
      <c r="NN154" s="27"/>
      <c r="NO154" s="27"/>
      <c r="NP154" s="27"/>
      <c r="NQ154" s="27"/>
      <c r="NR154" s="27"/>
      <c r="NS154" s="28"/>
      <c r="NT154" s="25"/>
      <c r="NU154" s="27"/>
      <c r="NV154" s="27"/>
      <c r="NW154" s="27"/>
      <c r="NX154" s="27"/>
      <c r="NY154" s="27"/>
      <c r="NZ154" s="28"/>
      <c r="OA154" s="25"/>
      <c r="OB154" s="27"/>
      <c r="OC154" s="27"/>
      <c r="OD154" s="27"/>
      <c r="OE154" s="27"/>
      <c r="OF154" s="27"/>
      <c r="OG154" s="28"/>
      <c r="OH154" s="25"/>
      <c r="OI154" s="27"/>
      <c r="OJ154" s="27"/>
      <c r="OK154" s="27"/>
      <c r="OL154" s="27"/>
      <c r="OM154" s="27"/>
      <c r="ON154" s="28"/>
      <c r="OO154" s="25"/>
      <c r="OP154" s="27"/>
      <c r="OQ154" s="27"/>
      <c r="OR154" s="27"/>
      <c r="OS154" s="27"/>
      <c r="OT154" s="27"/>
      <c r="OU154" s="28"/>
      <c r="OV154" s="25"/>
      <c r="OW154" s="27"/>
      <c r="OX154" s="27"/>
      <c r="OY154" s="27"/>
      <c r="OZ154" s="27"/>
      <c r="PA154" s="27"/>
      <c r="PB154" s="28"/>
      <c r="PC154" s="25"/>
      <c r="PD154" s="27"/>
      <c r="PE154" s="27"/>
      <c r="PF154" s="27"/>
      <c r="PG154" s="27"/>
      <c r="PH154" s="27"/>
      <c r="PI154" s="28"/>
      <c r="PJ154" s="25"/>
      <c r="PK154" s="27"/>
      <c r="PL154" s="27"/>
      <c r="PM154" s="27"/>
      <c r="PN154" s="27"/>
      <c r="PO154" s="27"/>
      <c r="PP154" s="28"/>
      <c r="PQ154" s="25"/>
      <c r="PR154" s="27"/>
      <c r="PS154" s="27"/>
      <c r="PT154" s="27"/>
      <c r="PU154" s="27"/>
      <c r="PV154" s="27"/>
      <c r="PW154" s="28"/>
      <c r="PX154" s="25"/>
      <c r="PY154" s="27"/>
      <c r="PZ154" s="27"/>
      <c r="QA154" s="27"/>
      <c r="QB154" s="27"/>
      <c r="QC154" s="27"/>
      <c r="QD154" s="28"/>
      <c r="QE154" s="25"/>
      <c r="QF154" s="27"/>
      <c r="QG154" s="27"/>
      <c r="QH154" s="27"/>
      <c r="QI154" s="27"/>
      <c r="QJ154" s="27"/>
      <c r="QK154" s="28"/>
      <c r="QL154" s="25"/>
      <c r="QM154" s="27"/>
      <c r="QN154" s="27"/>
      <c r="QO154" s="27"/>
      <c r="QP154" s="27"/>
      <c r="QQ154" s="27"/>
      <c r="QR154" s="28"/>
      <c r="QS154" s="25"/>
      <c r="QT154" s="27"/>
      <c r="QU154" s="27"/>
      <c r="QV154" s="27"/>
      <c r="QW154" s="27"/>
      <c r="QX154" s="27"/>
      <c r="QY154" s="28"/>
      <c r="QZ154" s="25"/>
      <c r="RA154" s="27"/>
      <c r="RB154" s="27"/>
      <c r="RC154" s="27"/>
      <c r="RD154" s="27"/>
      <c r="RE154" s="27"/>
      <c r="RF154" s="28"/>
      <c r="RG154" s="25"/>
      <c r="RH154" s="27"/>
      <c r="RI154" s="27"/>
      <c r="RJ154" s="27"/>
      <c r="RK154" s="27"/>
      <c r="RL154" s="27"/>
      <c r="RM154" s="28"/>
      <c r="RN154" s="25"/>
      <c r="RO154" s="27"/>
      <c r="RP154" s="27"/>
      <c r="RQ154" s="27"/>
      <c r="RR154" s="27"/>
      <c r="RS154" s="27"/>
      <c r="RT154" s="28"/>
      <c r="RU154" s="25"/>
      <c r="RV154" s="27"/>
      <c r="RW154" s="27"/>
      <c r="RX154" s="27"/>
      <c r="RY154" s="27"/>
      <c r="RZ154" s="27"/>
      <c r="SA154" s="28"/>
      <c r="SB154" s="25"/>
      <c r="SC154" s="27"/>
      <c r="SD154" s="27"/>
      <c r="SE154" s="27"/>
      <c r="SF154" s="27"/>
      <c r="SG154" s="27"/>
      <c r="SH154" s="28"/>
      <c r="SI154" s="25"/>
      <c r="SJ154" s="27"/>
      <c r="SK154" s="27"/>
      <c r="SL154" s="27"/>
      <c r="SM154" s="27"/>
      <c r="SN154" s="27"/>
      <c r="SO154" s="28"/>
      <c r="SP154" s="25"/>
      <c r="SQ154" s="27"/>
      <c r="SR154" s="27"/>
    </row>
    <row r="155" spans="1:512" x14ac:dyDescent="0.15">
      <c r="A155" s="101">
        <f t="shared" ca="1" si="1562"/>
        <v>18</v>
      </c>
      <c r="B155" s="111">
        <v>18</v>
      </c>
      <c r="C155" s="71" t="str">
        <f t="shared" ca="1" si="1555"/>
        <v>Evelyn</v>
      </c>
      <c r="D155" s="112">
        <f t="shared" ca="1" si="1563"/>
        <v>237.89999999999995</v>
      </c>
      <c r="E155" s="25"/>
      <c r="F155" s="26"/>
      <c r="G155" s="27"/>
      <c r="H155" s="28"/>
      <c r="I155" s="25"/>
      <c r="J155" s="25"/>
      <c r="K155" s="26"/>
      <c r="L155" s="62"/>
      <c r="M155" s="61" t="s">
        <v>205</v>
      </c>
      <c r="N155" s="63" t="s">
        <v>86</v>
      </c>
      <c r="O155" s="32"/>
      <c r="P155" s="32">
        <f t="shared" ca="1" si="1556"/>
        <v>13</v>
      </c>
      <c r="Q155" s="32" t="str">
        <f t="shared" ca="1" si="1557"/>
        <v>Cathrin</v>
      </c>
      <c r="R155" s="113">
        <f t="shared" ca="1" si="1558"/>
        <v>246.00000000000006</v>
      </c>
      <c r="S155" s="73">
        <v>18</v>
      </c>
      <c r="T155" s="32">
        <f t="shared" ca="1" si="1561"/>
        <v>246.00018000000006</v>
      </c>
      <c r="U155" s="32"/>
      <c r="V155" s="61"/>
      <c r="W155" s="62"/>
      <c r="X155" s="32"/>
      <c r="Y155" s="63"/>
      <c r="Z155" s="73"/>
      <c r="AA155" s="32"/>
      <c r="AB155" s="32"/>
      <c r="AC155" s="61"/>
      <c r="AD155" s="27"/>
      <c r="AE155" s="27"/>
      <c r="AF155" s="27"/>
      <c r="AG155" s="28"/>
      <c r="AH155" s="25"/>
      <c r="AI155" s="27"/>
      <c r="AJ155" s="27"/>
      <c r="AK155" s="27"/>
      <c r="AL155" s="27"/>
      <c r="AM155" s="27"/>
      <c r="AN155" s="28"/>
      <c r="AO155" s="25"/>
      <c r="AP155" s="27"/>
      <c r="AQ155" s="27"/>
      <c r="AR155" s="27"/>
      <c r="AS155" s="27"/>
      <c r="AT155" s="27"/>
      <c r="AU155" s="28"/>
      <c r="AV155" s="25"/>
      <c r="AW155" s="27"/>
      <c r="AX155" s="27"/>
      <c r="AY155" s="27"/>
      <c r="AZ155" s="27"/>
      <c r="BA155" s="27"/>
      <c r="BB155" s="28"/>
      <c r="BC155" s="25"/>
      <c r="BD155" s="27"/>
      <c r="BE155" s="27"/>
      <c r="BF155" s="27"/>
      <c r="BG155" s="27"/>
      <c r="BH155" s="27"/>
      <c r="BI155" s="28"/>
      <c r="BJ155" s="25"/>
      <c r="BK155" s="27"/>
      <c r="BL155" s="27"/>
      <c r="BM155" s="27"/>
      <c r="BN155" s="27"/>
      <c r="BO155" s="27"/>
      <c r="BP155" s="28"/>
      <c r="BQ155" s="25"/>
      <c r="BR155" s="27"/>
      <c r="BS155" s="27"/>
      <c r="BT155" s="27"/>
      <c r="BU155" s="27"/>
      <c r="BV155" s="27"/>
      <c r="BW155" s="28"/>
      <c r="BX155" s="25"/>
      <c r="BY155" s="27"/>
      <c r="BZ155" s="27"/>
      <c r="CA155" s="27"/>
      <c r="CB155" s="27"/>
      <c r="CC155" s="27"/>
      <c r="CD155" s="28"/>
      <c r="CE155" s="25"/>
      <c r="CF155" s="27"/>
      <c r="CG155" s="27"/>
      <c r="CH155" s="27"/>
      <c r="CI155" s="27"/>
      <c r="CJ155" s="27"/>
      <c r="CK155" s="28"/>
      <c r="CL155" s="25"/>
      <c r="CM155" s="27"/>
      <c r="CN155" s="27"/>
      <c r="CO155" s="27"/>
      <c r="CP155" s="27"/>
      <c r="CQ155" s="27"/>
      <c r="CR155" s="28"/>
      <c r="CS155" s="25"/>
      <c r="CT155" s="27"/>
      <c r="CU155" s="27"/>
      <c r="CV155" s="27"/>
      <c r="CW155" s="27"/>
      <c r="CX155" s="27"/>
      <c r="CY155" s="28"/>
      <c r="CZ155" s="25"/>
      <c r="DA155" s="27"/>
      <c r="DB155" s="27"/>
      <c r="DC155" s="27"/>
      <c r="DD155" s="27"/>
      <c r="DE155" s="27"/>
      <c r="DF155" s="28"/>
      <c r="DG155" s="25"/>
      <c r="DH155" s="27"/>
      <c r="DI155" s="27"/>
      <c r="DJ155" s="27"/>
      <c r="DK155" s="27"/>
      <c r="DL155" s="27"/>
      <c r="DM155" s="28"/>
      <c r="DN155" s="25"/>
      <c r="DO155" s="27"/>
      <c r="DP155" s="27"/>
      <c r="DQ155" s="27"/>
      <c r="DR155" s="27"/>
      <c r="DS155" s="27"/>
      <c r="DT155" s="28"/>
      <c r="DU155" s="25"/>
      <c r="DV155" s="27"/>
      <c r="DW155" s="27"/>
      <c r="DX155" s="27"/>
      <c r="DY155" s="27"/>
      <c r="DZ155" s="27"/>
      <c r="EA155" s="28"/>
      <c r="EB155" s="25"/>
      <c r="EC155" s="27"/>
      <c r="ED155" s="27"/>
      <c r="EE155" s="27"/>
      <c r="EF155" s="27"/>
      <c r="EG155" s="27"/>
      <c r="EH155" s="28"/>
      <c r="EI155" s="25"/>
      <c r="EJ155" s="27"/>
      <c r="EK155" s="27"/>
      <c r="EL155" s="27"/>
      <c r="EM155" s="27"/>
      <c r="EN155" s="27"/>
      <c r="EO155" s="28"/>
      <c r="EP155" s="25"/>
      <c r="EQ155" s="27"/>
      <c r="ER155" s="27"/>
      <c r="ES155" s="27"/>
      <c r="ET155" s="27"/>
      <c r="EU155" s="27"/>
      <c r="EV155" s="28"/>
      <c r="EW155" s="25"/>
      <c r="EX155" s="27"/>
      <c r="EY155" s="27"/>
      <c r="EZ155" s="27"/>
      <c r="FA155" s="27"/>
      <c r="FB155" s="27"/>
      <c r="FC155" s="28"/>
      <c r="FD155" s="25"/>
      <c r="FE155" s="27"/>
      <c r="FF155" s="27"/>
      <c r="FG155" s="27"/>
      <c r="FH155" s="27"/>
      <c r="FI155" s="27"/>
      <c r="FJ155" s="28"/>
      <c r="FK155" s="25"/>
      <c r="FL155" s="27"/>
      <c r="FM155" s="27"/>
      <c r="FN155" s="27"/>
      <c r="FO155" s="27"/>
      <c r="FP155" s="27"/>
      <c r="FQ155" s="28"/>
      <c r="FR155" s="25"/>
      <c r="FS155" s="27"/>
      <c r="FT155" s="27"/>
      <c r="FU155" s="27"/>
      <c r="FV155" s="27"/>
      <c r="FW155" s="27"/>
      <c r="FX155" s="28"/>
      <c r="FY155" s="25"/>
      <c r="FZ155" s="27"/>
      <c r="GA155" s="27"/>
      <c r="GB155" s="27"/>
      <c r="GC155" s="27"/>
      <c r="GD155" s="27"/>
      <c r="GE155" s="28"/>
      <c r="GF155" s="25"/>
      <c r="GG155" s="27"/>
      <c r="GH155" s="27"/>
      <c r="GI155" s="27"/>
      <c r="GJ155" s="27"/>
      <c r="GK155" s="27"/>
      <c r="GL155" s="28"/>
      <c r="GM155" s="25"/>
      <c r="GN155" s="27"/>
      <c r="GO155" s="27"/>
      <c r="GP155" s="27"/>
      <c r="GQ155" s="27"/>
      <c r="GR155" s="27"/>
      <c r="GS155" s="28"/>
      <c r="GT155" s="25"/>
      <c r="GU155" s="27"/>
      <c r="GV155" s="27"/>
      <c r="GW155" s="27"/>
      <c r="GX155" s="27"/>
      <c r="GY155" s="27"/>
      <c r="GZ155" s="28"/>
      <c r="HA155" s="25"/>
      <c r="HB155" s="27"/>
      <c r="HC155" s="27"/>
      <c r="HD155" s="27"/>
      <c r="HE155" s="27"/>
      <c r="HF155" s="27"/>
      <c r="HG155" s="28"/>
      <c r="HH155" s="25"/>
      <c r="HI155" s="27"/>
      <c r="HJ155" s="27"/>
      <c r="HK155" s="27"/>
      <c r="HL155" s="27"/>
      <c r="HM155" s="27"/>
      <c r="HN155" s="28"/>
      <c r="HO155" s="25"/>
      <c r="HP155" s="27"/>
      <c r="HQ155" s="27"/>
      <c r="HR155" s="27"/>
      <c r="HS155" s="27"/>
      <c r="HT155" s="27"/>
      <c r="HU155" s="28"/>
      <c r="HV155" s="25"/>
      <c r="HW155" s="27"/>
      <c r="HX155" s="27"/>
      <c r="HY155" s="27"/>
      <c r="HZ155" s="27"/>
      <c r="IA155" s="27"/>
      <c r="IB155" s="28"/>
      <c r="IC155" s="25"/>
      <c r="ID155" s="27"/>
      <c r="IE155" s="27"/>
      <c r="IF155" s="27"/>
      <c r="IG155" s="27"/>
      <c r="IH155" s="27"/>
      <c r="II155" s="28"/>
      <c r="IJ155" s="25"/>
      <c r="IK155" s="27"/>
      <c r="IL155" s="27"/>
      <c r="IM155" s="27"/>
      <c r="IN155" s="27"/>
      <c r="IO155" s="27"/>
      <c r="IP155" s="28"/>
      <c r="IQ155" s="25"/>
      <c r="IR155" s="27"/>
      <c r="IS155" s="27"/>
      <c r="IT155" s="27"/>
      <c r="IU155" s="27"/>
      <c r="IV155" s="27"/>
      <c r="IW155" s="28"/>
      <c r="IX155" s="25"/>
      <c r="IY155" s="27"/>
      <c r="IZ155" s="27"/>
      <c r="JA155" s="27"/>
      <c r="JB155" s="27"/>
      <c r="JC155" s="27"/>
      <c r="JD155" s="28"/>
      <c r="JE155" s="25"/>
      <c r="JF155" s="27"/>
      <c r="JG155" s="27"/>
      <c r="JH155" s="27"/>
      <c r="JI155" s="27"/>
      <c r="JJ155" s="27"/>
      <c r="JK155" s="28"/>
      <c r="JL155" s="25"/>
      <c r="JM155" s="27"/>
      <c r="JN155" s="27"/>
      <c r="JO155" s="27"/>
      <c r="JP155" s="27"/>
      <c r="JQ155" s="27"/>
      <c r="JR155" s="28"/>
      <c r="JS155" s="25"/>
      <c r="JT155" s="27"/>
      <c r="JU155" s="27"/>
      <c r="JV155" s="27"/>
      <c r="JW155" s="27"/>
      <c r="JX155" s="27"/>
      <c r="JY155" s="28"/>
      <c r="JZ155" s="25"/>
      <c r="KA155" s="27"/>
      <c r="KB155" s="27"/>
      <c r="KC155" s="27"/>
      <c r="KD155" s="27"/>
      <c r="KE155" s="27"/>
      <c r="KF155" s="28"/>
      <c r="KG155" s="25"/>
      <c r="KH155" s="27"/>
      <c r="KI155" s="27"/>
      <c r="KJ155" s="27"/>
      <c r="KK155" s="27"/>
      <c r="KL155" s="27"/>
      <c r="KM155" s="28"/>
      <c r="KN155" s="25"/>
      <c r="KO155" s="27"/>
      <c r="KP155" s="27"/>
      <c r="KQ155" s="27"/>
      <c r="KR155" s="27"/>
      <c r="KS155" s="27"/>
      <c r="KT155" s="28"/>
      <c r="KU155" s="25"/>
      <c r="KV155" s="27"/>
      <c r="KW155" s="27"/>
      <c r="KX155" s="27"/>
      <c r="KY155" s="27"/>
      <c r="KZ155" s="27"/>
      <c r="LA155" s="28"/>
      <c r="LB155" s="25"/>
      <c r="LC155" s="27"/>
      <c r="LD155" s="27"/>
      <c r="LE155" s="27"/>
      <c r="LF155" s="27"/>
      <c r="LG155" s="27"/>
      <c r="LH155" s="28"/>
      <c r="LI155" s="25"/>
      <c r="LJ155" s="27"/>
      <c r="LK155" s="27"/>
      <c r="LL155" s="27"/>
      <c r="LM155" s="27"/>
      <c r="LN155" s="27"/>
      <c r="LO155" s="28"/>
      <c r="LP155" s="25"/>
      <c r="LQ155" s="27"/>
      <c r="LR155" s="27"/>
      <c r="LS155" s="27"/>
      <c r="LT155" s="27"/>
      <c r="LU155" s="27"/>
      <c r="LV155" s="28"/>
      <c r="LW155" s="25"/>
      <c r="LX155" s="27"/>
      <c r="LY155" s="27"/>
      <c r="LZ155" s="27"/>
      <c r="MA155" s="27"/>
      <c r="MB155" s="27"/>
      <c r="MC155" s="28"/>
      <c r="MD155" s="25"/>
      <c r="ME155" s="27"/>
      <c r="MF155" s="27"/>
      <c r="MG155" s="27"/>
      <c r="MH155" s="27"/>
      <c r="MI155" s="27"/>
      <c r="MJ155" s="28"/>
      <c r="MK155" s="25"/>
      <c r="ML155" s="27"/>
      <c r="MM155" s="27"/>
      <c r="MN155" s="27"/>
      <c r="MO155" s="27"/>
      <c r="MP155" s="27"/>
      <c r="MQ155" s="28"/>
      <c r="MR155" s="25"/>
      <c r="MS155" s="27"/>
      <c r="MT155" s="27"/>
      <c r="MU155" s="27"/>
      <c r="MV155" s="27"/>
      <c r="MW155" s="27"/>
      <c r="MX155" s="28"/>
      <c r="MY155" s="25"/>
      <c r="MZ155" s="27"/>
      <c r="NA155" s="27"/>
      <c r="NB155" s="27"/>
      <c r="NC155" s="27"/>
      <c r="ND155" s="27"/>
      <c r="NE155" s="28"/>
      <c r="NF155" s="25"/>
      <c r="NG155" s="27"/>
      <c r="NH155" s="27"/>
      <c r="NI155" s="27"/>
      <c r="NJ155" s="27"/>
      <c r="NK155" s="27"/>
      <c r="NL155" s="28"/>
      <c r="NM155" s="25"/>
      <c r="NN155" s="27"/>
      <c r="NO155" s="27"/>
      <c r="NP155" s="27"/>
      <c r="NQ155" s="27"/>
      <c r="NR155" s="27"/>
      <c r="NS155" s="28"/>
      <c r="NT155" s="25"/>
      <c r="NU155" s="27"/>
      <c r="NV155" s="27"/>
      <c r="NW155" s="27"/>
      <c r="NX155" s="27"/>
      <c r="NY155" s="27"/>
      <c r="NZ155" s="28"/>
      <c r="OA155" s="25"/>
      <c r="OB155" s="27"/>
      <c r="OC155" s="27"/>
      <c r="OD155" s="27"/>
      <c r="OE155" s="27"/>
      <c r="OF155" s="27"/>
      <c r="OG155" s="28"/>
      <c r="OH155" s="25"/>
      <c r="OI155" s="27"/>
      <c r="OJ155" s="27"/>
      <c r="OK155" s="27"/>
      <c r="OL155" s="27"/>
      <c r="OM155" s="27"/>
      <c r="ON155" s="28"/>
      <c r="OO155" s="25"/>
      <c r="OP155" s="27"/>
      <c r="OQ155" s="27"/>
      <c r="OR155" s="27"/>
      <c r="OS155" s="27"/>
      <c r="OT155" s="27"/>
      <c r="OU155" s="28"/>
      <c r="OV155" s="25"/>
      <c r="OW155" s="27"/>
      <c r="OX155" s="27"/>
      <c r="OY155" s="27"/>
      <c r="OZ155" s="27"/>
      <c r="PA155" s="27"/>
      <c r="PB155" s="28"/>
      <c r="PC155" s="25"/>
      <c r="PD155" s="27"/>
      <c r="PE155" s="27"/>
      <c r="PF155" s="27"/>
      <c r="PG155" s="27"/>
      <c r="PH155" s="27"/>
      <c r="PI155" s="28"/>
      <c r="PJ155" s="25"/>
      <c r="PK155" s="27"/>
      <c r="PL155" s="27"/>
      <c r="PM155" s="27"/>
      <c r="PN155" s="27"/>
      <c r="PO155" s="27"/>
      <c r="PP155" s="28"/>
      <c r="PQ155" s="25"/>
      <c r="PR155" s="27"/>
      <c r="PS155" s="27"/>
      <c r="PT155" s="27"/>
      <c r="PU155" s="27"/>
      <c r="PV155" s="27"/>
      <c r="PW155" s="28"/>
      <c r="PX155" s="25"/>
      <c r="PY155" s="27"/>
      <c r="PZ155" s="27"/>
      <c r="QA155" s="27"/>
      <c r="QB155" s="27"/>
      <c r="QC155" s="27"/>
      <c r="QD155" s="28"/>
      <c r="QE155" s="25"/>
      <c r="QF155" s="27"/>
      <c r="QG155" s="27"/>
      <c r="QH155" s="27"/>
      <c r="QI155" s="27"/>
      <c r="QJ155" s="27"/>
      <c r="QK155" s="28"/>
      <c r="QL155" s="25"/>
      <c r="QM155" s="27"/>
      <c r="QN155" s="27"/>
      <c r="QO155" s="27"/>
      <c r="QP155" s="27"/>
      <c r="QQ155" s="27"/>
      <c r="QR155" s="28"/>
      <c r="QS155" s="25"/>
      <c r="QT155" s="27"/>
      <c r="QU155" s="27"/>
      <c r="QV155" s="27"/>
      <c r="QW155" s="27"/>
      <c r="QX155" s="27"/>
      <c r="QY155" s="28"/>
      <c r="QZ155" s="25"/>
      <c r="RA155" s="27"/>
      <c r="RB155" s="27"/>
      <c r="RC155" s="27"/>
      <c r="RD155" s="27"/>
      <c r="RE155" s="27"/>
      <c r="RF155" s="28"/>
      <c r="RG155" s="25"/>
      <c r="RH155" s="27"/>
      <c r="RI155" s="27"/>
      <c r="RJ155" s="27"/>
      <c r="RK155" s="27"/>
      <c r="RL155" s="27"/>
      <c r="RM155" s="28"/>
      <c r="RN155" s="25"/>
      <c r="RO155" s="27"/>
      <c r="RP155" s="27"/>
      <c r="RQ155" s="27"/>
      <c r="RR155" s="27"/>
      <c r="RS155" s="27"/>
      <c r="RT155" s="28"/>
      <c r="RU155" s="25"/>
      <c r="RV155" s="27"/>
      <c r="RW155" s="27"/>
      <c r="RX155" s="27"/>
      <c r="RY155" s="27"/>
      <c r="RZ155" s="27"/>
      <c r="SA155" s="28"/>
      <c r="SB155" s="25"/>
      <c r="SC155" s="27"/>
      <c r="SD155" s="27"/>
      <c r="SE155" s="27"/>
      <c r="SF155" s="27"/>
      <c r="SG155" s="27"/>
      <c r="SH155" s="28"/>
      <c r="SI155" s="25"/>
      <c r="SJ155" s="27"/>
      <c r="SK155" s="27"/>
      <c r="SL155" s="27"/>
      <c r="SM155" s="27"/>
      <c r="SN155" s="27"/>
      <c r="SO155" s="28"/>
      <c r="SP155" s="25"/>
      <c r="SQ155" s="27"/>
      <c r="SR155" s="27"/>
    </row>
    <row r="156" spans="1:512" x14ac:dyDescent="0.15">
      <c r="A156" s="101">
        <f t="shared" ca="1" si="1562"/>
        <v>19</v>
      </c>
      <c r="B156" s="111">
        <v>19</v>
      </c>
      <c r="C156" s="71" t="str">
        <f t="shared" ca="1" si="1555"/>
        <v>Basti</v>
      </c>
      <c r="D156" s="112">
        <f t="shared" ca="1" si="1563"/>
        <v>237.79999999999993</v>
      </c>
      <c r="E156" s="25"/>
      <c r="F156" s="26"/>
      <c r="G156" s="27"/>
      <c r="H156" s="28"/>
      <c r="I156" s="25"/>
      <c r="J156" s="25"/>
      <c r="K156" s="26"/>
      <c r="L156" s="62"/>
      <c r="M156" s="62" t="s">
        <v>206</v>
      </c>
      <c r="N156" s="32" t="s">
        <v>87</v>
      </c>
      <c r="O156" s="32"/>
      <c r="P156" s="32">
        <f t="shared" ca="1" si="1556"/>
        <v>39</v>
      </c>
      <c r="Q156" s="32" t="str">
        <f t="shared" ca="1" si="1557"/>
        <v>Vroni</v>
      </c>
      <c r="R156" s="113">
        <f t="shared" ca="1" si="1558"/>
        <v>219.1</v>
      </c>
      <c r="S156" s="73">
        <v>19</v>
      </c>
      <c r="T156" s="32">
        <f t="shared" ca="1" si="1561"/>
        <v>219.10019</v>
      </c>
      <c r="U156" s="32"/>
      <c r="V156" s="61"/>
      <c r="W156" s="62"/>
      <c r="X156" s="32"/>
      <c r="Y156" s="63"/>
      <c r="Z156" s="73"/>
      <c r="AA156" s="32"/>
      <c r="AB156" s="32"/>
      <c r="AC156" s="61"/>
      <c r="AD156" s="27"/>
      <c r="AE156" s="27"/>
      <c r="AF156" s="27"/>
      <c r="AG156" s="28"/>
      <c r="AH156" s="25"/>
      <c r="AI156" s="27"/>
      <c r="AJ156" s="27"/>
      <c r="AK156" s="27"/>
      <c r="AL156" s="27"/>
      <c r="AM156" s="27"/>
      <c r="AN156" s="28"/>
      <c r="AO156" s="25"/>
      <c r="AP156" s="27"/>
      <c r="AQ156" s="27"/>
      <c r="AR156" s="27"/>
      <c r="AS156" s="27"/>
      <c r="AT156" s="27"/>
      <c r="AU156" s="28"/>
      <c r="AV156" s="25"/>
      <c r="AW156" s="27"/>
      <c r="AX156" s="27"/>
      <c r="AY156" s="27"/>
      <c r="AZ156" s="27"/>
      <c r="BA156" s="27"/>
      <c r="BB156" s="28"/>
      <c r="BC156" s="25"/>
      <c r="BD156" s="27"/>
      <c r="BE156" s="27"/>
      <c r="BF156" s="27"/>
      <c r="BG156" s="27"/>
      <c r="BH156" s="27"/>
      <c r="BI156" s="28"/>
      <c r="BJ156" s="25"/>
      <c r="BK156" s="27"/>
      <c r="BL156" s="27"/>
      <c r="BM156" s="27"/>
      <c r="BN156" s="27"/>
      <c r="BO156" s="27"/>
      <c r="BP156" s="28"/>
      <c r="BQ156" s="25"/>
      <c r="BR156" s="27"/>
      <c r="BS156" s="27"/>
      <c r="BT156" s="27"/>
      <c r="BU156" s="27"/>
      <c r="BV156" s="27"/>
      <c r="BW156" s="28"/>
      <c r="BX156" s="25"/>
      <c r="BY156" s="27"/>
      <c r="BZ156" s="27"/>
      <c r="CA156" s="27"/>
      <c r="CB156" s="27"/>
      <c r="CC156" s="27"/>
      <c r="CD156" s="28"/>
      <c r="CE156" s="25"/>
      <c r="CF156" s="27"/>
      <c r="CG156" s="27"/>
      <c r="CH156" s="27"/>
      <c r="CI156" s="27"/>
      <c r="CJ156" s="27"/>
      <c r="CK156" s="28"/>
      <c r="CL156" s="25"/>
      <c r="CM156" s="27"/>
      <c r="CN156" s="27"/>
      <c r="CO156" s="27"/>
      <c r="CP156" s="27"/>
      <c r="CQ156" s="27"/>
      <c r="CR156" s="28"/>
      <c r="CS156" s="25"/>
      <c r="CT156" s="27"/>
      <c r="CU156" s="27"/>
      <c r="CV156" s="27"/>
      <c r="CW156" s="27"/>
      <c r="CX156" s="27"/>
      <c r="CY156" s="28"/>
      <c r="CZ156" s="25"/>
      <c r="DA156" s="27"/>
      <c r="DB156" s="27"/>
      <c r="DC156" s="27"/>
      <c r="DD156" s="27"/>
      <c r="DE156" s="27"/>
      <c r="DF156" s="28"/>
      <c r="DG156" s="25"/>
      <c r="DH156" s="27"/>
      <c r="DI156" s="27"/>
      <c r="DJ156" s="27"/>
      <c r="DK156" s="27"/>
      <c r="DL156" s="27"/>
      <c r="DM156" s="28"/>
      <c r="DN156" s="25"/>
      <c r="DO156" s="27"/>
      <c r="DP156" s="27"/>
      <c r="DQ156" s="27"/>
      <c r="DR156" s="27"/>
      <c r="DS156" s="27"/>
      <c r="DT156" s="28"/>
      <c r="DU156" s="25"/>
      <c r="DV156" s="27"/>
      <c r="DW156" s="27"/>
      <c r="DX156" s="27"/>
      <c r="DY156" s="27"/>
      <c r="DZ156" s="27"/>
      <c r="EA156" s="28"/>
      <c r="EB156" s="25"/>
      <c r="EC156" s="27"/>
      <c r="ED156" s="27"/>
      <c r="EE156" s="27"/>
      <c r="EF156" s="27"/>
      <c r="EG156" s="27"/>
      <c r="EH156" s="28"/>
      <c r="EI156" s="25"/>
      <c r="EJ156" s="27"/>
      <c r="EK156" s="27"/>
      <c r="EL156" s="27"/>
      <c r="EM156" s="27"/>
      <c r="EN156" s="27"/>
      <c r="EO156" s="28"/>
      <c r="EP156" s="25"/>
      <c r="EQ156" s="27"/>
      <c r="ER156" s="27"/>
      <c r="ES156" s="27"/>
      <c r="ET156" s="27"/>
      <c r="EU156" s="27"/>
      <c r="EV156" s="28"/>
      <c r="EW156" s="25"/>
      <c r="EX156" s="27"/>
      <c r="EY156" s="27"/>
      <c r="EZ156" s="27"/>
      <c r="FA156" s="27"/>
      <c r="FB156" s="27"/>
      <c r="FC156" s="28"/>
      <c r="FD156" s="25"/>
      <c r="FE156" s="27"/>
      <c r="FF156" s="27"/>
      <c r="FG156" s="27"/>
      <c r="FH156" s="27"/>
      <c r="FI156" s="27"/>
      <c r="FJ156" s="28"/>
      <c r="FK156" s="25"/>
      <c r="FL156" s="27"/>
      <c r="FM156" s="27"/>
      <c r="FN156" s="27"/>
      <c r="FO156" s="27"/>
      <c r="FP156" s="27"/>
      <c r="FQ156" s="28"/>
      <c r="FR156" s="25"/>
      <c r="FS156" s="27"/>
      <c r="FT156" s="27"/>
      <c r="FU156" s="27"/>
      <c r="FV156" s="27"/>
      <c r="FW156" s="27"/>
      <c r="FX156" s="28"/>
      <c r="FY156" s="25"/>
      <c r="FZ156" s="27"/>
      <c r="GA156" s="27"/>
      <c r="GB156" s="27"/>
      <c r="GC156" s="27"/>
      <c r="GD156" s="27"/>
      <c r="GE156" s="28"/>
      <c r="GF156" s="25"/>
      <c r="GG156" s="27"/>
      <c r="GH156" s="27"/>
      <c r="GI156" s="27"/>
      <c r="GJ156" s="27"/>
      <c r="GK156" s="27"/>
      <c r="GL156" s="28"/>
      <c r="GM156" s="25"/>
      <c r="GN156" s="27"/>
      <c r="GO156" s="27"/>
      <c r="GP156" s="27"/>
      <c r="GQ156" s="27"/>
      <c r="GR156" s="27"/>
      <c r="GS156" s="28"/>
      <c r="GT156" s="25"/>
      <c r="GU156" s="27"/>
      <c r="GV156" s="27"/>
      <c r="GW156" s="27"/>
      <c r="GX156" s="27"/>
      <c r="GY156" s="27"/>
      <c r="GZ156" s="28"/>
      <c r="HA156" s="25"/>
      <c r="HB156" s="27"/>
      <c r="HC156" s="27"/>
      <c r="HD156" s="27"/>
      <c r="HE156" s="27"/>
      <c r="HF156" s="27"/>
      <c r="HG156" s="28"/>
      <c r="HH156" s="25"/>
      <c r="HI156" s="27"/>
      <c r="HJ156" s="27"/>
      <c r="HK156" s="27"/>
      <c r="HL156" s="27"/>
      <c r="HM156" s="27"/>
      <c r="HN156" s="28"/>
      <c r="HO156" s="25"/>
      <c r="HP156" s="27"/>
      <c r="HQ156" s="27"/>
      <c r="HR156" s="27"/>
      <c r="HS156" s="27"/>
      <c r="HT156" s="27"/>
      <c r="HU156" s="28"/>
      <c r="HV156" s="25"/>
      <c r="HW156" s="27"/>
      <c r="HX156" s="27"/>
      <c r="HY156" s="27"/>
      <c r="HZ156" s="27"/>
      <c r="IA156" s="27"/>
      <c r="IB156" s="28"/>
      <c r="IC156" s="25"/>
      <c r="ID156" s="27"/>
      <c r="IE156" s="27"/>
      <c r="IF156" s="27"/>
      <c r="IG156" s="27"/>
      <c r="IH156" s="27"/>
      <c r="II156" s="28"/>
      <c r="IJ156" s="25"/>
      <c r="IK156" s="27"/>
      <c r="IL156" s="27"/>
      <c r="IM156" s="27"/>
      <c r="IN156" s="27"/>
      <c r="IO156" s="27"/>
      <c r="IP156" s="28"/>
      <c r="IQ156" s="25"/>
      <c r="IR156" s="27"/>
      <c r="IS156" s="27"/>
      <c r="IT156" s="27"/>
      <c r="IU156" s="27"/>
      <c r="IV156" s="27"/>
      <c r="IW156" s="28"/>
      <c r="IX156" s="25"/>
      <c r="IY156" s="27"/>
      <c r="IZ156" s="27"/>
      <c r="JA156" s="27"/>
      <c r="JB156" s="27"/>
      <c r="JC156" s="27"/>
      <c r="JD156" s="28"/>
      <c r="JE156" s="25"/>
      <c r="JF156" s="27"/>
      <c r="JG156" s="27"/>
      <c r="JH156" s="27"/>
      <c r="JI156" s="27"/>
      <c r="JJ156" s="27"/>
      <c r="JK156" s="28"/>
      <c r="JL156" s="25"/>
      <c r="JM156" s="27"/>
      <c r="JN156" s="27"/>
      <c r="JO156" s="27"/>
      <c r="JP156" s="27"/>
      <c r="JQ156" s="27"/>
      <c r="JR156" s="28"/>
      <c r="JS156" s="25"/>
      <c r="JT156" s="27"/>
      <c r="JU156" s="27"/>
      <c r="JV156" s="27"/>
      <c r="JW156" s="27"/>
      <c r="JX156" s="27"/>
      <c r="JY156" s="28"/>
      <c r="JZ156" s="25"/>
      <c r="KA156" s="27"/>
      <c r="KB156" s="27"/>
      <c r="KC156" s="27"/>
      <c r="KD156" s="27"/>
      <c r="KE156" s="27"/>
      <c r="KF156" s="28"/>
      <c r="KG156" s="25"/>
      <c r="KH156" s="27"/>
      <c r="KI156" s="27"/>
      <c r="KJ156" s="27"/>
      <c r="KK156" s="27"/>
      <c r="KL156" s="27"/>
      <c r="KM156" s="28"/>
      <c r="KN156" s="25"/>
      <c r="KO156" s="27"/>
      <c r="KP156" s="27"/>
      <c r="KQ156" s="27"/>
      <c r="KR156" s="27"/>
      <c r="KS156" s="27"/>
      <c r="KT156" s="28"/>
      <c r="KU156" s="25"/>
      <c r="KV156" s="27"/>
      <c r="KW156" s="27"/>
      <c r="KX156" s="27"/>
      <c r="KY156" s="27"/>
      <c r="KZ156" s="27"/>
      <c r="LA156" s="28"/>
      <c r="LB156" s="25"/>
      <c r="LC156" s="27"/>
      <c r="LD156" s="27"/>
      <c r="LE156" s="27"/>
      <c r="LF156" s="27"/>
      <c r="LG156" s="27"/>
      <c r="LH156" s="28"/>
      <c r="LI156" s="25"/>
      <c r="LJ156" s="27"/>
      <c r="LK156" s="27"/>
      <c r="LL156" s="27"/>
      <c r="LM156" s="27"/>
      <c r="LN156" s="27"/>
      <c r="LO156" s="28"/>
      <c r="LP156" s="25"/>
      <c r="LQ156" s="27"/>
      <c r="LR156" s="27"/>
      <c r="LS156" s="27"/>
      <c r="LT156" s="27"/>
      <c r="LU156" s="27"/>
      <c r="LV156" s="28"/>
      <c r="LW156" s="25"/>
      <c r="LX156" s="27"/>
      <c r="LY156" s="27"/>
      <c r="LZ156" s="27"/>
      <c r="MA156" s="27"/>
      <c r="MB156" s="27"/>
      <c r="MC156" s="28"/>
      <c r="MD156" s="25"/>
      <c r="ME156" s="27"/>
      <c r="MF156" s="27"/>
      <c r="MG156" s="27"/>
      <c r="MH156" s="27"/>
      <c r="MI156" s="27"/>
      <c r="MJ156" s="28"/>
      <c r="MK156" s="25"/>
      <c r="ML156" s="27"/>
      <c r="MM156" s="27"/>
      <c r="MN156" s="27"/>
      <c r="MO156" s="27"/>
      <c r="MP156" s="27"/>
      <c r="MQ156" s="28"/>
      <c r="MR156" s="25"/>
      <c r="MS156" s="27"/>
      <c r="MT156" s="27"/>
      <c r="MU156" s="27"/>
      <c r="MV156" s="27"/>
      <c r="MW156" s="27"/>
      <c r="MX156" s="28"/>
      <c r="MY156" s="25"/>
      <c r="MZ156" s="27"/>
      <c r="NA156" s="27"/>
      <c r="NB156" s="27"/>
      <c r="NC156" s="27"/>
      <c r="ND156" s="27"/>
      <c r="NE156" s="28"/>
      <c r="NF156" s="25"/>
      <c r="NG156" s="27"/>
      <c r="NH156" s="27"/>
      <c r="NI156" s="27"/>
      <c r="NJ156" s="27"/>
      <c r="NK156" s="27"/>
      <c r="NL156" s="28"/>
      <c r="NM156" s="25"/>
      <c r="NN156" s="27"/>
      <c r="NO156" s="27"/>
      <c r="NP156" s="27"/>
      <c r="NQ156" s="27"/>
      <c r="NR156" s="27"/>
      <c r="NS156" s="28"/>
      <c r="NT156" s="25"/>
      <c r="NU156" s="27"/>
      <c r="NV156" s="27"/>
      <c r="NW156" s="27"/>
      <c r="NX156" s="27"/>
      <c r="NY156" s="27"/>
      <c r="NZ156" s="28"/>
      <c r="OA156" s="25"/>
      <c r="OB156" s="27"/>
      <c r="OC156" s="27"/>
      <c r="OD156" s="27"/>
      <c r="OE156" s="27"/>
      <c r="OF156" s="27"/>
      <c r="OG156" s="28"/>
      <c r="OH156" s="25"/>
      <c r="OI156" s="27"/>
      <c r="OJ156" s="27"/>
      <c r="OK156" s="27"/>
      <c r="OL156" s="27"/>
      <c r="OM156" s="27"/>
      <c r="ON156" s="28"/>
      <c r="OO156" s="25"/>
      <c r="OP156" s="27"/>
      <c r="OQ156" s="27"/>
      <c r="OR156" s="27"/>
      <c r="OS156" s="27"/>
      <c r="OT156" s="27"/>
      <c r="OU156" s="28"/>
      <c r="OV156" s="25"/>
      <c r="OW156" s="27"/>
      <c r="OX156" s="27"/>
      <c r="OY156" s="27"/>
      <c r="OZ156" s="27"/>
      <c r="PA156" s="27"/>
      <c r="PB156" s="28"/>
      <c r="PC156" s="25"/>
      <c r="PD156" s="27"/>
      <c r="PE156" s="27"/>
      <c r="PF156" s="27"/>
      <c r="PG156" s="27"/>
      <c r="PH156" s="27"/>
      <c r="PI156" s="28"/>
      <c r="PJ156" s="25"/>
      <c r="PK156" s="27"/>
      <c r="PL156" s="27"/>
      <c r="PM156" s="27"/>
      <c r="PN156" s="27"/>
      <c r="PO156" s="27"/>
      <c r="PP156" s="28"/>
      <c r="PQ156" s="25"/>
      <c r="PR156" s="27"/>
      <c r="PS156" s="27"/>
      <c r="PT156" s="27"/>
      <c r="PU156" s="27"/>
      <c r="PV156" s="27"/>
      <c r="PW156" s="28"/>
      <c r="PX156" s="25"/>
      <c r="PY156" s="27"/>
      <c r="PZ156" s="27"/>
      <c r="QA156" s="27"/>
      <c r="QB156" s="27"/>
      <c r="QC156" s="27"/>
      <c r="QD156" s="28"/>
      <c r="QE156" s="25"/>
      <c r="QF156" s="27"/>
      <c r="QG156" s="27"/>
      <c r="QH156" s="27"/>
      <c r="QI156" s="27"/>
      <c r="QJ156" s="27"/>
      <c r="QK156" s="28"/>
      <c r="QL156" s="25"/>
      <c r="QM156" s="27"/>
      <c r="QN156" s="27"/>
      <c r="QO156" s="27"/>
      <c r="QP156" s="27"/>
      <c r="QQ156" s="27"/>
      <c r="QR156" s="28"/>
      <c r="QS156" s="25"/>
      <c r="QT156" s="27"/>
      <c r="QU156" s="27"/>
      <c r="QV156" s="27"/>
      <c r="QW156" s="27"/>
      <c r="QX156" s="27"/>
      <c r="QY156" s="28"/>
      <c r="QZ156" s="25"/>
      <c r="RA156" s="27"/>
      <c r="RB156" s="27"/>
      <c r="RC156" s="27"/>
      <c r="RD156" s="27"/>
      <c r="RE156" s="27"/>
      <c r="RF156" s="28"/>
      <c r="RG156" s="25"/>
      <c r="RH156" s="27"/>
      <c r="RI156" s="27"/>
      <c r="RJ156" s="27"/>
      <c r="RK156" s="27"/>
      <c r="RL156" s="27"/>
      <c r="RM156" s="28"/>
      <c r="RN156" s="25"/>
      <c r="RO156" s="27"/>
      <c r="RP156" s="27"/>
      <c r="RQ156" s="27"/>
      <c r="RR156" s="27"/>
      <c r="RS156" s="27"/>
      <c r="RT156" s="28"/>
      <c r="RU156" s="25"/>
      <c r="RV156" s="27"/>
      <c r="RW156" s="27"/>
      <c r="RX156" s="27"/>
      <c r="RY156" s="27"/>
      <c r="RZ156" s="27"/>
      <c r="SA156" s="28"/>
      <c r="SB156" s="25"/>
      <c r="SC156" s="27"/>
      <c r="SD156" s="27"/>
      <c r="SE156" s="27"/>
      <c r="SF156" s="27"/>
      <c r="SG156" s="27"/>
      <c r="SH156" s="28"/>
      <c r="SI156" s="25"/>
      <c r="SJ156" s="27"/>
      <c r="SK156" s="27"/>
      <c r="SL156" s="27"/>
      <c r="SM156" s="27"/>
      <c r="SN156" s="27"/>
      <c r="SO156" s="28"/>
      <c r="SP156" s="25"/>
      <c r="SQ156" s="27"/>
      <c r="SR156" s="27"/>
    </row>
    <row r="157" spans="1:512" x14ac:dyDescent="0.15">
      <c r="A157" s="101">
        <f t="shared" ca="1" si="1562"/>
        <v>20</v>
      </c>
      <c r="B157" s="111">
        <v>20</v>
      </c>
      <c r="C157" s="71" t="str">
        <f t="shared" ca="1" si="1555"/>
        <v>Carl</v>
      </c>
      <c r="D157" s="112">
        <f t="shared" ca="1" si="1563"/>
        <v>236.99999999999997</v>
      </c>
      <c r="E157" s="25"/>
      <c r="F157" s="26"/>
      <c r="G157" s="27"/>
      <c r="H157" s="28"/>
      <c r="I157" s="25"/>
      <c r="J157" s="25"/>
      <c r="K157" s="26"/>
      <c r="L157" s="62"/>
      <c r="M157" s="62" t="s">
        <v>207</v>
      </c>
      <c r="N157" s="62" t="s">
        <v>88</v>
      </c>
      <c r="O157" s="32"/>
      <c r="P157" s="32">
        <f t="shared" ca="1" si="1556"/>
        <v>15</v>
      </c>
      <c r="Q157" s="32" t="str">
        <f t="shared" ca="1" si="1557"/>
        <v>Ferdi</v>
      </c>
      <c r="R157" s="113">
        <f t="shared" ca="1" si="1558"/>
        <v>242.59999999999994</v>
      </c>
      <c r="S157" s="73">
        <v>20</v>
      </c>
      <c r="T157" s="32">
        <f t="shared" ca="1" si="1561"/>
        <v>242.60019999999994</v>
      </c>
      <c r="U157" s="32"/>
      <c r="V157" s="61"/>
      <c r="W157" s="62"/>
      <c r="X157" s="32"/>
      <c r="Y157" s="63"/>
      <c r="Z157" s="73"/>
      <c r="AA157" s="32"/>
      <c r="AB157" s="32"/>
      <c r="AC157" s="61"/>
      <c r="AD157" s="27"/>
      <c r="AE157" s="27"/>
      <c r="AF157" s="27"/>
      <c r="AG157" s="28"/>
      <c r="AH157" s="25"/>
      <c r="AI157" s="27"/>
      <c r="AJ157" s="27"/>
      <c r="AK157" s="27"/>
      <c r="AL157" s="27"/>
      <c r="AM157" s="27"/>
      <c r="AN157" s="28"/>
      <c r="AO157" s="25"/>
      <c r="AP157" s="27"/>
      <c r="AQ157" s="27"/>
      <c r="AR157" s="27"/>
      <c r="AS157" s="27"/>
      <c r="AT157" s="27"/>
      <c r="AU157" s="28"/>
      <c r="AV157" s="25"/>
      <c r="AW157" s="27"/>
      <c r="AX157" s="27"/>
      <c r="AY157" s="27"/>
      <c r="AZ157" s="27"/>
      <c r="BA157" s="27"/>
      <c r="BB157" s="28"/>
      <c r="BC157" s="25"/>
      <c r="BD157" s="27"/>
      <c r="BE157" s="27"/>
      <c r="BF157" s="27"/>
      <c r="BG157" s="27"/>
      <c r="BH157" s="27"/>
      <c r="BI157" s="28"/>
      <c r="BJ157" s="25"/>
      <c r="BK157" s="27"/>
      <c r="BL157" s="27"/>
      <c r="BM157" s="27"/>
      <c r="BN157" s="27"/>
      <c r="BO157" s="27"/>
      <c r="BP157" s="28"/>
      <c r="BQ157" s="25"/>
      <c r="BR157" s="27"/>
      <c r="BS157" s="27"/>
      <c r="BT157" s="27"/>
      <c r="BU157" s="27"/>
      <c r="BV157" s="27"/>
      <c r="BW157" s="28"/>
      <c r="BX157" s="25"/>
      <c r="BY157" s="27"/>
      <c r="BZ157" s="27"/>
      <c r="CA157" s="27"/>
      <c r="CB157" s="27"/>
      <c r="CC157" s="27"/>
      <c r="CD157" s="28"/>
      <c r="CE157" s="25"/>
      <c r="CF157" s="27"/>
      <c r="CG157" s="27"/>
      <c r="CH157" s="27"/>
      <c r="CI157" s="27"/>
      <c r="CJ157" s="27"/>
      <c r="CK157" s="28"/>
      <c r="CL157" s="25"/>
      <c r="CM157" s="27"/>
      <c r="CN157" s="27"/>
      <c r="CO157" s="27"/>
      <c r="CP157" s="27"/>
      <c r="CQ157" s="27"/>
      <c r="CR157" s="28"/>
      <c r="CS157" s="25"/>
      <c r="CT157" s="27"/>
      <c r="CU157" s="27"/>
      <c r="CV157" s="27"/>
      <c r="CW157" s="27"/>
      <c r="CX157" s="27"/>
      <c r="CY157" s="28"/>
      <c r="CZ157" s="25"/>
      <c r="DA157" s="27"/>
      <c r="DB157" s="27"/>
      <c r="DC157" s="27"/>
      <c r="DD157" s="27"/>
      <c r="DE157" s="27"/>
      <c r="DF157" s="28"/>
      <c r="DG157" s="25"/>
      <c r="DH157" s="27"/>
      <c r="DI157" s="27"/>
      <c r="DJ157" s="27"/>
      <c r="DK157" s="27"/>
      <c r="DL157" s="27"/>
      <c r="DM157" s="28"/>
      <c r="DN157" s="25"/>
      <c r="DO157" s="27"/>
      <c r="DP157" s="27"/>
      <c r="DQ157" s="27"/>
      <c r="DR157" s="27"/>
      <c r="DS157" s="27"/>
      <c r="DT157" s="28"/>
      <c r="DU157" s="25"/>
      <c r="DV157" s="27"/>
      <c r="DW157" s="27"/>
      <c r="DX157" s="27"/>
      <c r="DY157" s="27"/>
      <c r="DZ157" s="27"/>
      <c r="EA157" s="28"/>
      <c r="EB157" s="25"/>
      <c r="EC157" s="27"/>
      <c r="ED157" s="27"/>
      <c r="EE157" s="27"/>
      <c r="EF157" s="27"/>
      <c r="EG157" s="27"/>
      <c r="EH157" s="28"/>
      <c r="EI157" s="25"/>
      <c r="EJ157" s="27"/>
      <c r="EK157" s="27"/>
      <c r="EL157" s="27"/>
      <c r="EM157" s="27"/>
      <c r="EN157" s="27"/>
      <c r="EO157" s="28"/>
      <c r="EP157" s="25"/>
      <c r="EQ157" s="27"/>
      <c r="ER157" s="27"/>
      <c r="ES157" s="27"/>
      <c r="ET157" s="27"/>
      <c r="EU157" s="27"/>
      <c r="EV157" s="28"/>
      <c r="EW157" s="25"/>
      <c r="EX157" s="27"/>
      <c r="EY157" s="27"/>
      <c r="EZ157" s="27"/>
      <c r="FA157" s="27"/>
      <c r="FB157" s="27"/>
      <c r="FC157" s="28"/>
      <c r="FD157" s="25"/>
      <c r="FE157" s="27"/>
      <c r="FF157" s="27"/>
      <c r="FG157" s="27"/>
      <c r="FH157" s="27"/>
      <c r="FI157" s="27"/>
      <c r="FJ157" s="28"/>
      <c r="FK157" s="25"/>
      <c r="FL157" s="27"/>
      <c r="FM157" s="27"/>
      <c r="FN157" s="27"/>
      <c r="FO157" s="27"/>
      <c r="FP157" s="27"/>
      <c r="FQ157" s="28"/>
      <c r="FR157" s="25"/>
      <c r="FS157" s="27"/>
      <c r="FT157" s="27"/>
      <c r="FU157" s="27"/>
      <c r="FV157" s="27"/>
      <c r="FW157" s="27"/>
      <c r="FX157" s="28"/>
      <c r="FY157" s="25"/>
      <c r="FZ157" s="27"/>
      <c r="GA157" s="27"/>
      <c r="GB157" s="27"/>
      <c r="GC157" s="27"/>
      <c r="GD157" s="27"/>
      <c r="GE157" s="28"/>
      <c r="GF157" s="25"/>
      <c r="GG157" s="27"/>
      <c r="GH157" s="27"/>
      <c r="GI157" s="27"/>
      <c r="GJ157" s="27"/>
      <c r="GK157" s="27"/>
      <c r="GL157" s="28"/>
      <c r="GM157" s="25"/>
      <c r="GN157" s="27"/>
      <c r="GO157" s="27"/>
      <c r="GP157" s="27"/>
      <c r="GQ157" s="27"/>
      <c r="GR157" s="27"/>
      <c r="GS157" s="28"/>
      <c r="GT157" s="25"/>
      <c r="GU157" s="27"/>
      <c r="GV157" s="27"/>
      <c r="GW157" s="27"/>
      <c r="GX157" s="27"/>
      <c r="GY157" s="27"/>
      <c r="GZ157" s="28"/>
      <c r="HA157" s="25"/>
      <c r="HB157" s="27"/>
      <c r="HC157" s="27"/>
      <c r="HD157" s="27"/>
      <c r="HE157" s="27"/>
      <c r="HF157" s="27"/>
      <c r="HG157" s="28"/>
      <c r="HH157" s="25"/>
      <c r="HI157" s="27"/>
      <c r="HJ157" s="27"/>
      <c r="HK157" s="27"/>
      <c r="HL157" s="27"/>
      <c r="HM157" s="27"/>
      <c r="HN157" s="28"/>
      <c r="HO157" s="25"/>
      <c r="HP157" s="27"/>
      <c r="HQ157" s="27"/>
      <c r="HR157" s="27"/>
      <c r="HS157" s="27"/>
      <c r="HT157" s="27"/>
      <c r="HU157" s="28"/>
      <c r="HV157" s="25"/>
      <c r="HW157" s="27"/>
      <c r="HX157" s="27"/>
      <c r="HY157" s="27"/>
      <c r="HZ157" s="27"/>
      <c r="IA157" s="27"/>
      <c r="IB157" s="28"/>
      <c r="IC157" s="25"/>
      <c r="ID157" s="27"/>
      <c r="IE157" s="27"/>
      <c r="IF157" s="27"/>
      <c r="IG157" s="27"/>
      <c r="IH157" s="27"/>
      <c r="II157" s="28"/>
      <c r="IJ157" s="25"/>
      <c r="IK157" s="27"/>
      <c r="IL157" s="27"/>
      <c r="IM157" s="27"/>
      <c r="IN157" s="27"/>
      <c r="IO157" s="27"/>
      <c r="IP157" s="28"/>
      <c r="IQ157" s="25"/>
      <c r="IR157" s="27"/>
      <c r="IS157" s="27"/>
      <c r="IT157" s="27"/>
      <c r="IU157" s="27"/>
      <c r="IV157" s="27"/>
      <c r="IW157" s="28"/>
      <c r="IX157" s="25"/>
      <c r="IY157" s="27"/>
      <c r="IZ157" s="27"/>
      <c r="JA157" s="27"/>
      <c r="JB157" s="27"/>
      <c r="JC157" s="27"/>
      <c r="JD157" s="28"/>
      <c r="JE157" s="25"/>
      <c r="JF157" s="27"/>
      <c r="JG157" s="27"/>
      <c r="JH157" s="27"/>
      <c r="JI157" s="27"/>
      <c r="JJ157" s="27"/>
      <c r="JK157" s="28"/>
      <c r="JL157" s="25"/>
      <c r="JM157" s="27"/>
      <c r="JN157" s="27"/>
      <c r="JO157" s="27"/>
      <c r="JP157" s="27"/>
      <c r="JQ157" s="27"/>
      <c r="JR157" s="28"/>
      <c r="JS157" s="25"/>
      <c r="JT157" s="27"/>
      <c r="JU157" s="27"/>
      <c r="JV157" s="27"/>
      <c r="JW157" s="27"/>
      <c r="JX157" s="27"/>
      <c r="JY157" s="28"/>
      <c r="JZ157" s="25"/>
      <c r="KA157" s="27"/>
      <c r="KB157" s="27"/>
      <c r="KC157" s="27"/>
      <c r="KD157" s="27"/>
      <c r="KE157" s="27"/>
      <c r="KF157" s="28"/>
      <c r="KG157" s="25"/>
      <c r="KH157" s="27"/>
      <c r="KI157" s="27"/>
      <c r="KJ157" s="27"/>
      <c r="KK157" s="27"/>
      <c r="KL157" s="27"/>
      <c r="KM157" s="28"/>
      <c r="KN157" s="25"/>
      <c r="KO157" s="27"/>
      <c r="KP157" s="27"/>
      <c r="KQ157" s="27"/>
      <c r="KR157" s="27"/>
      <c r="KS157" s="27"/>
      <c r="KT157" s="28"/>
      <c r="KU157" s="25"/>
      <c r="KV157" s="27"/>
      <c r="KW157" s="27"/>
      <c r="KX157" s="27"/>
      <c r="KY157" s="27"/>
      <c r="KZ157" s="27"/>
      <c r="LA157" s="28"/>
      <c r="LB157" s="25"/>
      <c r="LC157" s="27"/>
      <c r="LD157" s="27"/>
      <c r="LE157" s="27"/>
      <c r="LF157" s="27"/>
      <c r="LG157" s="27"/>
      <c r="LH157" s="28"/>
      <c r="LI157" s="25"/>
      <c r="LJ157" s="27"/>
      <c r="LK157" s="27"/>
      <c r="LL157" s="27"/>
      <c r="LM157" s="27"/>
      <c r="LN157" s="27"/>
      <c r="LO157" s="28"/>
      <c r="LP157" s="25"/>
      <c r="LQ157" s="27"/>
      <c r="LR157" s="27"/>
      <c r="LS157" s="27"/>
      <c r="LT157" s="27"/>
      <c r="LU157" s="27"/>
      <c r="LV157" s="28"/>
      <c r="LW157" s="25"/>
      <c r="LX157" s="27"/>
      <c r="LY157" s="27"/>
      <c r="LZ157" s="27"/>
      <c r="MA157" s="27"/>
      <c r="MB157" s="27"/>
      <c r="MC157" s="28"/>
      <c r="MD157" s="25"/>
      <c r="ME157" s="27"/>
      <c r="MF157" s="27"/>
      <c r="MG157" s="27"/>
      <c r="MH157" s="27"/>
      <c r="MI157" s="27"/>
      <c r="MJ157" s="28"/>
      <c r="MK157" s="25"/>
      <c r="ML157" s="27"/>
      <c r="MM157" s="27"/>
      <c r="MN157" s="27"/>
      <c r="MO157" s="27"/>
      <c r="MP157" s="27"/>
      <c r="MQ157" s="28"/>
      <c r="MR157" s="25"/>
      <c r="MS157" s="27"/>
      <c r="MT157" s="27"/>
      <c r="MU157" s="27"/>
      <c r="MV157" s="27"/>
      <c r="MW157" s="27"/>
      <c r="MX157" s="28"/>
      <c r="MY157" s="25"/>
      <c r="MZ157" s="27"/>
      <c r="NA157" s="27"/>
      <c r="NB157" s="27"/>
      <c r="NC157" s="27"/>
      <c r="ND157" s="27"/>
      <c r="NE157" s="28"/>
      <c r="NF157" s="25"/>
      <c r="NG157" s="27"/>
      <c r="NH157" s="27"/>
      <c r="NI157" s="27"/>
      <c r="NJ157" s="27"/>
      <c r="NK157" s="27"/>
      <c r="NL157" s="28"/>
      <c r="NM157" s="25"/>
      <c r="NN157" s="27"/>
      <c r="NO157" s="27"/>
      <c r="NP157" s="27"/>
      <c r="NQ157" s="27"/>
      <c r="NR157" s="27"/>
      <c r="NS157" s="28"/>
      <c r="NT157" s="25"/>
      <c r="NU157" s="27"/>
      <c r="NV157" s="27"/>
      <c r="NW157" s="27"/>
      <c r="NX157" s="27"/>
      <c r="NY157" s="27"/>
      <c r="NZ157" s="28"/>
      <c r="OA157" s="25"/>
      <c r="OB157" s="27"/>
      <c r="OC157" s="27"/>
      <c r="OD157" s="27"/>
      <c r="OE157" s="27"/>
      <c r="OF157" s="27"/>
      <c r="OG157" s="28"/>
      <c r="OH157" s="25"/>
      <c r="OI157" s="27"/>
      <c r="OJ157" s="27"/>
      <c r="OK157" s="27"/>
      <c r="OL157" s="27"/>
      <c r="OM157" s="27"/>
      <c r="ON157" s="28"/>
      <c r="OO157" s="25"/>
      <c r="OP157" s="27"/>
      <c r="OQ157" s="27"/>
      <c r="OR157" s="27"/>
      <c r="OS157" s="27"/>
      <c r="OT157" s="27"/>
      <c r="OU157" s="28"/>
      <c r="OV157" s="25"/>
      <c r="OW157" s="27"/>
      <c r="OX157" s="27"/>
      <c r="OY157" s="27"/>
      <c r="OZ157" s="27"/>
      <c r="PA157" s="27"/>
      <c r="PB157" s="28"/>
      <c r="PC157" s="25"/>
      <c r="PD157" s="27"/>
      <c r="PE157" s="27"/>
      <c r="PF157" s="27"/>
      <c r="PG157" s="27"/>
      <c r="PH157" s="27"/>
      <c r="PI157" s="28"/>
      <c r="PJ157" s="25"/>
      <c r="PK157" s="27"/>
      <c r="PL157" s="27"/>
      <c r="PM157" s="27"/>
      <c r="PN157" s="27"/>
      <c r="PO157" s="27"/>
      <c r="PP157" s="28"/>
      <c r="PQ157" s="25"/>
      <c r="PR157" s="27"/>
      <c r="PS157" s="27"/>
      <c r="PT157" s="27"/>
      <c r="PU157" s="27"/>
      <c r="PV157" s="27"/>
      <c r="PW157" s="28"/>
      <c r="PX157" s="25"/>
      <c r="PY157" s="27"/>
      <c r="PZ157" s="27"/>
      <c r="QA157" s="27"/>
      <c r="QB157" s="27"/>
      <c r="QC157" s="27"/>
      <c r="QD157" s="28"/>
      <c r="QE157" s="25"/>
      <c r="QF157" s="27"/>
      <c r="QG157" s="27"/>
      <c r="QH157" s="27"/>
      <c r="QI157" s="27"/>
      <c r="QJ157" s="27"/>
      <c r="QK157" s="28"/>
      <c r="QL157" s="25"/>
      <c r="QM157" s="27"/>
      <c r="QN157" s="27"/>
      <c r="QO157" s="27"/>
      <c r="QP157" s="27"/>
      <c r="QQ157" s="27"/>
      <c r="QR157" s="28"/>
      <c r="QS157" s="25"/>
      <c r="QT157" s="27"/>
      <c r="QU157" s="27"/>
      <c r="QV157" s="27"/>
      <c r="QW157" s="27"/>
      <c r="QX157" s="27"/>
      <c r="QY157" s="28"/>
      <c r="QZ157" s="25"/>
      <c r="RA157" s="27"/>
      <c r="RB157" s="27"/>
      <c r="RC157" s="27"/>
      <c r="RD157" s="27"/>
      <c r="RE157" s="27"/>
      <c r="RF157" s="28"/>
      <c r="RG157" s="25"/>
      <c r="RH157" s="27"/>
      <c r="RI157" s="27"/>
      <c r="RJ157" s="27"/>
      <c r="RK157" s="27"/>
      <c r="RL157" s="27"/>
      <c r="RM157" s="28"/>
      <c r="RN157" s="25"/>
      <c r="RO157" s="27"/>
      <c r="RP157" s="27"/>
      <c r="RQ157" s="27"/>
      <c r="RR157" s="27"/>
      <c r="RS157" s="27"/>
      <c r="RT157" s="28"/>
      <c r="RU157" s="25"/>
      <c r="RV157" s="27"/>
      <c r="RW157" s="27"/>
      <c r="RX157" s="27"/>
      <c r="RY157" s="27"/>
      <c r="RZ157" s="27"/>
      <c r="SA157" s="28"/>
      <c r="SB157" s="25"/>
      <c r="SC157" s="27"/>
      <c r="SD157" s="27"/>
      <c r="SE157" s="27"/>
      <c r="SF157" s="27"/>
      <c r="SG157" s="27"/>
      <c r="SH157" s="28"/>
      <c r="SI157" s="25"/>
      <c r="SJ157" s="27"/>
      <c r="SK157" s="27"/>
      <c r="SL157" s="27"/>
      <c r="SM157" s="27"/>
      <c r="SN157" s="27"/>
      <c r="SO157" s="28"/>
      <c r="SP157" s="25"/>
      <c r="SQ157" s="27"/>
      <c r="SR157" s="27"/>
    </row>
    <row r="158" spans="1:512" x14ac:dyDescent="0.15">
      <c r="A158" s="101">
        <f t="shared" ca="1" si="1562"/>
        <v>21</v>
      </c>
      <c r="B158" s="111">
        <v>21</v>
      </c>
      <c r="C158" s="71" t="str">
        <f t="shared" ca="1" si="1555"/>
        <v>Alexander</v>
      </c>
      <c r="D158" s="112">
        <f t="shared" ca="1" si="1563"/>
        <v>235.09999999999997</v>
      </c>
      <c r="E158" s="25"/>
      <c r="F158" s="26"/>
      <c r="G158" s="27"/>
      <c r="H158" s="28"/>
      <c r="I158" s="25"/>
      <c r="J158" s="25"/>
      <c r="K158" s="26"/>
      <c r="L158" s="62"/>
      <c r="M158" s="63" t="s">
        <v>208</v>
      </c>
      <c r="N158" s="62" t="s">
        <v>89</v>
      </c>
      <c r="O158" s="32"/>
      <c r="P158" s="32">
        <f t="shared" ca="1" si="1556"/>
        <v>44</v>
      </c>
      <c r="Q158" s="32" t="str">
        <f t="shared" ca="1" si="1557"/>
        <v>Emma E</v>
      </c>
      <c r="R158" s="113">
        <f t="shared" ca="1" si="1558"/>
        <v>216.49999999999997</v>
      </c>
      <c r="S158" s="73">
        <v>21</v>
      </c>
      <c r="T158" s="32">
        <f t="shared" ca="1" si="1561"/>
        <v>216.50020999999998</v>
      </c>
      <c r="U158" s="32"/>
      <c r="V158" s="61"/>
      <c r="W158" s="62"/>
      <c r="X158" s="32"/>
      <c r="Y158" s="63"/>
      <c r="Z158" s="73"/>
      <c r="AA158" s="32"/>
      <c r="AB158" s="32"/>
      <c r="AC158" s="61"/>
      <c r="AD158" s="27"/>
      <c r="AE158" s="27"/>
      <c r="AF158" s="27"/>
      <c r="AG158" s="28"/>
      <c r="AH158" s="25"/>
      <c r="AI158" s="27"/>
      <c r="AJ158" s="27"/>
      <c r="AK158" s="27"/>
      <c r="AL158" s="27"/>
      <c r="AM158" s="27"/>
      <c r="AN158" s="28"/>
      <c r="AO158" s="25"/>
      <c r="AP158" s="27"/>
      <c r="AQ158" s="27"/>
      <c r="AR158" s="27"/>
      <c r="AS158" s="27"/>
      <c r="AT158" s="27"/>
      <c r="AU158" s="28"/>
      <c r="AV158" s="25"/>
      <c r="AW158" s="27"/>
      <c r="AX158" s="27"/>
      <c r="AY158" s="27"/>
      <c r="AZ158" s="27"/>
      <c r="BA158" s="27"/>
      <c r="BB158" s="28"/>
      <c r="BC158" s="25"/>
      <c r="BD158" s="27"/>
      <c r="BE158" s="27"/>
      <c r="BF158" s="27"/>
      <c r="BG158" s="27"/>
      <c r="BH158" s="27"/>
      <c r="BI158" s="28"/>
      <c r="BJ158" s="25"/>
      <c r="BK158" s="27"/>
      <c r="BL158" s="27"/>
      <c r="BM158" s="27"/>
      <c r="BN158" s="27"/>
      <c r="BO158" s="27"/>
      <c r="BP158" s="28"/>
      <c r="BQ158" s="25"/>
      <c r="BR158" s="27"/>
      <c r="BS158" s="27"/>
      <c r="BT158" s="27"/>
      <c r="BU158" s="27"/>
      <c r="BV158" s="27"/>
      <c r="BW158" s="28"/>
      <c r="BX158" s="25"/>
      <c r="BY158" s="27"/>
      <c r="BZ158" s="27"/>
      <c r="CA158" s="27"/>
      <c r="CB158" s="27"/>
      <c r="CC158" s="27"/>
      <c r="CD158" s="28"/>
      <c r="CE158" s="25"/>
      <c r="CF158" s="27"/>
      <c r="CG158" s="27"/>
      <c r="CH158" s="27"/>
      <c r="CI158" s="27"/>
      <c r="CJ158" s="27"/>
      <c r="CK158" s="28"/>
      <c r="CL158" s="25"/>
      <c r="CM158" s="27"/>
      <c r="CN158" s="27"/>
      <c r="CO158" s="27"/>
      <c r="CP158" s="27"/>
      <c r="CQ158" s="27"/>
      <c r="CR158" s="28"/>
      <c r="CS158" s="25"/>
      <c r="CT158" s="27"/>
      <c r="CU158" s="27"/>
      <c r="CV158" s="27"/>
      <c r="CW158" s="27"/>
      <c r="CX158" s="27"/>
      <c r="CY158" s="28"/>
      <c r="CZ158" s="25"/>
      <c r="DA158" s="27"/>
      <c r="DB158" s="27"/>
      <c r="DC158" s="27"/>
      <c r="DD158" s="27"/>
      <c r="DE158" s="27"/>
      <c r="DF158" s="28"/>
      <c r="DG158" s="25"/>
      <c r="DH158" s="27"/>
      <c r="DI158" s="27"/>
      <c r="DJ158" s="27"/>
      <c r="DK158" s="27"/>
      <c r="DL158" s="27"/>
      <c r="DM158" s="28"/>
      <c r="DN158" s="25"/>
      <c r="DO158" s="27"/>
      <c r="DP158" s="27"/>
      <c r="DQ158" s="27"/>
      <c r="DR158" s="27"/>
      <c r="DS158" s="27"/>
      <c r="DT158" s="28"/>
      <c r="DU158" s="25"/>
      <c r="DV158" s="27"/>
      <c r="DW158" s="27"/>
      <c r="DX158" s="27"/>
      <c r="DY158" s="27"/>
      <c r="DZ158" s="27"/>
      <c r="EA158" s="28"/>
      <c r="EB158" s="25"/>
      <c r="EC158" s="27"/>
      <c r="ED158" s="27"/>
      <c r="EE158" s="27"/>
      <c r="EF158" s="27"/>
      <c r="EG158" s="27"/>
      <c r="EH158" s="28"/>
      <c r="EI158" s="25"/>
      <c r="EJ158" s="27"/>
      <c r="EK158" s="27"/>
      <c r="EL158" s="27"/>
      <c r="EM158" s="27"/>
      <c r="EN158" s="27"/>
      <c r="EO158" s="28"/>
      <c r="EP158" s="25"/>
      <c r="EQ158" s="27"/>
      <c r="ER158" s="27"/>
      <c r="ES158" s="27"/>
      <c r="ET158" s="27"/>
      <c r="EU158" s="27"/>
      <c r="EV158" s="28"/>
      <c r="EW158" s="25"/>
      <c r="EX158" s="27"/>
      <c r="EY158" s="27"/>
      <c r="EZ158" s="27"/>
      <c r="FA158" s="27"/>
      <c r="FB158" s="27"/>
      <c r="FC158" s="28"/>
      <c r="FD158" s="25"/>
      <c r="FE158" s="27"/>
      <c r="FF158" s="27"/>
      <c r="FG158" s="27"/>
      <c r="FH158" s="27"/>
      <c r="FI158" s="27"/>
      <c r="FJ158" s="28"/>
      <c r="FK158" s="25"/>
      <c r="FL158" s="27"/>
      <c r="FM158" s="27"/>
      <c r="FN158" s="27"/>
      <c r="FO158" s="27"/>
      <c r="FP158" s="27"/>
      <c r="FQ158" s="28"/>
      <c r="FR158" s="25"/>
      <c r="FS158" s="27"/>
      <c r="FT158" s="27"/>
      <c r="FU158" s="27"/>
      <c r="FV158" s="27"/>
      <c r="FW158" s="27"/>
      <c r="FX158" s="28"/>
      <c r="FY158" s="25"/>
      <c r="FZ158" s="27"/>
      <c r="GA158" s="27"/>
      <c r="GB158" s="27"/>
      <c r="GC158" s="27"/>
      <c r="GD158" s="27"/>
      <c r="GE158" s="28"/>
      <c r="GF158" s="25"/>
      <c r="GG158" s="27"/>
      <c r="GH158" s="27"/>
      <c r="GI158" s="27"/>
      <c r="GJ158" s="27"/>
      <c r="GK158" s="27"/>
      <c r="GL158" s="28"/>
      <c r="GM158" s="25"/>
      <c r="GN158" s="27"/>
      <c r="GO158" s="27"/>
      <c r="GP158" s="27"/>
      <c r="GQ158" s="27"/>
      <c r="GR158" s="27"/>
      <c r="GS158" s="28"/>
      <c r="GT158" s="25"/>
      <c r="GU158" s="27"/>
      <c r="GV158" s="27"/>
      <c r="GW158" s="27"/>
      <c r="GX158" s="27"/>
      <c r="GY158" s="27"/>
      <c r="GZ158" s="28"/>
      <c r="HA158" s="25"/>
      <c r="HB158" s="27"/>
      <c r="HC158" s="27"/>
      <c r="HD158" s="27"/>
      <c r="HE158" s="27"/>
      <c r="HF158" s="27"/>
      <c r="HG158" s="28"/>
      <c r="HH158" s="25"/>
      <c r="HI158" s="27"/>
      <c r="HJ158" s="27"/>
      <c r="HK158" s="27"/>
      <c r="HL158" s="27"/>
      <c r="HM158" s="27"/>
      <c r="HN158" s="28"/>
      <c r="HO158" s="25"/>
      <c r="HP158" s="27"/>
      <c r="HQ158" s="27"/>
      <c r="HR158" s="27"/>
      <c r="HS158" s="27"/>
      <c r="HT158" s="27"/>
      <c r="HU158" s="28"/>
      <c r="HV158" s="25"/>
      <c r="HW158" s="27"/>
      <c r="HX158" s="27"/>
      <c r="HY158" s="27"/>
      <c r="HZ158" s="27"/>
      <c r="IA158" s="27"/>
      <c r="IB158" s="28"/>
      <c r="IC158" s="25"/>
      <c r="ID158" s="27"/>
      <c r="IE158" s="27"/>
      <c r="IF158" s="27"/>
      <c r="IG158" s="27"/>
      <c r="IH158" s="27"/>
      <c r="II158" s="28"/>
      <c r="IJ158" s="25"/>
      <c r="IK158" s="27"/>
      <c r="IL158" s="27"/>
      <c r="IM158" s="27"/>
      <c r="IN158" s="27"/>
      <c r="IO158" s="27"/>
      <c r="IP158" s="28"/>
      <c r="IQ158" s="25"/>
      <c r="IR158" s="27"/>
      <c r="IS158" s="27"/>
      <c r="IT158" s="27"/>
      <c r="IU158" s="27"/>
      <c r="IV158" s="27"/>
      <c r="IW158" s="28"/>
      <c r="IX158" s="25"/>
      <c r="IY158" s="27"/>
      <c r="IZ158" s="27"/>
      <c r="JA158" s="27"/>
      <c r="JB158" s="27"/>
      <c r="JC158" s="27"/>
      <c r="JD158" s="28"/>
      <c r="JE158" s="25"/>
      <c r="JF158" s="27"/>
      <c r="JG158" s="27"/>
      <c r="JH158" s="27"/>
      <c r="JI158" s="27"/>
      <c r="JJ158" s="27"/>
      <c r="JK158" s="28"/>
      <c r="JL158" s="25"/>
      <c r="JM158" s="27"/>
      <c r="JN158" s="27"/>
      <c r="JO158" s="27"/>
      <c r="JP158" s="27"/>
      <c r="JQ158" s="27"/>
      <c r="JR158" s="28"/>
      <c r="JS158" s="25"/>
      <c r="JT158" s="27"/>
      <c r="JU158" s="27"/>
      <c r="JV158" s="27"/>
      <c r="JW158" s="27"/>
      <c r="JX158" s="27"/>
      <c r="JY158" s="28"/>
      <c r="JZ158" s="25"/>
      <c r="KA158" s="27"/>
      <c r="KB158" s="27"/>
      <c r="KC158" s="27"/>
      <c r="KD158" s="27"/>
      <c r="KE158" s="27"/>
      <c r="KF158" s="28"/>
      <c r="KG158" s="25"/>
      <c r="KH158" s="27"/>
      <c r="KI158" s="27"/>
      <c r="KJ158" s="27"/>
      <c r="KK158" s="27"/>
      <c r="KL158" s="27"/>
      <c r="KM158" s="28"/>
      <c r="KN158" s="25"/>
      <c r="KO158" s="27"/>
      <c r="KP158" s="27"/>
      <c r="KQ158" s="27"/>
      <c r="KR158" s="27"/>
      <c r="KS158" s="27"/>
      <c r="KT158" s="28"/>
      <c r="KU158" s="25"/>
      <c r="KV158" s="27"/>
      <c r="KW158" s="27"/>
      <c r="KX158" s="27"/>
      <c r="KY158" s="27"/>
      <c r="KZ158" s="27"/>
      <c r="LA158" s="28"/>
      <c r="LB158" s="25"/>
      <c r="LC158" s="27"/>
      <c r="LD158" s="27"/>
      <c r="LE158" s="27"/>
      <c r="LF158" s="27"/>
      <c r="LG158" s="27"/>
      <c r="LH158" s="28"/>
      <c r="LI158" s="25"/>
      <c r="LJ158" s="27"/>
      <c r="LK158" s="27"/>
      <c r="LL158" s="27"/>
      <c r="LM158" s="27"/>
      <c r="LN158" s="27"/>
      <c r="LO158" s="28"/>
      <c r="LP158" s="25"/>
      <c r="LQ158" s="27"/>
      <c r="LR158" s="27"/>
      <c r="LS158" s="27"/>
      <c r="LT158" s="27"/>
      <c r="LU158" s="27"/>
      <c r="LV158" s="28"/>
      <c r="LW158" s="25"/>
      <c r="LX158" s="27"/>
      <c r="LY158" s="27"/>
      <c r="LZ158" s="27"/>
      <c r="MA158" s="27"/>
      <c r="MB158" s="27"/>
      <c r="MC158" s="28"/>
      <c r="MD158" s="25"/>
      <c r="ME158" s="27"/>
      <c r="MF158" s="27"/>
      <c r="MG158" s="27"/>
      <c r="MH158" s="27"/>
      <c r="MI158" s="27"/>
      <c r="MJ158" s="28"/>
      <c r="MK158" s="25"/>
      <c r="ML158" s="27"/>
      <c r="MM158" s="27"/>
      <c r="MN158" s="27"/>
      <c r="MO158" s="27"/>
      <c r="MP158" s="27"/>
      <c r="MQ158" s="28"/>
      <c r="MR158" s="25"/>
      <c r="MS158" s="27"/>
      <c r="MT158" s="27"/>
      <c r="MU158" s="27"/>
      <c r="MV158" s="27"/>
      <c r="MW158" s="27"/>
      <c r="MX158" s="28"/>
      <c r="MY158" s="25"/>
      <c r="MZ158" s="27"/>
      <c r="NA158" s="27"/>
      <c r="NB158" s="27"/>
      <c r="NC158" s="27"/>
      <c r="ND158" s="27"/>
      <c r="NE158" s="28"/>
      <c r="NF158" s="25"/>
      <c r="NG158" s="27"/>
      <c r="NH158" s="27"/>
      <c r="NI158" s="27"/>
      <c r="NJ158" s="27"/>
      <c r="NK158" s="27"/>
      <c r="NL158" s="28"/>
      <c r="NM158" s="25"/>
      <c r="NN158" s="27"/>
      <c r="NO158" s="27"/>
      <c r="NP158" s="27"/>
      <c r="NQ158" s="27"/>
      <c r="NR158" s="27"/>
      <c r="NS158" s="28"/>
      <c r="NT158" s="25"/>
      <c r="NU158" s="27"/>
      <c r="NV158" s="27"/>
      <c r="NW158" s="27"/>
      <c r="NX158" s="27"/>
      <c r="NY158" s="27"/>
      <c r="NZ158" s="28"/>
      <c r="OA158" s="25"/>
      <c r="OB158" s="27"/>
      <c r="OC158" s="27"/>
      <c r="OD158" s="27"/>
      <c r="OE158" s="27"/>
      <c r="OF158" s="27"/>
      <c r="OG158" s="28"/>
      <c r="OH158" s="25"/>
      <c r="OI158" s="27"/>
      <c r="OJ158" s="27"/>
      <c r="OK158" s="27"/>
      <c r="OL158" s="27"/>
      <c r="OM158" s="27"/>
      <c r="ON158" s="28"/>
      <c r="OO158" s="25"/>
      <c r="OP158" s="27"/>
      <c r="OQ158" s="27"/>
      <c r="OR158" s="27"/>
      <c r="OS158" s="27"/>
      <c r="OT158" s="27"/>
      <c r="OU158" s="28"/>
      <c r="OV158" s="25"/>
      <c r="OW158" s="27"/>
      <c r="OX158" s="27"/>
      <c r="OY158" s="27"/>
      <c r="OZ158" s="27"/>
      <c r="PA158" s="27"/>
      <c r="PB158" s="28"/>
      <c r="PC158" s="25"/>
      <c r="PD158" s="27"/>
      <c r="PE158" s="27"/>
      <c r="PF158" s="27"/>
      <c r="PG158" s="27"/>
      <c r="PH158" s="27"/>
      <c r="PI158" s="28"/>
      <c r="PJ158" s="25"/>
      <c r="PK158" s="27"/>
      <c r="PL158" s="27"/>
      <c r="PM158" s="27"/>
      <c r="PN158" s="27"/>
      <c r="PO158" s="27"/>
      <c r="PP158" s="28"/>
      <c r="PQ158" s="25"/>
      <c r="PR158" s="27"/>
      <c r="PS158" s="27"/>
      <c r="PT158" s="27"/>
      <c r="PU158" s="27"/>
      <c r="PV158" s="27"/>
      <c r="PW158" s="28"/>
      <c r="PX158" s="25"/>
      <c r="PY158" s="27"/>
      <c r="PZ158" s="27"/>
      <c r="QA158" s="27"/>
      <c r="QB158" s="27"/>
      <c r="QC158" s="27"/>
      <c r="QD158" s="28"/>
      <c r="QE158" s="25"/>
      <c r="QF158" s="27"/>
      <c r="QG158" s="27"/>
      <c r="QH158" s="27"/>
      <c r="QI158" s="27"/>
      <c r="QJ158" s="27"/>
      <c r="QK158" s="28"/>
      <c r="QL158" s="25"/>
      <c r="QM158" s="27"/>
      <c r="QN158" s="27"/>
      <c r="QO158" s="27"/>
      <c r="QP158" s="27"/>
      <c r="QQ158" s="27"/>
      <c r="QR158" s="28"/>
      <c r="QS158" s="25"/>
      <c r="QT158" s="27"/>
      <c r="QU158" s="27"/>
      <c r="QV158" s="27"/>
      <c r="QW158" s="27"/>
      <c r="QX158" s="27"/>
      <c r="QY158" s="28"/>
      <c r="QZ158" s="25"/>
      <c r="RA158" s="27"/>
      <c r="RB158" s="27"/>
      <c r="RC158" s="27"/>
      <c r="RD158" s="27"/>
      <c r="RE158" s="27"/>
      <c r="RF158" s="28"/>
      <c r="RG158" s="25"/>
      <c r="RH158" s="27"/>
      <c r="RI158" s="27"/>
      <c r="RJ158" s="27"/>
      <c r="RK158" s="27"/>
      <c r="RL158" s="27"/>
      <c r="RM158" s="28"/>
      <c r="RN158" s="25"/>
      <c r="RO158" s="27"/>
      <c r="RP158" s="27"/>
      <c r="RQ158" s="27"/>
      <c r="RR158" s="27"/>
      <c r="RS158" s="27"/>
      <c r="RT158" s="28"/>
      <c r="RU158" s="25"/>
      <c r="RV158" s="27"/>
      <c r="RW158" s="27"/>
      <c r="RX158" s="27"/>
      <c r="RY158" s="27"/>
      <c r="RZ158" s="27"/>
      <c r="SA158" s="28"/>
      <c r="SB158" s="25"/>
      <c r="SC158" s="27"/>
      <c r="SD158" s="27"/>
      <c r="SE158" s="27"/>
      <c r="SF158" s="27"/>
      <c r="SG158" s="27"/>
      <c r="SH158" s="28"/>
      <c r="SI158" s="25"/>
      <c r="SJ158" s="27"/>
      <c r="SK158" s="27"/>
      <c r="SL158" s="27"/>
      <c r="SM158" s="27"/>
      <c r="SN158" s="27"/>
      <c r="SO158" s="28"/>
      <c r="SP158" s="25"/>
      <c r="SQ158" s="27"/>
      <c r="SR158" s="27"/>
    </row>
    <row r="159" spans="1:512" x14ac:dyDescent="0.15">
      <c r="A159" s="101">
        <f t="shared" ca="1" si="1562"/>
        <v>22</v>
      </c>
      <c r="B159" s="111">
        <v>22</v>
      </c>
      <c r="C159" s="71" t="str">
        <f t="shared" ca="1" si="1555"/>
        <v>Frank</v>
      </c>
      <c r="D159" s="112">
        <f t="shared" ca="1" si="1563"/>
        <v>234.2</v>
      </c>
      <c r="E159" s="25"/>
      <c r="F159" s="26"/>
      <c r="G159" s="27"/>
      <c r="H159" s="28"/>
      <c r="I159" s="25"/>
      <c r="J159" s="25"/>
      <c r="K159" s="26"/>
      <c r="L159" s="62"/>
      <c r="M159" s="32" t="s">
        <v>209</v>
      </c>
      <c r="N159" s="62" t="s">
        <v>90</v>
      </c>
      <c r="O159" s="32"/>
      <c r="P159" s="32">
        <f t="shared" ca="1" si="1556"/>
        <v>23</v>
      </c>
      <c r="Q159" s="32" t="str">
        <f t="shared" ca="1" si="1557"/>
        <v>Pepe</v>
      </c>
      <c r="R159" s="113">
        <f t="shared" ca="1" si="1558"/>
        <v>233.79999999999995</v>
      </c>
      <c r="S159" s="73">
        <v>22</v>
      </c>
      <c r="T159" s="32">
        <f t="shared" ca="1" si="1561"/>
        <v>233.80021999999997</v>
      </c>
      <c r="U159" s="32"/>
      <c r="V159" s="61"/>
      <c r="W159" s="62"/>
      <c r="X159" s="32"/>
      <c r="Y159" s="63"/>
      <c r="Z159" s="73"/>
      <c r="AA159" s="32"/>
      <c r="AB159" s="32"/>
      <c r="AC159" s="61"/>
      <c r="AD159" s="27"/>
      <c r="AE159" s="27"/>
      <c r="AF159" s="27"/>
      <c r="AG159" s="28"/>
      <c r="AH159" s="25"/>
      <c r="AI159" s="27"/>
      <c r="AJ159" s="27"/>
      <c r="AK159" s="27"/>
      <c r="AL159" s="27"/>
      <c r="AM159" s="27"/>
      <c r="AN159" s="28"/>
      <c r="AO159" s="25"/>
      <c r="AP159" s="27"/>
      <c r="AQ159" s="27"/>
      <c r="AR159" s="27"/>
      <c r="AS159" s="27"/>
      <c r="AT159" s="27"/>
      <c r="AU159" s="28"/>
      <c r="AV159" s="25"/>
      <c r="AW159" s="27"/>
      <c r="AX159" s="27"/>
      <c r="AY159" s="27"/>
      <c r="AZ159" s="27"/>
      <c r="BA159" s="27"/>
      <c r="BB159" s="28"/>
      <c r="BC159" s="25"/>
      <c r="BD159" s="27"/>
      <c r="BE159" s="27"/>
      <c r="BF159" s="27"/>
      <c r="BG159" s="27"/>
      <c r="BH159" s="27"/>
      <c r="BI159" s="28"/>
      <c r="BJ159" s="25"/>
      <c r="BK159" s="27"/>
      <c r="BL159" s="27"/>
      <c r="BM159" s="27"/>
      <c r="BN159" s="27"/>
      <c r="BO159" s="27"/>
      <c r="BP159" s="28"/>
      <c r="BQ159" s="25"/>
      <c r="BR159" s="27"/>
      <c r="BS159" s="27"/>
      <c r="BT159" s="27"/>
      <c r="BU159" s="27"/>
      <c r="BV159" s="27"/>
      <c r="BW159" s="28"/>
      <c r="BX159" s="25"/>
      <c r="BY159" s="27"/>
      <c r="BZ159" s="27"/>
      <c r="CA159" s="27"/>
      <c r="CB159" s="27"/>
      <c r="CC159" s="27"/>
      <c r="CD159" s="28"/>
      <c r="CE159" s="25"/>
      <c r="CF159" s="27"/>
      <c r="CG159" s="27"/>
      <c r="CH159" s="27"/>
      <c r="CI159" s="27"/>
      <c r="CJ159" s="27"/>
      <c r="CK159" s="28"/>
      <c r="CL159" s="25"/>
      <c r="CM159" s="27"/>
      <c r="CN159" s="27"/>
      <c r="CO159" s="27"/>
      <c r="CP159" s="27"/>
      <c r="CQ159" s="27"/>
      <c r="CR159" s="28"/>
      <c r="CS159" s="25"/>
      <c r="CT159" s="27"/>
      <c r="CU159" s="27"/>
      <c r="CV159" s="27"/>
      <c r="CW159" s="27"/>
      <c r="CX159" s="27"/>
      <c r="CY159" s="28"/>
      <c r="CZ159" s="25"/>
      <c r="DA159" s="27"/>
      <c r="DB159" s="27"/>
      <c r="DC159" s="27"/>
      <c r="DD159" s="27"/>
      <c r="DE159" s="27"/>
      <c r="DF159" s="28"/>
      <c r="DG159" s="25"/>
      <c r="DH159" s="27"/>
      <c r="DI159" s="27"/>
      <c r="DJ159" s="27"/>
      <c r="DK159" s="27"/>
      <c r="DL159" s="27"/>
      <c r="DM159" s="28"/>
      <c r="DN159" s="25"/>
      <c r="DO159" s="27"/>
      <c r="DP159" s="27"/>
      <c r="DQ159" s="27"/>
      <c r="DR159" s="27"/>
      <c r="DS159" s="27"/>
      <c r="DT159" s="28"/>
      <c r="DU159" s="25"/>
      <c r="DV159" s="27"/>
      <c r="DW159" s="27"/>
      <c r="DX159" s="27"/>
      <c r="DY159" s="27"/>
      <c r="DZ159" s="27"/>
      <c r="EA159" s="28"/>
      <c r="EB159" s="25"/>
      <c r="EC159" s="27"/>
      <c r="ED159" s="27"/>
      <c r="EE159" s="27"/>
      <c r="EF159" s="27"/>
      <c r="EG159" s="27"/>
      <c r="EH159" s="28"/>
      <c r="EI159" s="25"/>
      <c r="EJ159" s="27"/>
      <c r="EK159" s="27"/>
      <c r="EL159" s="27"/>
      <c r="EM159" s="27"/>
      <c r="EN159" s="27"/>
      <c r="EO159" s="28"/>
      <c r="EP159" s="25"/>
      <c r="EQ159" s="27"/>
      <c r="ER159" s="27"/>
      <c r="ES159" s="27"/>
      <c r="ET159" s="27"/>
      <c r="EU159" s="27"/>
      <c r="EV159" s="28"/>
      <c r="EW159" s="25"/>
      <c r="EX159" s="27"/>
      <c r="EY159" s="27"/>
      <c r="EZ159" s="27"/>
      <c r="FA159" s="27"/>
      <c r="FB159" s="27"/>
      <c r="FC159" s="28"/>
      <c r="FD159" s="25"/>
      <c r="FE159" s="27"/>
      <c r="FF159" s="27"/>
      <c r="FG159" s="27"/>
      <c r="FH159" s="27"/>
      <c r="FI159" s="27"/>
      <c r="FJ159" s="28"/>
      <c r="FK159" s="25"/>
      <c r="FL159" s="27"/>
      <c r="FM159" s="27"/>
      <c r="FN159" s="27"/>
      <c r="FO159" s="27"/>
      <c r="FP159" s="27"/>
      <c r="FQ159" s="28"/>
      <c r="FR159" s="25"/>
      <c r="FS159" s="27"/>
      <c r="FT159" s="27"/>
      <c r="FU159" s="27"/>
      <c r="FV159" s="27"/>
      <c r="FW159" s="27"/>
      <c r="FX159" s="28"/>
      <c r="FY159" s="25"/>
      <c r="FZ159" s="27"/>
      <c r="GA159" s="27"/>
      <c r="GB159" s="27"/>
      <c r="GC159" s="27"/>
      <c r="GD159" s="27"/>
      <c r="GE159" s="28"/>
      <c r="GF159" s="25"/>
      <c r="GG159" s="27"/>
      <c r="GH159" s="27"/>
      <c r="GI159" s="27"/>
      <c r="GJ159" s="27"/>
      <c r="GK159" s="27"/>
      <c r="GL159" s="28"/>
      <c r="GM159" s="25"/>
      <c r="GN159" s="27"/>
      <c r="GO159" s="27"/>
      <c r="GP159" s="27"/>
      <c r="GQ159" s="27"/>
      <c r="GR159" s="27"/>
      <c r="GS159" s="28"/>
      <c r="GT159" s="25"/>
      <c r="GU159" s="27"/>
      <c r="GV159" s="27"/>
      <c r="GW159" s="27"/>
      <c r="GX159" s="27"/>
      <c r="GY159" s="27"/>
      <c r="GZ159" s="28"/>
      <c r="HA159" s="25"/>
      <c r="HB159" s="27"/>
      <c r="HC159" s="27"/>
      <c r="HD159" s="27"/>
      <c r="HE159" s="27"/>
      <c r="HF159" s="27"/>
      <c r="HG159" s="28"/>
      <c r="HH159" s="25"/>
      <c r="HI159" s="27"/>
      <c r="HJ159" s="27"/>
      <c r="HK159" s="27"/>
      <c r="HL159" s="27"/>
      <c r="HM159" s="27"/>
      <c r="HN159" s="28"/>
      <c r="HO159" s="25"/>
      <c r="HP159" s="27"/>
      <c r="HQ159" s="27"/>
      <c r="HR159" s="27"/>
      <c r="HS159" s="27"/>
      <c r="HT159" s="27"/>
      <c r="HU159" s="28"/>
      <c r="HV159" s="25"/>
      <c r="HW159" s="27"/>
      <c r="HX159" s="27"/>
      <c r="HY159" s="27"/>
      <c r="HZ159" s="27"/>
      <c r="IA159" s="27"/>
      <c r="IB159" s="28"/>
      <c r="IC159" s="25"/>
      <c r="ID159" s="27"/>
      <c r="IE159" s="27"/>
      <c r="IF159" s="27"/>
      <c r="IG159" s="27"/>
      <c r="IH159" s="27"/>
      <c r="II159" s="28"/>
      <c r="IJ159" s="25"/>
      <c r="IK159" s="27"/>
      <c r="IL159" s="27"/>
      <c r="IM159" s="27"/>
      <c r="IN159" s="27"/>
      <c r="IO159" s="27"/>
      <c r="IP159" s="28"/>
      <c r="IQ159" s="25"/>
      <c r="IR159" s="27"/>
      <c r="IS159" s="27"/>
      <c r="IT159" s="27"/>
      <c r="IU159" s="27"/>
      <c r="IV159" s="27"/>
      <c r="IW159" s="28"/>
      <c r="IX159" s="25"/>
      <c r="IY159" s="27"/>
      <c r="IZ159" s="27"/>
      <c r="JA159" s="27"/>
      <c r="JB159" s="27"/>
      <c r="JC159" s="27"/>
      <c r="JD159" s="28"/>
      <c r="JE159" s="25"/>
      <c r="JF159" s="27"/>
      <c r="JG159" s="27"/>
      <c r="JH159" s="27"/>
      <c r="JI159" s="27"/>
      <c r="JJ159" s="27"/>
      <c r="JK159" s="28"/>
      <c r="JL159" s="25"/>
      <c r="JM159" s="27"/>
      <c r="JN159" s="27"/>
      <c r="JO159" s="27"/>
      <c r="JP159" s="27"/>
      <c r="JQ159" s="27"/>
      <c r="JR159" s="28"/>
      <c r="JS159" s="25"/>
      <c r="JT159" s="27"/>
      <c r="JU159" s="27"/>
      <c r="JV159" s="27"/>
      <c r="JW159" s="27"/>
      <c r="JX159" s="27"/>
      <c r="JY159" s="28"/>
      <c r="JZ159" s="25"/>
      <c r="KA159" s="27"/>
      <c r="KB159" s="27"/>
      <c r="KC159" s="27"/>
      <c r="KD159" s="27"/>
      <c r="KE159" s="27"/>
      <c r="KF159" s="28"/>
      <c r="KG159" s="25"/>
      <c r="KH159" s="27"/>
      <c r="KI159" s="27"/>
      <c r="KJ159" s="27"/>
      <c r="KK159" s="27"/>
      <c r="KL159" s="27"/>
      <c r="KM159" s="28"/>
      <c r="KN159" s="25"/>
      <c r="KO159" s="27"/>
      <c r="KP159" s="27"/>
      <c r="KQ159" s="27"/>
      <c r="KR159" s="27"/>
      <c r="KS159" s="27"/>
      <c r="KT159" s="28"/>
      <c r="KU159" s="25"/>
      <c r="KV159" s="27"/>
      <c r="KW159" s="27"/>
      <c r="KX159" s="27"/>
      <c r="KY159" s="27"/>
      <c r="KZ159" s="27"/>
      <c r="LA159" s="28"/>
      <c r="LB159" s="25"/>
      <c r="LC159" s="27"/>
      <c r="LD159" s="27"/>
      <c r="LE159" s="27"/>
      <c r="LF159" s="27"/>
      <c r="LG159" s="27"/>
      <c r="LH159" s="28"/>
      <c r="LI159" s="25"/>
      <c r="LJ159" s="27"/>
      <c r="LK159" s="27"/>
      <c r="LL159" s="27"/>
      <c r="LM159" s="27"/>
      <c r="LN159" s="27"/>
      <c r="LO159" s="28"/>
      <c r="LP159" s="25"/>
      <c r="LQ159" s="27"/>
      <c r="LR159" s="27"/>
      <c r="LS159" s="27"/>
      <c r="LT159" s="27"/>
      <c r="LU159" s="27"/>
      <c r="LV159" s="28"/>
      <c r="LW159" s="25"/>
      <c r="LX159" s="27"/>
      <c r="LY159" s="27"/>
      <c r="LZ159" s="27"/>
      <c r="MA159" s="27"/>
      <c r="MB159" s="27"/>
      <c r="MC159" s="28"/>
      <c r="MD159" s="25"/>
      <c r="ME159" s="27"/>
      <c r="MF159" s="27"/>
      <c r="MG159" s="27"/>
      <c r="MH159" s="27"/>
      <c r="MI159" s="27"/>
      <c r="MJ159" s="28"/>
      <c r="MK159" s="25"/>
      <c r="ML159" s="27"/>
      <c r="MM159" s="27"/>
      <c r="MN159" s="27"/>
      <c r="MO159" s="27"/>
      <c r="MP159" s="27"/>
      <c r="MQ159" s="28"/>
      <c r="MR159" s="25"/>
      <c r="MS159" s="27"/>
      <c r="MT159" s="27"/>
      <c r="MU159" s="27"/>
      <c r="MV159" s="27"/>
      <c r="MW159" s="27"/>
      <c r="MX159" s="28"/>
      <c r="MY159" s="25"/>
      <c r="MZ159" s="27"/>
      <c r="NA159" s="27"/>
      <c r="NB159" s="27"/>
      <c r="NC159" s="27"/>
      <c r="ND159" s="27"/>
      <c r="NE159" s="28"/>
      <c r="NF159" s="25"/>
      <c r="NG159" s="27"/>
      <c r="NH159" s="27"/>
      <c r="NI159" s="27"/>
      <c r="NJ159" s="27"/>
      <c r="NK159" s="27"/>
      <c r="NL159" s="28"/>
      <c r="NM159" s="25"/>
      <c r="NN159" s="27"/>
      <c r="NO159" s="27"/>
      <c r="NP159" s="27"/>
      <c r="NQ159" s="27"/>
      <c r="NR159" s="27"/>
      <c r="NS159" s="28"/>
      <c r="NT159" s="25"/>
      <c r="NU159" s="27"/>
      <c r="NV159" s="27"/>
      <c r="NW159" s="27"/>
      <c r="NX159" s="27"/>
      <c r="NY159" s="27"/>
      <c r="NZ159" s="28"/>
      <c r="OA159" s="25"/>
      <c r="OB159" s="27"/>
      <c r="OC159" s="27"/>
      <c r="OD159" s="27"/>
      <c r="OE159" s="27"/>
      <c r="OF159" s="27"/>
      <c r="OG159" s="28"/>
      <c r="OH159" s="25"/>
      <c r="OI159" s="27"/>
      <c r="OJ159" s="27"/>
      <c r="OK159" s="27"/>
      <c r="OL159" s="27"/>
      <c r="OM159" s="27"/>
      <c r="ON159" s="28"/>
      <c r="OO159" s="25"/>
      <c r="OP159" s="27"/>
      <c r="OQ159" s="27"/>
      <c r="OR159" s="27"/>
      <c r="OS159" s="27"/>
      <c r="OT159" s="27"/>
      <c r="OU159" s="28"/>
      <c r="OV159" s="25"/>
      <c r="OW159" s="27"/>
      <c r="OX159" s="27"/>
      <c r="OY159" s="27"/>
      <c r="OZ159" s="27"/>
      <c r="PA159" s="27"/>
      <c r="PB159" s="28"/>
      <c r="PC159" s="25"/>
      <c r="PD159" s="27"/>
      <c r="PE159" s="27"/>
      <c r="PF159" s="27"/>
      <c r="PG159" s="27"/>
      <c r="PH159" s="27"/>
      <c r="PI159" s="28"/>
      <c r="PJ159" s="25"/>
      <c r="PK159" s="27"/>
      <c r="PL159" s="27"/>
      <c r="PM159" s="27"/>
      <c r="PN159" s="27"/>
      <c r="PO159" s="27"/>
      <c r="PP159" s="28"/>
      <c r="PQ159" s="25"/>
      <c r="PR159" s="27"/>
      <c r="PS159" s="27"/>
      <c r="PT159" s="27"/>
      <c r="PU159" s="27"/>
      <c r="PV159" s="27"/>
      <c r="PW159" s="28"/>
      <c r="PX159" s="25"/>
      <c r="PY159" s="27"/>
      <c r="PZ159" s="27"/>
      <c r="QA159" s="27"/>
      <c r="QB159" s="27"/>
      <c r="QC159" s="27"/>
      <c r="QD159" s="28"/>
      <c r="QE159" s="25"/>
      <c r="QF159" s="27"/>
      <c r="QG159" s="27"/>
      <c r="QH159" s="27"/>
      <c r="QI159" s="27"/>
      <c r="QJ159" s="27"/>
      <c r="QK159" s="28"/>
      <c r="QL159" s="25"/>
      <c r="QM159" s="27"/>
      <c r="QN159" s="27"/>
      <c r="QO159" s="27"/>
      <c r="QP159" s="27"/>
      <c r="QQ159" s="27"/>
      <c r="QR159" s="28"/>
      <c r="QS159" s="25"/>
      <c r="QT159" s="27"/>
      <c r="QU159" s="27"/>
      <c r="QV159" s="27"/>
      <c r="QW159" s="27"/>
      <c r="QX159" s="27"/>
      <c r="QY159" s="28"/>
      <c r="QZ159" s="25"/>
      <c r="RA159" s="27"/>
      <c r="RB159" s="27"/>
      <c r="RC159" s="27"/>
      <c r="RD159" s="27"/>
      <c r="RE159" s="27"/>
      <c r="RF159" s="28"/>
      <c r="RG159" s="25"/>
      <c r="RH159" s="27"/>
      <c r="RI159" s="27"/>
      <c r="RJ159" s="27"/>
      <c r="RK159" s="27"/>
      <c r="RL159" s="27"/>
      <c r="RM159" s="28"/>
      <c r="RN159" s="25"/>
      <c r="RO159" s="27"/>
      <c r="RP159" s="27"/>
      <c r="RQ159" s="27"/>
      <c r="RR159" s="27"/>
      <c r="RS159" s="27"/>
      <c r="RT159" s="28"/>
      <c r="RU159" s="25"/>
      <c r="RV159" s="27"/>
      <c r="RW159" s="27"/>
      <c r="RX159" s="27"/>
      <c r="RY159" s="27"/>
      <c r="RZ159" s="27"/>
      <c r="SA159" s="28"/>
      <c r="SB159" s="25"/>
      <c r="SC159" s="27"/>
      <c r="SD159" s="27"/>
      <c r="SE159" s="27"/>
      <c r="SF159" s="27"/>
      <c r="SG159" s="27"/>
      <c r="SH159" s="28"/>
      <c r="SI159" s="25"/>
      <c r="SJ159" s="27"/>
      <c r="SK159" s="27"/>
      <c r="SL159" s="27"/>
      <c r="SM159" s="27"/>
      <c r="SN159" s="27"/>
      <c r="SO159" s="28"/>
      <c r="SP159" s="25"/>
      <c r="SQ159" s="27"/>
      <c r="SR159" s="27"/>
    </row>
    <row r="160" spans="1:512" x14ac:dyDescent="0.15">
      <c r="A160" s="101">
        <f t="shared" ca="1" si="1562"/>
        <v>23</v>
      </c>
      <c r="B160" s="111">
        <v>23</v>
      </c>
      <c r="C160" s="71" t="str">
        <f t="shared" ca="1" si="1555"/>
        <v>Pepe</v>
      </c>
      <c r="D160" s="112">
        <f t="shared" ca="1" si="1563"/>
        <v>233.79999999999995</v>
      </c>
      <c r="E160" s="25"/>
      <c r="F160" s="26"/>
      <c r="G160" s="27"/>
      <c r="H160" s="28"/>
      <c r="I160" s="25"/>
      <c r="J160" s="25"/>
      <c r="K160" s="26"/>
      <c r="L160" s="62"/>
      <c r="M160" s="62" t="s">
        <v>210</v>
      </c>
      <c r="N160" s="62" t="s">
        <v>91</v>
      </c>
      <c r="O160" s="32"/>
      <c r="P160" s="32">
        <f t="shared" ca="1" si="1556"/>
        <v>1</v>
      </c>
      <c r="Q160" s="32" t="str">
        <f t="shared" ca="1" si="1557"/>
        <v>Ben L</v>
      </c>
      <c r="R160" s="113">
        <f t="shared" ca="1" si="1558"/>
        <v>266.90000000000003</v>
      </c>
      <c r="S160" s="73">
        <v>23</v>
      </c>
      <c r="T160" s="32">
        <f t="shared" ca="1" si="1561"/>
        <v>266.90023000000002</v>
      </c>
      <c r="U160" s="32"/>
      <c r="V160" s="61"/>
      <c r="W160" s="62"/>
      <c r="X160" s="32"/>
      <c r="Y160" s="63"/>
      <c r="Z160" s="73"/>
      <c r="AA160" s="32"/>
      <c r="AB160" s="32"/>
      <c r="AC160" s="61"/>
      <c r="AD160" s="27"/>
      <c r="AE160" s="27"/>
      <c r="AF160" s="27"/>
      <c r="AG160" s="28"/>
      <c r="AH160" s="25"/>
      <c r="AI160" s="27"/>
      <c r="AJ160" s="27"/>
      <c r="AK160" s="27"/>
      <c r="AL160" s="27"/>
      <c r="AM160" s="27"/>
      <c r="AN160" s="28"/>
      <c r="AO160" s="25"/>
      <c r="AP160" s="27"/>
      <c r="AQ160" s="27"/>
      <c r="AR160" s="27"/>
      <c r="AS160" s="27"/>
      <c r="AT160" s="27"/>
      <c r="AU160" s="28"/>
      <c r="AV160" s="25"/>
      <c r="AW160" s="27"/>
      <c r="AX160" s="27"/>
      <c r="AY160" s="27"/>
      <c r="AZ160" s="27"/>
      <c r="BA160" s="27"/>
      <c r="BB160" s="28"/>
      <c r="BC160" s="25"/>
      <c r="BD160" s="27"/>
      <c r="BE160" s="27"/>
      <c r="BF160" s="27"/>
      <c r="BG160" s="27"/>
      <c r="BH160" s="27"/>
      <c r="BI160" s="28"/>
      <c r="BJ160" s="25"/>
      <c r="BK160" s="27"/>
      <c r="BL160" s="27"/>
      <c r="BM160" s="27"/>
      <c r="BN160" s="27"/>
      <c r="BO160" s="27"/>
      <c r="BP160" s="28"/>
      <c r="BQ160" s="25"/>
      <c r="BR160" s="27"/>
      <c r="BS160" s="27"/>
      <c r="BT160" s="27"/>
      <c r="BU160" s="27"/>
      <c r="BV160" s="27"/>
      <c r="BW160" s="28"/>
      <c r="BX160" s="25"/>
      <c r="BY160" s="27"/>
      <c r="BZ160" s="27"/>
      <c r="CA160" s="27"/>
      <c r="CB160" s="27"/>
      <c r="CC160" s="27"/>
      <c r="CD160" s="28"/>
      <c r="CE160" s="25"/>
      <c r="CF160" s="27"/>
      <c r="CG160" s="27"/>
      <c r="CH160" s="27"/>
      <c r="CI160" s="27"/>
      <c r="CJ160" s="27"/>
      <c r="CK160" s="28"/>
      <c r="CL160" s="25"/>
      <c r="CM160" s="27"/>
      <c r="CN160" s="27"/>
      <c r="CO160" s="27"/>
      <c r="CP160" s="27"/>
      <c r="CQ160" s="27"/>
      <c r="CR160" s="28"/>
      <c r="CS160" s="25"/>
      <c r="CT160" s="27"/>
      <c r="CU160" s="27"/>
      <c r="CV160" s="27"/>
      <c r="CW160" s="27"/>
      <c r="CX160" s="27"/>
      <c r="CY160" s="28"/>
      <c r="CZ160" s="25"/>
      <c r="DA160" s="27"/>
      <c r="DB160" s="27"/>
      <c r="DC160" s="27"/>
      <c r="DD160" s="27"/>
      <c r="DE160" s="27"/>
      <c r="DF160" s="28"/>
      <c r="DG160" s="25"/>
      <c r="DH160" s="27"/>
      <c r="DI160" s="27"/>
      <c r="DJ160" s="27"/>
      <c r="DK160" s="27"/>
      <c r="DL160" s="27"/>
      <c r="DM160" s="28"/>
      <c r="DN160" s="25"/>
      <c r="DO160" s="27"/>
      <c r="DP160" s="27"/>
      <c r="DQ160" s="27"/>
      <c r="DR160" s="27"/>
      <c r="DS160" s="27"/>
      <c r="DT160" s="28"/>
      <c r="DU160" s="25"/>
      <c r="DV160" s="27"/>
      <c r="DW160" s="27"/>
      <c r="DX160" s="27"/>
      <c r="DY160" s="27"/>
      <c r="DZ160" s="27"/>
      <c r="EA160" s="28"/>
      <c r="EB160" s="25"/>
      <c r="EC160" s="27"/>
      <c r="ED160" s="27"/>
      <c r="EE160" s="27"/>
      <c r="EF160" s="27"/>
      <c r="EG160" s="27"/>
      <c r="EH160" s="28"/>
      <c r="EI160" s="25"/>
      <c r="EJ160" s="27"/>
      <c r="EK160" s="27"/>
      <c r="EL160" s="27"/>
      <c r="EM160" s="27"/>
      <c r="EN160" s="27"/>
      <c r="EO160" s="28"/>
      <c r="EP160" s="25"/>
      <c r="EQ160" s="27"/>
      <c r="ER160" s="27"/>
      <c r="ES160" s="27"/>
      <c r="ET160" s="27"/>
      <c r="EU160" s="27"/>
      <c r="EV160" s="28"/>
      <c r="EW160" s="25"/>
      <c r="EX160" s="27"/>
      <c r="EY160" s="27"/>
      <c r="EZ160" s="27"/>
      <c r="FA160" s="27"/>
      <c r="FB160" s="27"/>
      <c r="FC160" s="28"/>
      <c r="FD160" s="25"/>
      <c r="FE160" s="27"/>
      <c r="FF160" s="27"/>
      <c r="FG160" s="27"/>
      <c r="FH160" s="27"/>
      <c r="FI160" s="27"/>
      <c r="FJ160" s="28"/>
      <c r="FK160" s="25"/>
      <c r="FL160" s="27"/>
      <c r="FM160" s="27"/>
      <c r="FN160" s="27"/>
      <c r="FO160" s="27"/>
      <c r="FP160" s="27"/>
      <c r="FQ160" s="28"/>
      <c r="FR160" s="25"/>
      <c r="FS160" s="27"/>
      <c r="FT160" s="27"/>
      <c r="FU160" s="27"/>
      <c r="FV160" s="27"/>
      <c r="FW160" s="27"/>
      <c r="FX160" s="28"/>
      <c r="FY160" s="25"/>
      <c r="FZ160" s="27"/>
      <c r="GA160" s="27"/>
      <c r="GB160" s="27"/>
      <c r="GC160" s="27"/>
      <c r="GD160" s="27"/>
      <c r="GE160" s="28"/>
      <c r="GF160" s="25"/>
      <c r="GG160" s="27"/>
      <c r="GH160" s="27"/>
      <c r="GI160" s="27"/>
      <c r="GJ160" s="27"/>
      <c r="GK160" s="27"/>
      <c r="GL160" s="28"/>
      <c r="GM160" s="25"/>
      <c r="GN160" s="27"/>
      <c r="GO160" s="27"/>
      <c r="GP160" s="27"/>
      <c r="GQ160" s="27"/>
      <c r="GR160" s="27"/>
      <c r="GS160" s="28"/>
      <c r="GT160" s="25"/>
      <c r="GU160" s="27"/>
      <c r="GV160" s="27"/>
      <c r="GW160" s="27"/>
      <c r="GX160" s="27"/>
      <c r="GY160" s="27"/>
      <c r="GZ160" s="28"/>
      <c r="HA160" s="25"/>
      <c r="HB160" s="27"/>
      <c r="HC160" s="27"/>
      <c r="HD160" s="27"/>
      <c r="HE160" s="27"/>
      <c r="HF160" s="27"/>
      <c r="HG160" s="28"/>
      <c r="HH160" s="25"/>
      <c r="HI160" s="27"/>
      <c r="HJ160" s="27"/>
      <c r="HK160" s="27"/>
      <c r="HL160" s="27"/>
      <c r="HM160" s="27"/>
      <c r="HN160" s="28"/>
      <c r="HO160" s="25"/>
      <c r="HP160" s="27"/>
      <c r="HQ160" s="27"/>
      <c r="HR160" s="27"/>
      <c r="HS160" s="27"/>
      <c r="HT160" s="27"/>
      <c r="HU160" s="28"/>
      <c r="HV160" s="25"/>
      <c r="HW160" s="27"/>
      <c r="HX160" s="27"/>
      <c r="HY160" s="27"/>
      <c r="HZ160" s="27"/>
      <c r="IA160" s="27"/>
      <c r="IB160" s="28"/>
      <c r="IC160" s="25"/>
      <c r="ID160" s="27"/>
      <c r="IE160" s="27"/>
      <c r="IF160" s="27"/>
      <c r="IG160" s="27"/>
      <c r="IH160" s="27"/>
      <c r="II160" s="28"/>
      <c r="IJ160" s="25"/>
      <c r="IK160" s="27"/>
      <c r="IL160" s="27"/>
      <c r="IM160" s="27"/>
      <c r="IN160" s="27"/>
      <c r="IO160" s="27"/>
      <c r="IP160" s="28"/>
      <c r="IQ160" s="25"/>
      <c r="IR160" s="27"/>
      <c r="IS160" s="27"/>
      <c r="IT160" s="27"/>
      <c r="IU160" s="27"/>
      <c r="IV160" s="27"/>
      <c r="IW160" s="28"/>
      <c r="IX160" s="25"/>
      <c r="IY160" s="27"/>
      <c r="IZ160" s="27"/>
      <c r="JA160" s="27"/>
      <c r="JB160" s="27"/>
      <c r="JC160" s="27"/>
      <c r="JD160" s="28"/>
      <c r="JE160" s="25"/>
      <c r="JF160" s="27"/>
      <c r="JG160" s="27"/>
      <c r="JH160" s="27"/>
      <c r="JI160" s="27"/>
      <c r="JJ160" s="27"/>
      <c r="JK160" s="28"/>
      <c r="JL160" s="25"/>
      <c r="JM160" s="27"/>
      <c r="JN160" s="27"/>
      <c r="JO160" s="27"/>
      <c r="JP160" s="27"/>
      <c r="JQ160" s="27"/>
      <c r="JR160" s="28"/>
      <c r="JS160" s="25"/>
      <c r="JT160" s="27"/>
      <c r="JU160" s="27"/>
      <c r="JV160" s="27"/>
      <c r="JW160" s="27"/>
      <c r="JX160" s="27"/>
      <c r="JY160" s="28"/>
      <c r="JZ160" s="25"/>
      <c r="KA160" s="27"/>
      <c r="KB160" s="27"/>
      <c r="KC160" s="27"/>
      <c r="KD160" s="27"/>
      <c r="KE160" s="27"/>
      <c r="KF160" s="28"/>
      <c r="KG160" s="25"/>
      <c r="KH160" s="27"/>
      <c r="KI160" s="27"/>
      <c r="KJ160" s="27"/>
      <c r="KK160" s="27"/>
      <c r="KL160" s="27"/>
      <c r="KM160" s="28"/>
      <c r="KN160" s="25"/>
      <c r="KO160" s="27"/>
      <c r="KP160" s="27"/>
      <c r="KQ160" s="27"/>
      <c r="KR160" s="27"/>
      <c r="KS160" s="27"/>
      <c r="KT160" s="28"/>
      <c r="KU160" s="25"/>
      <c r="KV160" s="27"/>
      <c r="KW160" s="27"/>
      <c r="KX160" s="27"/>
      <c r="KY160" s="27"/>
      <c r="KZ160" s="27"/>
      <c r="LA160" s="28"/>
      <c r="LB160" s="25"/>
      <c r="LC160" s="27"/>
      <c r="LD160" s="27"/>
      <c r="LE160" s="27"/>
      <c r="LF160" s="27"/>
      <c r="LG160" s="27"/>
      <c r="LH160" s="28"/>
      <c r="LI160" s="25"/>
      <c r="LJ160" s="27"/>
      <c r="LK160" s="27"/>
      <c r="LL160" s="27"/>
      <c r="LM160" s="27"/>
      <c r="LN160" s="27"/>
      <c r="LO160" s="28"/>
      <c r="LP160" s="25"/>
      <c r="LQ160" s="27"/>
      <c r="LR160" s="27"/>
      <c r="LS160" s="27"/>
      <c r="LT160" s="27"/>
      <c r="LU160" s="27"/>
      <c r="LV160" s="28"/>
      <c r="LW160" s="25"/>
      <c r="LX160" s="27"/>
      <c r="LY160" s="27"/>
      <c r="LZ160" s="27"/>
      <c r="MA160" s="27"/>
      <c r="MB160" s="27"/>
      <c r="MC160" s="28"/>
      <c r="MD160" s="25"/>
      <c r="ME160" s="27"/>
      <c r="MF160" s="27"/>
      <c r="MG160" s="27"/>
      <c r="MH160" s="27"/>
      <c r="MI160" s="27"/>
      <c r="MJ160" s="28"/>
      <c r="MK160" s="25"/>
      <c r="ML160" s="27"/>
      <c r="MM160" s="27"/>
      <c r="MN160" s="27"/>
      <c r="MO160" s="27"/>
      <c r="MP160" s="27"/>
      <c r="MQ160" s="28"/>
      <c r="MR160" s="25"/>
      <c r="MS160" s="27"/>
      <c r="MT160" s="27"/>
      <c r="MU160" s="27"/>
      <c r="MV160" s="27"/>
      <c r="MW160" s="27"/>
      <c r="MX160" s="28"/>
      <c r="MY160" s="25"/>
      <c r="MZ160" s="27"/>
      <c r="NA160" s="27"/>
      <c r="NB160" s="27"/>
      <c r="NC160" s="27"/>
      <c r="ND160" s="27"/>
      <c r="NE160" s="28"/>
      <c r="NF160" s="25"/>
      <c r="NG160" s="27"/>
      <c r="NH160" s="27"/>
      <c r="NI160" s="27"/>
      <c r="NJ160" s="27"/>
      <c r="NK160" s="27"/>
      <c r="NL160" s="28"/>
      <c r="NM160" s="25"/>
      <c r="NN160" s="27"/>
      <c r="NO160" s="27"/>
      <c r="NP160" s="27"/>
      <c r="NQ160" s="27"/>
      <c r="NR160" s="27"/>
      <c r="NS160" s="28"/>
      <c r="NT160" s="25"/>
      <c r="NU160" s="27"/>
      <c r="NV160" s="27"/>
      <c r="NW160" s="27"/>
      <c r="NX160" s="27"/>
      <c r="NY160" s="27"/>
      <c r="NZ160" s="28"/>
      <c r="OA160" s="25"/>
      <c r="OB160" s="27"/>
      <c r="OC160" s="27"/>
      <c r="OD160" s="27"/>
      <c r="OE160" s="27"/>
      <c r="OF160" s="27"/>
      <c r="OG160" s="28"/>
      <c r="OH160" s="25"/>
      <c r="OI160" s="27"/>
      <c r="OJ160" s="27"/>
      <c r="OK160" s="27"/>
      <c r="OL160" s="27"/>
      <c r="OM160" s="27"/>
      <c r="ON160" s="28"/>
      <c r="OO160" s="25"/>
      <c r="OP160" s="27"/>
      <c r="OQ160" s="27"/>
      <c r="OR160" s="27"/>
      <c r="OS160" s="27"/>
      <c r="OT160" s="27"/>
      <c r="OU160" s="28"/>
      <c r="OV160" s="25"/>
      <c r="OW160" s="27"/>
      <c r="OX160" s="27"/>
      <c r="OY160" s="27"/>
      <c r="OZ160" s="27"/>
      <c r="PA160" s="27"/>
      <c r="PB160" s="28"/>
      <c r="PC160" s="25"/>
      <c r="PD160" s="27"/>
      <c r="PE160" s="27"/>
      <c r="PF160" s="27"/>
      <c r="PG160" s="27"/>
      <c r="PH160" s="27"/>
      <c r="PI160" s="28"/>
      <c r="PJ160" s="25"/>
      <c r="PK160" s="27"/>
      <c r="PL160" s="27"/>
      <c r="PM160" s="27"/>
      <c r="PN160" s="27"/>
      <c r="PO160" s="27"/>
      <c r="PP160" s="28"/>
      <c r="PQ160" s="25"/>
      <c r="PR160" s="27"/>
      <c r="PS160" s="27"/>
      <c r="PT160" s="27"/>
      <c r="PU160" s="27"/>
      <c r="PV160" s="27"/>
      <c r="PW160" s="28"/>
      <c r="PX160" s="25"/>
      <c r="PY160" s="27"/>
      <c r="PZ160" s="27"/>
      <c r="QA160" s="27"/>
      <c r="QB160" s="27"/>
      <c r="QC160" s="27"/>
      <c r="QD160" s="28"/>
      <c r="QE160" s="25"/>
      <c r="QF160" s="27"/>
      <c r="QG160" s="27"/>
      <c r="QH160" s="27"/>
      <c r="QI160" s="27"/>
      <c r="QJ160" s="27"/>
      <c r="QK160" s="28"/>
      <c r="QL160" s="25"/>
      <c r="QM160" s="27"/>
      <c r="QN160" s="27"/>
      <c r="QO160" s="27"/>
      <c r="QP160" s="27"/>
      <c r="QQ160" s="27"/>
      <c r="QR160" s="28"/>
      <c r="QS160" s="25"/>
      <c r="QT160" s="27"/>
      <c r="QU160" s="27"/>
      <c r="QV160" s="27"/>
      <c r="QW160" s="27"/>
      <c r="QX160" s="27"/>
      <c r="QY160" s="28"/>
      <c r="QZ160" s="25"/>
      <c r="RA160" s="27"/>
      <c r="RB160" s="27"/>
      <c r="RC160" s="27"/>
      <c r="RD160" s="27"/>
      <c r="RE160" s="27"/>
      <c r="RF160" s="28"/>
      <c r="RG160" s="25"/>
      <c r="RH160" s="27"/>
      <c r="RI160" s="27"/>
      <c r="RJ160" s="27"/>
      <c r="RK160" s="27"/>
      <c r="RL160" s="27"/>
      <c r="RM160" s="28"/>
      <c r="RN160" s="25"/>
      <c r="RO160" s="27"/>
      <c r="RP160" s="27"/>
      <c r="RQ160" s="27"/>
      <c r="RR160" s="27"/>
      <c r="RS160" s="27"/>
      <c r="RT160" s="28"/>
      <c r="RU160" s="25"/>
      <c r="RV160" s="27"/>
      <c r="RW160" s="27"/>
      <c r="RX160" s="27"/>
      <c r="RY160" s="27"/>
      <c r="RZ160" s="27"/>
      <c r="SA160" s="28"/>
      <c r="SB160" s="25"/>
      <c r="SC160" s="27"/>
      <c r="SD160" s="27"/>
      <c r="SE160" s="27"/>
      <c r="SF160" s="27"/>
      <c r="SG160" s="27"/>
      <c r="SH160" s="28"/>
      <c r="SI160" s="25"/>
      <c r="SJ160" s="27"/>
      <c r="SK160" s="27"/>
      <c r="SL160" s="27"/>
      <c r="SM160" s="27"/>
      <c r="SN160" s="27"/>
      <c r="SO160" s="28"/>
      <c r="SP160" s="25"/>
      <c r="SQ160" s="27"/>
      <c r="SR160" s="27"/>
    </row>
    <row r="161" spans="1:512" x14ac:dyDescent="0.15">
      <c r="A161" s="101">
        <f t="shared" ca="1" si="1562"/>
        <v>24</v>
      </c>
      <c r="B161" s="111">
        <v>24</v>
      </c>
      <c r="C161" s="71" t="str">
        <f t="shared" ca="1" si="1555"/>
        <v>Valentina</v>
      </c>
      <c r="D161" s="112">
        <f t="shared" ca="1" si="1563"/>
        <v>232.29999999999995</v>
      </c>
      <c r="E161" s="25"/>
      <c r="F161" s="26"/>
      <c r="G161" s="27"/>
      <c r="H161" s="28"/>
      <c r="I161" s="25"/>
      <c r="J161" s="25"/>
      <c r="K161" s="26"/>
      <c r="L161" s="62"/>
      <c r="M161" s="32" t="s">
        <v>211</v>
      </c>
      <c r="N161" s="62" t="s">
        <v>92</v>
      </c>
      <c r="O161" s="32"/>
      <c r="P161" s="32">
        <f t="shared" ca="1" si="1556"/>
        <v>52</v>
      </c>
      <c r="Q161" s="32" t="str">
        <f t="shared" ca="1" si="1557"/>
        <v>Conrad</v>
      </c>
      <c r="R161" s="113">
        <f t="shared" ca="1" si="1558"/>
        <v>209.70000000000002</v>
      </c>
      <c r="S161" s="73">
        <v>24</v>
      </c>
      <c r="T161" s="32">
        <f t="shared" ca="1" si="1561"/>
        <v>209.70024000000001</v>
      </c>
      <c r="U161" s="32"/>
      <c r="V161" s="61"/>
      <c r="W161" s="62"/>
      <c r="X161" s="32"/>
      <c r="Y161" s="63"/>
      <c r="Z161" s="73"/>
      <c r="AA161" s="32"/>
      <c r="AB161" s="32"/>
      <c r="AC161" s="61"/>
      <c r="AD161" s="27"/>
      <c r="AE161" s="27"/>
      <c r="AF161" s="27"/>
      <c r="AG161" s="28"/>
      <c r="AH161" s="25"/>
      <c r="AI161" s="27"/>
      <c r="AJ161" s="27"/>
      <c r="AK161" s="27"/>
      <c r="AL161" s="27"/>
      <c r="AM161" s="27"/>
      <c r="AN161" s="28"/>
      <c r="AO161" s="25"/>
      <c r="AP161" s="27"/>
      <c r="AQ161" s="27"/>
      <c r="AR161" s="27"/>
      <c r="AS161" s="27"/>
      <c r="AT161" s="27"/>
      <c r="AU161" s="28"/>
      <c r="AV161" s="25"/>
      <c r="AW161" s="27"/>
      <c r="AX161" s="27"/>
      <c r="AY161" s="27"/>
      <c r="AZ161" s="27"/>
      <c r="BA161" s="27"/>
      <c r="BB161" s="28"/>
      <c r="BC161" s="25"/>
      <c r="BD161" s="27"/>
      <c r="BE161" s="27"/>
      <c r="BF161" s="27"/>
      <c r="BG161" s="27"/>
      <c r="BH161" s="27"/>
      <c r="BI161" s="28"/>
      <c r="BJ161" s="25"/>
      <c r="BK161" s="27"/>
      <c r="BL161" s="27"/>
      <c r="BM161" s="27"/>
      <c r="BN161" s="27"/>
      <c r="BO161" s="27"/>
      <c r="BP161" s="28"/>
      <c r="BQ161" s="25"/>
      <c r="BR161" s="27"/>
      <c r="BS161" s="27"/>
      <c r="BT161" s="27"/>
      <c r="BU161" s="27"/>
      <c r="BV161" s="27"/>
      <c r="BW161" s="28"/>
      <c r="BX161" s="25"/>
      <c r="BY161" s="27"/>
      <c r="BZ161" s="27"/>
      <c r="CA161" s="27"/>
      <c r="CB161" s="27"/>
      <c r="CC161" s="27"/>
      <c r="CD161" s="28"/>
      <c r="CE161" s="25"/>
      <c r="CF161" s="27"/>
      <c r="CG161" s="27"/>
      <c r="CH161" s="27"/>
      <c r="CI161" s="27"/>
      <c r="CJ161" s="27"/>
      <c r="CK161" s="28"/>
      <c r="CL161" s="25"/>
      <c r="CM161" s="27"/>
      <c r="CN161" s="27"/>
      <c r="CO161" s="27"/>
      <c r="CP161" s="27"/>
      <c r="CQ161" s="27"/>
      <c r="CR161" s="28"/>
      <c r="CS161" s="25"/>
      <c r="CT161" s="27"/>
      <c r="CU161" s="27"/>
      <c r="CV161" s="27"/>
      <c r="CW161" s="27"/>
      <c r="CX161" s="27"/>
      <c r="CY161" s="28"/>
      <c r="CZ161" s="25"/>
      <c r="DA161" s="27"/>
      <c r="DB161" s="27"/>
      <c r="DC161" s="27"/>
      <c r="DD161" s="27"/>
      <c r="DE161" s="27"/>
      <c r="DF161" s="28"/>
      <c r="DG161" s="25"/>
      <c r="DH161" s="27"/>
      <c r="DI161" s="27"/>
      <c r="DJ161" s="27"/>
      <c r="DK161" s="27"/>
      <c r="DL161" s="27"/>
      <c r="DM161" s="28"/>
      <c r="DN161" s="25"/>
      <c r="DO161" s="27"/>
      <c r="DP161" s="27"/>
      <c r="DQ161" s="27"/>
      <c r="DR161" s="27"/>
      <c r="DS161" s="27"/>
      <c r="DT161" s="28"/>
      <c r="DU161" s="25"/>
      <c r="DV161" s="27"/>
      <c r="DW161" s="27"/>
      <c r="DX161" s="27"/>
      <c r="DY161" s="27"/>
      <c r="DZ161" s="27"/>
      <c r="EA161" s="28"/>
      <c r="EB161" s="25"/>
      <c r="EC161" s="27"/>
      <c r="ED161" s="27"/>
      <c r="EE161" s="27"/>
      <c r="EF161" s="27"/>
      <c r="EG161" s="27"/>
      <c r="EH161" s="28"/>
      <c r="EI161" s="25"/>
      <c r="EJ161" s="27"/>
      <c r="EK161" s="27"/>
      <c r="EL161" s="27"/>
      <c r="EM161" s="27"/>
      <c r="EN161" s="27"/>
      <c r="EO161" s="28"/>
      <c r="EP161" s="25"/>
      <c r="EQ161" s="27"/>
      <c r="ER161" s="27"/>
      <c r="ES161" s="27"/>
      <c r="ET161" s="27"/>
      <c r="EU161" s="27"/>
      <c r="EV161" s="28"/>
      <c r="EW161" s="25"/>
      <c r="EX161" s="27"/>
      <c r="EY161" s="27"/>
      <c r="EZ161" s="27"/>
      <c r="FA161" s="27"/>
      <c r="FB161" s="27"/>
      <c r="FC161" s="28"/>
      <c r="FD161" s="25"/>
      <c r="FE161" s="27"/>
      <c r="FF161" s="27"/>
      <c r="FG161" s="27"/>
      <c r="FH161" s="27"/>
      <c r="FI161" s="27"/>
      <c r="FJ161" s="28"/>
      <c r="FK161" s="25"/>
      <c r="FL161" s="27"/>
      <c r="FM161" s="27"/>
      <c r="FN161" s="27"/>
      <c r="FO161" s="27"/>
      <c r="FP161" s="27"/>
      <c r="FQ161" s="28"/>
      <c r="FR161" s="25"/>
      <c r="FS161" s="27"/>
      <c r="FT161" s="27"/>
      <c r="FU161" s="27"/>
      <c r="FV161" s="27"/>
      <c r="FW161" s="27"/>
      <c r="FX161" s="28"/>
      <c r="FY161" s="25"/>
      <c r="FZ161" s="27"/>
      <c r="GA161" s="27"/>
      <c r="GB161" s="27"/>
      <c r="GC161" s="27"/>
      <c r="GD161" s="27"/>
      <c r="GE161" s="28"/>
      <c r="GF161" s="25"/>
      <c r="GG161" s="27"/>
      <c r="GH161" s="27"/>
      <c r="GI161" s="27"/>
      <c r="GJ161" s="27"/>
      <c r="GK161" s="27"/>
      <c r="GL161" s="28"/>
      <c r="GM161" s="25"/>
      <c r="GN161" s="27"/>
      <c r="GO161" s="27"/>
      <c r="GP161" s="27"/>
      <c r="GQ161" s="27"/>
      <c r="GR161" s="27"/>
      <c r="GS161" s="28"/>
      <c r="GT161" s="25"/>
      <c r="GU161" s="27"/>
      <c r="GV161" s="27"/>
      <c r="GW161" s="27"/>
      <c r="GX161" s="27"/>
      <c r="GY161" s="27"/>
      <c r="GZ161" s="28"/>
      <c r="HA161" s="25"/>
      <c r="HB161" s="27"/>
      <c r="HC161" s="27"/>
      <c r="HD161" s="27"/>
      <c r="HE161" s="27"/>
      <c r="HF161" s="27"/>
      <c r="HG161" s="28"/>
      <c r="HH161" s="25"/>
      <c r="HI161" s="27"/>
      <c r="HJ161" s="27"/>
      <c r="HK161" s="27"/>
      <c r="HL161" s="27"/>
      <c r="HM161" s="27"/>
      <c r="HN161" s="28"/>
      <c r="HO161" s="25"/>
      <c r="HP161" s="27"/>
      <c r="HQ161" s="27"/>
      <c r="HR161" s="27"/>
      <c r="HS161" s="27"/>
      <c r="HT161" s="27"/>
      <c r="HU161" s="28"/>
      <c r="HV161" s="25"/>
      <c r="HW161" s="27"/>
      <c r="HX161" s="27"/>
      <c r="HY161" s="27"/>
      <c r="HZ161" s="27"/>
      <c r="IA161" s="27"/>
      <c r="IB161" s="28"/>
      <c r="IC161" s="25"/>
      <c r="ID161" s="27"/>
      <c r="IE161" s="27"/>
      <c r="IF161" s="27"/>
      <c r="IG161" s="27"/>
      <c r="IH161" s="27"/>
      <c r="II161" s="28"/>
      <c r="IJ161" s="25"/>
      <c r="IK161" s="27"/>
      <c r="IL161" s="27"/>
      <c r="IM161" s="27"/>
      <c r="IN161" s="27"/>
      <c r="IO161" s="27"/>
      <c r="IP161" s="28"/>
      <c r="IQ161" s="25"/>
      <c r="IR161" s="27"/>
      <c r="IS161" s="27"/>
      <c r="IT161" s="27"/>
      <c r="IU161" s="27"/>
      <c r="IV161" s="27"/>
      <c r="IW161" s="28"/>
      <c r="IX161" s="25"/>
      <c r="IY161" s="27"/>
      <c r="IZ161" s="27"/>
      <c r="JA161" s="27"/>
      <c r="JB161" s="27"/>
      <c r="JC161" s="27"/>
      <c r="JD161" s="28"/>
      <c r="JE161" s="25"/>
      <c r="JF161" s="27"/>
      <c r="JG161" s="27"/>
      <c r="JH161" s="27"/>
      <c r="JI161" s="27"/>
      <c r="JJ161" s="27"/>
      <c r="JK161" s="28"/>
      <c r="JL161" s="25"/>
      <c r="JM161" s="27"/>
      <c r="JN161" s="27"/>
      <c r="JO161" s="27"/>
      <c r="JP161" s="27"/>
      <c r="JQ161" s="27"/>
      <c r="JR161" s="28"/>
      <c r="JS161" s="25"/>
      <c r="JT161" s="27"/>
      <c r="JU161" s="27"/>
      <c r="JV161" s="27"/>
      <c r="JW161" s="27"/>
      <c r="JX161" s="27"/>
      <c r="JY161" s="28"/>
      <c r="JZ161" s="25"/>
      <c r="KA161" s="27"/>
      <c r="KB161" s="27"/>
      <c r="KC161" s="27"/>
      <c r="KD161" s="27"/>
      <c r="KE161" s="27"/>
      <c r="KF161" s="28"/>
      <c r="KG161" s="25"/>
      <c r="KH161" s="27"/>
      <c r="KI161" s="27"/>
      <c r="KJ161" s="27"/>
      <c r="KK161" s="27"/>
      <c r="KL161" s="27"/>
      <c r="KM161" s="28"/>
      <c r="KN161" s="25"/>
      <c r="KO161" s="27"/>
      <c r="KP161" s="27"/>
      <c r="KQ161" s="27"/>
      <c r="KR161" s="27"/>
      <c r="KS161" s="27"/>
      <c r="KT161" s="28"/>
      <c r="KU161" s="25"/>
      <c r="KV161" s="27"/>
      <c r="KW161" s="27"/>
      <c r="KX161" s="27"/>
      <c r="KY161" s="27"/>
      <c r="KZ161" s="27"/>
      <c r="LA161" s="28"/>
      <c r="LB161" s="25"/>
      <c r="LC161" s="27"/>
      <c r="LD161" s="27"/>
      <c r="LE161" s="27"/>
      <c r="LF161" s="27"/>
      <c r="LG161" s="27"/>
      <c r="LH161" s="28"/>
      <c r="LI161" s="25"/>
      <c r="LJ161" s="27"/>
      <c r="LK161" s="27"/>
      <c r="LL161" s="27"/>
      <c r="LM161" s="27"/>
      <c r="LN161" s="27"/>
      <c r="LO161" s="28"/>
      <c r="LP161" s="25"/>
      <c r="LQ161" s="27"/>
      <c r="LR161" s="27"/>
      <c r="LS161" s="27"/>
      <c r="LT161" s="27"/>
      <c r="LU161" s="27"/>
      <c r="LV161" s="28"/>
      <c r="LW161" s="25"/>
      <c r="LX161" s="27"/>
      <c r="LY161" s="27"/>
      <c r="LZ161" s="27"/>
      <c r="MA161" s="27"/>
      <c r="MB161" s="27"/>
      <c r="MC161" s="28"/>
      <c r="MD161" s="25"/>
      <c r="ME161" s="27"/>
      <c r="MF161" s="27"/>
      <c r="MG161" s="27"/>
      <c r="MH161" s="27"/>
      <c r="MI161" s="27"/>
      <c r="MJ161" s="28"/>
      <c r="MK161" s="25"/>
      <c r="ML161" s="27"/>
      <c r="MM161" s="27"/>
      <c r="MN161" s="27"/>
      <c r="MO161" s="27"/>
      <c r="MP161" s="27"/>
      <c r="MQ161" s="28"/>
      <c r="MR161" s="25"/>
      <c r="MS161" s="27"/>
      <c r="MT161" s="27"/>
      <c r="MU161" s="27"/>
      <c r="MV161" s="27"/>
      <c r="MW161" s="27"/>
      <c r="MX161" s="28"/>
      <c r="MY161" s="25"/>
      <c r="MZ161" s="27"/>
      <c r="NA161" s="27"/>
      <c r="NB161" s="27"/>
      <c r="NC161" s="27"/>
      <c r="ND161" s="27"/>
      <c r="NE161" s="28"/>
      <c r="NF161" s="25"/>
      <c r="NG161" s="27"/>
      <c r="NH161" s="27"/>
      <c r="NI161" s="27"/>
      <c r="NJ161" s="27"/>
      <c r="NK161" s="27"/>
      <c r="NL161" s="28"/>
      <c r="NM161" s="25"/>
      <c r="NN161" s="27"/>
      <c r="NO161" s="27"/>
      <c r="NP161" s="27"/>
      <c r="NQ161" s="27"/>
      <c r="NR161" s="27"/>
      <c r="NS161" s="28"/>
      <c r="NT161" s="25"/>
      <c r="NU161" s="27"/>
      <c r="NV161" s="27"/>
      <c r="NW161" s="27"/>
      <c r="NX161" s="27"/>
      <c r="NY161" s="27"/>
      <c r="NZ161" s="28"/>
      <c r="OA161" s="25"/>
      <c r="OB161" s="27"/>
      <c r="OC161" s="27"/>
      <c r="OD161" s="27"/>
      <c r="OE161" s="27"/>
      <c r="OF161" s="27"/>
      <c r="OG161" s="28"/>
      <c r="OH161" s="25"/>
      <c r="OI161" s="27"/>
      <c r="OJ161" s="27"/>
      <c r="OK161" s="27"/>
      <c r="OL161" s="27"/>
      <c r="OM161" s="27"/>
      <c r="ON161" s="28"/>
      <c r="OO161" s="25"/>
      <c r="OP161" s="27"/>
      <c r="OQ161" s="27"/>
      <c r="OR161" s="27"/>
      <c r="OS161" s="27"/>
      <c r="OT161" s="27"/>
      <c r="OU161" s="28"/>
      <c r="OV161" s="25"/>
      <c r="OW161" s="27"/>
      <c r="OX161" s="27"/>
      <c r="OY161" s="27"/>
      <c r="OZ161" s="27"/>
      <c r="PA161" s="27"/>
      <c r="PB161" s="28"/>
      <c r="PC161" s="25"/>
      <c r="PD161" s="27"/>
      <c r="PE161" s="27"/>
      <c r="PF161" s="27"/>
      <c r="PG161" s="27"/>
      <c r="PH161" s="27"/>
      <c r="PI161" s="28"/>
      <c r="PJ161" s="25"/>
      <c r="PK161" s="27"/>
      <c r="PL161" s="27"/>
      <c r="PM161" s="27"/>
      <c r="PN161" s="27"/>
      <c r="PO161" s="27"/>
      <c r="PP161" s="28"/>
      <c r="PQ161" s="25"/>
      <c r="PR161" s="27"/>
      <c r="PS161" s="27"/>
      <c r="PT161" s="27"/>
      <c r="PU161" s="27"/>
      <c r="PV161" s="27"/>
      <c r="PW161" s="28"/>
      <c r="PX161" s="25"/>
      <c r="PY161" s="27"/>
      <c r="PZ161" s="27"/>
      <c r="QA161" s="27"/>
      <c r="QB161" s="27"/>
      <c r="QC161" s="27"/>
      <c r="QD161" s="28"/>
      <c r="QE161" s="25"/>
      <c r="QF161" s="27"/>
      <c r="QG161" s="27"/>
      <c r="QH161" s="27"/>
      <c r="QI161" s="27"/>
      <c r="QJ161" s="27"/>
      <c r="QK161" s="28"/>
      <c r="QL161" s="25"/>
      <c r="QM161" s="27"/>
      <c r="QN161" s="27"/>
      <c r="QO161" s="27"/>
      <c r="QP161" s="27"/>
      <c r="QQ161" s="27"/>
      <c r="QR161" s="28"/>
      <c r="QS161" s="25"/>
      <c r="QT161" s="27"/>
      <c r="QU161" s="27"/>
      <c r="QV161" s="27"/>
      <c r="QW161" s="27"/>
      <c r="QX161" s="27"/>
      <c r="QY161" s="28"/>
      <c r="QZ161" s="25"/>
      <c r="RA161" s="27"/>
      <c r="RB161" s="27"/>
      <c r="RC161" s="27"/>
      <c r="RD161" s="27"/>
      <c r="RE161" s="27"/>
      <c r="RF161" s="28"/>
      <c r="RG161" s="25"/>
      <c r="RH161" s="27"/>
      <c r="RI161" s="27"/>
      <c r="RJ161" s="27"/>
      <c r="RK161" s="27"/>
      <c r="RL161" s="27"/>
      <c r="RM161" s="28"/>
      <c r="RN161" s="25"/>
      <c r="RO161" s="27"/>
      <c r="RP161" s="27"/>
      <c r="RQ161" s="27"/>
      <c r="RR161" s="27"/>
      <c r="RS161" s="27"/>
      <c r="RT161" s="28"/>
      <c r="RU161" s="25"/>
      <c r="RV161" s="27"/>
      <c r="RW161" s="27"/>
      <c r="RX161" s="27"/>
      <c r="RY161" s="27"/>
      <c r="RZ161" s="27"/>
      <c r="SA161" s="28"/>
      <c r="SB161" s="25"/>
      <c r="SC161" s="27"/>
      <c r="SD161" s="27"/>
      <c r="SE161" s="27"/>
      <c r="SF161" s="27"/>
      <c r="SG161" s="27"/>
      <c r="SH161" s="28"/>
      <c r="SI161" s="25"/>
      <c r="SJ161" s="27"/>
      <c r="SK161" s="27"/>
      <c r="SL161" s="27"/>
      <c r="SM161" s="27"/>
      <c r="SN161" s="27"/>
      <c r="SO161" s="28"/>
      <c r="SP161" s="25"/>
      <c r="SQ161" s="27"/>
      <c r="SR161" s="27"/>
    </row>
    <row r="162" spans="1:512" x14ac:dyDescent="0.15">
      <c r="A162" s="101">
        <f t="shared" ca="1" si="1562"/>
        <v>25</v>
      </c>
      <c r="B162" s="111">
        <v>25</v>
      </c>
      <c r="C162" s="71" t="str">
        <f t="shared" ca="1" si="1555"/>
        <v>Nico</v>
      </c>
      <c r="D162" s="112">
        <f t="shared" ca="1" si="1563"/>
        <v>231.6</v>
      </c>
      <c r="E162" s="25"/>
      <c r="F162" s="26"/>
      <c r="G162" s="27"/>
      <c r="H162" s="28"/>
      <c r="I162" s="25"/>
      <c r="J162" s="25"/>
      <c r="K162" s="26"/>
      <c r="L162" s="62"/>
      <c r="M162" s="61" t="s">
        <v>212</v>
      </c>
      <c r="N162" s="63" t="s">
        <v>93</v>
      </c>
      <c r="O162" s="32"/>
      <c r="P162" s="32">
        <f t="shared" ca="1" si="1556"/>
        <v>41</v>
      </c>
      <c r="Q162" s="32" t="str">
        <f t="shared" ca="1" si="1557"/>
        <v>Christian</v>
      </c>
      <c r="R162" s="113">
        <f t="shared" ca="1" si="1558"/>
        <v>218.39999999999992</v>
      </c>
      <c r="S162" s="73">
        <v>25</v>
      </c>
      <c r="T162" s="32">
        <f t="shared" ca="1" si="1561"/>
        <v>218.40024999999991</v>
      </c>
      <c r="U162" s="32"/>
      <c r="V162" s="61"/>
      <c r="W162" s="62"/>
      <c r="X162" s="32"/>
      <c r="Y162" s="63"/>
      <c r="Z162" s="73"/>
      <c r="AA162" s="32"/>
      <c r="AB162" s="32"/>
      <c r="AC162" s="61"/>
      <c r="AD162" s="27"/>
      <c r="AE162" s="27"/>
      <c r="AF162" s="27"/>
      <c r="AG162" s="28"/>
      <c r="AH162" s="25"/>
      <c r="AI162" s="27"/>
      <c r="AJ162" s="27"/>
      <c r="AK162" s="27"/>
      <c r="AL162" s="27"/>
      <c r="AM162" s="27"/>
      <c r="AN162" s="28"/>
      <c r="AO162" s="25"/>
      <c r="AP162" s="27"/>
      <c r="AQ162" s="27"/>
      <c r="AR162" s="27"/>
      <c r="AS162" s="27"/>
      <c r="AT162" s="27"/>
      <c r="AU162" s="28"/>
      <c r="AV162" s="25"/>
      <c r="AW162" s="27"/>
      <c r="AX162" s="27"/>
      <c r="AY162" s="27"/>
      <c r="AZ162" s="27"/>
      <c r="BA162" s="27"/>
      <c r="BB162" s="28"/>
      <c r="BC162" s="25"/>
      <c r="BD162" s="27"/>
      <c r="BE162" s="27"/>
      <c r="BF162" s="27"/>
      <c r="BG162" s="27"/>
      <c r="BH162" s="27"/>
      <c r="BI162" s="28"/>
      <c r="BJ162" s="25"/>
      <c r="BK162" s="27"/>
      <c r="BL162" s="27"/>
      <c r="BM162" s="27"/>
      <c r="BN162" s="27"/>
      <c r="BO162" s="27"/>
      <c r="BP162" s="28"/>
      <c r="BQ162" s="25"/>
      <c r="BR162" s="27"/>
      <c r="BS162" s="27"/>
      <c r="BT162" s="27"/>
      <c r="BU162" s="27"/>
      <c r="BV162" s="27"/>
      <c r="BW162" s="28"/>
      <c r="BX162" s="25"/>
      <c r="BY162" s="27"/>
      <c r="BZ162" s="27"/>
      <c r="CA162" s="27"/>
      <c r="CB162" s="27"/>
      <c r="CC162" s="27"/>
      <c r="CD162" s="28"/>
      <c r="CE162" s="25"/>
      <c r="CF162" s="27"/>
      <c r="CG162" s="27"/>
      <c r="CH162" s="27"/>
      <c r="CI162" s="27"/>
      <c r="CJ162" s="27"/>
      <c r="CK162" s="28"/>
      <c r="CL162" s="25"/>
      <c r="CM162" s="27"/>
      <c r="CN162" s="27"/>
      <c r="CO162" s="27"/>
      <c r="CP162" s="27"/>
      <c r="CQ162" s="27"/>
      <c r="CR162" s="28"/>
      <c r="CS162" s="25"/>
      <c r="CT162" s="27"/>
      <c r="CU162" s="27"/>
      <c r="CV162" s="27"/>
      <c r="CW162" s="27"/>
      <c r="CX162" s="27"/>
      <c r="CY162" s="28"/>
      <c r="CZ162" s="25"/>
      <c r="DA162" s="27"/>
      <c r="DB162" s="27"/>
      <c r="DC162" s="27"/>
      <c r="DD162" s="27"/>
      <c r="DE162" s="27"/>
      <c r="DF162" s="28"/>
      <c r="DG162" s="25"/>
      <c r="DH162" s="27"/>
      <c r="DI162" s="27"/>
      <c r="DJ162" s="27"/>
      <c r="DK162" s="27"/>
      <c r="DL162" s="27"/>
      <c r="DM162" s="28"/>
      <c r="DN162" s="25"/>
      <c r="DO162" s="27"/>
      <c r="DP162" s="27"/>
      <c r="DQ162" s="27"/>
      <c r="DR162" s="27"/>
      <c r="DS162" s="27"/>
      <c r="DT162" s="28"/>
      <c r="DU162" s="25"/>
      <c r="DV162" s="27"/>
      <c r="DW162" s="27"/>
      <c r="DX162" s="27"/>
      <c r="DY162" s="27"/>
      <c r="DZ162" s="27"/>
      <c r="EA162" s="28"/>
      <c r="EB162" s="25"/>
      <c r="EC162" s="27"/>
      <c r="ED162" s="27"/>
      <c r="EE162" s="27"/>
      <c r="EF162" s="27"/>
      <c r="EG162" s="27"/>
      <c r="EH162" s="28"/>
      <c r="EI162" s="25"/>
      <c r="EJ162" s="27"/>
      <c r="EK162" s="27"/>
      <c r="EL162" s="27"/>
      <c r="EM162" s="27"/>
      <c r="EN162" s="27"/>
      <c r="EO162" s="28"/>
      <c r="EP162" s="25"/>
      <c r="EQ162" s="27"/>
      <c r="ER162" s="27"/>
      <c r="ES162" s="27"/>
      <c r="ET162" s="27"/>
      <c r="EU162" s="27"/>
      <c r="EV162" s="28"/>
      <c r="EW162" s="25"/>
      <c r="EX162" s="27"/>
      <c r="EY162" s="27"/>
      <c r="EZ162" s="27"/>
      <c r="FA162" s="27"/>
      <c r="FB162" s="27"/>
      <c r="FC162" s="28"/>
      <c r="FD162" s="25"/>
      <c r="FE162" s="27"/>
      <c r="FF162" s="27"/>
      <c r="FG162" s="27"/>
      <c r="FH162" s="27"/>
      <c r="FI162" s="27"/>
      <c r="FJ162" s="28"/>
      <c r="FK162" s="25"/>
      <c r="FL162" s="27"/>
      <c r="FM162" s="27"/>
      <c r="FN162" s="27"/>
      <c r="FO162" s="27"/>
      <c r="FP162" s="27"/>
      <c r="FQ162" s="28"/>
      <c r="FR162" s="25"/>
      <c r="FS162" s="27"/>
      <c r="FT162" s="27"/>
      <c r="FU162" s="27"/>
      <c r="FV162" s="27"/>
      <c r="FW162" s="27"/>
      <c r="FX162" s="28"/>
      <c r="FY162" s="25"/>
      <c r="FZ162" s="27"/>
      <c r="GA162" s="27"/>
      <c r="GB162" s="27"/>
      <c r="GC162" s="27"/>
      <c r="GD162" s="27"/>
      <c r="GE162" s="28"/>
      <c r="GF162" s="25"/>
      <c r="GG162" s="27"/>
      <c r="GH162" s="27"/>
      <c r="GI162" s="27"/>
      <c r="GJ162" s="27"/>
      <c r="GK162" s="27"/>
      <c r="GL162" s="28"/>
      <c r="GM162" s="25"/>
      <c r="GN162" s="27"/>
      <c r="GO162" s="27"/>
      <c r="GP162" s="27"/>
      <c r="GQ162" s="27"/>
      <c r="GR162" s="27"/>
      <c r="GS162" s="28"/>
      <c r="GT162" s="25"/>
      <c r="GU162" s="27"/>
      <c r="GV162" s="27"/>
      <c r="GW162" s="27"/>
      <c r="GX162" s="27"/>
      <c r="GY162" s="27"/>
      <c r="GZ162" s="28"/>
      <c r="HA162" s="25"/>
      <c r="HB162" s="27"/>
      <c r="HC162" s="27"/>
      <c r="HD162" s="27"/>
      <c r="HE162" s="27"/>
      <c r="HF162" s="27"/>
      <c r="HG162" s="28"/>
      <c r="HH162" s="25"/>
      <c r="HI162" s="27"/>
      <c r="HJ162" s="27"/>
      <c r="HK162" s="27"/>
      <c r="HL162" s="27"/>
      <c r="HM162" s="27"/>
      <c r="HN162" s="28"/>
      <c r="HO162" s="25"/>
      <c r="HP162" s="27"/>
      <c r="HQ162" s="27"/>
      <c r="HR162" s="27"/>
      <c r="HS162" s="27"/>
      <c r="HT162" s="27"/>
      <c r="HU162" s="28"/>
      <c r="HV162" s="25"/>
      <c r="HW162" s="27"/>
      <c r="HX162" s="27"/>
      <c r="HY162" s="27"/>
      <c r="HZ162" s="27"/>
      <c r="IA162" s="27"/>
      <c r="IB162" s="28"/>
      <c r="IC162" s="25"/>
      <c r="ID162" s="27"/>
      <c r="IE162" s="27"/>
      <c r="IF162" s="27"/>
      <c r="IG162" s="27"/>
      <c r="IH162" s="27"/>
      <c r="II162" s="28"/>
      <c r="IJ162" s="25"/>
      <c r="IK162" s="27"/>
      <c r="IL162" s="27"/>
      <c r="IM162" s="27"/>
      <c r="IN162" s="27"/>
      <c r="IO162" s="27"/>
      <c r="IP162" s="28"/>
      <c r="IQ162" s="25"/>
      <c r="IR162" s="27"/>
      <c r="IS162" s="27"/>
      <c r="IT162" s="27"/>
      <c r="IU162" s="27"/>
      <c r="IV162" s="27"/>
      <c r="IW162" s="28"/>
      <c r="IX162" s="25"/>
      <c r="IY162" s="27"/>
      <c r="IZ162" s="27"/>
      <c r="JA162" s="27"/>
      <c r="JB162" s="27"/>
      <c r="JC162" s="27"/>
      <c r="JD162" s="28"/>
      <c r="JE162" s="25"/>
      <c r="JF162" s="27"/>
      <c r="JG162" s="27"/>
      <c r="JH162" s="27"/>
      <c r="JI162" s="27"/>
      <c r="JJ162" s="27"/>
      <c r="JK162" s="28"/>
      <c r="JL162" s="25"/>
      <c r="JM162" s="27"/>
      <c r="JN162" s="27"/>
      <c r="JO162" s="27"/>
      <c r="JP162" s="27"/>
      <c r="JQ162" s="27"/>
      <c r="JR162" s="28"/>
      <c r="JS162" s="25"/>
      <c r="JT162" s="27"/>
      <c r="JU162" s="27"/>
      <c r="JV162" s="27"/>
      <c r="JW162" s="27"/>
      <c r="JX162" s="27"/>
      <c r="JY162" s="28"/>
      <c r="JZ162" s="25"/>
      <c r="KA162" s="27"/>
      <c r="KB162" s="27"/>
      <c r="KC162" s="27"/>
      <c r="KD162" s="27"/>
      <c r="KE162" s="27"/>
      <c r="KF162" s="28"/>
      <c r="KG162" s="25"/>
      <c r="KH162" s="27"/>
      <c r="KI162" s="27"/>
      <c r="KJ162" s="27"/>
      <c r="KK162" s="27"/>
      <c r="KL162" s="27"/>
      <c r="KM162" s="28"/>
      <c r="KN162" s="25"/>
      <c r="KO162" s="27"/>
      <c r="KP162" s="27"/>
      <c r="KQ162" s="27"/>
      <c r="KR162" s="27"/>
      <c r="KS162" s="27"/>
      <c r="KT162" s="28"/>
      <c r="KU162" s="25"/>
      <c r="KV162" s="27"/>
      <c r="KW162" s="27"/>
      <c r="KX162" s="27"/>
      <c r="KY162" s="27"/>
      <c r="KZ162" s="27"/>
      <c r="LA162" s="28"/>
      <c r="LB162" s="25"/>
      <c r="LC162" s="27"/>
      <c r="LD162" s="27"/>
      <c r="LE162" s="27"/>
      <c r="LF162" s="27"/>
      <c r="LG162" s="27"/>
      <c r="LH162" s="28"/>
      <c r="LI162" s="25"/>
      <c r="LJ162" s="27"/>
      <c r="LK162" s="27"/>
      <c r="LL162" s="27"/>
      <c r="LM162" s="27"/>
      <c r="LN162" s="27"/>
      <c r="LO162" s="28"/>
      <c r="LP162" s="25"/>
      <c r="LQ162" s="27"/>
      <c r="LR162" s="27"/>
      <c r="LS162" s="27"/>
      <c r="LT162" s="27"/>
      <c r="LU162" s="27"/>
      <c r="LV162" s="28"/>
      <c r="LW162" s="25"/>
      <c r="LX162" s="27"/>
      <c r="LY162" s="27"/>
      <c r="LZ162" s="27"/>
      <c r="MA162" s="27"/>
      <c r="MB162" s="27"/>
      <c r="MC162" s="28"/>
      <c r="MD162" s="25"/>
      <c r="ME162" s="27"/>
      <c r="MF162" s="27"/>
      <c r="MG162" s="27"/>
      <c r="MH162" s="27"/>
      <c r="MI162" s="27"/>
      <c r="MJ162" s="28"/>
      <c r="MK162" s="25"/>
      <c r="ML162" s="27"/>
      <c r="MM162" s="27"/>
      <c r="MN162" s="27"/>
      <c r="MO162" s="27"/>
      <c r="MP162" s="27"/>
      <c r="MQ162" s="28"/>
      <c r="MR162" s="25"/>
      <c r="MS162" s="27"/>
      <c r="MT162" s="27"/>
      <c r="MU162" s="27"/>
      <c r="MV162" s="27"/>
      <c r="MW162" s="27"/>
      <c r="MX162" s="28"/>
      <c r="MY162" s="25"/>
      <c r="MZ162" s="27"/>
      <c r="NA162" s="27"/>
      <c r="NB162" s="27"/>
      <c r="NC162" s="27"/>
      <c r="ND162" s="27"/>
      <c r="NE162" s="28"/>
      <c r="NF162" s="25"/>
      <c r="NG162" s="27"/>
      <c r="NH162" s="27"/>
      <c r="NI162" s="27"/>
      <c r="NJ162" s="27"/>
      <c r="NK162" s="27"/>
      <c r="NL162" s="28"/>
      <c r="NM162" s="25"/>
      <c r="NN162" s="27"/>
      <c r="NO162" s="27"/>
      <c r="NP162" s="27"/>
      <c r="NQ162" s="27"/>
      <c r="NR162" s="27"/>
      <c r="NS162" s="28"/>
      <c r="NT162" s="25"/>
      <c r="NU162" s="27"/>
      <c r="NV162" s="27"/>
      <c r="NW162" s="27"/>
      <c r="NX162" s="27"/>
      <c r="NY162" s="27"/>
      <c r="NZ162" s="28"/>
      <c r="OA162" s="25"/>
      <c r="OB162" s="27"/>
      <c r="OC162" s="27"/>
      <c r="OD162" s="27"/>
      <c r="OE162" s="27"/>
      <c r="OF162" s="27"/>
      <c r="OG162" s="28"/>
      <c r="OH162" s="25"/>
      <c r="OI162" s="27"/>
      <c r="OJ162" s="27"/>
      <c r="OK162" s="27"/>
      <c r="OL162" s="27"/>
      <c r="OM162" s="27"/>
      <c r="ON162" s="28"/>
      <c r="OO162" s="25"/>
      <c r="OP162" s="27"/>
      <c r="OQ162" s="27"/>
      <c r="OR162" s="27"/>
      <c r="OS162" s="27"/>
      <c r="OT162" s="27"/>
      <c r="OU162" s="28"/>
      <c r="OV162" s="25"/>
      <c r="OW162" s="27"/>
      <c r="OX162" s="27"/>
      <c r="OY162" s="27"/>
      <c r="OZ162" s="27"/>
      <c r="PA162" s="27"/>
      <c r="PB162" s="28"/>
      <c r="PC162" s="25"/>
      <c r="PD162" s="27"/>
      <c r="PE162" s="27"/>
      <c r="PF162" s="27"/>
      <c r="PG162" s="27"/>
      <c r="PH162" s="27"/>
      <c r="PI162" s="28"/>
      <c r="PJ162" s="25"/>
      <c r="PK162" s="27"/>
      <c r="PL162" s="27"/>
      <c r="PM162" s="27"/>
      <c r="PN162" s="27"/>
      <c r="PO162" s="27"/>
      <c r="PP162" s="28"/>
      <c r="PQ162" s="25"/>
      <c r="PR162" s="27"/>
      <c r="PS162" s="27"/>
      <c r="PT162" s="27"/>
      <c r="PU162" s="27"/>
      <c r="PV162" s="27"/>
      <c r="PW162" s="28"/>
      <c r="PX162" s="25"/>
      <c r="PY162" s="27"/>
      <c r="PZ162" s="27"/>
      <c r="QA162" s="27"/>
      <c r="QB162" s="27"/>
      <c r="QC162" s="27"/>
      <c r="QD162" s="28"/>
      <c r="QE162" s="25"/>
      <c r="QF162" s="27"/>
      <c r="QG162" s="27"/>
      <c r="QH162" s="27"/>
      <c r="QI162" s="27"/>
      <c r="QJ162" s="27"/>
      <c r="QK162" s="28"/>
      <c r="QL162" s="25"/>
      <c r="QM162" s="27"/>
      <c r="QN162" s="27"/>
      <c r="QO162" s="27"/>
      <c r="QP162" s="27"/>
      <c r="QQ162" s="27"/>
      <c r="QR162" s="28"/>
      <c r="QS162" s="25"/>
      <c r="QT162" s="27"/>
      <c r="QU162" s="27"/>
      <c r="QV162" s="27"/>
      <c r="QW162" s="27"/>
      <c r="QX162" s="27"/>
      <c r="QY162" s="28"/>
      <c r="QZ162" s="25"/>
      <c r="RA162" s="27"/>
      <c r="RB162" s="27"/>
      <c r="RC162" s="27"/>
      <c r="RD162" s="27"/>
      <c r="RE162" s="27"/>
      <c r="RF162" s="28"/>
      <c r="RG162" s="25"/>
      <c r="RH162" s="27"/>
      <c r="RI162" s="27"/>
      <c r="RJ162" s="27"/>
      <c r="RK162" s="27"/>
      <c r="RL162" s="27"/>
      <c r="RM162" s="28"/>
      <c r="RN162" s="25"/>
      <c r="RO162" s="27"/>
      <c r="RP162" s="27"/>
      <c r="RQ162" s="27"/>
      <c r="RR162" s="27"/>
      <c r="RS162" s="27"/>
      <c r="RT162" s="28"/>
      <c r="RU162" s="25"/>
      <c r="RV162" s="27"/>
      <c r="RW162" s="27"/>
      <c r="RX162" s="27"/>
      <c r="RY162" s="27"/>
      <c r="RZ162" s="27"/>
      <c r="SA162" s="28"/>
      <c r="SB162" s="25"/>
      <c r="SC162" s="27"/>
      <c r="SD162" s="27"/>
      <c r="SE162" s="27"/>
      <c r="SF162" s="27"/>
      <c r="SG162" s="27"/>
      <c r="SH162" s="28"/>
      <c r="SI162" s="25"/>
      <c r="SJ162" s="27"/>
      <c r="SK162" s="27"/>
      <c r="SL162" s="27"/>
      <c r="SM162" s="27"/>
      <c r="SN162" s="27"/>
      <c r="SO162" s="28"/>
      <c r="SP162" s="25"/>
      <c r="SQ162" s="27"/>
      <c r="SR162" s="27"/>
    </row>
    <row r="163" spans="1:512" x14ac:dyDescent="0.15">
      <c r="A163" s="101">
        <f t="shared" ca="1" si="1562"/>
        <v>26</v>
      </c>
      <c r="B163" s="111">
        <v>26</v>
      </c>
      <c r="C163" s="71" t="str">
        <f t="shared" ca="1" si="1555"/>
        <v>Paul</v>
      </c>
      <c r="D163" s="112">
        <f t="shared" ca="1" si="1563"/>
        <v>230.39999999999995</v>
      </c>
      <c r="E163" s="25"/>
      <c r="F163" s="26"/>
      <c r="G163" s="27"/>
      <c r="H163" s="28"/>
      <c r="I163" s="25"/>
      <c r="J163" s="25"/>
      <c r="K163" s="26"/>
      <c r="L163" s="62"/>
      <c r="M163" s="62" t="s">
        <v>213</v>
      </c>
      <c r="N163" s="32" t="s">
        <v>94</v>
      </c>
      <c r="O163" s="32"/>
      <c r="P163" s="32">
        <f t="shared" ca="1" si="1556"/>
        <v>31</v>
      </c>
      <c r="Q163" s="32" t="str">
        <f t="shared" ca="1" si="1557"/>
        <v>Kay</v>
      </c>
      <c r="R163" s="113">
        <f t="shared" ca="1" si="1558"/>
        <v>222.50000000000003</v>
      </c>
      <c r="S163" s="73">
        <v>26</v>
      </c>
      <c r="T163" s="32">
        <f t="shared" ca="1" si="1561"/>
        <v>222.50026000000003</v>
      </c>
      <c r="U163" s="32"/>
      <c r="V163" s="61"/>
      <c r="W163" s="62"/>
      <c r="X163" s="32"/>
      <c r="Y163" s="63"/>
      <c r="Z163" s="73"/>
      <c r="AA163" s="32"/>
      <c r="AB163" s="32"/>
      <c r="AC163" s="61"/>
      <c r="AD163" s="27"/>
      <c r="AE163" s="27"/>
      <c r="AF163" s="27"/>
      <c r="AG163" s="28"/>
      <c r="AH163" s="25"/>
      <c r="AI163" s="27"/>
      <c r="AJ163" s="27"/>
      <c r="AK163" s="27"/>
      <c r="AL163" s="27"/>
      <c r="AM163" s="27"/>
      <c r="AN163" s="28"/>
      <c r="AO163" s="25"/>
      <c r="AP163" s="27"/>
      <c r="AQ163" s="27"/>
      <c r="AR163" s="27"/>
      <c r="AS163" s="27"/>
      <c r="AT163" s="27"/>
      <c r="AU163" s="28"/>
      <c r="AV163" s="25"/>
      <c r="AW163" s="27"/>
      <c r="AX163" s="27"/>
      <c r="AY163" s="27"/>
      <c r="AZ163" s="27"/>
      <c r="BA163" s="27"/>
      <c r="BB163" s="28"/>
      <c r="BC163" s="25"/>
      <c r="BD163" s="27"/>
      <c r="BE163" s="27"/>
      <c r="BF163" s="27"/>
      <c r="BG163" s="27"/>
      <c r="BH163" s="27"/>
      <c r="BI163" s="28"/>
      <c r="BJ163" s="25"/>
      <c r="BK163" s="27"/>
      <c r="BL163" s="27"/>
      <c r="BM163" s="27"/>
      <c r="BN163" s="27"/>
      <c r="BO163" s="27"/>
      <c r="BP163" s="28"/>
      <c r="BQ163" s="25"/>
      <c r="BR163" s="27"/>
      <c r="BS163" s="27"/>
      <c r="BT163" s="27"/>
      <c r="BU163" s="27"/>
      <c r="BV163" s="27"/>
      <c r="BW163" s="28"/>
      <c r="BX163" s="25"/>
      <c r="BY163" s="27"/>
      <c r="BZ163" s="27"/>
      <c r="CA163" s="27"/>
      <c r="CB163" s="27"/>
      <c r="CC163" s="27"/>
      <c r="CD163" s="28"/>
      <c r="CE163" s="25"/>
      <c r="CF163" s="27"/>
      <c r="CG163" s="27"/>
      <c r="CH163" s="27"/>
      <c r="CI163" s="27"/>
      <c r="CJ163" s="27"/>
      <c r="CK163" s="28"/>
      <c r="CL163" s="25"/>
      <c r="CM163" s="27"/>
      <c r="CN163" s="27"/>
      <c r="CO163" s="27"/>
      <c r="CP163" s="27"/>
      <c r="CQ163" s="27"/>
      <c r="CR163" s="28"/>
      <c r="CS163" s="25"/>
      <c r="CT163" s="27"/>
      <c r="CU163" s="27"/>
      <c r="CV163" s="27"/>
      <c r="CW163" s="27"/>
      <c r="CX163" s="27"/>
      <c r="CY163" s="28"/>
      <c r="CZ163" s="25"/>
      <c r="DA163" s="27"/>
      <c r="DB163" s="27"/>
      <c r="DC163" s="27"/>
      <c r="DD163" s="27"/>
      <c r="DE163" s="27"/>
      <c r="DF163" s="28"/>
      <c r="DG163" s="25"/>
      <c r="DH163" s="27"/>
      <c r="DI163" s="27"/>
      <c r="DJ163" s="27"/>
      <c r="DK163" s="27"/>
      <c r="DL163" s="27"/>
      <c r="DM163" s="28"/>
      <c r="DN163" s="25"/>
      <c r="DO163" s="27"/>
      <c r="DP163" s="27"/>
      <c r="DQ163" s="27"/>
      <c r="DR163" s="27"/>
      <c r="DS163" s="27"/>
      <c r="DT163" s="28"/>
      <c r="DU163" s="25"/>
      <c r="DV163" s="27"/>
      <c r="DW163" s="27"/>
      <c r="DX163" s="27"/>
      <c r="DY163" s="27"/>
      <c r="DZ163" s="27"/>
      <c r="EA163" s="28"/>
      <c r="EB163" s="25"/>
      <c r="EC163" s="27"/>
      <c r="ED163" s="27"/>
      <c r="EE163" s="27"/>
      <c r="EF163" s="27"/>
      <c r="EG163" s="27"/>
      <c r="EH163" s="28"/>
      <c r="EI163" s="25"/>
      <c r="EJ163" s="27"/>
      <c r="EK163" s="27"/>
      <c r="EL163" s="27"/>
      <c r="EM163" s="27"/>
      <c r="EN163" s="27"/>
      <c r="EO163" s="28"/>
      <c r="EP163" s="25"/>
      <c r="EQ163" s="27"/>
      <c r="ER163" s="27"/>
      <c r="ES163" s="27"/>
      <c r="ET163" s="27"/>
      <c r="EU163" s="27"/>
      <c r="EV163" s="28"/>
      <c r="EW163" s="25"/>
      <c r="EX163" s="27"/>
      <c r="EY163" s="27"/>
      <c r="EZ163" s="27"/>
      <c r="FA163" s="27"/>
      <c r="FB163" s="27"/>
      <c r="FC163" s="28"/>
      <c r="FD163" s="25"/>
      <c r="FE163" s="27"/>
      <c r="FF163" s="27"/>
      <c r="FG163" s="27"/>
      <c r="FH163" s="27"/>
      <c r="FI163" s="27"/>
      <c r="FJ163" s="28"/>
      <c r="FK163" s="25"/>
      <c r="FL163" s="27"/>
      <c r="FM163" s="27"/>
      <c r="FN163" s="27"/>
      <c r="FO163" s="27"/>
      <c r="FP163" s="27"/>
      <c r="FQ163" s="28"/>
      <c r="FR163" s="25"/>
      <c r="FS163" s="27"/>
      <c r="FT163" s="27"/>
      <c r="FU163" s="27"/>
      <c r="FV163" s="27"/>
      <c r="FW163" s="27"/>
      <c r="FX163" s="28"/>
      <c r="FY163" s="25"/>
      <c r="FZ163" s="27"/>
      <c r="GA163" s="27"/>
      <c r="GB163" s="27"/>
      <c r="GC163" s="27"/>
      <c r="GD163" s="27"/>
      <c r="GE163" s="28"/>
      <c r="GF163" s="25"/>
      <c r="GG163" s="27"/>
      <c r="GH163" s="27"/>
      <c r="GI163" s="27"/>
      <c r="GJ163" s="27"/>
      <c r="GK163" s="27"/>
      <c r="GL163" s="28"/>
      <c r="GM163" s="25"/>
      <c r="GN163" s="27"/>
      <c r="GO163" s="27"/>
      <c r="GP163" s="27"/>
      <c r="GQ163" s="27"/>
      <c r="GR163" s="27"/>
      <c r="GS163" s="28"/>
      <c r="GT163" s="25"/>
      <c r="GU163" s="27"/>
      <c r="GV163" s="27"/>
      <c r="GW163" s="27"/>
      <c r="GX163" s="27"/>
      <c r="GY163" s="27"/>
      <c r="GZ163" s="28"/>
      <c r="HA163" s="25"/>
      <c r="HB163" s="27"/>
      <c r="HC163" s="27"/>
      <c r="HD163" s="27"/>
      <c r="HE163" s="27"/>
      <c r="HF163" s="27"/>
      <c r="HG163" s="28"/>
      <c r="HH163" s="25"/>
      <c r="HI163" s="27"/>
      <c r="HJ163" s="27"/>
      <c r="HK163" s="27"/>
      <c r="HL163" s="27"/>
      <c r="HM163" s="27"/>
      <c r="HN163" s="28"/>
      <c r="HO163" s="25"/>
      <c r="HP163" s="27"/>
      <c r="HQ163" s="27"/>
      <c r="HR163" s="27"/>
      <c r="HS163" s="27"/>
      <c r="HT163" s="27"/>
      <c r="HU163" s="28"/>
      <c r="HV163" s="25"/>
      <c r="HW163" s="27"/>
      <c r="HX163" s="27"/>
      <c r="HY163" s="27"/>
      <c r="HZ163" s="27"/>
      <c r="IA163" s="27"/>
      <c r="IB163" s="28"/>
      <c r="IC163" s="25"/>
      <c r="ID163" s="27"/>
      <c r="IE163" s="27"/>
      <c r="IF163" s="27"/>
      <c r="IG163" s="27"/>
      <c r="IH163" s="27"/>
      <c r="II163" s="28"/>
      <c r="IJ163" s="25"/>
      <c r="IK163" s="27"/>
      <c r="IL163" s="27"/>
      <c r="IM163" s="27"/>
      <c r="IN163" s="27"/>
      <c r="IO163" s="27"/>
      <c r="IP163" s="28"/>
      <c r="IQ163" s="25"/>
      <c r="IR163" s="27"/>
      <c r="IS163" s="27"/>
      <c r="IT163" s="27"/>
      <c r="IU163" s="27"/>
      <c r="IV163" s="27"/>
      <c r="IW163" s="28"/>
      <c r="IX163" s="25"/>
      <c r="IY163" s="27"/>
      <c r="IZ163" s="27"/>
      <c r="JA163" s="27"/>
      <c r="JB163" s="27"/>
      <c r="JC163" s="27"/>
      <c r="JD163" s="28"/>
      <c r="JE163" s="25"/>
      <c r="JF163" s="27"/>
      <c r="JG163" s="27"/>
      <c r="JH163" s="27"/>
      <c r="JI163" s="27"/>
      <c r="JJ163" s="27"/>
      <c r="JK163" s="28"/>
      <c r="JL163" s="25"/>
      <c r="JM163" s="27"/>
      <c r="JN163" s="27"/>
      <c r="JO163" s="27"/>
      <c r="JP163" s="27"/>
      <c r="JQ163" s="27"/>
      <c r="JR163" s="28"/>
      <c r="JS163" s="25"/>
      <c r="JT163" s="27"/>
      <c r="JU163" s="27"/>
      <c r="JV163" s="27"/>
      <c r="JW163" s="27"/>
      <c r="JX163" s="27"/>
      <c r="JY163" s="28"/>
      <c r="JZ163" s="25"/>
      <c r="KA163" s="27"/>
      <c r="KB163" s="27"/>
      <c r="KC163" s="27"/>
      <c r="KD163" s="27"/>
      <c r="KE163" s="27"/>
      <c r="KF163" s="28"/>
      <c r="KG163" s="25"/>
      <c r="KH163" s="27"/>
      <c r="KI163" s="27"/>
      <c r="KJ163" s="27"/>
      <c r="KK163" s="27"/>
      <c r="KL163" s="27"/>
      <c r="KM163" s="28"/>
      <c r="KN163" s="25"/>
      <c r="KO163" s="27"/>
      <c r="KP163" s="27"/>
      <c r="KQ163" s="27"/>
      <c r="KR163" s="27"/>
      <c r="KS163" s="27"/>
      <c r="KT163" s="28"/>
      <c r="KU163" s="25"/>
      <c r="KV163" s="27"/>
      <c r="KW163" s="27"/>
      <c r="KX163" s="27"/>
      <c r="KY163" s="27"/>
      <c r="KZ163" s="27"/>
      <c r="LA163" s="28"/>
      <c r="LB163" s="25"/>
      <c r="LC163" s="27"/>
      <c r="LD163" s="27"/>
      <c r="LE163" s="27"/>
      <c r="LF163" s="27"/>
      <c r="LG163" s="27"/>
      <c r="LH163" s="28"/>
      <c r="LI163" s="25"/>
      <c r="LJ163" s="27"/>
      <c r="LK163" s="27"/>
      <c r="LL163" s="27"/>
      <c r="LM163" s="27"/>
      <c r="LN163" s="27"/>
      <c r="LO163" s="28"/>
      <c r="LP163" s="25"/>
      <c r="LQ163" s="27"/>
      <c r="LR163" s="27"/>
      <c r="LS163" s="27"/>
      <c r="LT163" s="27"/>
      <c r="LU163" s="27"/>
      <c r="LV163" s="28"/>
      <c r="LW163" s="25"/>
      <c r="LX163" s="27"/>
      <c r="LY163" s="27"/>
      <c r="LZ163" s="27"/>
      <c r="MA163" s="27"/>
      <c r="MB163" s="27"/>
      <c r="MC163" s="28"/>
      <c r="MD163" s="25"/>
      <c r="ME163" s="27"/>
      <c r="MF163" s="27"/>
      <c r="MG163" s="27"/>
      <c r="MH163" s="27"/>
      <c r="MI163" s="27"/>
      <c r="MJ163" s="28"/>
      <c r="MK163" s="25"/>
      <c r="ML163" s="27"/>
      <c r="MM163" s="27"/>
      <c r="MN163" s="27"/>
      <c r="MO163" s="27"/>
      <c r="MP163" s="27"/>
      <c r="MQ163" s="28"/>
      <c r="MR163" s="25"/>
      <c r="MS163" s="27"/>
      <c r="MT163" s="27"/>
      <c r="MU163" s="27"/>
      <c r="MV163" s="27"/>
      <c r="MW163" s="27"/>
      <c r="MX163" s="28"/>
      <c r="MY163" s="25"/>
      <c r="MZ163" s="27"/>
      <c r="NA163" s="27"/>
      <c r="NB163" s="27"/>
      <c r="NC163" s="27"/>
      <c r="ND163" s="27"/>
      <c r="NE163" s="28"/>
      <c r="NF163" s="25"/>
      <c r="NG163" s="27"/>
      <c r="NH163" s="27"/>
      <c r="NI163" s="27"/>
      <c r="NJ163" s="27"/>
      <c r="NK163" s="27"/>
      <c r="NL163" s="28"/>
      <c r="NM163" s="25"/>
      <c r="NN163" s="27"/>
      <c r="NO163" s="27"/>
      <c r="NP163" s="27"/>
      <c r="NQ163" s="27"/>
      <c r="NR163" s="27"/>
      <c r="NS163" s="28"/>
      <c r="NT163" s="25"/>
      <c r="NU163" s="27"/>
      <c r="NV163" s="27"/>
      <c r="NW163" s="27"/>
      <c r="NX163" s="27"/>
      <c r="NY163" s="27"/>
      <c r="NZ163" s="28"/>
      <c r="OA163" s="25"/>
      <c r="OB163" s="27"/>
      <c r="OC163" s="27"/>
      <c r="OD163" s="27"/>
      <c r="OE163" s="27"/>
      <c r="OF163" s="27"/>
      <c r="OG163" s="28"/>
      <c r="OH163" s="25"/>
      <c r="OI163" s="27"/>
      <c r="OJ163" s="27"/>
      <c r="OK163" s="27"/>
      <c r="OL163" s="27"/>
      <c r="OM163" s="27"/>
      <c r="ON163" s="28"/>
      <c r="OO163" s="25"/>
      <c r="OP163" s="27"/>
      <c r="OQ163" s="27"/>
      <c r="OR163" s="27"/>
      <c r="OS163" s="27"/>
      <c r="OT163" s="27"/>
      <c r="OU163" s="28"/>
      <c r="OV163" s="25"/>
      <c r="OW163" s="27"/>
      <c r="OX163" s="27"/>
      <c r="OY163" s="27"/>
      <c r="OZ163" s="27"/>
      <c r="PA163" s="27"/>
      <c r="PB163" s="28"/>
      <c r="PC163" s="25"/>
      <c r="PD163" s="27"/>
      <c r="PE163" s="27"/>
      <c r="PF163" s="27"/>
      <c r="PG163" s="27"/>
      <c r="PH163" s="27"/>
      <c r="PI163" s="28"/>
      <c r="PJ163" s="25"/>
      <c r="PK163" s="27"/>
      <c r="PL163" s="27"/>
      <c r="PM163" s="27"/>
      <c r="PN163" s="27"/>
      <c r="PO163" s="27"/>
      <c r="PP163" s="28"/>
      <c r="PQ163" s="25"/>
      <c r="PR163" s="27"/>
      <c r="PS163" s="27"/>
      <c r="PT163" s="27"/>
      <c r="PU163" s="27"/>
      <c r="PV163" s="27"/>
      <c r="PW163" s="28"/>
      <c r="PX163" s="25"/>
      <c r="PY163" s="27"/>
      <c r="PZ163" s="27"/>
      <c r="QA163" s="27"/>
      <c r="QB163" s="27"/>
      <c r="QC163" s="27"/>
      <c r="QD163" s="28"/>
      <c r="QE163" s="25"/>
      <c r="QF163" s="27"/>
      <c r="QG163" s="27"/>
      <c r="QH163" s="27"/>
      <c r="QI163" s="27"/>
      <c r="QJ163" s="27"/>
      <c r="QK163" s="28"/>
      <c r="QL163" s="25"/>
      <c r="QM163" s="27"/>
      <c r="QN163" s="27"/>
      <c r="QO163" s="27"/>
      <c r="QP163" s="27"/>
      <c r="QQ163" s="27"/>
      <c r="QR163" s="28"/>
      <c r="QS163" s="25"/>
      <c r="QT163" s="27"/>
      <c r="QU163" s="27"/>
      <c r="QV163" s="27"/>
      <c r="QW163" s="27"/>
      <c r="QX163" s="27"/>
      <c r="QY163" s="28"/>
      <c r="QZ163" s="25"/>
      <c r="RA163" s="27"/>
      <c r="RB163" s="27"/>
      <c r="RC163" s="27"/>
      <c r="RD163" s="27"/>
      <c r="RE163" s="27"/>
      <c r="RF163" s="28"/>
      <c r="RG163" s="25"/>
      <c r="RH163" s="27"/>
      <c r="RI163" s="27"/>
      <c r="RJ163" s="27"/>
      <c r="RK163" s="27"/>
      <c r="RL163" s="27"/>
      <c r="RM163" s="28"/>
      <c r="RN163" s="25"/>
      <c r="RO163" s="27"/>
      <c r="RP163" s="27"/>
      <c r="RQ163" s="27"/>
      <c r="RR163" s="27"/>
      <c r="RS163" s="27"/>
      <c r="RT163" s="28"/>
      <c r="RU163" s="25"/>
      <c r="RV163" s="27"/>
      <c r="RW163" s="27"/>
      <c r="RX163" s="27"/>
      <c r="RY163" s="27"/>
      <c r="RZ163" s="27"/>
      <c r="SA163" s="28"/>
      <c r="SB163" s="25"/>
      <c r="SC163" s="27"/>
      <c r="SD163" s="27"/>
      <c r="SE163" s="27"/>
      <c r="SF163" s="27"/>
      <c r="SG163" s="27"/>
      <c r="SH163" s="28"/>
      <c r="SI163" s="25"/>
      <c r="SJ163" s="27"/>
      <c r="SK163" s="27"/>
      <c r="SL163" s="27"/>
      <c r="SM163" s="27"/>
      <c r="SN163" s="27"/>
      <c r="SO163" s="28"/>
      <c r="SP163" s="25"/>
      <c r="SQ163" s="27"/>
      <c r="SR163" s="27"/>
    </row>
    <row r="164" spans="1:512" x14ac:dyDescent="0.15">
      <c r="A164" s="101">
        <f t="shared" ca="1" si="1562"/>
        <v>27</v>
      </c>
      <c r="B164" s="111">
        <v>27</v>
      </c>
      <c r="C164" s="71" t="str">
        <f t="shared" ca="1" si="1555"/>
        <v>Helene</v>
      </c>
      <c r="D164" s="112">
        <f t="shared" ca="1" si="1563"/>
        <v>227.79999999999998</v>
      </c>
      <c r="E164" s="25"/>
      <c r="F164" s="26"/>
      <c r="G164" s="27"/>
      <c r="H164" s="28"/>
      <c r="I164" s="25"/>
      <c r="J164" s="25"/>
      <c r="K164" s="26"/>
      <c r="L164" s="62"/>
      <c r="M164" s="62" t="s">
        <v>214</v>
      </c>
      <c r="N164" s="62" t="s">
        <v>95</v>
      </c>
      <c r="O164" s="32"/>
      <c r="P164" s="32">
        <f t="shared" ca="1" si="1556"/>
        <v>37</v>
      </c>
      <c r="Q164" s="32" t="str">
        <f t="shared" ca="1" si="1557"/>
        <v>Ingrid</v>
      </c>
      <c r="R164" s="113">
        <f t="shared" ca="1" si="1558"/>
        <v>219.99999999999997</v>
      </c>
      <c r="S164" s="73">
        <v>27</v>
      </c>
      <c r="T164" s="32">
        <f t="shared" ca="1" si="1561"/>
        <v>220.00026999999997</v>
      </c>
      <c r="U164" s="32"/>
      <c r="V164" s="61"/>
      <c r="W164" s="62"/>
      <c r="X164" s="32"/>
      <c r="Y164" s="63"/>
      <c r="Z164" s="73"/>
      <c r="AA164" s="32"/>
      <c r="AB164" s="32"/>
      <c r="AC164" s="61"/>
      <c r="AD164" s="27"/>
      <c r="AE164" s="27"/>
      <c r="AF164" s="27"/>
      <c r="AG164" s="28"/>
      <c r="AH164" s="25"/>
      <c r="AI164" s="27"/>
      <c r="AJ164" s="27"/>
      <c r="AK164" s="27"/>
      <c r="AL164" s="27"/>
      <c r="AM164" s="27"/>
      <c r="AN164" s="28"/>
      <c r="AO164" s="25"/>
      <c r="AP164" s="27"/>
      <c r="AQ164" s="27"/>
      <c r="AR164" s="27"/>
      <c r="AS164" s="27"/>
      <c r="AT164" s="27"/>
      <c r="AU164" s="28"/>
      <c r="AV164" s="25"/>
      <c r="AW164" s="27"/>
      <c r="AX164" s="27"/>
      <c r="AY164" s="27"/>
      <c r="AZ164" s="27"/>
      <c r="BA164" s="27"/>
      <c r="BB164" s="28"/>
      <c r="BC164" s="25"/>
      <c r="BD164" s="27"/>
      <c r="BE164" s="27"/>
      <c r="BF164" s="27"/>
      <c r="BG164" s="27"/>
      <c r="BH164" s="27"/>
      <c r="BI164" s="28"/>
      <c r="BJ164" s="25"/>
      <c r="BK164" s="27"/>
      <c r="BL164" s="27"/>
      <c r="BM164" s="27"/>
      <c r="BN164" s="27"/>
      <c r="BO164" s="27"/>
      <c r="BP164" s="28"/>
      <c r="BQ164" s="25"/>
      <c r="BR164" s="27"/>
      <c r="BS164" s="27"/>
      <c r="BT164" s="27"/>
      <c r="BU164" s="27"/>
      <c r="BV164" s="27"/>
      <c r="BW164" s="28"/>
      <c r="BX164" s="25"/>
      <c r="BY164" s="27"/>
      <c r="BZ164" s="27"/>
      <c r="CA164" s="27"/>
      <c r="CB164" s="27"/>
      <c r="CC164" s="27"/>
      <c r="CD164" s="28"/>
      <c r="CE164" s="25"/>
      <c r="CF164" s="27"/>
      <c r="CG164" s="27"/>
      <c r="CH164" s="27"/>
      <c r="CI164" s="27"/>
      <c r="CJ164" s="27"/>
      <c r="CK164" s="28"/>
      <c r="CL164" s="25"/>
      <c r="CM164" s="27"/>
      <c r="CN164" s="27"/>
      <c r="CO164" s="27"/>
      <c r="CP164" s="27"/>
      <c r="CQ164" s="27"/>
      <c r="CR164" s="28"/>
      <c r="CS164" s="25"/>
      <c r="CT164" s="27"/>
      <c r="CU164" s="27"/>
      <c r="CV164" s="27"/>
      <c r="CW164" s="27"/>
      <c r="CX164" s="27"/>
      <c r="CY164" s="28"/>
      <c r="CZ164" s="25"/>
      <c r="DA164" s="27"/>
      <c r="DB164" s="27"/>
      <c r="DC164" s="27"/>
      <c r="DD164" s="27"/>
      <c r="DE164" s="27"/>
      <c r="DF164" s="28"/>
      <c r="DG164" s="25"/>
      <c r="DH164" s="27"/>
      <c r="DI164" s="27"/>
      <c r="DJ164" s="27"/>
      <c r="DK164" s="27"/>
      <c r="DL164" s="27"/>
      <c r="DM164" s="28"/>
      <c r="DN164" s="25"/>
      <c r="DO164" s="27"/>
      <c r="DP164" s="27"/>
      <c r="DQ164" s="27"/>
      <c r="DR164" s="27"/>
      <c r="DS164" s="27"/>
      <c r="DT164" s="28"/>
      <c r="DU164" s="25"/>
      <c r="DV164" s="27"/>
      <c r="DW164" s="27"/>
      <c r="DX164" s="27"/>
      <c r="DY164" s="27"/>
      <c r="DZ164" s="27"/>
      <c r="EA164" s="28"/>
      <c r="EB164" s="25"/>
      <c r="EC164" s="27"/>
      <c r="ED164" s="27"/>
      <c r="EE164" s="27"/>
      <c r="EF164" s="27"/>
      <c r="EG164" s="27"/>
      <c r="EH164" s="28"/>
      <c r="EI164" s="25"/>
      <c r="EJ164" s="27"/>
      <c r="EK164" s="27"/>
      <c r="EL164" s="27"/>
      <c r="EM164" s="27"/>
      <c r="EN164" s="27"/>
      <c r="EO164" s="28"/>
      <c r="EP164" s="25"/>
      <c r="EQ164" s="27"/>
      <c r="ER164" s="27"/>
      <c r="ES164" s="27"/>
      <c r="ET164" s="27"/>
      <c r="EU164" s="27"/>
      <c r="EV164" s="28"/>
      <c r="EW164" s="25"/>
      <c r="EX164" s="27"/>
      <c r="EY164" s="27"/>
      <c r="EZ164" s="27"/>
      <c r="FA164" s="27"/>
      <c r="FB164" s="27"/>
      <c r="FC164" s="28"/>
      <c r="FD164" s="25"/>
      <c r="FE164" s="27"/>
      <c r="FF164" s="27"/>
      <c r="FG164" s="27"/>
      <c r="FH164" s="27"/>
      <c r="FI164" s="27"/>
      <c r="FJ164" s="28"/>
      <c r="FK164" s="25"/>
      <c r="FL164" s="27"/>
      <c r="FM164" s="27"/>
      <c r="FN164" s="27"/>
      <c r="FO164" s="27"/>
      <c r="FP164" s="27"/>
      <c r="FQ164" s="28"/>
      <c r="FR164" s="25"/>
      <c r="FS164" s="27"/>
      <c r="FT164" s="27"/>
      <c r="FU164" s="27"/>
      <c r="FV164" s="27"/>
      <c r="FW164" s="27"/>
      <c r="FX164" s="28"/>
      <c r="FY164" s="25"/>
      <c r="FZ164" s="27"/>
      <c r="GA164" s="27"/>
      <c r="GB164" s="27"/>
      <c r="GC164" s="27"/>
      <c r="GD164" s="27"/>
      <c r="GE164" s="28"/>
      <c r="GF164" s="25"/>
      <c r="GG164" s="27"/>
      <c r="GH164" s="27"/>
      <c r="GI164" s="27"/>
      <c r="GJ164" s="27"/>
      <c r="GK164" s="27"/>
      <c r="GL164" s="28"/>
      <c r="GM164" s="25"/>
      <c r="GN164" s="27"/>
      <c r="GO164" s="27"/>
      <c r="GP164" s="27"/>
      <c r="GQ164" s="27"/>
      <c r="GR164" s="27"/>
      <c r="GS164" s="28"/>
      <c r="GT164" s="25"/>
      <c r="GU164" s="27"/>
      <c r="GV164" s="27"/>
      <c r="GW164" s="27"/>
      <c r="GX164" s="27"/>
      <c r="GY164" s="27"/>
      <c r="GZ164" s="28"/>
      <c r="HA164" s="25"/>
      <c r="HB164" s="27"/>
      <c r="HC164" s="27"/>
      <c r="HD164" s="27"/>
      <c r="HE164" s="27"/>
      <c r="HF164" s="27"/>
      <c r="HG164" s="28"/>
      <c r="HH164" s="25"/>
      <c r="HI164" s="27"/>
      <c r="HJ164" s="27"/>
      <c r="HK164" s="27"/>
      <c r="HL164" s="27"/>
      <c r="HM164" s="27"/>
      <c r="HN164" s="28"/>
      <c r="HO164" s="25"/>
      <c r="HP164" s="27"/>
      <c r="HQ164" s="27"/>
      <c r="HR164" s="27"/>
      <c r="HS164" s="27"/>
      <c r="HT164" s="27"/>
      <c r="HU164" s="28"/>
      <c r="HV164" s="25"/>
      <c r="HW164" s="27"/>
      <c r="HX164" s="27"/>
      <c r="HY164" s="27"/>
      <c r="HZ164" s="27"/>
      <c r="IA164" s="27"/>
      <c r="IB164" s="28"/>
      <c r="IC164" s="25"/>
      <c r="ID164" s="27"/>
      <c r="IE164" s="27"/>
      <c r="IF164" s="27"/>
      <c r="IG164" s="27"/>
      <c r="IH164" s="27"/>
      <c r="II164" s="28"/>
      <c r="IJ164" s="25"/>
      <c r="IK164" s="27"/>
      <c r="IL164" s="27"/>
      <c r="IM164" s="27"/>
      <c r="IN164" s="27"/>
      <c r="IO164" s="27"/>
      <c r="IP164" s="28"/>
      <c r="IQ164" s="25"/>
      <c r="IR164" s="27"/>
      <c r="IS164" s="27"/>
      <c r="IT164" s="27"/>
      <c r="IU164" s="27"/>
      <c r="IV164" s="27"/>
      <c r="IW164" s="28"/>
      <c r="IX164" s="25"/>
      <c r="IY164" s="27"/>
      <c r="IZ164" s="27"/>
      <c r="JA164" s="27"/>
      <c r="JB164" s="27"/>
      <c r="JC164" s="27"/>
      <c r="JD164" s="28"/>
      <c r="JE164" s="25"/>
      <c r="JF164" s="27"/>
      <c r="JG164" s="27"/>
      <c r="JH164" s="27"/>
      <c r="JI164" s="27"/>
      <c r="JJ164" s="27"/>
      <c r="JK164" s="28"/>
      <c r="JL164" s="25"/>
      <c r="JM164" s="27"/>
      <c r="JN164" s="27"/>
      <c r="JO164" s="27"/>
      <c r="JP164" s="27"/>
      <c r="JQ164" s="27"/>
      <c r="JR164" s="28"/>
      <c r="JS164" s="25"/>
      <c r="JT164" s="27"/>
      <c r="JU164" s="27"/>
      <c r="JV164" s="27"/>
      <c r="JW164" s="27"/>
      <c r="JX164" s="27"/>
      <c r="JY164" s="28"/>
      <c r="JZ164" s="25"/>
      <c r="KA164" s="27"/>
      <c r="KB164" s="27"/>
      <c r="KC164" s="27"/>
      <c r="KD164" s="27"/>
      <c r="KE164" s="27"/>
      <c r="KF164" s="28"/>
      <c r="KG164" s="25"/>
      <c r="KH164" s="27"/>
      <c r="KI164" s="27"/>
      <c r="KJ164" s="27"/>
      <c r="KK164" s="27"/>
      <c r="KL164" s="27"/>
      <c r="KM164" s="28"/>
      <c r="KN164" s="25"/>
      <c r="KO164" s="27"/>
      <c r="KP164" s="27"/>
      <c r="KQ164" s="27"/>
      <c r="KR164" s="27"/>
      <c r="KS164" s="27"/>
      <c r="KT164" s="28"/>
      <c r="KU164" s="25"/>
      <c r="KV164" s="27"/>
      <c r="KW164" s="27"/>
      <c r="KX164" s="27"/>
      <c r="KY164" s="27"/>
      <c r="KZ164" s="27"/>
      <c r="LA164" s="28"/>
      <c r="LB164" s="25"/>
      <c r="LC164" s="27"/>
      <c r="LD164" s="27"/>
      <c r="LE164" s="27"/>
      <c r="LF164" s="27"/>
      <c r="LG164" s="27"/>
      <c r="LH164" s="28"/>
      <c r="LI164" s="25"/>
      <c r="LJ164" s="27"/>
      <c r="LK164" s="27"/>
      <c r="LL164" s="27"/>
      <c r="LM164" s="27"/>
      <c r="LN164" s="27"/>
      <c r="LO164" s="28"/>
      <c r="LP164" s="25"/>
      <c r="LQ164" s="27"/>
      <c r="LR164" s="27"/>
      <c r="LS164" s="27"/>
      <c r="LT164" s="27"/>
      <c r="LU164" s="27"/>
      <c r="LV164" s="28"/>
      <c r="LW164" s="25"/>
      <c r="LX164" s="27"/>
      <c r="LY164" s="27"/>
      <c r="LZ164" s="27"/>
      <c r="MA164" s="27"/>
      <c r="MB164" s="27"/>
      <c r="MC164" s="28"/>
      <c r="MD164" s="25"/>
      <c r="ME164" s="27"/>
      <c r="MF164" s="27"/>
      <c r="MG164" s="27"/>
      <c r="MH164" s="27"/>
      <c r="MI164" s="27"/>
      <c r="MJ164" s="28"/>
      <c r="MK164" s="25"/>
      <c r="ML164" s="27"/>
      <c r="MM164" s="27"/>
      <c r="MN164" s="27"/>
      <c r="MO164" s="27"/>
      <c r="MP164" s="27"/>
      <c r="MQ164" s="28"/>
      <c r="MR164" s="25"/>
      <c r="MS164" s="27"/>
      <c r="MT164" s="27"/>
      <c r="MU164" s="27"/>
      <c r="MV164" s="27"/>
      <c r="MW164" s="27"/>
      <c r="MX164" s="28"/>
      <c r="MY164" s="25"/>
      <c r="MZ164" s="27"/>
      <c r="NA164" s="27"/>
      <c r="NB164" s="27"/>
      <c r="NC164" s="27"/>
      <c r="ND164" s="27"/>
      <c r="NE164" s="28"/>
      <c r="NF164" s="25"/>
      <c r="NG164" s="27"/>
      <c r="NH164" s="27"/>
      <c r="NI164" s="27"/>
      <c r="NJ164" s="27"/>
      <c r="NK164" s="27"/>
      <c r="NL164" s="28"/>
      <c r="NM164" s="25"/>
      <c r="NN164" s="27"/>
      <c r="NO164" s="27"/>
      <c r="NP164" s="27"/>
      <c r="NQ164" s="27"/>
      <c r="NR164" s="27"/>
      <c r="NS164" s="28"/>
      <c r="NT164" s="25"/>
      <c r="NU164" s="27"/>
      <c r="NV164" s="27"/>
      <c r="NW164" s="27"/>
      <c r="NX164" s="27"/>
      <c r="NY164" s="27"/>
      <c r="NZ164" s="28"/>
      <c r="OA164" s="25"/>
      <c r="OB164" s="27"/>
      <c r="OC164" s="27"/>
      <c r="OD164" s="27"/>
      <c r="OE164" s="27"/>
      <c r="OF164" s="27"/>
      <c r="OG164" s="28"/>
      <c r="OH164" s="25"/>
      <c r="OI164" s="27"/>
      <c r="OJ164" s="27"/>
      <c r="OK164" s="27"/>
      <c r="OL164" s="27"/>
      <c r="OM164" s="27"/>
      <c r="ON164" s="28"/>
      <c r="OO164" s="25"/>
      <c r="OP164" s="27"/>
      <c r="OQ164" s="27"/>
      <c r="OR164" s="27"/>
      <c r="OS164" s="27"/>
      <c r="OT164" s="27"/>
      <c r="OU164" s="28"/>
      <c r="OV164" s="25"/>
      <c r="OW164" s="27"/>
      <c r="OX164" s="27"/>
      <c r="OY164" s="27"/>
      <c r="OZ164" s="27"/>
      <c r="PA164" s="27"/>
      <c r="PB164" s="28"/>
      <c r="PC164" s="25"/>
      <c r="PD164" s="27"/>
      <c r="PE164" s="27"/>
      <c r="PF164" s="27"/>
      <c r="PG164" s="27"/>
      <c r="PH164" s="27"/>
      <c r="PI164" s="28"/>
      <c r="PJ164" s="25"/>
      <c r="PK164" s="27"/>
      <c r="PL164" s="27"/>
      <c r="PM164" s="27"/>
      <c r="PN164" s="27"/>
      <c r="PO164" s="27"/>
      <c r="PP164" s="28"/>
      <c r="PQ164" s="25"/>
      <c r="PR164" s="27"/>
      <c r="PS164" s="27"/>
      <c r="PT164" s="27"/>
      <c r="PU164" s="27"/>
      <c r="PV164" s="27"/>
      <c r="PW164" s="28"/>
      <c r="PX164" s="25"/>
      <c r="PY164" s="27"/>
      <c r="PZ164" s="27"/>
      <c r="QA164" s="27"/>
      <c r="QB164" s="27"/>
      <c r="QC164" s="27"/>
      <c r="QD164" s="28"/>
      <c r="QE164" s="25"/>
      <c r="QF164" s="27"/>
      <c r="QG164" s="27"/>
      <c r="QH164" s="27"/>
      <c r="QI164" s="27"/>
      <c r="QJ164" s="27"/>
      <c r="QK164" s="28"/>
      <c r="QL164" s="25"/>
      <c r="QM164" s="27"/>
      <c r="QN164" s="27"/>
      <c r="QO164" s="27"/>
      <c r="QP164" s="27"/>
      <c r="QQ164" s="27"/>
      <c r="QR164" s="28"/>
      <c r="QS164" s="25"/>
      <c r="QT164" s="27"/>
      <c r="QU164" s="27"/>
      <c r="QV164" s="27"/>
      <c r="QW164" s="27"/>
      <c r="QX164" s="27"/>
      <c r="QY164" s="28"/>
      <c r="QZ164" s="25"/>
      <c r="RA164" s="27"/>
      <c r="RB164" s="27"/>
      <c r="RC164" s="27"/>
      <c r="RD164" s="27"/>
      <c r="RE164" s="27"/>
      <c r="RF164" s="28"/>
      <c r="RG164" s="25"/>
      <c r="RH164" s="27"/>
      <c r="RI164" s="27"/>
      <c r="RJ164" s="27"/>
      <c r="RK164" s="27"/>
      <c r="RL164" s="27"/>
      <c r="RM164" s="28"/>
      <c r="RN164" s="25"/>
      <c r="RO164" s="27"/>
      <c r="RP164" s="27"/>
      <c r="RQ164" s="27"/>
      <c r="RR164" s="27"/>
      <c r="RS164" s="27"/>
      <c r="RT164" s="28"/>
      <c r="RU164" s="25"/>
      <c r="RV164" s="27"/>
      <c r="RW164" s="27"/>
      <c r="RX164" s="27"/>
      <c r="RY164" s="27"/>
      <c r="RZ164" s="27"/>
      <c r="SA164" s="28"/>
      <c r="SB164" s="25"/>
      <c r="SC164" s="27"/>
      <c r="SD164" s="27"/>
      <c r="SE164" s="27"/>
      <c r="SF164" s="27"/>
      <c r="SG164" s="27"/>
      <c r="SH164" s="28"/>
      <c r="SI164" s="25"/>
      <c r="SJ164" s="27"/>
      <c r="SK164" s="27"/>
      <c r="SL164" s="27"/>
      <c r="SM164" s="27"/>
      <c r="SN164" s="27"/>
      <c r="SO164" s="28"/>
      <c r="SP164" s="25"/>
      <c r="SQ164" s="27"/>
      <c r="SR164" s="27"/>
    </row>
    <row r="165" spans="1:512" x14ac:dyDescent="0.15">
      <c r="A165" s="101">
        <f t="shared" ca="1" si="1562"/>
        <v>28</v>
      </c>
      <c r="B165" s="111">
        <v>28</v>
      </c>
      <c r="C165" s="71" t="str">
        <f t="shared" ca="1" si="1555"/>
        <v>Nuria</v>
      </c>
      <c r="D165" s="112">
        <f t="shared" ca="1" si="1563"/>
        <v>227.7</v>
      </c>
      <c r="E165" s="25"/>
      <c r="F165" s="26"/>
      <c r="G165" s="27"/>
      <c r="H165" s="28"/>
      <c r="I165" s="25"/>
      <c r="J165" s="25"/>
      <c r="K165" s="26"/>
      <c r="L165" s="62"/>
      <c r="M165" s="63" t="s">
        <v>215</v>
      </c>
      <c r="N165" s="62" t="s">
        <v>96</v>
      </c>
      <c r="O165" s="32"/>
      <c r="P165" s="32">
        <f t="shared" ca="1" si="1556"/>
        <v>21</v>
      </c>
      <c r="Q165" s="32" t="str">
        <f t="shared" ca="1" si="1557"/>
        <v>Alexander</v>
      </c>
      <c r="R165" s="113">
        <f t="shared" ca="1" si="1558"/>
        <v>235.09999999999997</v>
      </c>
      <c r="S165" s="73">
        <v>28</v>
      </c>
      <c r="T165" s="32">
        <f t="shared" ca="1" si="1561"/>
        <v>235.10027999999997</v>
      </c>
      <c r="U165" s="32"/>
      <c r="V165" s="61"/>
      <c r="W165" s="62"/>
      <c r="X165" s="32"/>
      <c r="Y165" s="63"/>
      <c r="Z165" s="73"/>
      <c r="AA165" s="32"/>
      <c r="AB165" s="32"/>
      <c r="AC165" s="61"/>
      <c r="AD165" s="27"/>
      <c r="AE165" s="27"/>
      <c r="AF165" s="27"/>
      <c r="AG165" s="28"/>
      <c r="AH165" s="25"/>
      <c r="AI165" s="27"/>
      <c r="AJ165" s="27"/>
      <c r="AK165" s="27"/>
      <c r="AL165" s="27"/>
      <c r="AM165" s="27"/>
      <c r="AN165" s="28"/>
      <c r="AO165" s="25"/>
      <c r="AP165" s="27"/>
      <c r="AQ165" s="27"/>
      <c r="AR165" s="27"/>
      <c r="AS165" s="27"/>
      <c r="AT165" s="27"/>
      <c r="AU165" s="28"/>
      <c r="AV165" s="25"/>
      <c r="AW165" s="27"/>
      <c r="AX165" s="27"/>
      <c r="AY165" s="27"/>
      <c r="AZ165" s="27"/>
      <c r="BA165" s="27"/>
      <c r="BB165" s="28"/>
      <c r="BC165" s="25"/>
      <c r="BD165" s="27"/>
      <c r="BE165" s="27"/>
      <c r="BF165" s="27"/>
      <c r="BG165" s="27"/>
      <c r="BH165" s="27"/>
      <c r="BI165" s="28"/>
      <c r="BJ165" s="25"/>
      <c r="BK165" s="27"/>
      <c r="BL165" s="27"/>
      <c r="BM165" s="27"/>
      <c r="BN165" s="27"/>
      <c r="BO165" s="27"/>
      <c r="BP165" s="28"/>
      <c r="BQ165" s="25"/>
      <c r="BR165" s="27"/>
      <c r="BS165" s="27"/>
      <c r="BT165" s="27"/>
      <c r="BU165" s="27"/>
      <c r="BV165" s="27"/>
      <c r="BW165" s="28"/>
      <c r="BX165" s="25"/>
      <c r="BY165" s="27"/>
      <c r="BZ165" s="27"/>
      <c r="CA165" s="27"/>
      <c r="CB165" s="27"/>
      <c r="CC165" s="27"/>
      <c r="CD165" s="28"/>
      <c r="CE165" s="25"/>
      <c r="CF165" s="27"/>
      <c r="CG165" s="27"/>
      <c r="CH165" s="27"/>
      <c r="CI165" s="27"/>
      <c r="CJ165" s="27"/>
      <c r="CK165" s="28"/>
      <c r="CL165" s="25"/>
      <c r="CM165" s="27"/>
      <c r="CN165" s="27"/>
      <c r="CO165" s="27"/>
      <c r="CP165" s="27"/>
      <c r="CQ165" s="27"/>
      <c r="CR165" s="28"/>
      <c r="CS165" s="25"/>
      <c r="CT165" s="27"/>
      <c r="CU165" s="27"/>
      <c r="CV165" s="27"/>
      <c r="CW165" s="27"/>
      <c r="CX165" s="27"/>
      <c r="CY165" s="28"/>
      <c r="CZ165" s="25"/>
      <c r="DA165" s="27"/>
      <c r="DB165" s="27"/>
      <c r="DC165" s="27"/>
      <c r="DD165" s="27"/>
      <c r="DE165" s="27"/>
      <c r="DF165" s="28"/>
      <c r="DG165" s="25"/>
      <c r="DH165" s="27"/>
      <c r="DI165" s="27"/>
      <c r="DJ165" s="27"/>
      <c r="DK165" s="27"/>
      <c r="DL165" s="27"/>
      <c r="DM165" s="28"/>
      <c r="DN165" s="25"/>
      <c r="DO165" s="27"/>
      <c r="DP165" s="27"/>
      <c r="DQ165" s="27"/>
      <c r="DR165" s="27"/>
      <c r="DS165" s="27"/>
      <c r="DT165" s="28"/>
      <c r="DU165" s="25"/>
      <c r="DV165" s="27"/>
      <c r="DW165" s="27"/>
      <c r="DX165" s="27"/>
      <c r="DY165" s="27"/>
      <c r="DZ165" s="27"/>
      <c r="EA165" s="28"/>
      <c r="EB165" s="25"/>
      <c r="EC165" s="27"/>
      <c r="ED165" s="27"/>
      <c r="EE165" s="27"/>
      <c r="EF165" s="27"/>
      <c r="EG165" s="27"/>
      <c r="EH165" s="28"/>
      <c r="EI165" s="25"/>
      <c r="EJ165" s="27"/>
      <c r="EK165" s="27"/>
      <c r="EL165" s="27"/>
      <c r="EM165" s="27"/>
      <c r="EN165" s="27"/>
      <c r="EO165" s="28"/>
      <c r="EP165" s="25"/>
      <c r="EQ165" s="27"/>
      <c r="ER165" s="27"/>
      <c r="ES165" s="27"/>
      <c r="ET165" s="27"/>
      <c r="EU165" s="27"/>
      <c r="EV165" s="28"/>
      <c r="EW165" s="25"/>
      <c r="EX165" s="27"/>
      <c r="EY165" s="27"/>
      <c r="EZ165" s="27"/>
      <c r="FA165" s="27"/>
      <c r="FB165" s="27"/>
      <c r="FC165" s="28"/>
      <c r="FD165" s="25"/>
      <c r="FE165" s="27"/>
      <c r="FF165" s="27"/>
      <c r="FG165" s="27"/>
      <c r="FH165" s="27"/>
      <c r="FI165" s="27"/>
      <c r="FJ165" s="28"/>
      <c r="FK165" s="25"/>
      <c r="FL165" s="27"/>
      <c r="FM165" s="27"/>
      <c r="FN165" s="27"/>
      <c r="FO165" s="27"/>
      <c r="FP165" s="27"/>
      <c r="FQ165" s="28"/>
      <c r="FR165" s="25"/>
      <c r="FS165" s="27"/>
      <c r="FT165" s="27"/>
      <c r="FU165" s="27"/>
      <c r="FV165" s="27"/>
      <c r="FW165" s="27"/>
      <c r="FX165" s="28"/>
      <c r="FY165" s="25"/>
      <c r="FZ165" s="27"/>
      <c r="GA165" s="27"/>
      <c r="GB165" s="27"/>
      <c r="GC165" s="27"/>
      <c r="GD165" s="27"/>
      <c r="GE165" s="28"/>
      <c r="GF165" s="25"/>
      <c r="GG165" s="27"/>
      <c r="GH165" s="27"/>
      <c r="GI165" s="27"/>
      <c r="GJ165" s="27"/>
      <c r="GK165" s="27"/>
      <c r="GL165" s="28"/>
      <c r="GM165" s="25"/>
      <c r="GN165" s="27"/>
      <c r="GO165" s="27"/>
      <c r="GP165" s="27"/>
      <c r="GQ165" s="27"/>
      <c r="GR165" s="27"/>
      <c r="GS165" s="28"/>
      <c r="GT165" s="25"/>
      <c r="GU165" s="27"/>
      <c r="GV165" s="27"/>
      <c r="GW165" s="27"/>
      <c r="GX165" s="27"/>
      <c r="GY165" s="27"/>
      <c r="GZ165" s="28"/>
      <c r="HA165" s="25"/>
      <c r="HB165" s="27"/>
      <c r="HC165" s="27"/>
      <c r="HD165" s="27"/>
      <c r="HE165" s="27"/>
      <c r="HF165" s="27"/>
      <c r="HG165" s="28"/>
      <c r="HH165" s="25"/>
      <c r="HI165" s="27"/>
      <c r="HJ165" s="27"/>
      <c r="HK165" s="27"/>
      <c r="HL165" s="27"/>
      <c r="HM165" s="27"/>
      <c r="HN165" s="28"/>
      <c r="HO165" s="25"/>
      <c r="HP165" s="27"/>
      <c r="HQ165" s="27"/>
      <c r="HR165" s="27"/>
      <c r="HS165" s="27"/>
      <c r="HT165" s="27"/>
      <c r="HU165" s="28"/>
      <c r="HV165" s="25"/>
      <c r="HW165" s="27"/>
      <c r="HX165" s="27"/>
      <c r="HY165" s="27"/>
      <c r="HZ165" s="27"/>
      <c r="IA165" s="27"/>
      <c r="IB165" s="28"/>
      <c r="IC165" s="25"/>
      <c r="ID165" s="27"/>
      <c r="IE165" s="27"/>
      <c r="IF165" s="27"/>
      <c r="IG165" s="27"/>
      <c r="IH165" s="27"/>
      <c r="II165" s="28"/>
      <c r="IJ165" s="25"/>
      <c r="IK165" s="27"/>
      <c r="IL165" s="27"/>
      <c r="IM165" s="27"/>
      <c r="IN165" s="27"/>
      <c r="IO165" s="27"/>
      <c r="IP165" s="28"/>
      <c r="IQ165" s="25"/>
      <c r="IR165" s="27"/>
      <c r="IS165" s="27"/>
      <c r="IT165" s="27"/>
      <c r="IU165" s="27"/>
      <c r="IV165" s="27"/>
      <c r="IW165" s="28"/>
      <c r="IX165" s="25"/>
      <c r="IY165" s="27"/>
      <c r="IZ165" s="27"/>
      <c r="JA165" s="27"/>
      <c r="JB165" s="27"/>
      <c r="JC165" s="27"/>
      <c r="JD165" s="28"/>
      <c r="JE165" s="25"/>
      <c r="JF165" s="27"/>
      <c r="JG165" s="27"/>
      <c r="JH165" s="27"/>
      <c r="JI165" s="27"/>
      <c r="JJ165" s="27"/>
      <c r="JK165" s="28"/>
      <c r="JL165" s="25"/>
      <c r="JM165" s="27"/>
      <c r="JN165" s="27"/>
      <c r="JO165" s="27"/>
      <c r="JP165" s="27"/>
      <c r="JQ165" s="27"/>
      <c r="JR165" s="28"/>
      <c r="JS165" s="25"/>
      <c r="JT165" s="27"/>
      <c r="JU165" s="27"/>
      <c r="JV165" s="27"/>
      <c r="JW165" s="27"/>
      <c r="JX165" s="27"/>
      <c r="JY165" s="28"/>
      <c r="JZ165" s="25"/>
      <c r="KA165" s="27"/>
      <c r="KB165" s="27"/>
      <c r="KC165" s="27"/>
      <c r="KD165" s="27"/>
      <c r="KE165" s="27"/>
      <c r="KF165" s="28"/>
      <c r="KG165" s="25"/>
      <c r="KH165" s="27"/>
      <c r="KI165" s="27"/>
      <c r="KJ165" s="27"/>
      <c r="KK165" s="27"/>
      <c r="KL165" s="27"/>
      <c r="KM165" s="28"/>
      <c r="KN165" s="25"/>
      <c r="KO165" s="27"/>
      <c r="KP165" s="27"/>
      <c r="KQ165" s="27"/>
      <c r="KR165" s="27"/>
      <c r="KS165" s="27"/>
      <c r="KT165" s="28"/>
      <c r="KU165" s="25"/>
      <c r="KV165" s="27"/>
      <c r="KW165" s="27"/>
      <c r="KX165" s="27"/>
      <c r="KY165" s="27"/>
      <c r="KZ165" s="27"/>
      <c r="LA165" s="28"/>
      <c r="LB165" s="25"/>
      <c r="LC165" s="27"/>
      <c r="LD165" s="27"/>
      <c r="LE165" s="27"/>
      <c r="LF165" s="27"/>
      <c r="LG165" s="27"/>
      <c r="LH165" s="28"/>
      <c r="LI165" s="25"/>
      <c r="LJ165" s="27"/>
      <c r="LK165" s="27"/>
      <c r="LL165" s="27"/>
      <c r="LM165" s="27"/>
      <c r="LN165" s="27"/>
      <c r="LO165" s="28"/>
      <c r="LP165" s="25"/>
      <c r="LQ165" s="27"/>
      <c r="LR165" s="27"/>
      <c r="LS165" s="27"/>
      <c r="LT165" s="27"/>
      <c r="LU165" s="27"/>
      <c r="LV165" s="28"/>
      <c r="LW165" s="25"/>
      <c r="LX165" s="27"/>
      <c r="LY165" s="27"/>
      <c r="LZ165" s="27"/>
      <c r="MA165" s="27"/>
      <c r="MB165" s="27"/>
      <c r="MC165" s="28"/>
      <c r="MD165" s="25"/>
      <c r="ME165" s="27"/>
      <c r="MF165" s="27"/>
      <c r="MG165" s="27"/>
      <c r="MH165" s="27"/>
      <c r="MI165" s="27"/>
      <c r="MJ165" s="28"/>
      <c r="MK165" s="25"/>
      <c r="ML165" s="27"/>
      <c r="MM165" s="27"/>
      <c r="MN165" s="27"/>
      <c r="MO165" s="27"/>
      <c r="MP165" s="27"/>
      <c r="MQ165" s="28"/>
      <c r="MR165" s="25"/>
      <c r="MS165" s="27"/>
      <c r="MT165" s="27"/>
      <c r="MU165" s="27"/>
      <c r="MV165" s="27"/>
      <c r="MW165" s="27"/>
      <c r="MX165" s="28"/>
      <c r="MY165" s="25"/>
      <c r="MZ165" s="27"/>
      <c r="NA165" s="27"/>
      <c r="NB165" s="27"/>
      <c r="NC165" s="27"/>
      <c r="ND165" s="27"/>
      <c r="NE165" s="28"/>
      <c r="NF165" s="25"/>
      <c r="NG165" s="27"/>
      <c r="NH165" s="27"/>
      <c r="NI165" s="27"/>
      <c r="NJ165" s="27"/>
      <c r="NK165" s="27"/>
      <c r="NL165" s="28"/>
      <c r="NM165" s="25"/>
      <c r="NN165" s="27"/>
      <c r="NO165" s="27"/>
      <c r="NP165" s="27"/>
      <c r="NQ165" s="27"/>
      <c r="NR165" s="27"/>
      <c r="NS165" s="28"/>
      <c r="NT165" s="25"/>
      <c r="NU165" s="27"/>
      <c r="NV165" s="27"/>
      <c r="NW165" s="27"/>
      <c r="NX165" s="27"/>
      <c r="NY165" s="27"/>
      <c r="NZ165" s="28"/>
      <c r="OA165" s="25"/>
      <c r="OB165" s="27"/>
      <c r="OC165" s="27"/>
      <c r="OD165" s="27"/>
      <c r="OE165" s="27"/>
      <c r="OF165" s="27"/>
      <c r="OG165" s="28"/>
      <c r="OH165" s="25"/>
      <c r="OI165" s="27"/>
      <c r="OJ165" s="27"/>
      <c r="OK165" s="27"/>
      <c r="OL165" s="27"/>
      <c r="OM165" s="27"/>
      <c r="ON165" s="28"/>
      <c r="OO165" s="25"/>
      <c r="OP165" s="27"/>
      <c r="OQ165" s="27"/>
      <c r="OR165" s="27"/>
      <c r="OS165" s="27"/>
      <c r="OT165" s="27"/>
      <c r="OU165" s="28"/>
      <c r="OV165" s="25"/>
      <c r="OW165" s="27"/>
      <c r="OX165" s="27"/>
      <c r="OY165" s="27"/>
      <c r="OZ165" s="27"/>
      <c r="PA165" s="27"/>
      <c r="PB165" s="28"/>
      <c r="PC165" s="25"/>
      <c r="PD165" s="27"/>
      <c r="PE165" s="27"/>
      <c r="PF165" s="27"/>
      <c r="PG165" s="27"/>
      <c r="PH165" s="27"/>
      <c r="PI165" s="28"/>
      <c r="PJ165" s="25"/>
      <c r="PK165" s="27"/>
      <c r="PL165" s="27"/>
      <c r="PM165" s="27"/>
      <c r="PN165" s="27"/>
      <c r="PO165" s="27"/>
      <c r="PP165" s="28"/>
      <c r="PQ165" s="25"/>
      <c r="PR165" s="27"/>
      <c r="PS165" s="27"/>
      <c r="PT165" s="27"/>
      <c r="PU165" s="27"/>
      <c r="PV165" s="27"/>
      <c r="PW165" s="28"/>
      <c r="PX165" s="25"/>
      <c r="PY165" s="27"/>
      <c r="PZ165" s="27"/>
      <c r="QA165" s="27"/>
      <c r="QB165" s="27"/>
      <c r="QC165" s="27"/>
      <c r="QD165" s="28"/>
      <c r="QE165" s="25"/>
      <c r="QF165" s="27"/>
      <c r="QG165" s="27"/>
      <c r="QH165" s="27"/>
      <c r="QI165" s="27"/>
      <c r="QJ165" s="27"/>
      <c r="QK165" s="28"/>
      <c r="QL165" s="25"/>
      <c r="QM165" s="27"/>
      <c r="QN165" s="27"/>
      <c r="QO165" s="27"/>
      <c r="QP165" s="27"/>
      <c r="QQ165" s="27"/>
      <c r="QR165" s="28"/>
      <c r="QS165" s="25"/>
      <c r="QT165" s="27"/>
      <c r="QU165" s="27"/>
      <c r="QV165" s="27"/>
      <c r="QW165" s="27"/>
      <c r="QX165" s="27"/>
      <c r="QY165" s="28"/>
      <c r="QZ165" s="25"/>
      <c r="RA165" s="27"/>
      <c r="RB165" s="27"/>
      <c r="RC165" s="27"/>
      <c r="RD165" s="27"/>
      <c r="RE165" s="27"/>
      <c r="RF165" s="28"/>
      <c r="RG165" s="25"/>
      <c r="RH165" s="27"/>
      <c r="RI165" s="27"/>
      <c r="RJ165" s="27"/>
      <c r="RK165" s="27"/>
      <c r="RL165" s="27"/>
      <c r="RM165" s="28"/>
      <c r="RN165" s="25"/>
      <c r="RO165" s="27"/>
      <c r="RP165" s="27"/>
      <c r="RQ165" s="27"/>
      <c r="RR165" s="27"/>
      <c r="RS165" s="27"/>
      <c r="RT165" s="28"/>
      <c r="RU165" s="25"/>
      <c r="RV165" s="27"/>
      <c r="RW165" s="27"/>
      <c r="RX165" s="27"/>
      <c r="RY165" s="27"/>
      <c r="RZ165" s="27"/>
      <c r="SA165" s="28"/>
      <c r="SB165" s="25"/>
      <c r="SC165" s="27"/>
      <c r="SD165" s="27"/>
      <c r="SE165" s="27"/>
      <c r="SF165" s="27"/>
      <c r="SG165" s="27"/>
      <c r="SH165" s="28"/>
      <c r="SI165" s="25"/>
      <c r="SJ165" s="27"/>
      <c r="SK165" s="27"/>
      <c r="SL165" s="27"/>
      <c r="SM165" s="27"/>
      <c r="SN165" s="27"/>
      <c r="SO165" s="28"/>
      <c r="SP165" s="25"/>
      <c r="SQ165" s="27"/>
      <c r="SR165" s="27"/>
    </row>
    <row r="166" spans="1:512" x14ac:dyDescent="0.15">
      <c r="A166" s="101">
        <f t="shared" ca="1" si="1562"/>
        <v>29</v>
      </c>
      <c r="B166" s="111">
        <v>29</v>
      </c>
      <c r="C166" s="71" t="str">
        <f t="shared" ca="1" si="1555"/>
        <v>Peter</v>
      </c>
      <c r="D166" s="112">
        <f t="shared" ca="1" si="1563"/>
        <v>225.9</v>
      </c>
      <c r="E166" s="25"/>
      <c r="F166" s="26"/>
      <c r="G166" s="27"/>
      <c r="H166" s="28"/>
      <c r="I166" s="25"/>
      <c r="J166" s="25"/>
      <c r="K166" s="26"/>
      <c r="L166" s="62"/>
      <c r="M166" s="32" t="s">
        <v>216</v>
      </c>
      <c r="N166" s="62" t="s">
        <v>97</v>
      </c>
      <c r="O166" s="32"/>
      <c r="P166" s="32">
        <f t="shared" ca="1" si="1556"/>
        <v>6</v>
      </c>
      <c r="Q166" s="32" t="str">
        <f t="shared" ca="1" si="1557"/>
        <v>Severin</v>
      </c>
      <c r="R166" s="113">
        <f t="shared" ca="1" si="1558"/>
        <v>253.10000000000002</v>
      </c>
      <c r="S166" s="73">
        <v>29</v>
      </c>
      <c r="T166" s="32">
        <f t="shared" ca="1" si="1561"/>
        <v>253.10029000000003</v>
      </c>
      <c r="U166" s="114"/>
      <c r="V166" s="114"/>
      <c r="W166" s="114"/>
      <c r="X166" s="32"/>
      <c r="Y166" s="63"/>
      <c r="Z166" s="73"/>
      <c r="AA166" s="32"/>
      <c r="AB166" s="114"/>
      <c r="AC166" s="114"/>
      <c r="AD166" s="72"/>
      <c r="AE166" s="27"/>
      <c r="AF166" s="27"/>
      <c r="AG166" s="28"/>
      <c r="AH166" s="25"/>
      <c r="AI166" s="27"/>
      <c r="AJ166" s="27"/>
      <c r="AK166" s="27"/>
      <c r="AL166" s="27"/>
      <c r="AM166" s="27"/>
      <c r="AN166" s="28"/>
      <c r="AO166" s="25"/>
      <c r="AP166" s="27"/>
      <c r="AQ166" s="27"/>
      <c r="AR166" s="27"/>
      <c r="AS166" s="27"/>
      <c r="AT166" s="27"/>
      <c r="AU166" s="28"/>
      <c r="AV166" s="25"/>
      <c r="AW166" s="27"/>
      <c r="AX166" s="27"/>
      <c r="AY166" s="27"/>
      <c r="AZ166" s="27"/>
      <c r="BA166" s="27"/>
      <c r="BB166" s="28"/>
      <c r="BC166" s="25"/>
      <c r="BD166" s="27"/>
      <c r="BE166" s="27"/>
      <c r="BF166" s="72"/>
      <c r="BG166" s="27"/>
      <c r="BH166" s="27"/>
      <c r="BI166" s="28"/>
      <c r="BJ166" s="25"/>
      <c r="BK166" s="27"/>
      <c r="BL166" s="27"/>
      <c r="BM166" s="27"/>
      <c r="BN166" s="27"/>
      <c r="BO166" s="27"/>
      <c r="BP166" s="28"/>
      <c r="BQ166" s="25"/>
      <c r="BR166" s="27"/>
      <c r="BS166" s="27"/>
      <c r="BT166" s="27"/>
      <c r="BU166" s="27"/>
      <c r="BV166" s="27"/>
      <c r="BW166" s="28"/>
      <c r="BX166" s="25"/>
      <c r="BY166" s="27"/>
      <c r="BZ166" s="27"/>
      <c r="CA166" s="27"/>
      <c r="CB166" s="27"/>
      <c r="CC166" s="27"/>
      <c r="CD166" s="28"/>
      <c r="CE166" s="25"/>
      <c r="CF166" s="27"/>
      <c r="CG166" s="27"/>
      <c r="CH166" s="72"/>
      <c r="CI166" s="27"/>
      <c r="CJ166" s="27"/>
      <c r="CK166" s="28"/>
      <c r="CL166" s="25"/>
      <c r="CM166" s="27"/>
      <c r="CN166" s="27"/>
      <c r="CO166" s="27"/>
      <c r="CP166" s="27"/>
      <c r="CQ166" s="27"/>
      <c r="CR166" s="28"/>
      <c r="CS166" s="25"/>
      <c r="CT166" s="27"/>
      <c r="CU166" s="27"/>
      <c r="CV166" s="27"/>
      <c r="CW166" s="27"/>
      <c r="CX166" s="27"/>
      <c r="CY166" s="28"/>
      <c r="CZ166" s="25"/>
      <c r="DA166" s="27"/>
      <c r="DB166" s="27"/>
      <c r="DC166" s="27"/>
      <c r="DD166" s="27"/>
      <c r="DE166" s="27"/>
      <c r="DF166" s="28"/>
      <c r="DG166" s="25"/>
      <c r="DH166" s="27"/>
      <c r="DI166" s="27"/>
      <c r="DJ166" s="72"/>
      <c r="DK166" s="27"/>
      <c r="DL166" s="27"/>
      <c r="DM166" s="28"/>
      <c r="DN166" s="25"/>
      <c r="DO166" s="27"/>
      <c r="DP166" s="27"/>
      <c r="DQ166" s="27"/>
      <c r="DR166" s="27"/>
      <c r="DS166" s="27"/>
      <c r="DT166" s="28"/>
      <c r="DU166" s="25"/>
      <c r="DV166" s="27"/>
      <c r="DW166" s="27"/>
      <c r="DX166" s="27"/>
      <c r="DY166" s="27"/>
      <c r="DZ166" s="27"/>
      <c r="EA166" s="28"/>
      <c r="EB166" s="25"/>
      <c r="EC166" s="27"/>
      <c r="ED166" s="27"/>
      <c r="EE166" s="27"/>
      <c r="EF166" s="27"/>
      <c r="EG166" s="27"/>
      <c r="EH166" s="28"/>
      <c r="EI166" s="25"/>
      <c r="EJ166" s="27"/>
      <c r="EK166" s="27"/>
      <c r="EL166" s="72"/>
      <c r="EM166" s="27"/>
      <c r="EN166" s="27"/>
      <c r="EO166" s="28"/>
      <c r="EP166" s="25"/>
      <c r="EQ166" s="27"/>
      <c r="ER166" s="27"/>
      <c r="ES166" s="27"/>
      <c r="ET166" s="27"/>
      <c r="EU166" s="27"/>
      <c r="EV166" s="28"/>
      <c r="EW166" s="25"/>
      <c r="EX166" s="27"/>
      <c r="EY166" s="27"/>
      <c r="EZ166" s="27"/>
      <c r="FA166" s="27"/>
      <c r="FB166" s="27"/>
      <c r="FC166" s="28"/>
      <c r="FD166" s="25"/>
      <c r="FE166" s="27"/>
      <c r="FF166" s="27"/>
      <c r="FG166" s="27"/>
      <c r="FH166" s="27"/>
      <c r="FI166" s="27"/>
      <c r="FJ166" s="28"/>
      <c r="FK166" s="25"/>
      <c r="FL166" s="27"/>
      <c r="FM166" s="27"/>
      <c r="FN166" s="72"/>
      <c r="FO166" s="27"/>
      <c r="FP166" s="27"/>
      <c r="FQ166" s="28"/>
      <c r="FR166" s="25"/>
      <c r="FS166" s="27"/>
      <c r="FT166" s="27"/>
      <c r="FU166" s="27"/>
      <c r="FV166" s="27"/>
      <c r="FW166" s="27"/>
      <c r="FX166" s="28"/>
      <c r="FY166" s="25"/>
      <c r="FZ166" s="27"/>
      <c r="GA166" s="27"/>
      <c r="GB166" s="27"/>
      <c r="GC166" s="27"/>
      <c r="GD166" s="27"/>
      <c r="GE166" s="28"/>
      <c r="GF166" s="25"/>
      <c r="GG166" s="27"/>
      <c r="GH166" s="27"/>
      <c r="GI166" s="27"/>
      <c r="GJ166" s="27"/>
      <c r="GK166" s="27"/>
      <c r="GL166" s="28"/>
      <c r="GM166" s="25"/>
      <c r="GN166" s="27"/>
      <c r="GO166" s="27"/>
      <c r="GP166" s="72"/>
      <c r="GQ166" s="27"/>
      <c r="GR166" s="27"/>
      <c r="GS166" s="28"/>
      <c r="GT166" s="25"/>
      <c r="GU166" s="27"/>
      <c r="GV166" s="27"/>
      <c r="GW166" s="27"/>
      <c r="GX166" s="27"/>
      <c r="GY166" s="27"/>
      <c r="GZ166" s="28"/>
      <c r="HA166" s="25"/>
      <c r="HB166" s="27"/>
      <c r="HC166" s="27"/>
      <c r="HD166" s="27"/>
      <c r="HE166" s="27"/>
      <c r="HF166" s="27"/>
      <c r="HG166" s="28"/>
      <c r="HH166" s="25"/>
      <c r="HI166" s="27"/>
      <c r="HJ166" s="27"/>
      <c r="HK166" s="27"/>
      <c r="HL166" s="27"/>
      <c r="HM166" s="27"/>
      <c r="HN166" s="28"/>
      <c r="HO166" s="25"/>
      <c r="HP166" s="27"/>
      <c r="HQ166" s="27"/>
      <c r="HR166" s="72"/>
      <c r="HS166" s="27"/>
      <c r="HT166" s="27"/>
      <c r="HU166" s="28"/>
      <c r="HV166" s="25"/>
      <c r="HW166" s="27"/>
      <c r="HX166" s="27"/>
      <c r="HY166" s="27"/>
      <c r="HZ166" s="27"/>
      <c r="IA166" s="27"/>
      <c r="IB166" s="28"/>
      <c r="IC166" s="25"/>
      <c r="ID166" s="27"/>
      <c r="IE166" s="27"/>
      <c r="IF166" s="27"/>
      <c r="IG166" s="27"/>
      <c r="IH166" s="27"/>
      <c r="II166" s="28"/>
      <c r="IJ166" s="25"/>
      <c r="IK166" s="27"/>
      <c r="IL166" s="27"/>
      <c r="IM166" s="27"/>
      <c r="IN166" s="27"/>
      <c r="IO166" s="27"/>
      <c r="IP166" s="28"/>
      <c r="IQ166" s="25"/>
      <c r="IR166" s="27"/>
      <c r="IS166" s="27"/>
      <c r="IT166" s="72"/>
      <c r="IU166" s="27"/>
      <c r="IV166" s="27"/>
      <c r="IW166" s="28"/>
      <c r="IX166" s="25"/>
      <c r="IY166" s="27"/>
      <c r="IZ166" s="27"/>
      <c r="JA166" s="27"/>
      <c r="JB166" s="27"/>
      <c r="JC166" s="27"/>
      <c r="JD166" s="28"/>
      <c r="JE166" s="25"/>
      <c r="JF166" s="27"/>
      <c r="JG166" s="27"/>
      <c r="JH166" s="27"/>
      <c r="JI166" s="27"/>
      <c r="JJ166" s="27"/>
      <c r="JK166" s="28"/>
      <c r="JL166" s="25"/>
      <c r="JM166" s="27"/>
      <c r="JN166" s="27"/>
      <c r="JO166" s="27"/>
      <c r="JP166" s="27"/>
      <c r="JQ166" s="27"/>
      <c r="JR166" s="28"/>
      <c r="JS166" s="25"/>
      <c r="JT166" s="27"/>
      <c r="JU166" s="27"/>
      <c r="JV166" s="72"/>
      <c r="JW166" s="27"/>
      <c r="JX166" s="27"/>
      <c r="JY166" s="28"/>
      <c r="JZ166" s="25"/>
      <c r="KA166" s="27"/>
      <c r="KB166" s="27"/>
      <c r="KC166" s="27"/>
      <c r="KD166" s="27"/>
      <c r="KE166" s="27"/>
      <c r="KF166" s="28"/>
      <c r="KG166" s="25"/>
      <c r="KH166" s="27"/>
      <c r="KI166" s="27"/>
      <c r="KJ166" s="27"/>
      <c r="KK166" s="27"/>
      <c r="KL166" s="27"/>
      <c r="KM166" s="28"/>
      <c r="KN166" s="25"/>
      <c r="KO166" s="27"/>
      <c r="KP166" s="27"/>
      <c r="KQ166" s="27"/>
      <c r="KR166" s="27"/>
      <c r="KS166" s="27"/>
      <c r="KT166" s="28"/>
      <c r="KU166" s="25"/>
      <c r="KV166" s="27"/>
      <c r="KW166" s="27"/>
      <c r="KX166" s="27"/>
      <c r="KY166" s="27"/>
      <c r="KZ166" s="27"/>
      <c r="LA166" s="28"/>
      <c r="LB166" s="25"/>
      <c r="LC166" s="27"/>
      <c r="LD166" s="27"/>
      <c r="LE166" s="27"/>
      <c r="LF166" s="27"/>
      <c r="LG166" s="27"/>
      <c r="LH166" s="28"/>
      <c r="LI166" s="25"/>
      <c r="LJ166" s="27"/>
      <c r="LK166" s="27"/>
      <c r="LL166" s="27"/>
      <c r="LM166" s="27"/>
      <c r="LN166" s="27"/>
      <c r="LO166" s="28"/>
      <c r="LP166" s="25"/>
      <c r="LQ166" s="27"/>
      <c r="LR166" s="27"/>
      <c r="LS166" s="27"/>
      <c r="LT166" s="27"/>
      <c r="LU166" s="27"/>
      <c r="LV166" s="28"/>
      <c r="LW166" s="25"/>
      <c r="LX166" s="27"/>
      <c r="LY166" s="27"/>
      <c r="LZ166" s="27"/>
      <c r="MA166" s="27"/>
      <c r="MB166" s="27"/>
      <c r="MC166" s="28"/>
      <c r="MD166" s="25"/>
      <c r="ME166" s="27"/>
      <c r="MF166" s="27"/>
      <c r="MG166" s="27"/>
      <c r="MH166" s="27"/>
      <c r="MI166" s="27"/>
      <c r="MJ166" s="28"/>
      <c r="MK166" s="25"/>
      <c r="ML166" s="27"/>
      <c r="MM166" s="27"/>
      <c r="MN166" s="27"/>
      <c r="MO166" s="27"/>
      <c r="MP166" s="27"/>
      <c r="MQ166" s="28"/>
      <c r="MR166" s="25"/>
      <c r="MS166" s="27"/>
      <c r="MT166" s="27"/>
      <c r="MU166" s="27"/>
      <c r="MV166" s="27"/>
      <c r="MW166" s="27"/>
      <c r="MX166" s="28"/>
      <c r="MY166" s="25"/>
      <c r="MZ166" s="27"/>
      <c r="NA166" s="27"/>
      <c r="NB166" s="27"/>
      <c r="NC166" s="27"/>
      <c r="ND166" s="27"/>
      <c r="NE166" s="28"/>
      <c r="NF166" s="25"/>
      <c r="NG166" s="27"/>
      <c r="NH166" s="27"/>
      <c r="NI166" s="27"/>
      <c r="NJ166" s="27"/>
      <c r="NK166" s="27"/>
      <c r="NL166" s="28"/>
      <c r="NM166" s="25"/>
      <c r="NN166" s="27"/>
      <c r="NO166" s="27"/>
      <c r="NP166" s="27"/>
      <c r="NQ166" s="27"/>
      <c r="NR166" s="27"/>
      <c r="NS166" s="28"/>
      <c r="NT166" s="25"/>
      <c r="NU166" s="27"/>
      <c r="NV166" s="27"/>
      <c r="NW166" s="27"/>
      <c r="NX166" s="27"/>
      <c r="NY166" s="27"/>
      <c r="NZ166" s="28"/>
      <c r="OA166" s="25"/>
      <c r="OB166" s="27"/>
      <c r="OC166" s="27"/>
      <c r="OD166" s="27"/>
      <c r="OE166" s="27"/>
      <c r="OF166" s="27"/>
      <c r="OG166" s="28"/>
      <c r="OH166" s="25"/>
      <c r="OI166" s="27"/>
      <c r="OJ166" s="27"/>
      <c r="OK166" s="27"/>
      <c r="OL166" s="27"/>
      <c r="OM166" s="27"/>
      <c r="ON166" s="28"/>
      <c r="OO166" s="25"/>
      <c r="OP166" s="27"/>
      <c r="OQ166" s="27"/>
      <c r="OR166" s="27"/>
      <c r="OS166" s="27"/>
      <c r="OT166" s="27"/>
      <c r="OU166" s="28"/>
      <c r="OV166" s="25"/>
      <c r="OW166" s="27"/>
      <c r="OX166" s="27"/>
      <c r="OY166" s="27"/>
      <c r="OZ166" s="27"/>
      <c r="PA166" s="27"/>
      <c r="PB166" s="28"/>
      <c r="PC166" s="25"/>
      <c r="PD166" s="27"/>
      <c r="PE166" s="27"/>
      <c r="PF166" s="27"/>
      <c r="PG166" s="27"/>
      <c r="PH166" s="27"/>
      <c r="PI166" s="28"/>
      <c r="PJ166" s="25"/>
      <c r="PK166" s="27"/>
      <c r="PL166" s="27"/>
      <c r="PM166" s="27"/>
      <c r="PN166" s="27"/>
      <c r="PO166" s="27"/>
      <c r="PP166" s="28"/>
      <c r="PQ166" s="25"/>
      <c r="PR166" s="27"/>
      <c r="PS166" s="27"/>
      <c r="PT166" s="27"/>
      <c r="PU166" s="27"/>
      <c r="PV166" s="27"/>
      <c r="PW166" s="28"/>
      <c r="PX166" s="25"/>
      <c r="PY166" s="27"/>
      <c r="PZ166" s="27"/>
      <c r="QA166" s="27"/>
      <c r="QB166" s="27"/>
      <c r="QC166" s="27"/>
      <c r="QD166" s="28"/>
      <c r="QE166" s="25"/>
      <c r="QF166" s="27"/>
      <c r="QG166" s="27"/>
      <c r="QH166" s="27"/>
      <c r="QI166" s="27"/>
      <c r="QJ166" s="27"/>
      <c r="QK166" s="28"/>
      <c r="QL166" s="25"/>
      <c r="QM166" s="27"/>
      <c r="QN166" s="27"/>
      <c r="QO166" s="27"/>
      <c r="QP166" s="27"/>
      <c r="QQ166" s="27"/>
      <c r="QR166" s="28"/>
      <c r="QS166" s="25"/>
      <c r="QT166" s="27"/>
      <c r="QU166" s="27"/>
      <c r="QV166" s="27"/>
      <c r="QW166" s="27"/>
      <c r="QX166" s="27"/>
      <c r="QY166" s="28"/>
      <c r="QZ166" s="25"/>
      <c r="RA166" s="27"/>
      <c r="RB166" s="27"/>
      <c r="RC166" s="27"/>
      <c r="RD166" s="27"/>
      <c r="RE166" s="27"/>
      <c r="RF166" s="28"/>
      <c r="RG166" s="25"/>
      <c r="RH166" s="27"/>
      <c r="RI166" s="27"/>
      <c r="RJ166" s="27"/>
      <c r="RK166" s="27"/>
      <c r="RL166" s="27"/>
      <c r="RM166" s="28"/>
      <c r="RN166" s="25"/>
      <c r="RO166" s="27"/>
      <c r="RP166" s="27"/>
      <c r="RQ166" s="27"/>
      <c r="RR166" s="27"/>
      <c r="RS166" s="27"/>
      <c r="RT166" s="28"/>
      <c r="RU166" s="25"/>
      <c r="RV166" s="27"/>
      <c r="RW166" s="27"/>
      <c r="RX166" s="27"/>
      <c r="RY166" s="27"/>
      <c r="RZ166" s="27"/>
      <c r="SA166" s="28"/>
      <c r="SB166" s="25"/>
      <c r="SC166" s="27"/>
      <c r="SD166" s="27"/>
      <c r="SE166" s="27"/>
      <c r="SF166" s="27"/>
      <c r="SG166" s="27"/>
      <c r="SH166" s="28"/>
      <c r="SI166" s="25"/>
      <c r="SJ166" s="27"/>
      <c r="SK166" s="27"/>
      <c r="SL166" s="27"/>
      <c r="SM166" s="27"/>
      <c r="SN166" s="27"/>
      <c r="SO166" s="28"/>
      <c r="SP166" s="25"/>
      <c r="SQ166" s="27"/>
      <c r="SR166" s="27"/>
    </row>
    <row r="167" spans="1:512" x14ac:dyDescent="0.15">
      <c r="A167" s="101">
        <f t="shared" ca="1" si="1562"/>
        <v>30</v>
      </c>
      <c r="B167" s="111">
        <v>30</v>
      </c>
      <c r="C167" s="71" t="str">
        <f t="shared" ca="1" si="1555"/>
        <v>Carsten</v>
      </c>
      <c r="D167" s="112">
        <f t="shared" ca="1" si="1563"/>
        <v>224.70000000000002</v>
      </c>
      <c r="E167" s="25"/>
      <c r="F167" s="26"/>
      <c r="G167" s="27"/>
      <c r="H167" s="28"/>
      <c r="I167" s="25"/>
      <c r="J167" s="25"/>
      <c r="K167" s="26"/>
      <c r="L167" s="62"/>
      <c r="M167" s="62" t="s">
        <v>217</v>
      </c>
      <c r="N167" s="62" t="s">
        <v>98</v>
      </c>
      <c r="O167" s="32"/>
      <c r="P167" s="32">
        <f t="shared" ca="1" si="1556"/>
        <v>10</v>
      </c>
      <c r="Q167" s="32" t="str">
        <f t="shared" ca="1" si="1557"/>
        <v>Xaver</v>
      </c>
      <c r="R167" s="113">
        <f t="shared" ca="1" si="1558"/>
        <v>247.79999999999998</v>
      </c>
      <c r="S167" s="73">
        <v>30</v>
      </c>
      <c r="T167" s="32">
        <f t="shared" ca="1" si="1561"/>
        <v>247.80029999999999</v>
      </c>
      <c r="U167" s="32"/>
      <c r="V167" s="61"/>
      <c r="W167" s="62"/>
      <c r="X167" s="32"/>
      <c r="Y167" s="63"/>
      <c r="Z167" s="73"/>
      <c r="AA167" s="32"/>
      <c r="AB167" s="32"/>
      <c r="AC167" s="61"/>
      <c r="AD167" s="27"/>
      <c r="AE167" s="27"/>
      <c r="AF167" s="27"/>
      <c r="AG167" s="28"/>
      <c r="AH167" s="25"/>
      <c r="AI167" s="27"/>
      <c r="AJ167" s="27"/>
      <c r="AK167" s="27"/>
      <c r="AL167" s="27"/>
      <c r="AM167" s="27"/>
      <c r="AN167" s="28"/>
      <c r="AO167" s="25"/>
      <c r="AP167" s="27"/>
      <c r="AQ167" s="27"/>
      <c r="AR167" s="27"/>
      <c r="AS167" s="27"/>
      <c r="AT167" s="27"/>
      <c r="AU167" s="28"/>
      <c r="AV167" s="25"/>
      <c r="AW167" s="27"/>
      <c r="AX167" s="27"/>
      <c r="AY167" s="27"/>
      <c r="AZ167" s="27"/>
      <c r="BA167" s="27"/>
      <c r="BB167" s="28"/>
      <c r="BC167" s="25"/>
      <c r="BD167" s="27"/>
      <c r="BE167" s="27"/>
      <c r="BF167" s="27"/>
      <c r="BG167" s="27"/>
      <c r="BH167" s="27"/>
      <c r="BI167" s="28"/>
      <c r="BJ167" s="25"/>
      <c r="BK167" s="27"/>
      <c r="BL167" s="27"/>
      <c r="BM167" s="27"/>
      <c r="BN167" s="27"/>
      <c r="BO167" s="27"/>
      <c r="BP167" s="28"/>
      <c r="BQ167" s="25"/>
      <c r="BR167" s="27"/>
      <c r="BS167" s="27"/>
      <c r="BT167" s="27"/>
      <c r="BU167" s="27"/>
      <c r="BV167" s="27"/>
      <c r="BW167" s="28"/>
      <c r="BX167" s="25"/>
      <c r="BY167" s="27"/>
      <c r="BZ167" s="27"/>
      <c r="CA167" s="27"/>
      <c r="CB167" s="27"/>
      <c r="CC167" s="27"/>
      <c r="CD167" s="28"/>
      <c r="CE167" s="25"/>
      <c r="CF167" s="27"/>
      <c r="CG167" s="27"/>
      <c r="CH167" s="27"/>
      <c r="CI167" s="27"/>
      <c r="CJ167" s="27"/>
      <c r="CK167" s="28"/>
      <c r="CL167" s="25"/>
      <c r="CM167" s="27"/>
      <c r="CN167" s="27"/>
      <c r="CO167" s="27"/>
      <c r="CP167" s="27"/>
      <c r="CQ167" s="27"/>
      <c r="CR167" s="28"/>
      <c r="CS167" s="25"/>
      <c r="CT167" s="27"/>
      <c r="CU167" s="27"/>
      <c r="CV167" s="27"/>
      <c r="CW167" s="27"/>
      <c r="CX167" s="27"/>
      <c r="CY167" s="28"/>
      <c r="CZ167" s="25"/>
      <c r="DA167" s="27"/>
      <c r="DB167" s="27"/>
      <c r="DC167" s="27"/>
      <c r="DD167" s="27"/>
      <c r="DE167" s="27"/>
      <c r="DF167" s="28"/>
      <c r="DG167" s="25"/>
      <c r="DH167" s="27"/>
      <c r="DI167" s="27"/>
      <c r="DJ167" s="27"/>
      <c r="DK167" s="27"/>
      <c r="DL167" s="27"/>
      <c r="DM167" s="28"/>
      <c r="DN167" s="25"/>
      <c r="DO167" s="27"/>
      <c r="DP167" s="27"/>
      <c r="DQ167" s="27"/>
      <c r="DR167" s="27"/>
      <c r="DS167" s="27"/>
      <c r="DT167" s="28"/>
      <c r="DU167" s="25"/>
      <c r="DV167" s="27"/>
      <c r="DW167" s="27"/>
      <c r="DX167" s="27"/>
      <c r="DY167" s="27"/>
      <c r="DZ167" s="27"/>
      <c r="EA167" s="28"/>
      <c r="EB167" s="25"/>
      <c r="EC167" s="27"/>
      <c r="ED167" s="27"/>
      <c r="EE167" s="27"/>
      <c r="EF167" s="27"/>
      <c r="EG167" s="27"/>
      <c r="EH167" s="28"/>
      <c r="EI167" s="25"/>
      <c r="EJ167" s="27"/>
      <c r="EK167" s="27"/>
      <c r="EL167" s="27"/>
      <c r="EM167" s="27"/>
      <c r="EN167" s="27"/>
      <c r="EO167" s="28"/>
      <c r="EP167" s="25"/>
      <c r="EQ167" s="27"/>
      <c r="ER167" s="27"/>
      <c r="ES167" s="27"/>
      <c r="ET167" s="27"/>
      <c r="EU167" s="27"/>
      <c r="EV167" s="28"/>
      <c r="EW167" s="25"/>
      <c r="EX167" s="27"/>
      <c r="EY167" s="27"/>
      <c r="EZ167" s="27"/>
      <c r="FA167" s="27"/>
      <c r="FB167" s="27"/>
      <c r="FC167" s="28"/>
      <c r="FD167" s="25"/>
      <c r="FE167" s="27"/>
      <c r="FF167" s="27"/>
      <c r="FG167" s="27"/>
      <c r="FH167" s="27"/>
      <c r="FI167" s="27"/>
      <c r="FJ167" s="28"/>
      <c r="FK167" s="25"/>
      <c r="FL167" s="27"/>
      <c r="FM167" s="27"/>
      <c r="FN167" s="27"/>
      <c r="FO167" s="27"/>
      <c r="FP167" s="27"/>
      <c r="FQ167" s="28"/>
      <c r="FR167" s="25"/>
      <c r="FS167" s="27"/>
      <c r="FT167" s="27"/>
      <c r="FU167" s="27"/>
      <c r="FV167" s="27"/>
      <c r="FW167" s="27"/>
      <c r="FX167" s="28"/>
      <c r="FY167" s="25"/>
      <c r="FZ167" s="27"/>
      <c r="GA167" s="27"/>
      <c r="GB167" s="27"/>
      <c r="GC167" s="27"/>
      <c r="GD167" s="27"/>
      <c r="GE167" s="28"/>
      <c r="GF167" s="25"/>
      <c r="GG167" s="27"/>
      <c r="GH167" s="27"/>
      <c r="GI167" s="27"/>
      <c r="GJ167" s="27"/>
      <c r="GK167" s="27"/>
      <c r="GL167" s="28"/>
      <c r="GM167" s="25"/>
      <c r="GN167" s="27"/>
      <c r="GO167" s="27"/>
      <c r="GP167" s="27"/>
      <c r="GQ167" s="27"/>
      <c r="GR167" s="27"/>
      <c r="GS167" s="28"/>
      <c r="GT167" s="25"/>
      <c r="GU167" s="27"/>
      <c r="GV167" s="27"/>
      <c r="GW167" s="27"/>
      <c r="GX167" s="27"/>
      <c r="GY167" s="27"/>
      <c r="GZ167" s="28"/>
      <c r="HA167" s="25"/>
      <c r="HB167" s="27"/>
      <c r="HC167" s="27"/>
      <c r="HD167" s="27"/>
      <c r="HE167" s="27"/>
      <c r="HF167" s="27"/>
      <c r="HG167" s="28"/>
      <c r="HH167" s="25"/>
      <c r="HI167" s="27"/>
      <c r="HJ167" s="27"/>
      <c r="HK167" s="27"/>
      <c r="HL167" s="27"/>
      <c r="HM167" s="27"/>
      <c r="HN167" s="28"/>
      <c r="HO167" s="25"/>
      <c r="HP167" s="27"/>
      <c r="HQ167" s="27"/>
      <c r="HR167" s="27"/>
      <c r="HS167" s="27"/>
      <c r="HT167" s="27"/>
      <c r="HU167" s="28"/>
      <c r="HV167" s="25"/>
      <c r="HW167" s="27"/>
      <c r="HX167" s="27"/>
      <c r="HY167" s="27"/>
      <c r="HZ167" s="27"/>
      <c r="IA167" s="27"/>
      <c r="IB167" s="28"/>
      <c r="IC167" s="25"/>
      <c r="ID167" s="27"/>
      <c r="IE167" s="27"/>
      <c r="IF167" s="27"/>
      <c r="IG167" s="27"/>
      <c r="IH167" s="27"/>
      <c r="II167" s="28"/>
      <c r="IJ167" s="25"/>
      <c r="IK167" s="27"/>
      <c r="IL167" s="27"/>
      <c r="IM167" s="27"/>
      <c r="IN167" s="27"/>
      <c r="IO167" s="27"/>
      <c r="IP167" s="28"/>
      <c r="IQ167" s="25"/>
      <c r="IR167" s="27"/>
      <c r="IS167" s="27"/>
      <c r="IT167" s="27"/>
      <c r="IU167" s="27"/>
      <c r="IV167" s="27"/>
      <c r="IW167" s="28"/>
      <c r="IX167" s="25"/>
      <c r="IY167" s="27"/>
      <c r="IZ167" s="27"/>
      <c r="JA167" s="27"/>
      <c r="JB167" s="27"/>
      <c r="JC167" s="27"/>
      <c r="JD167" s="28"/>
      <c r="JE167" s="25"/>
      <c r="JF167" s="27"/>
      <c r="JG167" s="27"/>
      <c r="JH167" s="27"/>
      <c r="JI167" s="27"/>
      <c r="JJ167" s="27"/>
      <c r="JK167" s="28"/>
      <c r="JL167" s="25"/>
      <c r="JM167" s="27"/>
      <c r="JN167" s="27"/>
      <c r="JO167" s="27"/>
      <c r="JP167" s="27"/>
      <c r="JQ167" s="27"/>
      <c r="JR167" s="28"/>
      <c r="JS167" s="25"/>
      <c r="JT167" s="27"/>
      <c r="JU167" s="27"/>
      <c r="JV167" s="27"/>
      <c r="JW167" s="27"/>
      <c r="JX167" s="27"/>
      <c r="JY167" s="28"/>
      <c r="JZ167" s="25"/>
      <c r="KA167" s="27"/>
      <c r="KB167" s="27"/>
      <c r="KC167" s="27"/>
      <c r="KD167" s="27"/>
      <c r="KE167" s="27"/>
      <c r="KF167" s="28"/>
      <c r="KG167" s="25"/>
      <c r="KH167" s="27"/>
      <c r="KI167" s="27"/>
      <c r="KJ167" s="27"/>
      <c r="KK167" s="27"/>
      <c r="KL167" s="27"/>
      <c r="KM167" s="28"/>
      <c r="KN167" s="25"/>
      <c r="KO167" s="27"/>
      <c r="KP167" s="27"/>
      <c r="KQ167" s="27"/>
      <c r="KR167" s="27"/>
      <c r="KS167" s="27"/>
      <c r="KT167" s="28"/>
      <c r="KU167" s="25"/>
      <c r="KV167" s="27"/>
      <c r="KW167" s="27"/>
      <c r="KX167" s="27"/>
      <c r="KY167" s="27"/>
      <c r="KZ167" s="27"/>
      <c r="LA167" s="28"/>
      <c r="LB167" s="25"/>
      <c r="LC167" s="27"/>
      <c r="LD167" s="27"/>
      <c r="LE167" s="27"/>
      <c r="LF167" s="27"/>
      <c r="LG167" s="27"/>
      <c r="LH167" s="28"/>
      <c r="LI167" s="25"/>
      <c r="LJ167" s="27"/>
      <c r="LK167" s="27"/>
      <c r="LL167" s="27"/>
      <c r="LM167" s="27"/>
      <c r="LN167" s="27"/>
      <c r="LO167" s="28"/>
      <c r="LP167" s="25"/>
      <c r="LQ167" s="27"/>
      <c r="LR167" s="27"/>
      <c r="LS167" s="27"/>
      <c r="LT167" s="27"/>
      <c r="LU167" s="27"/>
      <c r="LV167" s="28"/>
      <c r="LW167" s="25"/>
      <c r="LX167" s="27"/>
      <c r="LY167" s="27"/>
      <c r="LZ167" s="27"/>
      <c r="MA167" s="27"/>
      <c r="MB167" s="27"/>
      <c r="MC167" s="28"/>
      <c r="MD167" s="25"/>
      <c r="ME167" s="27"/>
      <c r="MF167" s="27"/>
      <c r="MG167" s="27"/>
      <c r="MH167" s="27"/>
      <c r="MI167" s="27"/>
      <c r="MJ167" s="28"/>
      <c r="MK167" s="25"/>
      <c r="ML167" s="27"/>
      <c r="MM167" s="27"/>
      <c r="MN167" s="27"/>
      <c r="MO167" s="27"/>
      <c r="MP167" s="27"/>
      <c r="MQ167" s="28"/>
      <c r="MR167" s="25"/>
      <c r="MS167" s="27"/>
      <c r="MT167" s="27"/>
      <c r="MU167" s="27"/>
      <c r="MV167" s="27"/>
      <c r="MW167" s="27"/>
      <c r="MX167" s="28"/>
      <c r="MY167" s="25"/>
      <c r="MZ167" s="27"/>
      <c r="NA167" s="27"/>
      <c r="NB167" s="27"/>
      <c r="NC167" s="27"/>
      <c r="ND167" s="27"/>
      <c r="NE167" s="28"/>
      <c r="NF167" s="25"/>
      <c r="NG167" s="27"/>
      <c r="NH167" s="27"/>
      <c r="NI167" s="27"/>
      <c r="NJ167" s="27"/>
      <c r="NK167" s="27"/>
      <c r="NL167" s="28"/>
      <c r="NM167" s="25"/>
      <c r="NN167" s="27"/>
      <c r="NO167" s="27"/>
      <c r="NP167" s="27"/>
      <c r="NQ167" s="27"/>
      <c r="NR167" s="27"/>
      <c r="NS167" s="28"/>
      <c r="NT167" s="25"/>
      <c r="NU167" s="27"/>
      <c r="NV167" s="27"/>
      <c r="NW167" s="27"/>
      <c r="NX167" s="27"/>
      <c r="NY167" s="27"/>
      <c r="NZ167" s="28"/>
      <c r="OA167" s="25"/>
      <c r="OB167" s="27"/>
      <c r="OC167" s="27"/>
      <c r="OD167" s="27"/>
      <c r="OE167" s="27"/>
      <c r="OF167" s="27"/>
      <c r="OG167" s="28"/>
      <c r="OH167" s="25"/>
      <c r="OI167" s="27"/>
      <c r="OJ167" s="27"/>
      <c r="OK167" s="27"/>
      <c r="OL167" s="27"/>
      <c r="OM167" s="27"/>
      <c r="ON167" s="28"/>
      <c r="OO167" s="25"/>
      <c r="OP167" s="27"/>
      <c r="OQ167" s="27"/>
      <c r="OR167" s="27"/>
      <c r="OS167" s="27"/>
      <c r="OT167" s="27"/>
      <c r="OU167" s="28"/>
      <c r="OV167" s="25"/>
      <c r="OW167" s="27"/>
      <c r="OX167" s="27"/>
      <c r="OY167" s="27"/>
      <c r="OZ167" s="27"/>
      <c r="PA167" s="27"/>
      <c r="PB167" s="28"/>
      <c r="PC167" s="25"/>
      <c r="PD167" s="27"/>
      <c r="PE167" s="27"/>
      <c r="PF167" s="27"/>
      <c r="PG167" s="27"/>
      <c r="PH167" s="27"/>
      <c r="PI167" s="28"/>
      <c r="PJ167" s="25"/>
      <c r="PK167" s="27"/>
      <c r="PL167" s="27"/>
      <c r="PM167" s="27"/>
      <c r="PN167" s="27"/>
      <c r="PO167" s="27"/>
      <c r="PP167" s="28"/>
      <c r="PQ167" s="25"/>
      <c r="PR167" s="27"/>
      <c r="PS167" s="27"/>
      <c r="PT167" s="27"/>
      <c r="PU167" s="27"/>
      <c r="PV167" s="27"/>
      <c r="PW167" s="28"/>
      <c r="PX167" s="25"/>
      <c r="PY167" s="27"/>
      <c r="PZ167" s="27"/>
      <c r="QA167" s="27"/>
      <c r="QB167" s="27"/>
      <c r="QC167" s="27"/>
      <c r="QD167" s="28"/>
      <c r="QE167" s="25"/>
      <c r="QF167" s="27"/>
      <c r="QG167" s="27"/>
      <c r="QH167" s="27"/>
      <c r="QI167" s="27"/>
      <c r="QJ167" s="27"/>
      <c r="QK167" s="28"/>
      <c r="QL167" s="25"/>
      <c r="QM167" s="27"/>
      <c r="QN167" s="27"/>
      <c r="QO167" s="27"/>
      <c r="QP167" s="27"/>
      <c r="QQ167" s="27"/>
      <c r="QR167" s="28"/>
      <c r="QS167" s="25"/>
      <c r="QT167" s="27"/>
      <c r="QU167" s="27"/>
      <c r="QV167" s="27"/>
      <c r="QW167" s="27"/>
      <c r="QX167" s="27"/>
      <c r="QY167" s="28"/>
      <c r="QZ167" s="25"/>
      <c r="RA167" s="27"/>
      <c r="RB167" s="27"/>
      <c r="RC167" s="27"/>
      <c r="RD167" s="27"/>
      <c r="RE167" s="27"/>
      <c r="RF167" s="28"/>
      <c r="RG167" s="25"/>
      <c r="RH167" s="27"/>
      <c r="RI167" s="27"/>
      <c r="RJ167" s="27"/>
      <c r="RK167" s="27"/>
      <c r="RL167" s="27"/>
      <c r="RM167" s="28"/>
      <c r="RN167" s="25"/>
      <c r="RO167" s="27"/>
      <c r="RP167" s="27"/>
      <c r="RQ167" s="27"/>
      <c r="RR167" s="27"/>
      <c r="RS167" s="27"/>
      <c r="RT167" s="28"/>
      <c r="RU167" s="25"/>
      <c r="RV167" s="27"/>
      <c r="RW167" s="27"/>
      <c r="RX167" s="27"/>
      <c r="RY167" s="27"/>
      <c r="RZ167" s="27"/>
      <c r="SA167" s="28"/>
      <c r="SB167" s="25"/>
      <c r="SC167" s="27"/>
      <c r="SD167" s="27"/>
      <c r="SE167" s="27"/>
      <c r="SF167" s="27"/>
      <c r="SG167" s="27"/>
      <c r="SH167" s="28"/>
      <c r="SI167" s="25"/>
      <c r="SJ167" s="27"/>
      <c r="SK167" s="27"/>
      <c r="SL167" s="27"/>
      <c r="SM167" s="27"/>
      <c r="SN167" s="27"/>
      <c r="SO167" s="28"/>
      <c r="SP167" s="25"/>
      <c r="SQ167" s="27"/>
      <c r="SR167" s="27"/>
    </row>
    <row r="168" spans="1:512" x14ac:dyDescent="0.15">
      <c r="A168" s="101">
        <f t="shared" ca="1" si="1562"/>
        <v>31</v>
      </c>
      <c r="B168" s="111">
        <v>31</v>
      </c>
      <c r="C168" s="71" t="str">
        <f t="shared" ca="1" si="1555"/>
        <v>Kay</v>
      </c>
      <c r="D168" s="112">
        <f t="shared" ca="1" si="1563"/>
        <v>222.50000000000003</v>
      </c>
      <c r="E168" s="25"/>
      <c r="F168" s="26"/>
      <c r="G168" s="27"/>
      <c r="H168" s="28"/>
      <c r="I168" s="25"/>
      <c r="J168" s="25"/>
      <c r="K168" s="26"/>
      <c r="L168" s="62"/>
      <c r="M168" s="32" t="s">
        <v>218</v>
      </c>
      <c r="N168" s="62" t="s">
        <v>99</v>
      </c>
      <c r="O168" s="32"/>
      <c r="P168" s="32">
        <f t="shared" ca="1" si="1556"/>
        <v>5</v>
      </c>
      <c r="Q168" s="32" t="str">
        <f t="shared" ca="1" si="1557"/>
        <v>Arnd</v>
      </c>
      <c r="R168" s="113">
        <f t="shared" ca="1" si="1558"/>
        <v>255.00000000000003</v>
      </c>
      <c r="S168" s="73">
        <v>31</v>
      </c>
      <c r="T168" s="32">
        <f t="shared" ca="1" si="1561"/>
        <v>255.00031000000004</v>
      </c>
      <c r="U168" s="32"/>
      <c r="V168" s="61"/>
      <c r="W168" s="62"/>
      <c r="X168" s="32"/>
      <c r="Y168" s="63"/>
      <c r="Z168" s="73"/>
      <c r="AA168" s="32"/>
      <c r="AB168" s="32"/>
      <c r="AC168" s="61"/>
      <c r="AD168" s="27"/>
      <c r="AE168" s="27"/>
      <c r="AF168" s="27"/>
      <c r="AG168" s="28"/>
      <c r="AH168" s="25"/>
      <c r="AI168" s="27"/>
      <c r="AJ168" s="27"/>
      <c r="AK168" s="27"/>
      <c r="AL168" s="27"/>
      <c r="AM168" s="27"/>
      <c r="AN168" s="28"/>
      <c r="AO168" s="25"/>
      <c r="AP168" s="27"/>
      <c r="AQ168" s="27"/>
      <c r="AR168" s="27"/>
      <c r="AS168" s="27"/>
      <c r="AT168" s="27"/>
      <c r="AU168" s="28"/>
      <c r="AV168" s="25"/>
      <c r="AW168" s="27"/>
      <c r="AX168" s="27"/>
      <c r="AY168" s="27"/>
      <c r="AZ168" s="27"/>
      <c r="BA168" s="27"/>
      <c r="BB168" s="28"/>
      <c r="BC168" s="25"/>
      <c r="BD168" s="27"/>
      <c r="BE168" s="27"/>
      <c r="BF168" s="27"/>
      <c r="BG168" s="27"/>
      <c r="BH168" s="27"/>
      <c r="BI168" s="28"/>
      <c r="BJ168" s="25"/>
      <c r="BK168" s="27"/>
      <c r="BL168" s="27"/>
      <c r="BM168" s="27"/>
      <c r="BN168" s="27"/>
      <c r="BO168" s="27"/>
      <c r="BP168" s="28"/>
      <c r="BQ168" s="25"/>
      <c r="BR168" s="27"/>
      <c r="BS168" s="27"/>
      <c r="BT168" s="27"/>
      <c r="BU168" s="27"/>
      <c r="BV168" s="27"/>
      <c r="BW168" s="28"/>
      <c r="BX168" s="25"/>
      <c r="BY168" s="27"/>
      <c r="BZ168" s="27"/>
      <c r="CA168" s="27"/>
      <c r="CB168" s="27"/>
      <c r="CC168" s="27"/>
      <c r="CD168" s="28"/>
      <c r="CE168" s="25"/>
      <c r="CF168" s="27"/>
      <c r="CG168" s="27"/>
      <c r="CH168" s="27"/>
      <c r="CI168" s="27"/>
      <c r="CJ168" s="27"/>
      <c r="CK168" s="28"/>
      <c r="CL168" s="25"/>
      <c r="CM168" s="27"/>
      <c r="CN168" s="27"/>
      <c r="CO168" s="27"/>
      <c r="CP168" s="27"/>
      <c r="CQ168" s="27"/>
      <c r="CR168" s="28"/>
      <c r="CS168" s="25"/>
      <c r="CT168" s="27"/>
      <c r="CU168" s="27"/>
      <c r="CV168" s="27"/>
      <c r="CW168" s="27"/>
      <c r="CX168" s="27"/>
      <c r="CY168" s="28"/>
      <c r="CZ168" s="25"/>
      <c r="DA168" s="27"/>
      <c r="DB168" s="27"/>
      <c r="DC168" s="27"/>
      <c r="DD168" s="27"/>
      <c r="DE168" s="27"/>
      <c r="DF168" s="28"/>
      <c r="DG168" s="25"/>
      <c r="DH168" s="27"/>
      <c r="DI168" s="27"/>
      <c r="DJ168" s="27"/>
      <c r="DK168" s="27"/>
      <c r="DL168" s="27"/>
      <c r="DM168" s="28"/>
      <c r="DN168" s="25"/>
      <c r="DO168" s="27"/>
      <c r="DP168" s="27"/>
      <c r="DQ168" s="27"/>
      <c r="DR168" s="27"/>
      <c r="DS168" s="27"/>
      <c r="DT168" s="28"/>
      <c r="DU168" s="25"/>
      <c r="DV168" s="27"/>
      <c r="DW168" s="27"/>
      <c r="DX168" s="27"/>
      <c r="DY168" s="27"/>
      <c r="DZ168" s="27"/>
      <c r="EA168" s="28"/>
      <c r="EB168" s="25"/>
      <c r="EC168" s="27"/>
      <c r="ED168" s="27"/>
      <c r="EE168" s="27"/>
      <c r="EF168" s="27"/>
      <c r="EG168" s="27"/>
      <c r="EH168" s="28"/>
      <c r="EI168" s="25"/>
      <c r="EJ168" s="27"/>
      <c r="EK168" s="27"/>
      <c r="EL168" s="27"/>
      <c r="EM168" s="27"/>
      <c r="EN168" s="27"/>
      <c r="EO168" s="28"/>
      <c r="EP168" s="25"/>
      <c r="EQ168" s="27"/>
      <c r="ER168" s="27"/>
      <c r="ES168" s="27"/>
      <c r="ET168" s="27"/>
      <c r="EU168" s="27"/>
      <c r="EV168" s="28"/>
      <c r="EW168" s="25"/>
      <c r="EX168" s="27"/>
      <c r="EY168" s="27"/>
      <c r="EZ168" s="27"/>
      <c r="FA168" s="27"/>
      <c r="FB168" s="27"/>
      <c r="FC168" s="28"/>
      <c r="FD168" s="25"/>
      <c r="FE168" s="27"/>
      <c r="FF168" s="27"/>
      <c r="FG168" s="27"/>
      <c r="FH168" s="27"/>
      <c r="FI168" s="27"/>
      <c r="FJ168" s="28"/>
      <c r="FK168" s="25"/>
      <c r="FL168" s="27"/>
      <c r="FM168" s="27"/>
      <c r="FN168" s="27"/>
      <c r="FO168" s="27"/>
      <c r="FP168" s="27"/>
      <c r="FQ168" s="28"/>
      <c r="FR168" s="25"/>
      <c r="FS168" s="27"/>
      <c r="FT168" s="27"/>
      <c r="FU168" s="27"/>
      <c r="FV168" s="27"/>
      <c r="FW168" s="27"/>
      <c r="FX168" s="28"/>
      <c r="FY168" s="25"/>
      <c r="FZ168" s="27"/>
      <c r="GA168" s="27"/>
      <c r="GB168" s="27"/>
      <c r="GC168" s="27"/>
      <c r="GD168" s="27"/>
      <c r="GE168" s="28"/>
      <c r="GF168" s="25"/>
      <c r="GG168" s="27"/>
      <c r="GH168" s="27"/>
      <c r="GI168" s="27"/>
      <c r="GJ168" s="27"/>
      <c r="GK168" s="27"/>
      <c r="GL168" s="28"/>
      <c r="GM168" s="25"/>
      <c r="GN168" s="27"/>
      <c r="GO168" s="27"/>
      <c r="GP168" s="27"/>
      <c r="GQ168" s="27"/>
      <c r="GR168" s="27"/>
      <c r="GS168" s="28"/>
      <c r="GT168" s="25"/>
      <c r="GU168" s="27"/>
      <c r="GV168" s="27"/>
      <c r="GW168" s="27"/>
      <c r="GX168" s="27"/>
      <c r="GY168" s="27"/>
      <c r="GZ168" s="28"/>
      <c r="HA168" s="25"/>
      <c r="HB168" s="27"/>
      <c r="HC168" s="27"/>
      <c r="HD168" s="27"/>
      <c r="HE168" s="27"/>
      <c r="HF168" s="27"/>
      <c r="HG168" s="28"/>
      <c r="HH168" s="25"/>
      <c r="HI168" s="27"/>
      <c r="HJ168" s="27"/>
      <c r="HK168" s="27"/>
      <c r="HL168" s="27"/>
      <c r="HM168" s="27"/>
      <c r="HN168" s="28"/>
      <c r="HO168" s="25"/>
      <c r="HP168" s="27"/>
      <c r="HQ168" s="27"/>
      <c r="HR168" s="27"/>
      <c r="HS168" s="27"/>
      <c r="HT168" s="27"/>
      <c r="HU168" s="28"/>
      <c r="HV168" s="25"/>
      <c r="HW168" s="27"/>
      <c r="HX168" s="27"/>
      <c r="HY168" s="27"/>
      <c r="HZ168" s="27"/>
      <c r="IA168" s="27"/>
      <c r="IB168" s="28"/>
      <c r="IC168" s="25"/>
      <c r="ID168" s="27"/>
      <c r="IE168" s="27"/>
      <c r="IF168" s="27"/>
      <c r="IG168" s="27"/>
      <c r="IH168" s="27"/>
      <c r="II168" s="28"/>
      <c r="IJ168" s="25"/>
      <c r="IK168" s="27"/>
      <c r="IL168" s="27"/>
      <c r="IM168" s="27"/>
      <c r="IN168" s="27"/>
      <c r="IO168" s="27"/>
      <c r="IP168" s="28"/>
      <c r="IQ168" s="25"/>
      <c r="IR168" s="27"/>
      <c r="IS168" s="27"/>
      <c r="IT168" s="27"/>
      <c r="IU168" s="27"/>
      <c r="IV168" s="27"/>
      <c r="IW168" s="28"/>
      <c r="IX168" s="25"/>
      <c r="IY168" s="27"/>
      <c r="IZ168" s="27"/>
      <c r="JA168" s="27"/>
      <c r="JB168" s="27"/>
      <c r="JC168" s="27"/>
      <c r="JD168" s="28"/>
      <c r="JE168" s="25"/>
      <c r="JF168" s="27"/>
      <c r="JG168" s="27"/>
      <c r="JH168" s="27"/>
      <c r="JI168" s="27"/>
      <c r="JJ168" s="27"/>
      <c r="JK168" s="28"/>
      <c r="JL168" s="25"/>
      <c r="JM168" s="27"/>
      <c r="JN168" s="27"/>
      <c r="JO168" s="27"/>
      <c r="JP168" s="27"/>
      <c r="JQ168" s="27"/>
      <c r="JR168" s="28"/>
      <c r="JS168" s="25"/>
      <c r="JT168" s="27"/>
      <c r="JU168" s="27"/>
      <c r="JV168" s="27"/>
      <c r="JW168" s="27"/>
      <c r="JX168" s="27"/>
      <c r="JY168" s="28"/>
      <c r="JZ168" s="25"/>
      <c r="KA168" s="27"/>
      <c r="KB168" s="27"/>
      <c r="KC168" s="27"/>
      <c r="KD168" s="27"/>
      <c r="KE168" s="27"/>
      <c r="KF168" s="28"/>
      <c r="KG168" s="25"/>
      <c r="KH168" s="27"/>
      <c r="KI168" s="27"/>
      <c r="KJ168" s="27"/>
      <c r="KK168" s="27"/>
      <c r="KL168" s="27"/>
      <c r="KM168" s="28"/>
      <c r="KN168" s="25"/>
      <c r="KO168" s="27"/>
      <c r="KP168" s="27"/>
      <c r="KQ168" s="27"/>
      <c r="KR168" s="27"/>
      <c r="KS168" s="27"/>
      <c r="KT168" s="28"/>
      <c r="KU168" s="25"/>
      <c r="KV168" s="27"/>
      <c r="KW168" s="27"/>
      <c r="KX168" s="27"/>
      <c r="KY168" s="27"/>
      <c r="KZ168" s="27"/>
      <c r="LA168" s="28"/>
      <c r="LB168" s="25"/>
      <c r="LC168" s="27"/>
      <c r="LD168" s="27"/>
      <c r="LE168" s="27"/>
      <c r="LF168" s="27"/>
      <c r="LG168" s="27"/>
      <c r="LH168" s="28"/>
      <c r="LI168" s="25"/>
      <c r="LJ168" s="27"/>
      <c r="LK168" s="27"/>
      <c r="LL168" s="27"/>
      <c r="LM168" s="27"/>
      <c r="LN168" s="27"/>
      <c r="LO168" s="28"/>
      <c r="LP168" s="25"/>
      <c r="LQ168" s="27"/>
      <c r="LR168" s="27"/>
      <c r="LS168" s="27"/>
      <c r="LT168" s="27"/>
      <c r="LU168" s="27"/>
      <c r="LV168" s="28"/>
      <c r="LW168" s="25"/>
      <c r="LX168" s="27"/>
      <c r="LY168" s="27"/>
      <c r="LZ168" s="27"/>
      <c r="MA168" s="27"/>
      <c r="MB168" s="27"/>
      <c r="MC168" s="28"/>
      <c r="MD168" s="25"/>
      <c r="ME168" s="27"/>
      <c r="MF168" s="27"/>
      <c r="MG168" s="27"/>
      <c r="MH168" s="27"/>
      <c r="MI168" s="27"/>
      <c r="MJ168" s="28"/>
      <c r="MK168" s="25"/>
      <c r="ML168" s="27"/>
      <c r="MM168" s="27"/>
      <c r="MN168" s="27"/>
      <c r="MO168" s="27"/>
      <c r="MP168" s="27"/>
      <c r="MQ168" s="28"/>
      <c r="MR168" s="25"/>
      <c r="MS168" s="27"/>
      <c r="MT168" s="27"/>
      <c r="MU168" s="27"/>
      <c r="MV168" s="27"/>
      <c r="MW168" s="27"/>
      <c r="MX168" s="28"/>
      <c r="MY168" s="25"/>
      <c r="MZ168" s="27"/>
      <c r="NA168" s="27"/>
      <c r="NB168" s="27"/>
      <c r="NC168" s="27"/>
      <c r="ND168" s="27"/>
      <c r="NE168" s="28"/>
      <c r="NF168" s="25"/>
      <c r="NG168" s="27"/>
      <c r="NH168" s="27"/>
      <c r="NI168" s="27"/>
      <c r="NJ168" s="27"/>
      <c r="NK168" s="27"/>
      <c r="NL168" s="28"/>
      <c r="NM168" s="25"/>
      <c r="NN168" s="27"/>
      <c r="NO168" s="27"/>
      <c r="NP168" s="27"/>
      <c r="NQ168" s="27"/>
      <c r="NR168" s="27"/>
      <c r="NS168" s="28"/>
      <c r="NT168" s="25"/>
      <c r="NU168" s="27"/>
      <c r="NV168" s="27"/>
      <c r="NW168" s="27"/>
      <c r="NX168" s="27"/>
      <c r="NY168" s="27"/>
      <c r="NZ168" s="28"/>
      <c r="OA168" s="25"/>
      <c r="OB168" s="27"/>
      <c r="OC168" s="27"/>
      <c r="OD168" s="27"/>
      <c r="OE168" s="27"/>
      <c r="OF168" s="27"/>
      <c r="OG168" s="28"/>
      <c r="OH168" s="25"/>
      <c r="OI168" s="27"/>
      <c r="OJ168" s="27"/>
      <c r="OK168" s="27"/>
      <c r="OL168" s="27"/>
      <c r="OM168" s="27"/>
      <c r="ON168" s="28"/>
      <c r="OO168" s="25"/>
      <c r="OP168" s="27"/>
      <c r="OQ168" s="27"/>
      <c r="OR168" s="27"/>
      <c r="OS168" s="27"/>
      <c r="OT168" s="27"/>
      <c r="OU168" s="28"/>
      <c r="OV168" s="25"/>
      <c r="OW168" s="27"/>
      <c r="OX168" s="27"/>
      <c r="OY168" s="27"/>
      <c r="OZ168" s="27"/>
      <c r="PA168" s="27"/>
      <c r="PB168" s="28"/>
      <c r="PC168" s="25"/>
      <c r="PD168" s="27"/>
      <c r="PE168" s="27"/>
      <c r="PF168" s="27"/>
      <c r="PG168" s="27"/>
      <c r="PH168" s="27"/>
      <c r="PI168" s="28"/>
      <c r="PJ168" s="25"/>
      <c r="PK168" s="27"/>
      <c r="PL168" s="27"/>
      <c r="PM168" s="27"/>
      <c r="PN168" s="27"/>
      <c r="PO168" s="27"/>
      <c r="PP168" s="28"/>
      <c r="PQ168" s="25"/>
      <c r="PR168" s="27"/>
      <c r="PS168" s="27"/>
      <c r="PT168" s="27"/>
      <c r="PU168" s="27"/>
      <c r="PV168" s="27"/>
      <c r="PW168" s="28"/>
      <c r="PX168" s="25"/>
      <c r="PY168" s="27"/>
      <c r="PZ168" s="27"/>
      <c r="QA168" s="27"/>
      <c r="QB168" s="27"/>
      <c r="QC168" s="27"/>
      <c r="QD168" s="28"/>
      <c r="QE168" s="25"/>
      <c r="QF168" s="27"/>
      <c r="QG168" s="27"/>
      <c r="QH168" s="27"/>
      <c r="QI168" s="27"/>
      <c r="QJ168" s="27"/>
      <c r="QK168" s="28"/>
      <c r="QL168" s="25"/>
      <c r="QM168" s="27"/>
      <c r="QN168" s="27"/>
      <c r="QO168" s="27"/>
      <c r="QP168" s="27"/>
      <c r="QQ168" s="27"/>
      <c r="QR168" s="28"/>
      <c r="QS168" s="25"/>
      <c r="QT168" s="27"/>
      <c r="QU168" s="27"/>
      <c r="QV168" s="27"/>
      <c r="QW168" s="27"/>
      <c r="QX168" s="27"/>
      <c r="QY168" s="28"/>
      <c r="QZ168" s="25"/>
      <c r="RA168" s="27"/>
      <c r="RB168" s="27"/>
      <c r="RC168" s="27"/>
      <c r="RD168" s="27"/>
      <c r="RE168" s="27"/>
      <c r="RF168" s="28"/>
      <c r="RG168" s="25"/>
      <c r="RH168" s="27"/>
      <c r="RI168" s="27"/>
      <c r="RJ168" s="27"/>
      <c r="RK168" s="27"/>
      <c r="RL168" s="27"/>
      <c r="RM168" s="28"/>
      <c r="RN168" s="25"/>
      <c r="RO168" s="27"/>
      <c r="RP168" s="27"/>
      <c r="RQ168" s="27"/>
      <c r="RR168" s="27"/>
      <c r="RS168" s="27"/>
      <c r="RT168" s="28"/>
      <c r="RU168" s="25"/>
      <c r="RV168" s="27"/>
      <c r="RW168" s="27"/>
      <c r="RX168" s="27"/>
      <c r="RY168" s="27"/>
      <c r="RZ168" s="27"/>
      <c r="SA168" s="28"/>
      <c r="SB168" s="25"/>
      <c r="SC168" s="27"/>
      <c r="SD168" s="27"/>
      <c r="SE168" s="27"/>
      <c r="SF168" s="27"/>
      <c r="SG168" s="27"/>
      <c r="SH168" s="28"/>
      <c r="SI168" s="25"/>
      <c r="SJ168" s="27"/>
      <c r="SK168" s="27"/>
      <c r="SL168" s="27"/>
      <c r="SM168" s="27"/>
      <c r="SN168" s="27"/>
      <c r="SO168" s="28"/>
      <c r="SP168" s="25"/>
      <c r="SQ168" s="27"/>
      <c r="SR168" s="27"/>
    </row>
    <row r="169" spans="1:512" x14ac:dyDescent="0.15">
      <c r="A169" s="101">
        <f t="shared" ca="1" si="1562"/>
        <v>32</v>
      </c>
      <c r="B169" s="111">
        <v>32</v>
      </c>
      <c r="C169" s="71" t="str">
        <f t="shared" ca="1" si="1555"/>
        <v>Franzi</v>
      </c>
      <c r="D169" s="112">
        <f t="shared" ca="1" si="1563"/>
        <v>222.20000000000002</v>
      </c>
      <c r="E169" s="25"/>
      <c r="F169" s="26"/>
      <c r="G169" s="27"/>
      <c r="H169" s="28"/>
      <c r="I169" s="25"/>
      <c r="J169" s="25"/>
      <c r="K169" s="26"/>
      <c r="L169" s="62"/>
      <c r="M169" s="61" t="s">
        <v>219</v>
      </c>
      <c r="N169" s="63" t="s">
        <v>100</v>
      </c>
      <c r="O169" s="32"/>
      <c r="P169" s="32">
        <f t="shared" ca="1" si="1556"/>
        <v>16</v>
      </c>
      <c r="Q169" s="32" t="str">
        <f t="shared" ca="1" si="1557"/>
        <v>Tabea</v>
      </c>
      <c r="R169" s="113">
        <f t="shared" ca="1" si="1558"/>
        <v>240.70000000000005</v>
      </c>
      <c r="S169" s="73">
        <v>32</v>
      </c>
      <c r="T169" s="32">
        <f t="shared" ca="1" si="1561"/>
        <v>240.70032000000003</v>
      </c>
      <c r="U169" s="32"/>
      <c r="V169" s="61"/>
      <c r="W169" s="62"/>
      <c r="X169" s="32"/>
      <c r="Y169" s="63"/>
      <c r="Z169" s="73"/>
      <c r="AA169" s="32"/>
      <c r="AB169" s="32"/>
      <c r="AC169" s="61"/>
      <c r="AD169" s="27"/>
      <c r="AE169" s="27"/>
      <c r="AF169" s="27"/>
      <c r="AG169" s="28"/>
      <c r="AH169" s="25"/>
      <c r="AI169" s="27"/>
      <c r="AJ169" s="27"/>
      <c r="AK169" s="27"/>
      <c r="AL169" s="27"/>
      <c r="AM169" s="27"/>
      <c r="AN169" s="28"/>
      <c r="AO169" s="25"/>
      <c r="AP169" s="27"/>
      <c r="AQ169" s="27"/>
      <c r="AR169" s="27"/>
      <c r="AS169" s="27"/>
      <c r="AT169" s="27"/>
      <c r="AU169" s="28"/>
      <c r="AV169" s="25"/>
      <c r="AW169" s="27"/>
      <c r="AX169" s="27"/>
      <c r="AY169" s="27"/>
      <c r="AZ169" s="27"/>
      <c r="BA169" s="27"/>
      <c r="BB169" s="28"/>
      <c r="BC169" s="25"/>
      <c r="BD169" s="27"/>
      <c r="BE169" s="27"/>
      <c r="BF169" s="27"/>
      <c r="BG169" s="27"/>
      <c r="BH169" s="27"/>
      <c r="BI169" s="28"/>
      <c r="BJ169" s="25"/>
      <c r="BK169" s="27"/>
      <c r="BL169" s="27"/>
      <c r="BM169" s="27"/>
      <c r="BN169" s="27"/>
      <c r="BO169" s="27"/>
      <c r="BP169" s="28"/>
      <c r="BQ169" s="25"/>
      <c r="BR169" s="27"/>
      <c r="BS169" s="27"/>
      <c r="BT169" s="27"/>
      <c r="BU169" s="27"/>
      <c r="BV169" s="27"/>
      <c r="BW169" s="28"/>
      <c r="BX169" s="25"/>
      <c r="BY169" s="27"/>
      <c r="BZ169" s="27"/>
      <c r="CA169" s="27"/>
      <c r="CB169" s="27"/>
      <c r="CC169" s="27"/>
      <c r="CD169" s="28"/>
      <c r="CE169" s="25"/>
      <c r="CF169" s="27"/>
      <c r="CG169" s="27"/>
      <c r="CH169" s="27"/>
      <c r="CI169" s="27"/>
      <c r="CJ169" s="27"/>
      <c r="CK169" s="28"/>
      <c r="CL169" s="25"/>
      <c r="CM169" s="27"/>
      <c r="CN169" s="27"/>
      <c r="CO169" s="27"/>
      <c r="CP169" s="27"/>
      <c r="CQ169" s="27"/>
      <c r="CR169" s="28"/>
      <c r="CS169" s="25"/>
      <c r="CT169" s="27"/>
      <c r="CU169" s="27"/>
      <c r="CV169" s="27"/>
      <c r="CW169" s="27"/>
      <c r="CX169" s="27"/>
      <c r="CY169" s="28"/>
      <c r="CZ169" s="25"/>
      <c r="DA169" s="27"/>
      <c r="DB169" s="27"/>
      <c r="DC169" s="27"/>
      <c r="DD169" s="27"/>
      <c r="DE169" s="27"/>
      <c r="DF169" s="28"/>
      <c r="DG169" s="25"/>
      <c r="DH169" s="27"/>
      <c r="DI169" s="27"/>
      <c r="DJ169" s="27"/>
      <c r="DK169" s="27"/>
      <c r="DL169" s="27"/>
      <c r="DM169" s="28"/>
      <c r="DN169" s="25"/>
      <c r="DO169" s="27"/>
      <c r="DP169" s="27"/>
      <c r="DQ169" s="27"/>
      <c r="DR169" s="27"/>
      <c r="DS169" s="27"/>
      <c r="DT169" s="28"/>
      <c r="DU169" s="25"/>
      <c r="DV169" s="27"/>
      <c r="DW169" s="27"/>
      <c r="DX169" s="27"/>
      <c r="DY169" s="27"/>
      <c r="DZ169" s="27"/>
      <c r="EA169" s="28"/>
      <c r="EB169" s="25"/>
      <c r="EC169" s="27"/>
      <c r="ED169" s="27"/>
      <c r="EE169" s="27"/>
      <c r="EF169" s="27"/>
      <c r="EG169" s="27"/>
      <c r="EH169" s="28"/>
      <c r="EI169" s="25"/>
      <c r="EJ169" s="27"/>
      <c r="EK169" s="27"/>
      <c r="EL169" s="27"/>
      <c r="EM169" s="27"/>
      <c r="EN169" s="27"/>
      <c r="EO169" s="28"/>
      <c r="EP169" s="25"/>
      <c r="EQ169" s="27"/>
      <c r="ER169" s="27"/>
      <c r="ES169" s="27"/>
      <c r="ET169" s="27"/>
      <c r="EU169" s="27"/>
      <c r="EV169" s="28"/>
      <c r="EW169" s="25"/>
      <c r="EX169" s="27"/>
      <c r="EY169" s="27"/>
      <c r="EZ169" s="27"/>
      <c r="FA169" s="27"/>
      <c r="FB169" s="27"/>
      <c r="FC169" s="28"/>
      <c r="FD169" s="25"/>
      <c r="FE169" s="27"/>
      <c r="FF169" s="27"/>
      <c r="FG169" s="27"/>
      <c r="FH169" s="27"/>
      <c r="FI169" s="27"/>
      <c r="FJ169" s="28"/>
      <c r="FK169" s="25"/>
      <c r="FL169" s="27"/>
      <c r="FM169" s="27"/>
      <c r="FN169" s="27"/>
      <c r="FO169" s="27"/>
      <c r="FP169" s="27"/>
      <c r="FQ169" s="28"/>
      <c r="FR169" s="25"/>
      <c r="FS169" s="27"/>
      <c r="FT169" s="27"/>
      <c r="FU169" s="27"/>
      <c r="FV169" s="27"/>
      <c r="FW169" s="27"/>
      <c r="FX169" s="28"/>
      <c r="FY169" s="25"/>
      <c r="FZ169" s="27"/>
      <c r="GA169" s="27"/>
      <c r="GB169" s="27"/>
      <c r="GC169" s="27"/>
      <c r="GD169" s="27"/>
      <c r="GE169" s="28"/>
      <c r="GF169" s="25"/>
      <c r="GG169" s="27"/>
      <c r="GH169" s="27"/>
      <c r="GI169" s="27"/>
      <c r="GJ169" s="27"/>
      <c r="GK169" s="27"/>
      <c r="GL169" s="28"/>
      <c r="GM169" s="25"/>
      <c r="GN169" s="27"/>
      <c r="GO169" s="27"/>
      <c r="GP169" s="27"/>
      <c r="GQ169" s="27"/>
      <c r="GR169" s="27"/>
      <c r="GS169" s="28"/>
      <c r="GT169" s="25"/>
      <c r="GU169" s="27"/>
      <c r="GV169" s="27"/>
      <c r="GW169" s="27"/>
      <c r="GX169" s="27"/>
      <c r="GY169" s="27"/>
      <c r="GZ169" s="28"/>
      <c r="HA169" s="25"/>
      <c r="HB169" s="27"/>
      <c r="HC169" s="27"/>
      <c r="HD169" s="27"/>
      <c r="HE169" s="27"/>
      <c r="HF169" s="27"/>
      <c r="HG169" s="28"/>
      <c r="HH169" s="25"/>
      <c r="HI169" s="27"/>
      <c r="HJ169" s="27"/>
      <c r="HK169" s="27"/>
      <c r="HL169" s="27"/>
      <c r="HM169" s="27"/>
      <c r="HN169" s="28"/>
      <c r="HO169" s="25"/>
      <c r="HP169" s="27"/>
      <c r="HQ169" s="27"/>
      <c r="HR169" s="27"/>
      <c r="HS169" s="27"/>
      <c r="HT169" s="27"/>
      <c r="HU169" s="28"/>
      <c r="HV169" s="25"/>
      <c r="HW169" s="27"/>
      <c r="HX169" s="27"/>
      <c r="HY169" s="27"/>
      <c r="HZ169" s="27"/>
      <c r="IA169" s="27"/>
      <c r="IB169" s="28"/>
      <c r="IC169" s="25"/>
      <c r="ID169" s="27"/>
      <c r="IE169" s="27"/>
      <c r="IF169" s="27"/>
      <c r="IG169" s="27"/>
      <c r="IH169" s="27"/>
      <c r="II169" s="28"/>
      <c r="IJ169" s="25"/>
      <c r="IK169" s="27"/>
      <c r="IL169" s="27"/>
      <c r="IM169" s="27"/>
      <c r="IN169" s="27"/>
      <c r="IO169" s="27"/>
      <c r="IP169" s="28"/>
      <c r="IQ169" s="25"/>
      <c r="IR169" s="27"/>
      <c r="IS169" s="27"/>
      <c r="IT169" s="27"/>
      <c r="IU169" s="27"/>
      <c r="IV169" s="27"/>
      <c r="IW169" s="28"/>
      <c r="IX169" s="25"/>
      <c r="IY169" s="27"/>
      <c r="IZ169" s="27"/>
      <c r="JA169" s="27"/>
      <c r="JB169" s="27"/>
      <c r="JC169" s="27"/>
      <c r="JD169" s="28"/>
      <c r="JE169" s="25"/>
      <c r="JF169" s="27"/>
      <c r="JG169" s="27"/>
      <c r="JH169" s="27"/>
      <c r="JI169" s="27"/>
      <c r="JJ169" s="27"/>
      <c r="JK169" s="28"/>
      <c r="JL169" s="25"/>
      <c r="JM169" s="27"/>
      <c r="JN169" s="27"/>
      <c r="JO169" s="27"/>
      <c r="JP169" s="27"/>
      <c r="JQ169" s="27"/>
      <c r="JR169" s="28"/>
      <c r="JS169" s="25"/>
      <c r="JT169" s="27"/>
      <c r="JU169" s="27"/>
      <c r="JV169" s="27"/>
      <c r="JW169" s="27"/>
      <c r="JX169" s="27"/>
      <c r="JY169" s="28"/>
      <c r="JZ169" s="25"/>
      <c r="KA169" s="27"/>
      <c r="KB169" s="27"/>
      <c r="KC169" s="27"/>
      <c r="KD169" s="27"/>
      <c r="KE169" s="27"/>
      <c r="KF169" s="28"/>
      <c r="KG169" s="25"/>
      <c r="KH169" s="27"/>
      <c r="KI169" s="27"/>
      <c r="KJ169" s="27"/>
      <c r="KK169" s="27"/>
      <c r="KL169" s="27"/>
      <c r="KM169" s="28"/>
      <c r="KN169" s="25"/>
      <c r="KO169" s="27"/>
      <c r="KP169" s="27"/>
      <c r="KQ169" s="27"/>
      <c r="KR169" s="27"/>
      <c r="KS169" s="27"/>
      <c r="KT169" s="28"/>
      <c r="KU169" s="25"/>
      <c r="KV169" s="27"/>
      <c r="KW169" s="27"/>
      <c r="KX169" s="27"/>
      <c r="KY169" s="27"/>
      <c r="KZ169" s="27"/>
      <c r="LA169" s="28"/>
      <c r="LB169" s="25"/>
      <c r="LC169" s="27"/>
      <c r="LD169" s="27"/>
      <c r="LE169" s="27"/>
      <c r="LF169" s="27"/>
      <c r="LG169" s="27"/>
      <c r="LH169" s="28"/>
      <c r="LI169" s="25"/>
      <c r="LJ169" s="27"/>
      <c r="LK169" s="27"/>
      <c r="LL169" s="27"/>
      <c r="LM169" s="27"/>
      <c r="LN169" s="27"/>
      <c r="LO169" s="28"/>
      <c r="LP169" s="25"/>
      <c r="LQ169" s="27"/>
      <c r="LR169" s="27"/>
      <c r="LS169" s="27"/>
      <c r="LT169" s="27"/>
      <c r="LU169" s="27"/>
      <c r="LV169" s="28"/>
      <c r="LW169" s="25"/>
      <c r="LX169" s="27"/>
      <c r="LY169" s="27"/>
      <c r="LZ169" s="27"/>
      <c r="MA169" s="27"/>
      <c r="MB169" s="27"/>
      <c r="MC169" s="28"/>
      <c r="MD169" s="25"/>
      <c r="ME169" s="27"/>
      <c r="MF169" s="27"/>
      <c r="MG169" s="27"/>
      <c r="MH169" s="27"/>
      <c r="MI169" s="27"/>
      <c r="MJ169" s="28"/>
      <c r="MK169" s="25"/>
      <c r="ML169" s="27"/>
      <c r="MM169" s="27"/>
      <c r="MN169" s="27"/>
      <c r="MO169" s="27"/>
      <c r="MP169" s="27"/>
      <c r="MQ169" s="28"/>
      <c r="MR169" s="25"/>
      <c r="MS169" s="27"/>
      <c r="MT169" s="27"/>
      <c r="MU169" s="27"/>
      <c r="MV169" s="27"/>
      <c r="MW169" s="27"/>
      <c r="MX169" s="28"/>
      <c r="MY169" s="25"/>
      <c r="MZ169" s="27"/>
      <c r="NA169" s="27"/>
      <c r="NB169" s="27"/>
      <c r="NC169" s="27"/>
      <c r="ND169" s="27"/>
      <c r="NE169" s="28"/>
      <c r="NF169" s="25"/>
      <c r="NG169" s="27"/>
      <c r="NH169" s="27"/>
      <c r="NI169" s="27"/>
      <c r="NJ169" s="27"/>
      <c r="NK169" s="27"/>
      <c r="NL169" s="28"/>
      <c r="NM169" s="25"/>
      <c r="NN169" s="27"/>
      <c r="NO169" s="27"/>
      <c r="NP169" s="27"/>
      <c r="NQ169" s="27"/>
      <c r="NR169" s="27"/>
      <c r="NS169" s="28"/>
      <c r="NT169" s="25"/>
      <c r="NU169" s="27"/>
      <c r="NV169" s="27"/>
      <c r="NW169" s="27"/>
      <c r="NX169" s="27"/>
      <c r="NY169" s="27"/>
      <c r="NZ169" s="28"/>
      <c r="OA169" s="25"/>
      <c r="OB169" s="27"/>
      <c r="OC169" s="27"/>
      <c r="OD169" s="27"/>
      <c r="OE169" s="27"/>
      <c r="OF169" s="27"/>
      <c r="OG169" s="28"/>
      <c r="OH169" s="25"/>
      <c r="OI169" s="27"/>
      <c r="OJ169" s="27"/>
      <c r="OK169" s="27"/>
      <c r="OL169" s="27"/>
      <c r="OM169" s="27"/>
      <c r="ON169" s="28"/>
      <c r="OO169" s="25"/>
      <c r="OP169" s="27"/>
      <c r="OQ169" s="27"/>
      <c r="OR169" s="27"/>
      <c r="OS169" s="27"/>
      <c r="OT169" s="27"/>
      <c r="OU169" s="28"/>
      <c r="OV169" s="25"/>
      <c r="OW169" s="27"/>
      <c r="OX169" s="27"/>
      <c r="OY169" s="27"/>
      <c r="OZ169" s="27"/>
      <c r="PA169" s="27"/>
      <c r="PB169" s="28"/>
      <c r="PC169" s="25"/>
      <c r="PD169" s="27"/>
      <c r="PE169" s="27"/>
      <c r="PF169" s="27"/>
      <c r="PG169" s="27"/>
      <c r="PH169" s="27"/>
      <c r="PI169" s="28"/>
      <c r="PJ169" s="25"/>
      <c r="PK169" s="27"/>
      <c r="PL169" s="27"/>
      <c r="PM169" s="27"/>
      <c r="PN169" s="27"/>
      <c r="PO169" s="27"/>
      <c r="PP169" s="28"/>
      <c r="PQ169" s="25"/>
      <c r="PR169" s="27"/>
      <c r="PS169" s="27"/>
      <c r="PT169" s="27"/>
      <c r="PU169" s="27"/>
      <c r="PV169" s="27"/>
      <c r="PW169" s="28"/>
      <c r="PX169" s="25"/>
      <c r="PY169" s="27"/>
      <c r="PZ169" s="27"/>
      <c r="QA169" s="27"/>
      <c r="QB169" s="27"/>
      <c r="QC169" s="27"/>
      <c r="QD169" s="28"/>
      <c r="QE169" s="25"/>
      <c r="QF169" s="27"/>
      <c r="QG169" s="27"/>
      <c r="QH169" s="27"/>
      <c r="QI169" s="27"/>
      <c r="QJ169" s="27"/>
      <c r="QK169" s="28"/>
      <c r="QL169" s="25"/>
      <c r="QM169" s="27"/>
      <c r="QN169" s="27"/>
      <c r="QO169" s="27"/>
      <c r="QP169" s="27"/>
      <c r="QQ169" s="27"/>
      <c r="QR169" s="28"/>
      <c r="QS169" s="25"/>
      <c r="QT169" s="27"/>
      <c r="QU169" s="27"/>
      <c r="QV169" s="27"/>
      <c r="QW169" s="27"/>
      <c r="QX169" s="27"/>
      <c r="QY169" s="28"/>
      <c r="QZ169" s="25"/>
      <c r="RA169" s="27"/>
      <c r="RB169" s="27"/>
      <c r="RC169" s="27"/>
      <c r="RD169" s="27"/>
      <c r="RE169" s="27"/>
      <c r="RF169" s="28"/>
      <c r="RG169" s="25"/>
      <c r="RH169" s="27"/>
      <c r="RI169" s="27"/>
      <c r="RJ169" s="27"/>
      <c r="RK169" s="27"/>
      <c r="RL169" s="27"/>
      <c r="RM169" s="28"/>
      <c r="RN169" s="25"/>
      <c r="RO169" s="27"/>
      <c r="RP169" s="27"/>
      <c r="RQ169" s="27"/>
      <c r="RR169" s="27"/>
      <c r="RS169" s="27"/>
      <c r="RT169" s="28"/>
      <c r="RU169" s="25"/>
      <c r="RV169" s="27"/>
      <c r="RW169" s="27"/>
      <c r="RX169" s="27"/>
      <c r="RY169" s="27"/>
      <c r="RZ169" s="27"/>
      <c r="SA169" s="28"/>
      <c r="SB169" s="25"/>
      <c r="SC169" s="27"/>
      <c r="SD169" s="27"/>
      <c r="SE169" s="27"/>
      <c r="SF169" s="27"/>
      <c r="SG169" s="27"/>
      <c r="SH169" s="28"/>
      <c r="SI169" s="25"/>
      <c r="SJ169" s="27"/>
      <c r="SK169" s="27"/>
      <c r="SL169" s="27"/>
      <c r="SM169" s="27"/>
      <c r="SN169" s="27"/>
      <c r="SO169" s="28"/>
      <c r="SP169" s="25"/>
      <c r="SQ169" s="27"/>
      <c r="SR169" s="27"/>
    </row>
    <row r="170" spans="1:512" x14ac:dyDescent="0.15">
      <c r="A170" s="101">
        <f t="shared" ca="1" si="1562"/>
        <v>33</v>
      </c>
      <c r="B170" s="111">
        <v>33</v>
      </c>
      <c r="C170" s="71" t="str">
        <f t="shared" ca="1" si="1555"/>
        <v>Claudia B</v>
      </c>
      <c r="D170" s="112">
        <f t="shared" ca="1" si="1563"/>
        <v>221.79999999999998</v>
      </c>
      <c r="E170" s="25"/>
      <c r="F170" s="26"/>
      <c r="G170" s="27"/>
      <c r="H170" s="28"/>
      <c r="I170" s="25"/>
      <c r="J170" s="25"/>
      <c r="K170" s="26"/>
      <c r="L170" s="62"/>
      <c r="M170" s="62" t="s">
        <v>220</v>
      </c>
      <c r="N170" s="32" t="s">
        <v>101</v>
      </c>
      <c r="O170" s="32"/>
      <c r="P170" s="32">
        <f t="shared" ref="P170:P204" ca="1" si="1566">RANK(T170,$T$138:$T$214)</f>
        <v>26</v>
      </c>
      <c r="Q170" s="32" t="str">
        <f t="shared" ref="Q170:Q201" ca="1" si="1567">INDIRECT(N170)</f>
        <v>Paul</v>
      </c>
      <c r="R170" s="113">
        <f t="shared" ref="R170:R201" ca="1" si="1568">INDIRECT(M171)</f>
        <v>230.39999999999995</v>
      </c>
      <c r="S170" s="73">
        <v>33</v>
      </c>
      <c r="T170" s="32">
        <f t="shared" ca="1" si="1561"/>
        <v>230.40032999999994</v>
      </c>
      <c r="U170" s="32"/>
      <c r="V170" s="61"/>
      <c r="W170" s="62"/>
      <c r="X170" s="32"/>
      <c r="Y170" s="63"/>
      <c r="Z170" s="73"/>
      <c r="AA170" s="32"/>
      <c r="AB170" s="32"/>
      <c r="AC170" s="61"/>
      <c r="AD170" s="27"/>
      <c r="AE170" s="27"/>
      <c r="AF170" s="27"/>
      <c r="AG170" s="28"/>
      <c r="AH170" s="25"/>
      <c r="AI170" s="27"/>
      <c r="AJ170" s="27"/>
      <c r="AK170" s="27"/>
      <c r="AL170" s="27"/>
      <c r="AM170" s="27"/>
      <c r="AN170" s="28"/>
      <c r="AO170" s="25"/>
      <c r="AP170" s="27"/>
      <c r="AQ170" s="27"/>
      <c r="AR170" s="27"/>
      <c r="AS170" s="27"/>
      <c r="AT170" s="27"/>
      <c r="AU170" s="28"/>
      <c r="AV170" s="25"/>
      <c r="AW170" s="27"/>
      <c r="AX170" s="27"/>
      <c r="AY170" s="27"/>
      <c r="AZ170" s="27"/>
      <c r="BA170" s="27"/>
      <c r="BB170" s="28"/>
      <c r="BC170" s="25"/>
      <c r="BD170" s="27"/>
      <c r="BE170" s="27"/>
      <c r="BF170" s="27"/>
      <c r="BG170" s="27"/>
      <c r="BH170" s="27"/>
      <c r="BI170" s="28"/>
      <c r="BJ170" s="25"/>
      <c r="BK170" s="27"/>
      <c r="BL170" s="27"/>
      <c r="BM170" s="27"/>
      <c r="BN170" s="27"/>
      <c r="BO170" s="27"/>
      <c r="BP170" s="28"/>
      <c r="BQ170" s="25"/>
      <c r="BR170" s="27"/>
      <c r="BS170" s="27"/>
      <c r="BT170" s="27"/>
      <c r="BU170" s="27"/>
      <c r="BV170" s="27"/>
      <c r="BW170" s="28"/>
      <c r="BX170" s="25"/>
      <c r="BY170" s="27"/>
      <c r="BZ170" s="27"/>
      <c r="CA170" s="27"/>
      <c r="CB170" s="27"/>
      <c r="CC170" s="27"/>
      <c r="CD170" s="28"/>
      <c r="CE170" s="25"/>
      <c r="CF170" s="27"/>
      <c r="CG170" s="27"/>
      <c r="CH170" s="27"/>
      <c r="CI170" s="27"/>
      <c r="CJ170" s="27"/>
      <c r="CK170" s="28"/>
      <c r="CL170" s="25"/>
      <c r="CM170" s="27"/>
      <c r="CN170" s="27"/>
      <c r="CO170" s="27"/>
      <c r="CP170" s="27"/>
      <c r="CQ170" s="27"/>
      <c r="CR170" s="28"/>
      <c r="CS170" s="25"/>
      <c r="CT170" s="27"/>
      <c r="CU170" s="27"/>
      <c r="CV170" s="27"/>
      <c r="CW170" s="27"/>
      <c r="CX170" s="27"/>
      <c r="CY170" s="28"/>
      <c r="CZ170" s="25"/>
      <c r="DA170" s="27"/>
      <c r="DB170" s="27"/>
      <c r="DC170" s="27"/>
      <c r="DD170" s="27"/>
      <c r="DE170" s="27"/>
      <c r="DF170" s="28"/>
      <c r="DG170" s="25"/>
      <c r="DH170" s="27"/>
      <c r="DI170" s="27"/>
      <c r="DJ170" s="27"/>
      <c r="DK170" s="27"/>
      <c r="DL170" s="27"/>
      <c r="DM170" s="28"/>
      <c r="DN170" s="25"/>
      <c r="DO170" s="27"/>
      <c r="DP170" s="27"/>
      <c r="DQ170" s="27"/>
      <c r="DR170" s="27"/>
      <c r="DS170" s="27"/>
      <c r="DT170" s="28"/>
      <c r="DU170" s="25"/>
      <c r="DV170" s="27"/>
      <c r="DW170" s="27"/>
      <c r="DX170" s="27"/>
      <c r="DY170" s="27"/>
      <c r="DZ170" s="27"/>
      <c r="EA170" s="28"/>
      <c r="EB170" s="25"/>
      <c r="EC170" s="27"/>
      <c r="ED170" s="27"/>
      <c r="EE170" s="27"/>
      <c r="EF170" s="27"/>
      <c r="EG170" s="27"/>
      <c r="EH170" s="28"/>
      <c r="EI170" s="25"/>
      <c r="EJ170" s="27"/>
      <c r="EK170" s="27"/>
      <c r="EL170" s="27"/>
      <c r="EM170" s="27"/>
      <c r="EN170" s="27"/>
      <c r="EO170" s="28"/>
      <c r="EP170" s="25"/>
      <c r="EQ170" s="27"/>
      <c r="ER170" s="27"/>
      <c r="ES170" s="27"/>
      <c r="ET170" s="27"/>
      <c r="EU170" s="27"/>
      <c r="EV170" s="28"/>
      <c r="EW170" s="25"/>
      <c r="EX170" s="27"/>
      <c r="EY170" s="27"/>
      <c r="EZ170" s="27"/>
      <c r="FA170" s="27"/>
      <c r="FB170" s="27"/>
      <c r="FC170" s="28"/>
      <c r="FD170" s="25"/>
      <c r="FE170" s="27"/>
      <c r="FF170" s="27"/>
      <c r="FG170" s="27"/>
      <c r="FH170" s="27"/>
      <c r="FI170" s="27"/>
      <c r="FJ170" s="28"/>
      <c r="FK170" s="25"/>
      <c r="FL170" s="27"/>
      <c r="FM170" s="27"/>
      <c r="FN170" s="27"/>
      <c r="FO170" s="27"/>
      <c r="FP170" s="27"/>
      <c r="FQ170" s="28"/>
      <c r="FR170" s="25"/>
      <c r="FS170" s="27"/>
      <c r="FT170" s="27"/>
      <c r="FU170" s="27"/>
      <c r="FV170" s="27"/>
      <c r="FW170" s="27"/>
      <c r="FX170" s="28"/>
      <c r="FY170" s="25"/>
      <c r="FZ170" s="27"/>
      <c r="GA170" s="27"/>
      <c r="GB170" s="27"/>
      <c r="GC170" s="27"/>
      <c r="GD170" s="27"/>
      <c r="GE170" s="28"/>
      <c r="GF170" s="25"/>
      <c r="GG170" s="27"/>
      <c r="GH170" s="27"/>
      <c r="GI170" s="27"/>
      <c r="GJ170" s="27"/>
      <c r="GK170" s="27"/>
      <c r="GL170" s="28"/>
      <c r="GM170" s="25"/>
      <c r="GN170" s="27"/>
      <c r="GO170" s="27"/>
      <c r="GP170" s="27"/>
      <c r="GQ170" s="27"/>
      <c r="GR170" s="27"/>
      <c r="GS170" s="28"/>
      <c r="GT170" s="25"/>
      <c r="GU170" s="27"/>
      <c r="GV170" s="27"/>
      <c r="GW170" s="27"/>
      <c r="GX170" s="27"/>
      <c r="GY170" s="27"/>
      <c r="GZ170" s="28"/>
      <c r="HA170" s="25"/>
      <c r="HB170" s="27"/>
      <c r="HC170" s="27"/>
      <c r="HD170" s="27"/>
      <c r="HE170" s="27"/>
      <c r="HF170" s="27"/>
      <c r="HG170" s="28"/>
      <c r="HH170" s="25"/>
      <c r="HI170" s="27"/>
      <c r="HJ170" s="27"/>
      <c r="HK170" s="27"/>
      <c r="HL170" s="27"/>
      <c r="HM170" s="27"/>
      <c r="HN170" s="28"/>
      <c r="HO170" s="25"/>
      <c r="HP170" s="27"/>
      <c r="HQ170" s="27"/>
      <c r="HR170" s="27"/>
      <c r="HS170" s="27"/>
      <c r="HT170" s="27"/>
      <c r="HU170" s="28"/>
      <c r="HV170" s="25"/>
      <c r="HW170" s="27"/>
      <c r="HX170" s="27"/>
      <c r="HY170" s="27"/>
      <c r="HZ170" s="27"/>
      <c r="IA170" s="27"/>
      <c r="IB170" s="28"/>
      <c r="IC170" s="25"/>
      <c r="ID170" s="27"/>
      <c r="IE170" s="27"/>
      <c r="IF170" s="27"/>
      <c r="IG170" s="27"/>
      <c r="IH170" s="27"/>
      <c r="II170" s="28"/>
      <c r="IJ170" s="25"/>
      <c r="IK170" s="27"/>
      <c r="IL170" s="27"/>
      <c r="IM170" s="27"/>
      <c r="IN170" s="27"/>
      <c r="IO170" s="27"/>
      <c r="IP170" s="28"/>
      <c r="IQ170" s="25"/>
      <c r="IR170" s="27"/>
      <c r="IS170" s="27"/>
      <c r="IT170" s="27"/>
      <c r="IU170" s="27"/>
      <c r="IV170" s="27"/>
      <c r="IW170" s="28"/>
      <c r="IX170" s="25"/>
      <c r="IY170" s="27"/>
      <c r="IZ170" s="27"/>
      <c r="JA170" s="27"/>
      <c r="JB170" s="27"/>
      <c r="JC170" s="27"/>
      <c r="JD170" s="28"/>
      <c r="JE170" s="25"/>
      <c r="JF170" s="27"/>
      <c r="JG170" s="27"/>
      <c r="JH170" s="27"/>
      <c r="JI170" s="27"/>
      <c r="JJ170" s="27"/>
      <c r="JK170" s="28"/>
      <c r="JL170" s="25"/>
      <c r="JM170" s="27"/>
      <c r="JN170" s="27"/>
      <c r="JO170" s="27"/>
      <c r="JP170" s="27"/>
      <c r="JQ170" s="27"/>
      <c r="JR170" s="28"/>
      <c r="JS170" s="25"/>
      <c r="JT170" s="27"/>
      <c r="JU170" s="27"/>
      <c r="JV170" s="27"/>
      <c r="JW170" s="27"/>
      <c r="JX170" s="27"/>
      <c r="JY170" s="28"/>
      <c r="JZ170" s="25"/>
      <c r="KA170" s="27"/>
      <c r="KB170" s="27"/>
      <c r="KC170" s="27"/>
      <c r="KD170" s="27"/>
      <c r="KE170" s="27"/>
      <c r="KF170" s="28"/>
      <c r="KG170" s="25"/>
      <c r="KH170" s="27"/>
      <c r="KI170" s="27"/>
      <c r="KJ170" s="27"/>
      <c r="KK170" s="27"/>
      <c r="KL170" s="27"/>
      <c r="KM170" s="28"/>
      <c r="KN170" s="25"/>
      <c r="KO170" s="27"/>
      <c r="KP170" s="27"/>
      <c r="KQ170" s="27"/>
      <c r="KR170" s="27"/>
      <c r="KS170" s="27"/>
      <c r="KT170" s="28"/>
      <c r="KU170" s="25"/>
      <c r="KV170" s="27"/>
      <c r="KW170" s="27"/>
      <c r="KX170" s="27"/>
      <c r="KY170" s="27"/>
      <c r="KZ170" s="27"/>
      <c r="LA170" s="28"/>
      <c r="LB170" s="25"/>
      <c r="LC170" s="27"/>
      <c r="LD170" s="27"/>
      <c r="LE170" s="27"/>
      <c r="LF170" s="27"/>
      <c r="LG170" s="27"/>
      <c r="LH170" s="28"/>
      <c r="LI170" s="25"/>
      <c r="LJ170" s="27"/>
      <c r="LK170" s="27"/>
      <c r="LL170" s="27"/>
      <c r="LM170" s="27"/>
      <c r="LN170" s="27"/>
      <c r="LO170" s="28"/>
      <c r="LP170" s="25"/>
      <c r="LQ170" s="27"/>
      <c r="LR170" s="27"/>
      <c r="LS170" s="27"/>
      <c r="LT170" s="27"/>
      <c r="LU170" s="27"/>
      <c r="LV170" s="28"/>
      <c r="LW170" s="25"/>
      <c r="LX170" s="27"/>
      <c r="LY170" s="27"/>
      <c r="LZ170" s="27"/>
      <c r="MA170" s="27"/>
      <c r="MB170" s="27"/>
      <c r="MC170" s="28"/>
      <c r="MD170" s="25"/>
      <c r="ME170" s="27"/>
      <c r="MF170" s="27"/>
      <c r="MG170" s="27"/>
      <c r="MH170" s="27"/>
      <c r="MI170" s="27"/>
      <c r="MJ170" s="28"/>
      <c r="MK170" s="25"/>
      <c r="ML170" s="27"/>
      <c r="MM170" s="27"/>
      <c r="MN170" s="27"/>
      <c r="MO170" s="27"/>
      <c r="MP170" s="27"/>
      <c r="MQ170" s="28"/>
      <c r="MR170" s="25"/>
      <c r="MS170" s="27"/>
      <c r="MT170" s="27"/>
      <c r="MU170" s="27"/>
      <c r="MV170" s="27"/>
      <c r="MW170" s="27"/>
      <c r="MX170" s="28"/>
      <c r="MY170" s="25"/>
      <c r="MZ170" s="27"/>
      <c r="NA170" s="27"/>
      <c r="NB170" s="27"/>
      <c r="NC170" s="27"/>
      <c r="ND170" s="27"/>
      <c r="NE170" s="28"/>
      <c r="NF170" s="25"/>
      <c r="NG170" s="27"/>
      <c r="NH170" s="27"/>
      <c r="NI170" s="27"/>
      <c r="NJ170" s="27"/>
      <c r="NK170" s="27"/>
      <c r="NL170" s="28"/>
      <c r="NM170" s="25"/>
      <c r="NN170" s="27"/>
      <c r="NO170" s="27"/>
      <c r="NP170" s="27"/>
      <c r="NQ170" s="27"/>
      <c r="NR170" s="27"/>
      <c r="NS170" s="28"/>
      <c r="NT170" s="25"/>
      <c r="NU170" s="27"/>
      <c r="NV170" s="27"/>
      <c r="NW170" s="27"/>
      <c r="NX170" s="27"/>
      <c r="NY170" s="27"/>
      <c r="NZ170" s="28"/>
      <c r="OA170" s="25"/>
      <c r="OB170" s="27"/>
      <c r="OC170" s="27"/>
      <c r="OD170" s="27"/>
      <c r="OE170" s="27"/>
      <c r="OF170" s="27"/>
      <c r="OG170" s="28"/>
      <c r="OH170" s="25"/>
      <c r="OI170" s="27"/>
      <c r="OJ170" s="27"/>
      <c r="OK170" s="27"/>
      <c r="OL170" s="27"/>
      <c r="OM170" s="27"/>
      <c r="ON170" s="28"/>
      <c r="OO170" s="25"/>
      <c r="OP170" s="27"/>
      <c r="OQ170" s="27"/>
      <c r="OR170" s="27"/>
      <c r="OS170" s="27"/>
      <c r="OT170" s="27"/>
      <c r="OU170" s="28"/>
      <c r="OV170" s="25"/>
      <c r="OW170" s="27"/>
      <c r="OX170" s="27"/>
      <c r="OY170" s="27"/>
      <c r="OZ170" s="27"/>
      <c r="PA170" s="27"/>
      <c r="PB170" s="28"/>
      <c r="PC170" s="25"/>
      <c r="PD170" s="27"/>
      <c r="PE170" s="27"/>
      <c r="PF170" s="27"/>
      <c r="PG170" s="27"/>
      <c r="PH170" s="27"/>
      <c r="PI170" s="28"/>
      <c r="PJ170" s="25"/>
      <c r="PK170" s="27"/>
      <c r="PL170" s="27"/>
      <c r="PM170" s="27"/>
      <c r="PN170" s="27"/>
      <c r="PO170" s="27"/>
      <c r="PP170" s="28"/>
      <c r="PQ170" s="25"/>
      <c r="PR170" s="27"/>
      <c r="PS170" s="27"/>
      <c r="PT170" s="27"/>
      <c r="PU170" s="27"/>
      <c r="PV170" s="27"/>
      <c r="PW170" s="28"/>
      <c r="PX170" s="25"/>
      <c r="PY170" s="27"/>
      <c r="PZ170" s="27"/>
      <c r="QA170" s="27"/>
      <c r="QB170" s="27"/>
      <c r="QC170" s="27"/>
      <c r="QD170" s="28"/>
      <c r="QE170" s="25"/>
      <c r="QF170" s="27"/>
      <c r="QG170" s="27"/>
      <c r="QH170" s="27"/>
      <c r="QI170" s="27"/>
      <c r="QJ170" s="27"/>
      <c r="QK170" s="28"/>
      <c r="QL170" s="25"/>
      <c r="QM170" s="27"/>
      <c r="QN170" s="27"/>
      <c r="QO170" s="27"/>
      <c r="QP170" s="27"/>
      <c r="QQ170" s="27"/>
      <c r="QR170" s="28"/>
      <c r="QS170" s="25"/>
      <c r="QT170" s="27"/>
      <c r="QU170" s="27"/>
      <c r="QV170" s="27"/>
      <c r="QW170" s="27"/>
      <c r="QX170" s="27"/>
      <c r="QY170" s="28"/>
      <c r="QZ170" s="25"/>
      <c r="RA170" s="27"/>
      <c r="RB170" s="27"/>
      <c r="RC170" s="27"/>
      <c r="RD170" s="27"/>
      <c r="RE170" s="27"/>
      <c r="RF170" s="28"/>
      <c r="RG170" s="25"/>
      <c r="RH170" s="27"/>
      <c r="RI170" s="27"/>
      <c r="RJ170" s="27"/>
      <c r="RK170" s="27"/>
      <c r="RL170" s="27"/>
      <c r="RM170" s="28"/>
      <c r="RN170" s="25"/>
      <c r="RO170" s="27"/>
      <c r="RP170" s="27"/>
      <c r="RQ170" s="27"/>
      <c r="RR170" s="27"/>
      <c r="RS170" s="27"/>
      <c r="RT170" s="28"/>
      <c r="RU170" s="25"/>
      <c r="RV170" s="27"/>
      <c r="RW170" s="27"/>
      <c r="RX170" s="27"/>
      <c r="RY170" s="27"/>
      <c r="RZ170" s="27"/>
      <c r="SA170" s="28"/>
      <c r="SB170" s="25"/>
      <c r="SC170" s="27"/>
      <c r="SD170" s="27"/>
      <c r="SE170" s="27"/>
      <c r="SF170" s="27"/>
      <c r="SG170" s="27"/>
      <c r="SH170" s="28"/>
      <c r="SI170" s="25"/>
      <c r="SJ170" s="27"/>
      <c r="SK170" s="27"/>
      <c r="SL170" s="27"/>
      <c r="SM170" s="27"/>
      <c r="SN170" s="27"/>
      <c r="SO170" s="28"/>
      <c r="SP170" s="25"/>
      <c r="SQ170" s="27"/>
      <c r="SR170" s="27"/>
    </row>
    <row r="171" spans="1:512" x14ac:dyDescent="0.15">
      <c r="A171" s="101">
        <f t="shared" ca="1" si="1562"/>
        <v>34</v>
      </c>
      <c r="B171" s="111">
        <v>34</v>
      </c>
      <c r="C171" s="71" t="str">
        <f t="shared" ca="1" si="1555"/>
        <v>Marlene</v>
      </c>
      <c r="D171" s="112">
        <f t="shared" ca="1" si="1563"/>
        <v>221.7</v>
      </c>
      <c r="E171" s="25"/>
      <c r="F171" s="26"/>
      <c r="G171" s="27"/>
      <c r="H171" s="28"/>
      <c r="I171" s="25"/>
      <c r="J171" s="25"/>
      <c r="K171" s="26"/>
      <c r="L171" s="62"/>
      <c r="M171" s="62" t="s">
        <v>221</v>
      </c>
      <c r="N171" s="62" t="s">
        <v>102</v>
      </c>
      <c r="O171" s="32"/>
      <c r="P171" s="32">
        <f t="shared" ca="1" si="1566"/>
        <v>68</v>
      </c>
      <c r="Q171" s="32" t="str">
        <f t="shared" ca="1" si="1567"/>
        <v>Lou</v>
      </c>
      <c r="R171" s="113">
        <f t="shared" ca="1" si="1568"/>
        <v>147.99999999999997</v>
      </c>
      <c r="S171" s="73">
        <v>34</v>
      </c>
      <c r="T171" s="32">
        <f t="shared" ca="1" si="1561"/>
        <v>148.00033999999997</v>
      </c>
      <c r="U171" s="32"/>
      <c r="V171" s="61"/>
      <c r="W171" s="62"/>
      <c r="X171" s="32"/>
      <c r="Y171" s="63"/>
      <c r="Z171" s="73"/>
      <c r="AA171" s="32"/>
      <c r="AB171" s="32"/>
      <c r="AC171" s="61"/>
      <c r="AD171" s="27"/>
      <c r="AE171" s="27"/>
      <c r="AF171" s="27"/>
      <c r="AG171" s="28"/>
      <c r="AH171" s="25"/>
      <c r="AI171" s="27"/>
      <c r="AJ171" s="27"/>
      <c r="AK171" s="27"/>
      <c r="AL171" s="27"/>
      <c r="AM171" s="27"/>
      <c r="AN171" s="28"/>
      <c r="AO171" s="25"/>
      <c r="AP171" s="27"/>
      <c r="AQ171" s="27"/>
      <c r="AR171" s="27"/>
      <c r="AS171" s="27"/>
      <c r="AT171" s="27"/>
      <c r="AU171" s="28"/>
      <c r="AV171" s="25"/>
      <c r="AW171" s="27"/>
      <c r="AX171" s="27"/>
      <c r="AY171" s="27"/>
      <c r="AZ171" s="27"/>
      <c r="BA171" s="27"/>
      <c r="BB171" s="28"/>
      <c r="BC171" s="25"/>
      <c r="BD171" s="27"/>
      <c r="BE171" s="27"/>
      <c r="BF171" s="27"/>
      <c r="BG171" s="27"/>
      <c r="BH171" s="27"/>
      <c r="BI171" s="28"/>
      <c r="BJ171" s="25"/>
      <c r="BK171" s="27"/>
      <c r="BL171" s="27"/>
      <c r="BM171" s="27"/>
      <c r="BN171" s="27"/>
      <c r="BO171" s="27"/>
      <c r="BP171" s="28"/>
      <c r="BQ171" s="25"/>
      <c r="BR171" s="27"/>
      <c r="BS171" s="27"/>
      <c r="BT171" s="27"/>
      <c r="BU171" s="27"/>
      <c r="BV171" s="27"/>
      <c r="BW171" s="28"/>
      <c r="BX171" s="25"/>
      <c r="BY171" s="27"/>
      <c r="BZ171" s="27"/>
      <c r="CA171" s="27"/>
      <c r="CB171" s="27"/>
      <c r="CC171" s="27"/>
      <c r="CD171" s="28"/>
      <c r="CE171" s="25"/>
      <c r="CF171" s="27"/>
      <c r="CG171" s="27"/>
      <c r="CH171" s="27"/>
      <c r="CI171" s="27"/>
      <c r="CJ171" s="27"/>
      <c r="CK171" s="28"/>
      <c r="CL171" s="25"/>
      <c r="CM171" s="27"/>
      <c r="CN171" s="27"/>
      <c r="CO171" s="27"/>
      <c r="CP171" s="27"/>
      <c r="CQ171" s="27"/>
      <c r="CR171" s="28"/>
      <c r="CS171" s="25"/>
      <c r="CT171" s="27"/>
      <c r="CU171" s="27"/>
      <c r="CV171" s="27"/>
      <c r="CW171" s="27"/>
      <c r="CX171" s="27"/>
      <c r="CY171" s="28"/>
      <c r="CZ171" s="25"/>
      <c r="DA171" s="27"/>
      <c r="DB171" s="27"/>
      <c r="DC171" s="27"/>
      <c r="DD171" s="27"/>
      <c r="DE171" s="27"/>
      <c r="DF171" s="28"/>
      <c r="DG171" s="25"/>
      <c r="DH171" s="27"/>
      <c r="DI171" s="27"/>
      <c r="DJ171" s="27"/>
      <c r="DK171" s="27"/>
      <c r="DL171" s="27"/>
      <c r="DM171" s="28"/>
      <c r="DN171" s="25"/>
      <c r="DO171" s="27"/>
      <c r="DP171" s="27"/>
      <c r="DQ171" s="27"/>
      <c r="DR171" s="27"/>
      <c r="DS171" s="27"/>
      <c r="DT171" s="28"/>
      <c r="DU171" s="25"/>
      <c r="DV171" s="27"/>
      <c r="DW171" s="27"/>
      <c r="DX171" s="27"/>
      <c r="DY171" s="27"/>
      <c r="DZ171" s="27"/>
      <c r="EA171" s="28"/>
      <c r="EB171" s="25"/>
      <c r="EC171" s="27"/>
      <c r="ED171" s="27"/>
      <c r="EE171" s="27"/>
      <c r="EF171" s="27"/>
      <c r="EG171" s="27"/>
      <c r="EH171" s="28"/>
      <c r="EI171" s="25"/>
      <c r="EJ171" s="27"/>
      <c r="EK171" s="27"/>
      <c r="EL171" s="27"/>
      <c r="EM171" s="27"/>
      <c r="EN171" s="27"/>
      <c r="EO171" s="28"/>
      <c r="EP171" s="25"/>
      <c r="EQ171" s="27"/>
      <c r="ER171" s="27"/>
      <c r="ES171" s="27"/>
      <c r="ET171" s="27"/>
      <c r="EU171" s="27"/>
      <c r="EV171" s="28"/>
      <c r="EW171" s="25"/>
      <c r="EX171" s="27"/>
      <c r="EY171" s="27"/>
      <c r="EZ171" s="27"/>
      <c r="FA171" s="27"/>
      <c r="FB171" s="27"/>
      <c r="FC171" s="28"/>
      <c r="FD171" s="25"/>
      <c r="FE171" s="27"/>
      <c r="FF171" s="27"/>
      <c r="FG171" s="27"/>
      <c r="FH171" s="27"/>
      <c r="FI171" s="27"/>
      <c r="FJ171" s="28"/>
      <c r="FK171" s="25"/>
      <c r="FL171" s="27"/>
      <c r="FM171" s="27"/>
      <c r="FN171" s="27"/>
      <c r="FO171" s="27"/>
      <c r="FP171" s="27"/>
      <c r="FQ171" s="28"/>
      <c r="FR171" s="25"/>
      <c r="FS171" s="27"/>
      <c r="FT171" s="27"/>
      <c r="FU171" s="27"/>
      <c r="FV171" s="27"/>
      <c r="FW171" s="27"/>
      <c r="FX171" s="28"/>
      <c r="FY171" s="25"/>
      <c r="FZ171" s="27"/>
      <c r="GA171" s="27"/>
      <c r="GB171" s="27"/>
      <c r="GC171" s="27"/>
      <c r="GD171" s="27"/>
      <c r="GE171" s="28"/>
      <c r="GF171" s="25"/>
      <c r="GG171" s="27"/>
      <c r="GH171" s="27"/>
      <c r="GI171" s="27"/>
      <c r="GJ171" s="27"/>
      <c r="GK171" s="27"/>
      <c r="GL171" s="28"/>
      <c r="GM171" s="25"/>
      <c r="GN171" s="27"/>
      <c r="GO171" s="27"/>
      <c r="GP171" s="27"/>
      <c r="GQ171" s="27"/>
      <c r="GR171" s="27"/>
      <c r="GS171" s="28"/>
      <c r="GT171" s="25"/>
      <c r="GU171" s="27"/>
      <c r="GV171" s="27"/>
      <c r="GW171" s="27"/>
      <c r="GX171" s="27"/>
      <c r="GY171" s="27"/>
      <c r="GZ171" s="28"/>
      <c r="HA171" s="25"/>
      <c r="HB171" s="27"/>
      <c r="HC171" s="27"/>
      <c r="HD171" s="27"/>
      <c r="HE171" s="27"/>
      <c r="HF171" s="27"/>
      <c r="HG171" s="28"/>
      <c r="HH171" s="25"/>
      <c r="HI171" s="27"/>
      <c r="HJ171" s="27"/>
      <c r="HK171" s="27"/>
      <c r="HL171" s="27"/>
      <c r="HM171" s="27"/>
      <c r="HN171" s="28"/>
      <c r="HO171" s="25"/>
      <c r="HP171" s="27"/>
      <c r="HQ171" s="27"/>
      <c r="HR171" s="27"/>
      <c r="HS171" s="27"/>
      <c r="HT171" s="27"/>
      <c r="HU171" s="28"/>
      <c r="HV171" s="25"/>
      <c r="HW171" s="27"/>
      <c r="HX171" s="27"/>
      <c r="HY171" s="27"/>
      <c r="HZ171" s="27"/>
      <c r="IA171" s="27"/>
      <c r="IB171" s="28"/>
      <c r="IC171" s="25"/>
      <c r="ID171" s="27"/>
      <c r="IE171" s="27"/>
      <c r="IF171" s="27"/>
      <c r="IG171" s="27"/>
      <c r="IH171" s="27"/>
      <c r="II171" s="28"/>
      <c r="IJ171" s="25"/>
      <c r="IK171" s="27"/>
      <c r="IL171" s="27"/>
      <c r="IM171" s="27"/>
      <c r="IN171" s="27"/>
      <c r="IO171" s="27"/>
      <c r="IP171" s="28"/>
      <c r="IQ171" s="25"/>
      <c r="IR171" s="27"/>
      <c r="IS171" s="27"/>
      <c r="IT171" s="27"/>
      <c r="IU171" s="27"/>
      <c r="IV171" s="27"/>
      <c r="IW171" s="28"/>
      <c r="IX171" s="25"/>
      <c r="IY171" s="27"/>
      <c r="IZ171" s="27"/>
      <c r="JA171" s="27"/>
      <c r="JB171" s="27"/>
      <c r="JC171" s="27"/>
      <c r="JD171" s="28"/>
      <c r="JE171" s="25"/>
      <c r="JF171" s="27"/>
      <c r="JG171" s="27"/>
      <c r="JH171" s="27"/>
      <c r="JI171" s="27"/>
      <c r="JJ171" s="27"/>
      <c r="JK171" s="28"/>
      <c r="JL171" s="25"/>
      <c r="JM171" s="27"/>
      <c r="JN171" s="27"/>
      <c r="JO171" s="27"/>
      <c r="JP171" s="27"/>
      <c r="JQ171" s="27"/>
      <c r="JR171" s="28"/>
      <c r="JS171" s="25"/>
      <c r="JT171" s="27"/>
      <c r="JU171" s="27"/>
      <c r="JV171" s="27"/>
      <c r="JW171" s="27"/>
      <c r="JX171" s="27"/>
      <c r="JY171" s="28"/>
      <c r="JZ171" s="25"/>
      <c r="KA171" s="27"/>
      <c r="KB171" s="27"/>
      <c r="KC171" s="27"/>
      <c r="KD171" s="27"/>
      <c r="KE171" s="27"/>
      <c r="KF171" s="28"/>
      <c r="KG171" s="25"/>
      <c r="KH171" s="27"/>
      <c r="KI171" s="27"/>
      <c r="KJ171" s="27"/>
      <c r="KK171" s="27"/>
      <c r="KL171" s="27"/>
      <c r="KM171" s="28"/>
      <c r="KN171" s="25"/>
      <c r="KO171" s="27"/>
      <c r="KP171" s="27"/>
      <c r="KQ171" s="27"/>
      <c r="KR171" s="27"/>
      <c r="KS171" s="27"/>
      <c r="KT171" s="28"/>
      <c r="KU171" s="25"/>
      <c r="KV171" s="27"/>
      <c r="KW171" s="27"/>
      <c r="KX171" s="27"/>
      <c r="KY171" s="27"/>
      <c r="KZ171" s="27"/>
      <c r="LA171" s="28"/>
      <c r="LB171" s="25"/>
      <c r="LC171" s="27"/>
      <c r="LD171" s="27"/>
      <c r="LE171" s="27"/>
      <c r="LF171" s="27"/>
      <c r="LG171" s="27"/>
      <c r="LH171" s="28"/>
      <c r="LI171" s="25"/>
      <c r="LJ171" s="27"/>
      <c r="LK171" s="27"/>
      <c r="LL171" s="27"/>
      <c r="LM171" s="27"/>
      <c r="LN171" s="27"/>
      <c r="LO171" s="28"/>
      <c r="LP171" s="25"/>
      <c r="LQ171" s="27"/>
      <c r="LR171" s="27"/>
      <c r="LS171" s="27"/>
      <c r="LT171" s="27"/>
      <c r="LU171" s="27"/>
      <c r="LV171" s="28"/>
      <c r="LW171" s="25"/>
      <c r="LX171" s="27"/>
      <c r="LY171" s="27"/>
      <c r="LZ171" s="27"/>
      <c r="MA171" s="27"/>
      <c r="MB171" s="27"/>
      <c r="MC171" s="28"/>
      <c r="MD171" s="25"/>
      <c r="ME171" s="27"/>
      <c r="MF171" s="27"/>
      <c r="MG171" s="27"/>
      <c r="MH171" s="27"/>
      <c r="MI171" s="27"/>
      <c r="MJ171" s="28"/>
      <c r="MK171" s="25"/>
      <c r="ML171" s="27"/>
      <c r="MM171" s="27"/>
      <c r="MN171" s="27"/>
      <c r="MO171" s="27"/>
      <c r="MP171" s="27"/>
      <c r="MQ171" s="28"/>
      <c r="MR171" s="25"/>
      <c r="MS171" s="27"/>
      <c r="MT171" s="27"/>
      <c r="MU171" s="27"/>
      <c r="MV171" s="27"/>
      <c r="MW171" s="27"/>
      <c r="MX171" s="28"/>
      <c r="MY171" s="25"/>
      <c r="MZ171" s="27"/>
      <c r="NA171" s="27"/>
      <c r="NB171" s="27"/>
      <c r="NC171" s="27"/>
      <c r="ND171" s="27"/>
      <c r="NE171" s="28"/>
      <c r="NF171" s="25"/>
      <c r="NG171" s="27"/>
      <c r="NH171" s="27"/>
      <c r="NI171" s="27"/>
      <c r="NJ171" s="27"/>
      <c r="NK171" s="27"/>
      <c r="NL171" s="28"/>
      <c r="NM171" s="25"/>
      <c r="NN171" s="27"/>
      <c r="NO171" s="27"/>
      <c r="NP171" s="27"/>
      <c r="NQ171" s="27"/>
      <c r="NR171" s="27"/>
      <c r="NS171" s="28"/>
      <c r="NT171" s="25"/>
      <c r="NU171" s="27"/>
      <c r="NV171" s="27"/>
      <c r="NW171" s="27"/>
      <c r="NX171" s="27"/>
      <c r="NY171" s="27"/>
      <c r="NZ171" s="28"/>
      <c r="OA171" s="25"/>
      <c r="OB171" s="27"/>
      <c r="OC171" s="27"/>
      <c r="OD171" s="27"/>
      <c r="OE171" s="27"/>
      <c r="OF171" s="27"/>
      <c r="OG171" s="28"/>
      <c r="OH171" s="25"/>
      <c r="OI171" s="27"/>
      <c r="OJ171" s="27"/>
      <c r="OK171" s="27"/>
      <c r="OL171" s="27"/>
      <c r="OM171" s="27"/>
      <c r="ON171" s="28"/>
      <c r="OO171" s="25"/>
      <c r="OP171" s="27"/>
      <c r="OQ171" s="27"/>
      <c r="OR171" s="27"/>
      <c r="OS171" s="27"/>
      <c r="OT171" s="27"/>
      <c r="OU171" s="28"/>
      <c r="OV171" s="25"/>
      <c r="OW171" s="27"/>
      <c r="OX171" s="27"/>
      <c r="OY171" s="27"/>
      <c r="OZ171" s="27"/>
      <c r="PA171" s="27"/>
      <c r="PB171" s="28"/>
      <c r="PC171" s="25"/>
      <c r="PD171" s="27"/>
      <c r="PE171" s="27"/>
      <c r="PF171" s="27"/>
      <c r="PG171" s="27"/>
      <c r="PH171" s="27"/>
      <c r="PI171" s="28"/>
      <c r="PJ171" s="25"/>
      <c r="PK171" s="27"/>
      <c r="PL171" s="27"/>
      <c r="PM171" s="27"/>
      <c r="PN171" s="27"/>
      <c r="PO171" s="27"/>
      <c r="PP171" s="28"/>
      <c r="PQ171" s="25"/>
      <c r="PR171" s="27"/>
      <c r="PS171" s="27"/>
      <c r="PT171" s="27"/>
      <c r="PU171" s="27"/>
      <c r="PV171" s="27"/>
      <c r="PW171" s="28"/>
      <c r="PX171" s="25"/>
      <c r="PY171" s="27"/>
      <c r="PZ171" s="27"/>
      <c r="QA171" s="27"/>
      <c r="QB171" s="27"/>
      <c r="QC171" s="27"/>
      <c r="QD171" s="28"/>
      <c r="QE171" s="25"/>
      <c r="QF171" s="27"/>
      <c r="QG171" s="27"/>
      <c r="QH171" s="27"/>
      <c r="QI171" s="27"/>
      <c r="QJ171" s="27"/>
      <c r="QK171" s="28"/>
      <c r="QL171" s="25"/>
      <c r="QM171" s="27"/>
      <c r="QN171" s="27"/>
      <c r="QO171" s="27"/>
      <c r="QP171" s="27"/>
      <c r="QQ171" s="27"/>
      <c r="QR171" s="28"/>
      <c r="QS171" s="25"/>
      <c r="QT171" s="27"/>
      <c r="QU171" s="27"/>
      <c r="QV171" s="27"/>
      <c r="QW171" s="27"/>
      <c r="QX171" s="27"/>
      <c r="QY171" s="28"/>
      <c r="QZ171" s="25"/>
      <c r="RA171" s="27"/>
      <c r="RB171" s="27"/>
      <c r="RC171" s="27"/>
      <c r="RD171" s="27"/>
      <c r="RE171" s="27"/>
      <c r="RF171" s="28"/>
      <c r="RG171" s="25"/>
      <c r="RH171" s="27"/>
      <c r="RI171" s="27"/>
      <c r="RJ171" s="27"/>
      <c r="RK171" s="27"/>
      <c r="RL171" s="27"/>
      <c r="RM171" s="28"/>
      <c r="RN171" s="25"/>
      <c r="RO171" s="27"/>
      <c r="RP171" s="27"/>
      <c r="RQ171" s="27"/>
      <c r="RR171" s="27"/>
      <c r="RS171" s="27"/>
      <c r="RT171" s="28"/>
      <c r="RU171" s="25"/>
      <c r="RV171" s="27"/>
      <c r="RW171" s="27"/>
      <c r="RX171" s="27"/>
      <c r="RY171" s="27"/>
      <c r="RZ171" s="27"/>
      <c r="SA171" s="28"/>
      <c r="SB171" s="25"/>
      <c r="SC171" s="27"/>
      <c r="SD171" s="27"/>
      <c r="SE171" s="27"/>
      <c r="SF171" s="27"/>
      <c r="SG171" s="27"/>
      <c r="SH171" s="28"/>
      <c r="SI171" s="25"/>
      <c r="SJ171" s="27"/>
      <c r="SK171" s="27"/>
      <c r="SL171" s="27"/>
      <c r="SM171" s="27"/>
      <c r="SN171" s="27"/>
      <c r="SO171" s="28"/>
      <c r="SP171" s="25"/>
      <c r="SQ171" s="27"/>
      <c r="SR171" s="27"/>
    </row>
    <row r="172" spans="1:512" x14ac:dyDescent="0.15">
      <c r="A172" s="101">
        <f t="shared" ca="1" si="1562"/>
        <v>35</v>
      </c>
      <c r="B172" s="111">
        <v>35</v>
      </c>
      <c r="C172" s="71" t="str">
        <f t="shared" ca="1" si="1555"/>
        <v>Joseph</v>
      </c>
      <c r="D172" s="112">
        <f t="shared" ca="1" si="1563"/>
        <v>220.20000000000002</v>
      </c>
      <c r="E172" s="25"/>
      <c r="F172" s="26"/>
      <c r="G172" s="27"/>
      <c r="H172" s="28"/>
      <c r="I172" s="25"/>
      <c r="J172" s="25"/>
      <c r="K172" s="26"/>
      <c r="L172" s="62"/>
      <c r="M172" s="63" t="s">
        <v>222</v>
      </c>
      <c r="N172" s="62" t="s">
        <v>103</v>
      </c>
      <c r="O172" s="32"/>
      <c r="P172" s="32">
        <f t="shared" ca="1" si="1566"/>
        <v>47</v>
      </c>
      <c r="Q172" s="32" t="str">
        <f t="shared" ca="1" si="1567"/>
        <v>Valentin</v>
      </c>
      <c r="R172" s="113">
        <f t="shared" ca="1" si="1568"/>
        <v>215.09999999999997</v>
      </c>
      <c r="S172" s="73">
        <v>35</v>
      </c>
      <c r="T172" s="32">
        <f t="shared" ca="1" si="1561"/>
        <v>215.10034999999996</v>
      </c>
      <c r="U172" s="32"/>
      <c r="V172" s="61"/>
      <c r="W172" s="62"/>
      <c r="X172" s="32"/>
      <c r="Y172" s="63"/>
      <c r="Z172" s="73"/>
      <c r="AA172" s="32"/>
      <c r="AB172" s="32"/>
      <c r="AC172" s="61"/>
      <c r="AD172" s="27"/>
      <c r="AE172" s="27"/>
      <c r="AF172" s="27"/>
      <c r="AG172" s="28"/>
      <c r="AH172" s="25"/>
      <c r="AI172" s="27"/>
      <c r="AJ172" s="27"/>
      <c r="AK172" s="27"/>
      <c r="AL172" s="27"/>
      <c r="AM172" s="27"/>
      <c r="AN172" s="28"/>
      <c r="AO172" s="25"/>
      <c r="AP172" s="27"/>
      <c r="AQ172" s="27"/>
      <c r="AR172" s="27"/>
      <c r="AS172" s="27"/>
      <c r="AT172" s="27"/>
      <c r="AU172" s="28"/>
      <c r="AV172" s="25"/>
      <c r="AW172" s="27"/>
      <c r="AX172" s="27"/>
      <c r="AY172" s="27"/>
      <c r="AZ172" s="27"/>
      <c r="BA172" s="27"/>
      <c r="BB172" s="28"/>
      <c r="BC172" s="25"/>
      <c r="BD172" s="27"/>
      <c r="BE172" s="27"/>
      <c r="BF172" s="27"/>
      <c r="BG172" s="27"/>
      <c r="BH172" s="27"/>
      <c r="BI172" s="28"/>
      <c r="BJ172" s="25"/>
      <c r="BK172" s="27"/>
      <c r="BL172" s="27"/>
      <c r="BM172" s="27"/>
      <c r="BN172" s="27"/>
      <c r="BO172" s="27"/>
      <c r="BP172" s="28"/>
      <c r="BQ172" s="25"/>
      <c r="BR172" s="27"/>
      <c r="BS172" s="27"/>
      <c r="BT172" s="27"/>
      <c r="BU172" s="27"/>
      <c r="BV172" s="27"/>
      <c r="BW172" s="28"/>
      <c r="BX172" s="25"/>
      <c r="BY172" s="27"/>
      <c r="BZ172" s="27"/>
      <c r="CA172" s="27"/>
      <c r="CB172" s="27"/>
      <c r="CC172" s="27"/>
      <c r="CD172" s="28"/>
      <c r="CE172" s="25"/>
      <c r="CF172" s="27"/>
      <c r="CG172" s="27"/>
      <c r="CH172" s="27"/>
      <c r="CI172" s="27"/>
      <c r="CJ172" s="27"/>
      <c r="CK172" s="28"/>
      <c r="CL172" s="25"/>
      <c r="CM172" s="27"/>
      <c r="CN172" s="27"/>
      <c r="CO172" s="27"/>
      <c r="CP172" s="27"/>
      <c r="CQ172" s="27"/>
      <c r="CR172" s="28"/>
      <c r="CS172" s="25"/>
      <c r="CT172" s="27"/>
      <c r="CU172" s="27"/>
      <c r="CV172" s="27"/>
      <c r="CW172" s="27"/>
      <c r="CX172" s="27"/>
      <c r="CY172" s="28"/>
      <c r="CZ172" s="25"/>
      <c r="DA172" s="27"/>
      <c r="DB172" s="27"/>
      <c r="DC172" s="27"/>
      <c r="DD172" s="27"/>
      <c r="DE172" s="27"/>
      <c r="DF172" s="28"/>
      <c r="DG172" s="25"/>
      <c r="DH172" s="27"/>
      <c r="DI172" s="27"/>
      <c r="DJ172" s="27"/>
      <c r="DK172" s="27"/>
      <c r="DL172" s="27"/>
      <c r="DM172" s="28"/>
      <c r="DN172" s="25"/>
      <c r="DO172" s="27"/>
      <c r="DP172" s="27"/>
      <c r="DQ172" s="27"/>
      <c r="DR172" s="27"/>
      <c r="DS172" s="27"/>
      <c r="DT172" s="28"/>
      <c r="DU172" s="25"/>
      <c r="DV172" s="27"/>
      <c r="DW172" s="27"/>
      <c r="DX172" s="27"/>
      <c r="DY172" s="27"/>
      <c r="DZ172" s="27"/>
      <c r="EA172" s="28"/>
      <c r="EB172" s="25"/>
      <c r="EC172" s="27"/>
      <c r="ED172" s="27"/>
      <c r="EE172" s="27"/>
      <c r="EF172" s="27"/>
      <c r="EG172" s="27"/>
      <c r="EH172" s="28"/>
      <c r="EI172" s="25"/>
      <c r="EJ172" s="27"/>
      <c r="EK172" s="27"/>
      <c r="EL172" s="27"/>
      <c r="EM172" s="27"/>
      <c r="EN172" s="27"/>
      <c r="EO172" s="28"/>
      <c r="EP172" s="25"/>
      <c r="EQ172" s="27"/>
      <c r="ER172" s="27"/>
      <c r="ES172" s="27"/>
      <c r="ET172" s="27"/>
      <c r="EU172" s="27"/>
      <c r="EV172" s="28"/>
      <c r="EW172" s="25"/>
      <c r="EX172" s="27"/>
      <c r="EY172" s="27"/>
      <c r="EZ172" s="27"/>
      <c r="FA172" s="27"/>
      <c r="FB172" s="27"/>
      <c r="FC172" s="28"/>
      <c r="FD172" s="25"/>
      <c r="FE172" s="27"/>
      <c r="FF172" s="27"/>
      <c r="FG172" s="27"/>
      <c r="FH172" s="27"/>
      <c r="FI172" s="27"/>
      <c r="FJ172" s="28"/>
      <c r="FK172" s="25"/>
      <c r="FL172" s="27"/>
      <c r="FM172" s="27"/>
      <c r="FN172" s="27"/>
      <c r="FO172" s="27"/>
      <c r="FP172" s="27"/>
      <c r="FQ172" s="28"/>
      <c r="FR172" s="25"/>
      <c r="FS172" s="27"/>
      <c r="FT172" s="27"/>
      <c r="FU172" s="27"/>
      <c r="FV172" s="27"/>
      <c r="FW172" s="27"/>
      <c r="FX172" s="28"/>
      <c r="FY172" s="25"/>
      <c r="FZ172" s="27"/>
      <c r="GA172" s="27"/>
      <c r="GB172" s="27"/>
      <c r="GC172" s="27"/>
      <c r="GD172" s="27"/>
      <c r="GE172" s="28"/>
      <c r="GF172" s="25"/>
      <c r="GG172" s="27"/>
      <c r="GH172" s="27"/>
      <c r="GI172" s="27"/>
      <c r="GJ172" s="27"/>
      <c r="GK172" s="27"/>
      <c r="GL172" s="28"/>
      <c r="GM172" s="25"/>
      <c r="GN172" s="27"/>
      <c r="GO172" s="27"/>
      <c r="GP172" s="27"/>
      <c r="GQ172" s="27"/>
      <c r="GR172" s="27"/>
      <c r="GS172" s="28"/>
      <c r="GT172" s="25"/>
      <c r="GU172" s="27"/>
      <c r="GV172" s="27"/>
      <c r="GW172" s="27"/>
      <c r="GX172" s="27"/>
      <c r="GY172" s="27"/>
      <c r="GZ172" s="28"/>
      <c r="HA172" s="25"/>
      <c r="HB172" s="27"/>
      <c r="HC172" s="27"/>
      <c r="HD172" s="27"/>
      <c r="HE172" s="27"/>
      <c r="HF172" s="27"/>
      <c r="HG172" s="28"/>
      <c r="HH172" s="25"/>
      <c r="HI172" s="27"/>
      <c r="HJ172" s="27"/>
      <c r="HK172" s="27"/>
      <c r="HL172" s="27"/>
      <c r="HM172" s="27"/>
      <c r="HN172" s="28"/>
      <c r="HO172" s="25"/>
      <c r="HP172" s="27"/>
      <c r="HQ172" s="27"/>
      <c r="HR172" s="27"/>
      <c r="HS172" s="27"/>
      <c r="HT172" s="27"/>
      <c r="HU172" s="28"/>
      <c r="HV172" s="25"/>
      <c r="HW172" s="27"/>
      <c r="HX172" s="27"/>
      <c r="HY172" s="27"/>
      <c r="HZ172" s="27"/>
      <c r="IA172" s="27"/>
      <c r="IB172" s="28"/>
      <c r="IC172" s="25"/>
      <c r="ID172" s="27"/>
      <c r="IE172" s="27"/>
      <c r="IF172" s="27"/>
      <c r="IG172" s="27"/>
      <c r="IH172" s="27"/>
      <c r="II172" s="28"/>
      <c r="IJ172" s="25"/>
      <c r="IK172" s="27"/>
      <c r="IL172" s="27"/>
      <c r="IM172" s="27"/>
      <c r="IN172" s="27"/>
      <c r="IO172" s="27"/>
      <c r="IP172" s="28"/>
      <c r="IQ172" s="25"/>
      <c r="IR172" s="27"/>
      <c r="IS172" s="27"/>
      <c r="IT172" s="27"/>
      <c r="IU172" s="27"/>
      <c r="IV172" s="27"/>
      <c r="IW172" s="28"/>
      <c r="IX172" s="25"/>
      <c r="IY172" s="27"/>
      <c r="IZ172" s="27"/>
      <c r="JA172" s="27"/>
      <c r="JB172" s="27"/>
      <c r="JC172" s="27"/>
      <c r="JD172" s="28"/>
      <c r="JE172" s="25"/>
      <c r="JF172" s="27"/>
      <c r="JG172" s="27"/>
      <c r="JH172" s="27"/>
      <c r="JI172" s="27"/>
      <c r="JJ172" s="27"/>
      <c r="JK172" s="28"/>
      <c r="JL172" s="25"/>
      <c r="JM172" s="27"/>
      <c r="JN172" s="27"/>
      <c r="JO172" s="27"/>
      <c r="JP172" s="27"/>
      <c r="JQ172" s="27"/>
      <c r="JR172" s="28"/>
      <c r="JS172" s="25"/>
      <c r="JT172" s="27"/>
      <c r="JU172" s="27"/>
      <c r="JV172" s="27"/>
      <c r="JW172" s="27"/>
      <c r="JX172" s="27"/>
      <c r="JY172" s="28"/>
      <c r="JZ172" s="25"/>
      <c r="KA172" s="27"/>
      <c r="KB172" s="27"/>
      <c r="KC172" s="27"/>
      <c r="KD172" s="27"/>
      <c r="KE172" s="27"/>
      <c r="KF172" s="28"/>
      <c r="KG172" s="25"/>
      <c r="KH172" s="27"/>
      <c r="KI172" s="27"/>
      <c r="KJ172" s="27"/>
      <c r="KK172" s="27"/>
      <c r="KL172" s="27"/>
      <c r="KM172" s="28"/>
      <c r="KN172" s="25"/>
      <c r="KO172" s="27"/>
      <c r="KP172" s="27"/>
      <c r="KQ172" s="27"/>
      <c r="KR172" s="27"/>
      <c r="KS172" s="27"/>
      <c r="KT172" s="28"/>
      <c r="KU172" s="25"/>
      <c r="KV172" s="27"/>
      <c r="KW172" s="27"/>
      <c r="KX172" s="27"/>
      <c r="KY172" s="27"/>
      <c r="KZ172" s="27"/>
      <c r="LA172" s="28"/>
      <c r="LB172" s="25"/>
      <c r="LC172" s="27"/>
      <c r="LD172" s="27"/>
      <c r="LE172" s="27"/>
      <c r="LF172" s="27"/>
      <c r="LG172" s="27"/>
      <c r="LH172" s="28"/>
      <c r="LI172" s="25"/>
      <c r="LJ172" s="27"/>
      <c r="LK172" s="27"/>
      <c r="LL172" s="27"/>
      <c r="LM172" s="27"/>
      <c r="LN172" s="27"/>
      <c r="LO172" s="28"/>
      <c r="LP172" s="25"/>
      <c r="LQ172" s="27"/>
      <c r="LR172" s="27"/>
      <c r="LS172" s="27"/>
      <c r="LT172" s="27"/>
      <c r="LU172" s="27"/>
      <c r="LV172" s="28"/>
      <c r="LW172" s="25"/>
      <c r="LX172" s="27"/>
      <c r="LY172" s="27"/>
      <c r="LZ172" s="27"/>
      <c r="MA172" s="27"/>
      <c r="MB172" s="27"/>
      <c r="MC172" s="28"/>
      <c r="MD172" s="25"/>
      <c r="ME172" s="27"/>
      <c r="MF172" s="27"/>
      <c r="MG172" s="27"/>
      <c r="MH172" s="27"/>
      <c r="MI172" s="27"/>
      <c r="MJ172" s="28"/>
      <c r="MK172" s="25"/>
      <c r="ML172" s="27"/>
      <c r="MM172" s="27"/>
      <c r="MN172" s="27"/>
      <c r="MO172" s="27"/>
      <c r="MP172" s="27"/>
      <c r="MQ172" s="28"/>
      <c r="MR172" s="25"/>
      <c r="MS172" s="27"/>
      <c r="MT172" s="27"/>
      <c r="MU172" s="27"/>
      <c r="MV172" s="27"/>
      <c r="MW172" s="27"/>
      <c r="MX172" s="28"/>
      <c r="MY172" s="25"/>
      <c r="MZ172" s="27"/>
      <c r="NA172" s="27"/>
      <c r="NB172" s="27"/>
      <c r="NC172" s="27"/>
      <c r="ND172" s="27"/>
      <c r="NE172" s="28"/>
      <c r="NF172" s="25"/>
      <c r="NG172" s="27"/>
      <c r="NH172" s="27"/>
      <c r="NI172" s="27"/>
      <c r="NJ172" s="27"/>
      <c r="NK172" s="27"/>
      <c r="NL172" s="28"/>
      <c r="NM172" s="25"/>
      <c r="NN172" s="27"/>
      <c r="NO172" s="27"/>
      <c r="NP172" s="27"/>
      <c r="NQ172" s="27"/>
      <c r="NR172" s="27"/>
      <c r="NS172" s="28"/>
      <c r="NT172" s="25"/>
      <c r="NU172" s="27"/>
      <c r="NV172" s="27"/>
      <c r="NW172" s="27"/>
      <c r="NX172" s="27"/>
      <c r="NY172" s="27"/>
      <c r="NZ172" s="28"/>
      <c r="OA172" s="25"/>
      <c r="OB172" s="27"/>
      <c r="OC172" s="27"/>
      <c r="OD172" s="27"/>
      <c r="OE172" s="27"/>
      <c r="OF172" s="27"/>
      <c r="OG172" s="28"/>
      <c r="OH172" s="25"/>
      <c r="OI172" s="27"/>
      <c r="OJ172" s="27"/>
      <c r="OK172" s="27"/>
      <c r="OL172" s="27"/>
      <c r="OM172" s="27"/>
      <c r="ON172" s="28"/>
      <c r="OO172" s="25"/>
      <c r="OP172" s="27"/>
      <c r="OQ172" s="27"/>
      <c r="OR172" s="27"/>
      <c r="OS172" s="27"/>
      <c r="OT172" s="27"/>
      <c r="OU172" s="28"/>
      <c r="OV172" s="25"/>
      <c r="OW172" s="27"/>
      <c r="OX172" s="27"/>
      <c r="OY172" s="27"/>
      <c r="OZ172" s="27"/>
      <c r="PA172" s="27"/>
      <c r="PB172" s="28"/>
      <c r="PC172" s="25"/>
      <c r="PD172" s="27"/>
      <c r="PE172" s="27"/>
      <c r="PF172" s="27"/>
      <c r="PG172" s="27"/>
      <c r="PH172" s="27"/>
      <c r="PI172" s="28"/>
      <c r="PJ172" s="25"/>
      <c r="PK172" s="27"/>
      <c r="PL172" s="27"/>
      <c r="PM172" s="27"/>
      <c r="PN172" s="27"/>
      <c r="PO172" s="27"/>
      <c r="PP172" s="28"/>
      <c r="PQ172" s="25"/>
      <c r="PR172" s="27"/>
      <c r="PS172" s="27"/>
      <c r="PT172" s="27"/>
      <c r="PU172" s="27"/>
      <c r="PV172" s="27"/>
      <c r="PW172" s="28"/>
      <c r="PX172" s="25"/>
      <c r="PY172" s="27"/>
      <c r="PZ172" s="27"/>
      <c r="QA172" s="27"/>
      <c r="QB172" s="27"/>
      <c r="QC172" s="27"/>
      <c r="QD172" s="28"/>
      <c r="QE172" s="25"/>
      <c r="QF172" s="27"/>
      <c r="QG172" s="27"/>
      <c r="QH172" s="27"/>
      <c r="QI172" s="27"/>
      <c r="QJ172" s="27"/>
      <c r="QK172" s="28"/>
      <c r="QL172" s="25"/>
      <c r="QM172" s="27"/>
      <c r="QN172" s="27"/>
      <c r="QO172" s="27"/>
      <c r="QP172" s="27"/>
      <c r="QQ172" s="27"/>
      <c r="QR172" s="28"/>
      <c r="QS172" s="25"/>
      <c r="QT172" s="27"/>
      <c r="QU172" s="27"/>
      <c r="QV172" s="27"/>
      <c r="QW172" s="27"/>
      <c r="QX172" s="27"/>
      <c r="QY172" s="28"/>
      <c r="QZ172" s="25"/>
      <c r="RA172" s="27"/>
      <c r="RB172" s="27"/>
      <c r="RC172" s="27"/>
      <c r="RD172" s="27"/>
      <c r="RE172" s="27"/>
      <c r="RF172" s="28"/>
      <c r="RG172" s="25"/>
      <c r="RH172" s="27"/>
      <c r="RI172" s="27"/>
      <c r="RJ172" s="27"/>
      <c r="RK172" s="27"/>
      <c r="RL172" s="27"/>
      <c r="RM172" s="28"/>
      <c r="RN172" s="25"/>
      <c r="RO172" s="27"/>
      <c r="RP172" s="27"/>
      <c r="RQ172" s="27"/>
      <c r="RR172" s="27"/>
      <c r="RS172" s="27"/>
      <c r="RT172" s="28"/>
      <c r="RU172" s="25"/>
      <c r="RV172" s="27"/>
      <c r="RW172" s="27"/>
      <c r="RX172" s="27"/>
      <c r="RY172" s="27"/>
      <c r="RZ172" s="27"/>
      <c r="SA172" s="28"/>
      <c r="SB172" s="25"/>
      <c r="SC172" s="27"/>
      <c r="SD172" s="27"/>
      <c r="SE172" s="27"/>
      <c r="SF172" s="27"/>
      <c r="SG172" s="27"/>
      <c r="SH172" s="28"/>
      <c r="SI172" s="25"/>
      <c r="SJ172" s="27"/>
      <c r="SK172" s="27"/>
      <c r="SL172" s="27"/>
      <c r="SM172" s="27"/>
      <c r="SN172" s="27"/>
      <c r="SO172" s="28"/>
      <c r="SP172" s="25"/>
      <c r="SQ172" s="27"/>
      <c r="SR172" s="27"/>
    </row>
    <row r="173" spans="1:512" x14ac:dyDescent="0.15">
      <c r="A173" s="101">
        <f t="shared" ca="1" si="1562"/>
        <v>36</v>
      </c>
      <c r="B173" s="111">
        <v>36</v>
      </c>
      <c r="C173" s="71" t="str">
        <f t="shared" ca="1" si="1555"/>
        <v>Claudia F</v>
      </c>
      <c r="D173" s="112">
        <f t="shared" ca="1" si="1563"/>
        <v>220</v>
      </c>
      <c r="E173" s="25"/>
      <c r="F173" s="26"/>
      <c r="G173" s="27"/>
      <c r="H173" s="28"/>
      <c r="I173" s="25"/>
      <c r="J173" s="25"/>
      <c r="K173" s="26"/>
      <c r="L173" s="62"/>
      <c r="M173" s="32" t="s">
        <v>223</v>
      </c>
      <c r="N173" s="62" t="s">
        <v>104</v>
      </c>
      <c r="O173" s="32"/>
      <c r="P173" s="32">
        <f t="shared" ca="1" si="1566"/>
        <v>18</v>
      </c>
      <c r="Q173" s="32" t="str">
        <f t="shared" ca="1" si="1567"/>
        <v>Evelyn</v>
      </c>
      <c r="R173" s="113">
        <f t="shared" ca="1" si="1568"/>
        <v>237.89999999999995</v>
      </c>
      <c r="S173" s="73">
        <v>36</v>
      </c>
      <c r="T173" s="32">
        <f t="shared" ca="1" si="1561"/>
        <v>237.90035999999995</v>
      </c>
      <c r="U173" s="32"/>
      <c r="V173" s="61"/>
      <c r="W173" s="62"/>
      <c r="X173" s="32"/>
      <c r="Y173" s="63"/>
      <c r="Z173" s="73"/>
      <c r="AA173" s="32"/>
      <c r="AB173" s="32"/>
      <c r="AC173" s="61"/>
      <c r="AD173" s="27"/>
      <c r="AE173" s="27"/>
      <c r="AF173" s="27"/>
      <c r="AG173" s="28"/>
      <c r="AH173" s="25"/>
      <c r="AI173" s="27"/>
      <c r="AJ173" s="27"/>
      <c r="AK173" s="27"/>
      <c r="AL173" s="27"/>
      <c r="AM173" s="27"/>
      <c r="AN173" s="28"/>
      <c r="AO173" s="25"/>
      <c r="AP173" s="27"/>
      <c r="AQ173" s="27"/>
      <c r="AR173" s="27"/>
      <c r="AS173" s="27"/>
      <c r="AT173" s="27"/>
      <c r="AU173" s="28"/>
      <c r="AV173" s="25"/>
      <c r="AW173" s="27"/>
      <c r="AX173" s="27"/>
      <c r="AY173" s="27"/>
      <c r="AZ173" s="27"/>
      <c r="BA173" s="27"/>
      <c r="BB173" s="28"/>
      <c r="BC173" s="25"/>
      <c r="BD173" s="27"/>
      <c r="BE173" s="27"/>
      <c r="BF173" s="27"/>
      <c r="BG173" s="27"/>
      <c r="BH173" s="27"/>
      <c r="BI173" s="28"/>
      <c r="BJ173" s="25"/>
      <c r="BK173" s="27"/>
      <c r="BL173" s="27"/>
      <c r="BM173" s="27"/>
      <c r="BN173" s="27"/>
      <c r="BO173" s="27"/>
      <c r="BP173" s="28"/>
      <c r="BQ173" s="25"/>
      <c r="BR173" s="27"/>
      <c r="BS173" s="27"/>
      <c r="BT173" s="27"/>
      <c r="BU173" s="27"/>
      <c r="BV173" s="27"/>
      <c r="BW173" s="28"/>
      <c r="BX173" s="25"/>
      <c r="BY173" s="27"/>
      <c r="BZ173" s="27"/>
      <c r="CA173" s="27"/>
      <c r="CB173" s="27"/>
      <c r="CC173" s="27"/>
      <c r="CD173" s="28"/>
      <c r="CE173" s="25"/>
      <c r="CF173" s="27"/>
      <c r="CG173" s="27"/>
      <c r="CH173" s="27"/>
      <c r="CI173" s="27"/>
      <c r="CJ173" s="27"/>
      <c r="CK173" s="28"/>
      <c r="CL173" s="25"/>
      <c r="CM173" s="27"/>
      <c r="CN173" s="27"/>
      <c r="CO173" s="27"/>
      <c r="CP173" s="27"/>
      <c r="CQ173" s="27"/>
      <c r="CR173" s="28"/>
      <c r="CS173" s="25"/>
      <c r="CT173" s="27"/>
      <c r="CU173" s="27"/>
      <c r="CV173" s="27"/>
      <c r="CW173" s="27"/>
      <c r="CX173" s="27"/>
      <c r="CY173" s="28"/>
      <c r="CZ173" s="25"/>
      <c r="DA173" s="27"/>
      <c r="DB173" s="27"/>
      <c r="DC173" s="27"/>
      <c r="DD173" s="27"/>
      <c r="DE173" s="27"/>
      <c r="DF173" s="28"/>
      <c r="DG173" s="25"/>
      <c r="DH173" s="27"/>
      <c r="DI173" s="27"/>
      <c r="DJ173" s="27"/>
      <c r="DK173" s="27"/>
      <c r="DL173" s="27"/>
      <c r="DM173" s="28"/>
      <c r="DN173" s="25"/>
      <c r="DO173" s="27"/>
      <c r="DP173" s="27"/>
      <c r="DQ173" s="27"/>
      <c r="DR173" s="27"/>
      <c r="DS173" s="27"/>
      <c r="DT173" s="28"/>
      <c r="DU173" s="25"/>
      <c r="DV173" s="27"/>
      <c r="DW173" s="27"/>
      <c r="DX173" s="27"/>
      <c r="DY173" s="27"/>
      <c r="DZ173" s="27"/>
      <c r="EA173" s="28"/>
      <c r="EB173" s="25"/>
      <c r="EC173" s="27"/>
      <c r="ED173" s="27"/>
      <c r="EE173" s="27"/>
      <c r="EF173" s="27"/>
      <c r="EG173" s="27"/>
      <c r="EH173" s="28"/>
      <c r="EI173" s="25"/>
      <c r="EJ173" s="27"/>
      <c r="EK173" s="27"/>
      <c r="EL173" s="27"/>
      <c r="EM173" s="27"/>
      <c r="EN173" s="27"/>
      <c r="EO173" s="28"/>
      <c r="EP173" s="25"/>
      <c r="EQ173" s="27"/>
      <c r="ER173" s="27"/>
      <c r="ES173" s="27"/>
      <c r="ET173" s="27"/>
      <c r="EU173" s="27"/>
      <c r="EV173" s="28"/>
      <c r="EW173" s="25"/>
      <c r="EX173" s="27"/>
      <c r="EY173" s="27"/>
      <c r="EZ173" s="27"/>
      <c r="FA173" s="27"/>
      <c r="FB173" s="27"/>
      <c r="FC173" s="28"/>
      <c r="FD173" s="25"/>
      <c r="FE173" s="27"/>
      <c r="FF173" s="27"/>
      <c r="FG173" s="27"/>
      <c r="FH173" s="27"/>
      <c r="FI173" s="27"/>
      <c r="FJ173" s="28"/>
      <c r="FK173" s="25"/>
      <c r="FL173" s="27"/>
      <c r="FM173" s="27"/>
      <c r="FN173" s="27"/>
      <c r="FO173" s="27"/>
      <c r="FP173" s="27"/>
      <c r="FQ173" s="28"/>
      <c r="FR173" s="25"/>
      <c r="FS173" s="27"/>
      <c r="FT173" s="27"/>
      <c r="FU173" s="27"/>
      <c r="FV173" s="27"/>
      <c r="FW173" s="27"/>
      <c r="FX173" s="28"/>
      <c r="FY173" s="25"/>
      <c r="FZ173" s="27"/>
      <c r="GA173" s="27"/>
      <c r="GB173" s="27"/>
      <c r="GC173" s="27"/>
      <c r="GD173" s="27"/>
      <c r="GE173" s="28"/>
      <c r="GF173" s="25"/>
      <c r="GG173" s="27"/>
      <c r="GH173" s="27"/>
      <c r="GI173" s="27"/>
      <c r="GJ173" s="27"/>
      <c r="GK173" s="27"/>
      <c r="GL173" s="28"/>
      <c r="GM173" s="25"/>
      <c r="GN173" s="27"/>
      <c r="GO173" s="27"/>
      <c r="GP173" s="27"/>
      <c r="GQ173" s="27"/>
      <c r="GR173" s="27"/>
      <c r="GS173" s="28"/>
      <c r="GT173" s="25"/>
      <c r="GU173" s="27"/>
      <c r="GV173" s="27"/>
      <c r="GW173" s="27"/>
      <c r="GX173" s="27"/>
      <c r="GY173" s="27"/>
      <c r="GZ173" s="28"/>
      <c r="HA173" s="25"/>
      <c r="HB173" s="27"/>
      <c r="HC173" s="27"/>
      <c r="HD173" s="27"/>
      <c r="HE173" s="27"/>
      <c r="HF173" s="27"/>
      <c r="HG173" s="28"/>
      <c r="HH173" s="25"/>
      <c r="HI173" s="27"/>
      <c r="HJ173" s="27"/>
      <c r="HK173" s="27"/>
      <c r="HL173" s="27"/>
      <c r="HM173" s="27"/>
      <c r="HN173" s="28"/>
      <c r="HO173" s="25"/>
      <c r="HP173" s="27"/>
      <c r="HQ173" s="27"/>
      <c r="HR173" s="27"/>
      <c r="HS173" s="27"/>
      <c r="HT173" s="27"/>
      <c r="HU173" s="28"/>
      <c r="HV173" s="25"/>
      <c r="HW173" s="27"/>
      <c r="HX173" s="27"/>
      <c r="HY173" s="27"/>
      <c r="HZ173" s="27"/>
      <c r="IA173" s="27"/>
      <c r="IB173" s="28"/>
      <c r="IC173" s="25"/>
      <c r="ID173" s="27"/>
      <c r="IE173" s="27"/>
      <c r="IF173" s="27"/>
      <c r="IG173" s="27"/>
      <c r="IH173" s="27"/>
      <c r="II173" s="28"/>
      <c r="IJ173" s="25"/>
      <c r="IK173" s="27"/>
      <c r="IL173" s="27"/>
      <c r="IM173" s="27"/>
      <c r="IN173" s="27"/>
      <c r="IO173" s="27"/>
      <c r="IP173" s="28"/>
      <c r="IQ173" s="25"/>
      <c r="IR173" s="27"/>
      <c r="IS173" s="27"/>
      <c r="IT173" s="27"/>
      <c r="IU173" s="27"/>
      <c r="IV173" s="27"/>
      <c r="IW173" s="28"/>
      <c r="IX173" s="25"/>
      <c r="IY173" s="27"/>
      <c r="IZ173" s="27"/>
      <c r="JA173" s="27"/>
      <c r="JB173" s="27"/>
      <c r="JC173" s="27"/>
      <c r="JD173" s="28"/>
      <c r="JE173" s="25"/>
      <c r="JF173" s="27"/>
      <c r="JG173" s="27"/>
      <c r="JH173" s="27"/>
      <c r="JI173" s="27"/>
      <c r="JJ173" s="27"/>
      <c r="JK173" s="28"/>
      <c r="JL173" s="25"/>
      <c r="JM173" s="27"/>
      <c r="JN173" s="27"/>
      <c r="JO173" s="27"/>
      <c r="JP173" s="27"/>
      <c r="JQ173" s="27"/>
      <c r="JR173" s="28"/>
      <c r="JS173" s="25"/>
      <c r="JT173" s="27"/>
      <c r="JU173" s="27"/>
      <c r="JV173" s="27"/>
      <c r="JW173" s="27"/>
      <c r="JX173" s="27"/>
      <c r="JY173" s="28"/>
      <c r="JZ173" s="25"/>
      <c r="KA173" s="27"/>
      <c r="KB173" s="27"/>
      <c r="KC173" s="27"/>
      <c r="KD173" s="27"/>
      <c r="KE173" s="27"/>
      <c r="KF173" s="28"/>
      <c r="KG173" s="25"/>
      <c r="KH173" s="27"/>
      <c r="KI173" s="27"/>
      <c r="KJ173" s="27"/>
      <c r="KK173" s="27"/>
      <c r="KL173" s="27"/>
      <c r="KM173" s="28"/>
      <c r="KN173" s="25"/>
      <c r="KO173" s="27"/>
      <c r="KP173" s="27"/>
      <c r="KQ173" s="27"/>
      <c r="KR173" s="27"/>
      <c r="KS173" s="27"/>
      <c r="KT173" s="28"/>
      <c r="KU173" s="25"/>
      <c r="KV173" s="27"/>
      <c r="KW173" s="27"/>
      <c r="KX173" s="27"/>
      <c r="KY173" s="27"/>
      <c r="KZ173" s="27"/>
      <c r="LA173" s="28"/>
      <c r="LB173" s="25"/>
      <c r="LC173" s="27"/>
      <c r="LD173" s="27"/>
      <c r="LE173" s="27"/>
      <c r="LF173" s="27"/>
      <c r="LG173" s="27"/>
      <c r="LH173" s="28"/>
      <c r="LI173" s="25"/>
      <c r="LJ173" s="27"/>
      <c r="LK173" s="27"/>
      <c r="LL173" s="27"/>
      <c r="LM173" s="27"/>
      <c r="LN173" s="27"/>
      <c r="LO173" s="28"/>
      <c r="LP173" s="25"/>
      <c r="LQ173" s="27"/>
      <c r="LR173" s="27"/>
      <c r="LS173" s="27"/>
      <c r="LT173" s="27"/>
      <c r="LU173" s="27"/>
      <c r="LV173" s="28"/>
      <c r="LW173" s="25"/>
      <c r="LX173" s="27"/>
      <c r="LY173" s="27"/>
      <c r="LZ173" s="27"/>
      <c r="MA173" s="27"/>
      <c r="MB173" s="27"/>
      <c r="MC173" s="28"/>
      <c r="MD173" s="25"/>
      <c r="ME173" s="27"/>
      <c r="MF173" s="27"/>
      <c r="MG173" s="27"/>
      <c r="MH173" s="27"/>
      <c r="MI173" s="27"/>
      <c r="MJ173" s="28"/>
      <c r="MK173" s="25"/>
      <c r="ML173" s="27"/>
      <c r="MM173" s="27"/>
      <c r="MN173" s="27"/>
      <c r="MO173" s="27"/>
      <c r="MP173" s="27"/>
      <c r="MQ173" s="28"/>
      <c r="MR173" s="25"/>
      <c r="MS173" s="27"/>
      <c r="MT173" s="27"/>
      <c r="MU173" s="27"/>
      <c r="MV173" s="27"/>
      <c r="MW173" s="27"/>
      <c r="MX173" s="28"/>
      <c r="MY173" s="25"/>
      <c r="MZ173" s="27"/>
      <c r="NA173" s="27"/>
      <c r="NB173" s="27"/>
      <c r="NC173" s="27"/>
      <c r="ND173" s="27"/>
      <c r="NE173" s="28"/>
      <c r="NF173" s="25"/>
      <c r="NG173" s="27"/>
      <c r="NH173" s="27"/>
      <c r="NI173" s="27"/>
      <c r="NJ173" s="27"/>
      <c r="NK173" s="27"/>
      <c r="NL173" s="28"/>
      <c r="NM173" s="25"/>
      <c r="NN173" s="27"/>
      <c r="NO173" s="27"/>
      <c r="NP173" s="27"/>
      <c r="NQ173" s="27"/>
      <c r="NR173" s="27"/>
      <c r="NS173" s="28"/>
      <c r="NT173" s="25"/>
      <c r="NU173" s="27"/>
      <c r="NV173" s="27"/>
      <c r="NW173" s="27"/>
      <c r="NX173" s="27"/>
      <c r="NY173" s="27"/>
      <c r="NZ173" s="28"/>
      <c r="OA173" s="25"/>
      <c r="OB173" s="27"/>
      <c r="OC173" s="27"/>
      <c r="OD173" s="27"/>
      <c r="OE173" s="27"/>
      <c r="OF173" s="27"/>
      <c r="OG173" s="28"/>
      <c r="OH173" s="25"/>
      <c r="OI173" s="27"/>
      <c r="OJ173" s="27"/>
      <c r="OK173" s="27"/>
      <c r="OL173" s="27"/>
      <c r="OM173" s="27"/>
      <c r="ON173" s="28"/>
      <c r="OO173" s="25"/>
      <c r="OP173" s="27"/>
      <c r="OQ173" s="27"/>
      <c r="OR173" s="27"/>
      <c r="OS173" s="27"/>
      <c r="OT173" s="27"/>
      <c r="OU173" s="28"/>
      <c r="OV173" s="25"/>
      <c r="OW173" s="27"/>
      <c r="OX173" s="27"/>
      <c r="OY173" s="27"/>
      <c r="OZ173" s="27"/>
      <c r="PA173" s="27"/>
      <c r="PB173" s="28"/>
      <c r="PC173" s="25"/>
      <c r="PD173" s="27"/>
      <c r="PE173" s="27"/>
      <c r="PF173" s="27"/>
      <c r="PG173" s="27"/>
      <c r="PH173" s="27"/>
      <c r="PI173" s="28"/>
      <c r="PJ173" s="25"/>
      <c r="PK173" s="27"/>
      <c r="PL173" s="27"/>
      <c r="PM173" s="27"/>
      <c r="PN173" s="27"/>
      <c r="PO173" s="27"/>
      <c r="PP173" s="28"/>
      <c r="PQ173" s="25"/>
      <c r="PR173" s="27"/>
      <c r="PS173" s="27"/>
      <c r="PT173" s="27"/>
      <c r="PU173" s="27"/>
      <c r="PV173" s="27"/>
      <c r="PW173" s="28"/>
      <c r="PX173" s="25"/>
      <c r="PY173" s="27"/>
      <c r="PZ173" s="27"/>
      <c r="QA173" s="27"/>
      <c r="QB173" s="27"/>
      <c r="QC173" s="27"/>
      <c r="QD173" s="28"/>
      <c r="QE173" s="25"/>
      <c r="QF173" s="27"/>
      <c r="QG173" s="27"/>
      <c r="QH173" s="27"/>
      <c r="QI173" s="27"/>
      <c r="QJ173" s="27"/>
      <c r="QK173" s="28"/>
      <c r="QL173" s="25"/>
      <c r="QM173" s="27"/>
      <c r="QN173" s="27"/>
      <c r="QO173" s="27"/>
      <c r="QP173" s="27"/>
      <c r="QQ173" s="27"/>
      <c r="QR173" s="28"/>
      <c r="QS173" s="25"/>
      <c r="QT173" s="27"/>
      <c r="QU173" s="27"/>
      <c r="QV173" s="27"/>
      <c r="QW173" s="27"/>
      <c r="QX173" s="27"/>
      <c r="QY173" s="28"/>
      <c r="QZ173" s="25"/>
      <c r="RA173" s="27"/>
      <c r="RB173" s="27"/>
      <c r="RC173" s="27"/>
      <c r="RD173" s="27"/>
      <c r="RE173" s="27"/>
      <c r="RF173" s="28"/>
      <c r="RG173" s="25"/>
      <c r="RH173" s="27"/>
      <c r="RI173" s="27"/>
      <c r="RJ173" s="27"/>
      <c r="RK173" s="27"/>
      <c r="RL173" s="27"/>
      <c r="RM173" s="28"/>
      <c r="RN173" s="25"/>
      <c r="RO173" s="27"/>
      <c r="RP173" s="27"/>
      <c r="RQ173" s="27"/>
      <c r="RR173" s="27"/>
      <c r="RS173" s="27"/>
      <c r="RT173" s="28"/>
      <c r="RU173" s="25"/>
      <c r="RV173" s="27"/>
      <c r="RW173" s="27"/>
      <c r="RX173" s="27"/>
      <c r="RY173" s="27"/>
      <c r="RZ173" s="27"/>
      <c r="SA173" s="28"/>
      <c r="SB173" s="25"/>
      <c r="SC173" s="27"/>
      <c r="SD173" s="27"/>
      <c r="SE173" s="27"/>
      <c r="SF173" s="27"/>
      <c r="SG173" s="27"/>
      <c r="SH173" s="28"/>
      <c r="SI173" s="25"/>
      <c r="SJ173" s="27"/>
      <c r="SK173" s="27"/>
      <c r="SL173" s="27"/>
      <c r="SM173" s="27"/>
      <c r="SN173" s="27"/>
      <c r="SO173" s="28"/>
      <c r="SP173" s="25"/>
      <c r="SQ173" s="27"/>
      <c r="SR173" s="27"/>
    </row>
    <row r="174" spans="1:512" x14ac:dyDescent="0.15">
      <c r="A174" s="101">
        <f t="shared" ca="1" si="1562"/>
        <v>36</v>
      </c>
      <c r="B174" s="111">
        <v>37</v>
      </c>
      <c r="C174" s="71" t="str">
        <f t="shared" ca="1" si="1555"/>
        <v>Ingrid</v>
      </c>
      <c r="D174" s="112">
        <f t="shared" ca="1" si="1563"/>
        <v>219.99999999999997</v>
      </c>
      <c r="E174" s="25"/>
      <c r="F174" s="26"/>
      <c r="G174" s="27"/>
      <c r="H174" s="28"/>
      <c r="I174" s="25"/>
      <c r="J174" s="25"/>
      <c r="K174" s="26"/>
      <c r="L174" s="62"/>
      <c r="M174" s="62" t="s">
        <v>224</v>
      </c>
      <c r="N174" s="62" t="s">
        <v>105</v>
      </c>
      <c r="O174" s="32"/>
      <c r="P174" s="32">
        <f t="shared" ca="1" si="1566"/>
        <v>30</v>
      </c>
      <c r="Q174" s="32" t="str">
        <f t="shared" ca="1" si="1567"/>
        <v>Carsten</v>
      </c>
      <c r="R174" s="113">
        <f t="shared" ca="1" si="1568"/>
        <v>224.70000000000002</v>
      </c>
      <c r="S174" s="73">
        <v>37</v>
      </c>
      <c r="T174" s="32">
        <f t="shared" ca="1" si="1561"/>
        <v>224.70037000000002</v>
      </c>
      <c r="U174" s="32"/>
      <c r="V174" s="61"/>
      <c r="W174" s="62"/>
      <c r="X174" s="32"/>
      <c r="Y174" s="63"/>
      <c r="Z174" s="73"/>
      <c r="AA174" s="32"/>
      <c r="AB174" s="32"/>
      <c r="AC174" s="61"/>
      <c r="AD174" s="27"/>
      <c r="AE174" s="27"/>
      <c r="AF174" s="27"/>
      <c r="AG174" s="28"/>
      <c r="AH174" s="25"/>
      <c r="AI174" s="27"/>
      <c r="AJ174" s="27"/>
      <c r="AK174" s="27"/>
      <c r="AL174" s="27"/>
      <c r="AM174" s="27"/>
      <c r="AN174" s="28"/>
      <c r="AO174" s="25"/>
      <c r="AP174" s="27"/>
      <c r="AQ174" s="27"/>
      <c r="AR174" s="27"/>
      <c r="AS174" s="27"/>
      <c r="AT174" s="27"/>
      <c r="AU174" s="28"/>
      <c r="AV174" s="25"/>
      <c r="AW174" s="27"/>
      <c r="AX174" s="27"/>
      <c r="AY174" s="27"/>
      <c r="AZ174" s="27"/>
      <c r="BA174" s="27"/>
      <c r="BB174" s="28"/>
      <c r="BC174" s="25"/>
      <c r="BD174" s="27"/>
      <c r="BE174" s="27"/>
      <c r="BF174" s="27"/>
      <c r="BG174" s="27"/>
      <c r="BH174" s="27"/>
      <c r="BI174" s="28"/>
      <c r="BJ174" s="25"/>
      <c r="BK174" s="27"/>
      <c r="BL174" s="27"/>
      <c r="BM174" s="27"/>
      <c r="BN174" s="27"/>
      <c r="BO174" s="27"/>
      <c r="BP174" s="28"/>
      <c r="BQ174" s="25"/>
      <c r="BR174" s="27"/>
      <c r="BS174" s="27"/>
      <c r="BT174" s="27"/>
      <c r="BU174" s="27"/>
      <c r="BV174" s="27"/>
      <c r="BW174" s="28"/>
      <c r="BX174" s="25"/>
      <c r="BY174" s="27"/>
      <c r="BZ174" s="27"/>
      <c r="CA174" s="27"/>
      <c r="CB174" s="27"/>
      <c r="CC174" s="27"/>
      <c r="CD174" s="28"/>
      <c r="CE174" s="25"/>
      <c r="CF174" s="27"/>
      <c r="CG174" s="27"/>
      <c r="CH174" s="27"/>
      <c r="CI174" s="27"/>
      <c r="CJ174" s="27"/>
      <c r="CK174" s="28"/>
      <c r="CL174" s="25"/>
      <c r="CM174" s="27"/>
      <c r="CN174" s="27"/>
      <c r="CO174" s="27"/>
      <c r="CP174" s="27"/>
      <c r="CQ174" s="27"/>
      <c r="CR174" s="28"/>
      <c r="CS174" s="25"/>
      <c r="CT174" s="27"/>
      <c r="CU174" s="27"/>
      <c r="CV174" s="27"/>
      <c r="CW174" s="27"/>
      <c r="CX174" s="27"/>
      <c r="CY174" s="28"/>
      <c r="CZ174" s="25"/>
      <c r="DA174" s="27"/>
      <c r="DB174" s="27"/>
      <c r="DC174" s="27"/>
      <c r="DD174" s="27"/>
      <c r="DE174" s="27"/>
      <c r="DF174" s="28"/>
      <c r="DG174" s="25"/>
      <c r="DH174" s="27"/>
      <c r="DI174" s="27"/>
      <c r="DJ174" s="27"/>
      <c r="DK174" s="27"/>
      <c r="DL174" s="27"/>
      <c r="DM174" s="28"/>
      <c r="DN174" s="25"/>
      <c r="DO174" s="27"/>
      <c r="DP174" s="27"/>
      <c r="DQ174" s="27"/>
      <c r="DR174" s="27"/>
      <c r="DS174" s="27"/>
      <c r="DT174" s="28"/>
      <c r="DU174" s="25"/>
      <c r="DV174" s="27"/>
      <c r="DW174" s="27"/>
      <c r="DX174" s="27"/>
      <c r="DY174" s="27"/>
      <c r="DZ174" s="27"/>
      <c r="EA174" s="28"/>
      <c r="EB174" s="25"/>
      <c r="EC174" s="27"/>
      <c r="ED174" s="27"/>
      <c r="EE174" s="27"/>
      <c r="EF174" s="27"/>
      <c r="EG174" s="27"/>
      <c r="EH174" s="28"/>
      <c r="EI174" s="25"/>
      <c r="EJ174" s="27"/>
      <c r="EK174" s="27"/>
      <c r="EL174" s="27"/>
      <c r="EM174" s="27"/>
      <c r="EN174" s="27"/>
      <c r="EO174" s="28"/>
      <c r="EP174" s="25"/>
      <c r="EQ174" s="27"/>
      <c r="ER174" s="27"/>
      <c r="ES174" s="27"/>
      <c r="ET174" s="27"/>
      <c r="EU174" s="27"/>
      <c r="EV174" s="28"/>
      <c r="EW174" s="25"/>
      <c r="EX174" s="27"/>
      <c r="EY174" s="27"/>
      <c r="EZ174" s="27"/>
      <c r="FA174" s="27"/>
      <c r="FB174" s="27"/>
      <c r="FC174" s="28"/>
      <c r="FD174" s="25"/>
      <c r="FE174" s="27"/>
      <c r="FF174" s="27"/>
      <c r="FG174" s="27"/>
      <c r="FH174" s="27"/>
      <c r="FI174" s="27"/>
      <c r="FJ174" s="28"/>
      <c r="FK174" s="25"/>
      <c r="FL174" s="27"/>
      <c r="FM174" s="27"/>
      <c r="FN174" s="27"/>
      <c r="FO174" s="27"/>
      <c r="FP174" s="27"/>
      <c r="FQ174" s="28"/>
      <c r="FR174" s="25"/>
      <c r="FS174" s="27"/>
      <c r="FT174" s="27"/>
      <c r="FU174" s="27"/>
      <c r="FV174" s="27"/>
      <c r="FW174" s="27"/>
      <c r="FX174" s="28"/>
      <c r="FY174" s="25"/>
      <c r="FZ174" s="27"/>
      <c r="GA174" s="27"/>
      <c r="GB174" s="27"/>
      <c r="GC174" s="27"/>
      <c r="GD174" s="27"/>
      <c r="GE174" s="28"/>
      <c r="GF174" s="25"/>
      <c r="GG174" s="27"/>
      <c r="GH174" s="27"/>
      <c r="GI174" s="27"/>
      <c r="GJ174" s="27"/>
      <c r="GK174" s="27"/>
      <c r="GL174" s="28"/>
      <c r="GM174" s="25"/>
      <c r="GN174" s="27"/>
      <c r="GO174" s="27"/>
      <c r="GP174" s="27"/>
      <c r="GQ174" s="27"/>
      <c r="GR174" s="27"/>
      <c r="GS174" s="28"/>
      <c r="GT174" s="25"/>
      <c r="GU174" s="27"/>
      <c r="GV174" s="27"/>
      <c r="GW174" s="27"/>
      <c r="GX174" s="27"/>
      <c r="GY174" s="27"/>
      <c r="GZ174" s="28"/>
      <c r="HA174" s="25"/>
      <c r="HB174" s="27"/>
      <c r="HC174" s="27"/>
      <c r="HD174" s="27"/>
      <c r="HE174" s="27"/>
      <c r="HF174" s="27"/>
      <c r="HG174" s="28"/>
      <c r="HH174" s="25"/>
      <c r="HI174" s="27"/>
      <c r="HJ174" s="27"/>
      <c r="HK174" s="27"/>
      <c r="HL174" s="27"/>
      <c r="HM174" s="27"/>
      <c r="HN174" s="28"/>
      <c r="HO174" s="25"/>
      <c r="HP174" s="27"/>
      <c r="HQ174" s="27"/>
      <c r="HR174" s="27"/>
      <c r="HS174" s="27"/>
      <c r="HT174" s="27"/>
      <c r="HU174" s="28"/>
      <c r="HV174" s="25"/>
      <c r="HW174" s="27"/>
      <c r="HX174" s="27"/>
      <c r="HY174" s="27"/>
      <c r="HZ174" s="27"/>
      <c r="IA174" s="27"/>
      <c r="IB174" s="28"/>
      <c r="IC174" s="25"/>
      <c r="ID174" s="27"/>
      <c r="IE174" s="27"/>
      <c r="IF174" s="27"/>
      <c r="IG174" s="27"/>
      <c r="IH174" s="27"/>
      <c r="II174" s="28"/>
      <c r="IJ174" s="25"/>
      <c r="IK174" s="27"/>
      <c r="IL174" s="27"/>
      <c r="IM174" s="27"/>
      <c r="IN174" s="27"/>
      <c r="IO174" s="27"/>
      <c r="IP174" s="28"/>
      <c r="IQ174" s="25"/>
      <c r="IR174" s="27"/>
      <c r="IS174" s="27"/>
      <c r="IT174" s="27"/>
      <c r="IU174" s="27"/>
      <c r="IV174" s="27"/>
      <c r="IW174" s="28"/>
      <c r="IX174" s="25"/>
      <c r="IY174" s="27"/>
      <c r="IZ174" s="27"/>
      <c r="JA174" s="27"/>
      <c r="JB174" s="27"/>
      <c r="JC174" s="27"/>
      <c r="JD174" s="28"/>
      <c r="JE174" s="25"/>
      <c r="JF174" s="27"/>
      <c r="JG174" s="27"/>
      <c r="JH174" s="27"/>
      <c r="JI174" s="27"/>
      <c r="JJ174" s="27"/>
      <c r="JK174" s="28"/>
      <c r="JL174" s="25"/>
      <c r="JM174" s="27"/>
      <c r="JN174" s="27"/>
      <c r="JO174" s="27"/>
      <c r="JP174" s="27"/>
      <c r="JQ174" s="27"/>
      <c r="JR174" s="28"/>
      <c r="JS174" s="25"/>
      <c r="JT174" s="27"/>
      <c r="JU174" s="27"/>
      <c r="JV174" s="27"/>
      <c r="JW174" s="27"/>
      <c r="JX174" s="27"/>
      <c r="JY174" s="28"/>
      <c r="JZ174" s="25"/>
      <c r="KA174" s="27"/>
      <c r="KB174" s="27"/>
      <c r="KC174" s="27"/>
      <c r="KD174" s="27"/>
      <c r="KE174" s="27"/>
      <c r="KF174" s="28"/>
      <c r="KG174" s="25"/>
      <c r="KH174" s="27"/>
      <c r="KI174" s="27"/>
      <c r="KJ174" s="27"/>
      <c r="KK174" s="27"/>
      <c r="KL174" s="27"/>
      <c r="KM174" s="28"/>
      <c r="KN174" s="25"/>
      <c r="KO174" s="27"/>
      <c r="KP174" s="27"/>
      <c r="KQ174" s="27"/>
      <c r="KR174" s="27"/>
      <c r="KS174" s="27"/>
      <c r="KT174" s="28"/>
      <c r="KU174" s="25"/>
      <c r="KV174" s="27"/>
      <c r="KW174" s="27"/>
      <c r="KX174" s="27"/>
      <c r="KY174" s="27"/>
      <c r="KZ174" s="27"/>
      <c r="LA174" s="28"/>
      <c r="LB174" s="25"/>
      <c r="LC174" s="27"/>
      <c r="LD174" s="27"/>
      <c r="LE174" s="27"/>
      <c r="LF174" s="27"/>
      <c r="LG174" s="27"/>
      <c r="LH174" s="28"/>
      <c r="LI174" s="25"/>
      <c r="LJ174" s="27"/>
      <c r="LK174" s="27"/>
      <c r="LL174" s="27"/>
      <c r="LM174" s="27"/>
      <c r="LN174" s="27"/>
      <c r="LO174" s="28"/>
      <c r="LP174" s="25"/>
      <c r="LQ174" s="27"/>
      <c r="LR174" s="27"/>
      <c r="LS174" s="27"/>
      <c r="LT174" s="27"/>
      <c r="LU174" s="27"/>
      <c r="LV174" s="28"/>
      <c r="LW174" s="25"/>
      <c r="LX174" s="27"/>
      <c r="LY174" s="27"/>
      <c r="LZ174" s="27"/>
      <c r="MA174" s="27"/>
      <c r="MB174" s="27"/>
      <c r="MC174" s="28"/>
      <c r="MD174" s="25"/>
      <c r="ME174" s="27"/>
      <c r="MF174" s="27"/>
      <c r="MG174" s="27"/>
      <c r="MH174" s="27"/>
      <c r="MI174" s="27"/>
      <c r="MJ174" s="28"/>
      <c r="MK174" s="25"/>
      <c r="ML174" s="27"/>
      <c r="MM174" s="27"/>
      <c r="MN174" s="27"/>
      <c r="MO174" s="27"/>
      <c r="MP174" s="27"/>
      <c r="MQ174" s="28"/>
      <c r="MR174" s="25"/>
      <c r="MS174" s="27"/>
      <c r="MT174" s="27"/>
      <c r="MU174" s="27"/>
      <c r="MV174" s="27"/>
      <c r="MW174" s="27"/>
      <c r="MX174" s="28"/>
      <c r="MY174" s="25"/>
      <c r="MZ174" s="27"/>
      <c r="NA174" s="27"/>
      <c r="NB174" s="27"/>
      <c r="NC174" s="27"/>
      <c r="ND174" s="27"/>
      <c r="NE174" s="28"/>
      <c r="NF174" s="25"/>
      <c r="NG174" s="27"/>
      <c r="NH174" s="27"/>
      <c r="NI174" s="27"/>
      <c r="NJ174" s="27"/>
      <c r="NK174" s="27"/>
      <c r="NL174" s="28"/>
      <c r="NM174" s="25"/>
      <c r="NN174" s="27"/>
      <c r="NO174" s="27"/>
      <c r="NP174" s="27"/>
      <c r="NQ174" s="27"/>
      <c r="NR174" s="27"/>
      <c r="NS174" s="28"/>
      <c r="NT174" s="25"/>
      <c r="NU174" s="27"/>
      <c r="NV174" s="27"/>
      <c r="NW174" s="27"/>
      <c r="NX174" s="27"/>
      <c r="NY174" s="27"/>
      <c r="NZ174" s="28"/>
      <c r="OA174" s="25"/>
      <c r="OB174" s="27"/>
      <c r="OC174" s="27"/>
      <c r="OD174" s="27"/>
      <c r="OE174" s="27"/>
      <c r="OF174" s="27"/>
      <c r="OG174" s="28"/>
      <c r="OH174" s="25"/>
      <c r="OI174" s="27"/>
      <c r="OJ174" s="27"/>
      <c r="OK174" s="27"/>
      <c r="OL174" s="27"/>
      <c r="OM174" s="27"/>
      <c r="ON174" s="28"/>
      <c r="OO174" s="25"/>
      <c r="OP174" s="27"/>
      <c r="OQ174" s="27"/>
      <c r="OR174" s="27"/>
      <c r="OS174" s="27"/>
      <c r="OT174" s="27"/>
      <c r="OU174" s="28"/>
      <c r="OV174" s="25"/>
      <c r="OW174" s="27"/>
      <c r="OX174" s="27"/>
      <c r="OY174" s="27"/>
      <c r="OZ174" s="27"/>
      <c r="PA174" s="27"/>
      <c r="PB174" s="28"/>
      <c r="PC174" s="25"/>
      <c r="PD174" s="27"/>
      <c r="PE174" s="27"/>
      <c r="PF174" s="27"/>
      <c r="PG174" s="27"/>
      <c r="PH174" s="27"/>
      <c r="PI174" s="28"/>
      <c r="PJ174" s="25"/>
      <c r="PK174" s="27"/>
      <c r="PL174" s="27"/>
      <c r="PM174" s="27"/>
      <c r="PN174" s="27"/>
      <c r="PO174" s="27"/>
      <c r="PP174" s="28"/>
      <c r="PQ174" s="25"/>
      <c r="PR174" s="27"/>
      <c r="PS174" s="27"/>
      <c r="PT174" s="27"/>
      <c r="PU174" s="27"/>
      <c r="PV174" s="27"/>
      <c r="PW174" s="28"/>
      <c r="PX174" s="25"/>
      <c r="PY174" s="27"/>
      <c r="PZ174" s="27"/>
      <c r="QA174" s="27"/>
      <c r="QB174" s="27"/>
      <c r="QC174" s="27"/>
      <c r="QD174" s="28"/>
      <c r="QE174" s="25"/>
      <c r="QF174" s="27"/>
      <c r="QG174" s="27"/>
      <c r="QH174" s="27"/>
      <c r="QI174" s="27"/>
      <c r="QJ174" s="27"/>
      <c r="QK174" s="28"/>
      <c r="QL174" s="25"/>
      <c r="QM174" s="27"/>
      <c r="QN174" s="27"/>
      <c r="QO174" s="27"/>
      <c r="QP174" s="27"/>
      <c r="QQ174" s="27"/>
      <c r="QR174" s="28"/>
      <c r="QS174" s="25"/>
      <c r="QT174" s="27"/>
      <c r="QU174" s="27"/>
      <c r="QV174" s="27"/>
      <c r="QW174" s="27"/>
      <c r="QX174" s="27"/>
      <c r="QY174" s="28"/>
      <c r="QZ174" s="25"/>
      <c r="RA174" s="27"/>
      <c r="RB174" s="27"/>
      <c r="RC174" s="27"/>
      <c r="RD174" s="27"/>
      <c r="RE174" s="27"/>
      <c r="RF174" s="28"/>
      <c r="RG174" s="25"/>
      <c r="RH174" s="27"/>
      <c r="RI174" s="27"/>
      <c r="RJ174" s="27"/>
      <c r="RK174" s="27"/>
      <c r="RL174" s="27"/>
      <c r="RM174" s="28"/>
      <c r="RN174" s="25"/>
      <c r="RO174" s="27"/>
      <c r="RP174" s="27"/>
      <c r="RQ174" s="27"/>
      <c r="RR174" s="27"/>
      <c r="RS174" s="27"/>
      <c r="RT174" s="28"/>
      <c r="RU174" s="25"/>
      <c r="RV174" s="27"/>
      <c r="RW174" s="27"/>
      <c r="RX174" s="27"/>
      <c r="RY174" s="27"/>
      <c r="RZ174" s="27"/>
      <c r="SA174" s="28"/>
      <c r="SB174" s="25"/>
      <c r="SC174" s="27"/>
      <c r="SD174" s="27"/>
      <c r="SE174" s="27"/>
      <c r="SF174" s="27"/>
      <c r="SG174" s="27"/>
      <c r="SH174" s="28"/>
      <c r="SI174" s="25"/>
      <c r="SJ174" s="27"/>
      <c r="SK174" s="27"/>
      <c r="SL174" s="27"/>
      <c r="SM174" s="27"/>
      <c r="SN174" s="27"/>
      <c r="SO174" s="28"/>
      <c r="SP174" s="25"/>
      <c r="SQ174" s="27"/>
      <c r="SR174" s="27"/>
    </row>
    <row r="175" spans="1:512" x14ac:dyDescent="0.15">
      <c r="A175" s="101">
        <f t="shared" ca="1" si="1562"/>
        <v>38</v>
      </c>
      <c r="B175" s="111">
        <v>38</v>
      </c>
      <c r="C175" s="71" t="str">
        <f t="shared" ca="1" si="1555"/>
        <v>Pascal</v>
      </c>
      <c r="D175" s="112">
        <f t="shared" ca="1" si="1563"/>
        <v>219.4</v>
      </c>
      <c r="E175" s="25"/>
      <c r="F175" s="26"/>
      <c r="G175" s="27"/>
      <c r="H175" s="28"/>
      <c r="I175" s="25"/>
      <c r="J175" s="25"/>
      <c r="K175" s="26"/>
      <c r="L175" s="62"/>
      <c r="M175" s="32" t="s">
        <v>225</v>
      </c>
      <c r="N175" s="62" t="s">
        <v>106</v>
      </c>
      <c r="O175" s="32"/>
      <c r="P175" s="32">
        <f t="shared" ca="1" si="1566"/>
        <v>28</v>
      </c>
      <c r="Q175" s="32" t="str">
        <f t="shared" ca="1" si="1567"/>
        <v>Nuria</v>
      </c>
      <c r="R175" s="113">
        <f t="shared" ca="1" si="1568"/>
        <v>227.7</v>
      </c>
      <c r="S175" s="73">
        <v>38</v>
      </c>
      <c r="T175" s="32">
        <f t="shared" ca="1" si="1561"/>
        <v>227.70038</v>
      </c>
      <c r="U175" s="32"/>
      <c r="V175" s="61"/>
      <c r="W175" s="62"/>
      <c r="X175" s="32"/>
      <c r="Y175" s="63"/>
      <c r="Z175" s="73"/>
      <c r="AA175" s="32"/>
      <c r="AB175" s="32"/>
      <c r="AC175" s="61"/>
      <c r="AD175" s="27"/>
      <c r="AE175" s="27"/>
      <c r="AF175" s="27"/>
      <c r="AG175" s="28"/>
      <c r="AH175" s="25"/>
      <c r="AI175" s="27"/>
      <c r="AJ175" s="27"/>
      <c r="AK175" s="27"/>
      <c r="AL175" s="27"/>
      <c r="AM175" s="27"/>
      <c r="AN175" s="28"/>
      <c r="AO175" s="25"/>
      <c r="AP175" s="27"/>
      <c r="AQ175" s="27"/>
      <c r="AR175" s="27"/>
      <c r="AS175" s="27"/>
      <c r="AT175" s="27"/>
      <c r="AU175" s="28"/>
      <c r="AV175" s="25"/>
      <c r="AW175" s="27"/>
      <c r="AX175" s="27"/>
      <c r="AY175" s="27"/>
      <c r="AZ175" s="27"/>
      <c r="BA175" s="27"/>
      <c r="BB175" s="28"/>
      <c r="BC175" s="25"/>
      <c r="BD175" s="27"/>
      <c r="BE175" s="27"/>
      <c r="BF175" s="27"/>
      <c r="BG175" s="27"/>
      <c r="BH175" s="27"/>
      <c r="BI175" s="28"/>
      <c r="BJ175" s="25"/>
      <c r="BK175" s="27"/>
      <c r="BL175" s="27"/>
      <c r="BM175" s="27"/>
      <c r="BN175" s="27"/>
      <c r="BO175" s="27"/>
      <c r="BP175" s="28"/>
      <c r="BQ175" s="25"/>
      <c r="BR175" s="27"/>
      <c r="BS175" s="27"/>
      <c r="BT175" s="27"/>
      <c r="BU175" s="27"/>
      <c r="BV175" s="27"/>
      <c r="BW175" s="28"/>
      <c r="BX175" s="25"/>
      <c r="BY175" s="27"/>
      <c r="BZ175" s="27"/>
      <c r="CA175" s="27"/>
      <c r="CB175" s="27"/>
      <c r="CC175" s="27"/>
      <c r="CD175" s="28"/>
      <c r="CE175" s="25"/>
      <c r="CF175" s="27"/>
      <c r="CG175" s="27"/>
      <c r="CH175" s="27"/>
      <c r="CI175" s="27"/>
      <c r="CJ175" s="27"/>
      <c r="CK175" s="28"/>
      <c r="CL175" s="25"/>
      <c r="CM175" s="27"/>
      <c r="CN175" s="27"/>
      <c r="CO175" s="27"/>
      <c r="CP175" s="27"/>
      <c r="CQ175" s="27"/>
      <c r="CR175" s="28"/>
      <c r="CS175" s="25"/>
      <c r="CT175" s="27"/>
      <c r="CU175" s="27"/>
      <c r="CV175" s="27"/>
      <c r="CW175" s="27"/>
      <c r="CX175" s="27"/>
      <c r="CY175" s="28"/>
      <c r="CZ175" s="25"/>
      <c r="DA175" s="27"/>
      <c r="DB175" s="27"/>
      <c r="DC175" s="27"/>
      <c r="DD175" s="27"/>
      <c r="DE175" s="27"/>
      <c r="DF175" s="28"/>
      <c r="DG175" s="25"/>
      <c r="DH175" s="27"/>
      <c r="DI175" s="27"/>
      <c r="DJ175" s="27"/>
      <c r="DK175" s="27"/>
      <c r="DL175" s="27"/>
      <c r="DM175" s="28"/>
      <c r="DN175" s="25"/>
      <c r="DO175" s="27"/>
      <c r="DP175" s="27"/>
      <c r="DQ175" s="27"/>
      <c r="DR175" s="27"/>
      <c r="DS175" s="27"/>
      <c r="DT175" s="28"/>
      <c r="DU175" s="25"/>
      <c r="DV175" s="27"/>
      <c r="DW175" s="27"/>
      <c r="DX175" s="27"/>
      <c r="DY175" s="27"/>
      <c r="DZ175" s="27"/>
      <c r="EA175" s="28"/>
      <c r="EB175" s="25"/>
      <c r="EC175" s="27"/>
      <c r="ED175" s="27"/>
      <c r="EE175" s="27"/>
      <c r="EF175" s="27"/>
      <c r="EG175" s="27"/>
      <c r="EH175" s="28"/>
      <c r="EI175" s="25"/>
      <c r="EJ175" s="27"/>
      <c r="EK175" s="27"/>
      <c r="EL175" s="27"/>
      <c r="EM175" s="27"/>
      <c r="EN175" s="27"/>
      <c r="EO175" s="28"/>
      <c r="EP175" s="25"/>
      <c r="EQ175" s="27"/>
      <c r="ER175" s="27"/>
      <c r="ES175" s="27"/>
      <c r="ET175" s="27"/>
      <c r="EU175" s="27"/>
      <c r="EV175" s="28"/>
      <c r="EW175" s="25"/>
      <c r="EX175" s="27"/>
      <c r="EY175" s="27"/>
      <c r="EZ175" s="27"/>
      <c r="FA175" s="27"/>
      <c r="FB175" s="27"/>
      <c r="FC175" s="28"/>
      <c r="FD175" s="25"/>
      <c r="FE175" s="27"/>
      <c r="FF175" s="27"/>
      <c r="FG175" s="27"/>
      <c r="FH175" s="27"/>
      <c r="FI175" s="27"/>
      <c r="FJ175" s="28"/>
      <c r="FK175" s="25"/>
      <c r="FL175" s="27"/>
      <c r="FM175" s="27"/>
      <c r="FN175" s="27"/>
      <c r="FO175" s="27"/>
      <c r="FP175" s="27"/>
      <c r="FQ175" s="28"/>
      <c r="FR175" s="25"/>
      <c r="FS175" s="27"/>
      <c r="FT175" s="27"/>
      <c r="FU175" s="27"/>
      <c r="FV175" s="27"/>
      <c r="FW175" s="27"/>
      <c r="FX175" s="28"/>
      <c r="FY175" s="25"/>
      <c r="FZ175" s="27"/>
      <c r="GA175" s="27"/>
      <c r="GB175" s="27"/>
      <c r="GC175" s="27"/>
      <c r="GD175" s="27"/>
      <c r="GE175" s="28"/>
      <c r="GF175" s="25"/>
      <c r="GG175" s="27"/>
      <c r="GH175" s="27"/>
      <c r="GI175" s="27"/>
      <c r="GJ175" s="27"/>
      <c r="GK175" s="27"/>
      <c r="GL175" s="28"/>
      <c r="GM175" s="25"/>
      <c r="GN175" s="27"/>
      <c r="GO175" s="27"/>
      <c r="GP175" s="27"/>
      <c r="GQ175" s="27"/>
      <c r="GR175" s="27"/>
      <c r="GS175" s="28"/>
      <c r="GT175" s="25"/>
      <c r="GU175" s="27"/>
      <c r="GV175" s="27"/>
      <c r="GW175" s="27"/>
      <c r="GX175" s="27"/>
      <c r="GY175" s="27"/>
      <c r="GZ175" s="28"/>
      <c r="HA175" s="25"/>
      <c r="HB175" s="27"/>
      <c r="HC175" s="27"/>
      <c r="HD175" s="27"/>
      <c r="HE175" s="27"/>
      <c r="HF175" s="27"/>
      <c r="HG175" s="28"/>
      <c r="HH175" s="25"/>
      <c r="HI175" s="27"/>
      <c r="HJ175" s="27"/>
      <c r="HK175" s="27"/>
      <c r="HL175" s="27"/>
      <c r="HM175" s="27"/>
      <c r="HN175" s="28"/>
      <c r="HO175" s="25"/>
      <c r="HP175" s="27"/>
      <c r="HQ175" s="27"/>
      <c r="HR175" s="27"/>
      <c r="HS175" s="27"/>
      <c r="HT175" s="27"/>
      <c r="HU175" s="28"/>
      <c r="HV175" s="25"/>
      <c r="HW175" s="27"/>
      <c r="HX175" s="27"/>
      <c r="HY175" s="27"/>
      <c r="HZ175" s="27"/>
      <c r="IA175" s="27"/>
      <c r="IB175" s="28"/>
      <c r="IC175" s="25"/>
      <c r="ID175" s="27"/>
      <c r="IE175" s="27"/>
      <c r="IF175" s="27"/>
      <c r="IG175" s="27"/>
      <c r="IH175" s="27"/>
      <c r="II175" s="28"/>
      <c r="IJ175" s="25"/>
      <c r="IK175" s="27"/>
      <c r="IL175" s="27"/>
      <c r="IM175" s="27"/>
      <c r="IN175" s="27"/>
      <c r="IO175" s="27"/>
      <c r="IP175" s="28"/>
      <c r="IQ175" s="25"/>
      <c r="IR175" s="27"/>
      <c r="IS175" s="27"/>
      <c r="IT175" s="27"/>
      <c r="IU175" s="27"/>
      <c r="IV175" s="27"/>
      <c r="IW175" s="28"/>
      <c r="IX175" s="25"/>
      <c r="IY175" s="27"/>
      <c r="IZ175" s="27"/>
      <c r="JA175" s="27"/>
      <c r="JB175" s="27"/>
      <c r="JC175" s="27"/>
      <c r="JD175" s="28"/>
      <c r="JE175" s="25"/>
      <c r="JF175" s="27"/>
      <c r="JG175" s="27"/>
      <c r="JH175" s="27"/>
      <c r="JI175" s="27"/>
      <c r="JJ175" s="27"/>
      <c r="JK175" s="28"/>
      <c r="JL175" s="25"/>
      <c r="JM175" s="27"/>
      <c r="JN175" s="27"/>
      <c r="JO175" s="27"/>
      <c r="JP175" s="27"/>
      <c r="JQ175" s="27"/>
      <c r="JR175" s="28"/>
      <c r="JS175" s="25"/>
      <c r="JT175" s="27"/>
      <c r="JU175" s="27"/>
      <c r="JV175" s="27"/>
      <c r="JW175" s="27"/>
      <c r="JX175" s="27"/>
      <c r="JY175" s="28"/>
      <c r="JZ175" s="25"/>
      <c r="KA175" s="27"/>
      <c r="KB175" s="27"/>
      <c r="KC175" s="27"/>
      <c r="KD175" s="27"/>
      <c r="KE175" s="27"/>
      <c r="KF175" s="28"/>
      <c r="KG175" s="25"/>
      <c r="KH175" s="27"/>
      <c r="KI175" s="27"/>
      <c r="KJ175" s="27"/>
      <c r="KK175" s="27"/>
      <c r="KL175" s="27"/>
      <c r="KM175" s="28"/>
      <c r="KN175" s="25"/>
      <c r="KO175" s="27"/>
      <c r="KP175" s="27"/>
      <c r="KQ175" s="27"/>
      <c r="KR175" s="27"/>
      <c r="KS175" s="27"/>
      <c r="KT175" s="28"/>
      <c r="KU175" s="25"/>
      <c r="KV175" s="27"/>
      <c r="KW175" s="27"/>
      <c r="KX175" s="27"/>
      <c r="KY175" s="27"/>
      <c r="KZ175" s="27"/>
      <c r="LA175" s="28"/>
      <c r="LB175" s="25"/>
      <c r="LC175" s="27"/>
      <c r="LD175" s="27"/>
      <c r="LE175" s="27"/>
      <c r="LF175" s="27"/>
      <c r="LG175" s="27"/>
      <c r="LH175" s="28"/>
      <c r="LI175" s="25"/>
      <c r="LJ175" s="27"/>
      <c r="LK175" s="27"/>
      <c r="LL175" s="27"/>
      <c r="LM175" s="27"/>
      <c r="LN175" s="27"/>
      <c r="LO175" s="28"/>
      <c r="LP175" s="25"/>
      <c r="LQ175" s="27"/>
      <c r="LR175" s="27"/>
      <c r="LS175" s="27"/>
      <c r="LT175" s="27"/>
      <c r="LU175" s="27"/>
      <c r="LV175" s="28"/>
      <c r="LW175" s="25"/>
      <c r="LX175" s="27"/>
      <c r="LY175" s="27"/>
      <c r="LZ175" s="27"/>
      <c r="MA175" s="27"/>
      <c r="MB175" s="27"/>
      <c r="MC175" s="28"/>
      <c r="MD175" s="25"/>
      <c r="ME175" s="27"/>
      <c r="MF175" s="27"/>
      <c r="MG175" s="27"/>
      <c r="MH175" s="27"/>
      <c r="MI175" s="27"/>
      <c r="MJ175" s="28"/>
      <c r="MK175" s="25"/>
      <c r="ML175" s="27"/>
      <c r="MM175" s="27"/>
      <c r="MN175" s="27"/>
      <c r="MO175" s="27"/>
      <c r="MP175" s="27"/>
      <c r="MQ175" s="28"/>
      <c r="MR175" s="25"/>
      <c r="MS175" s="27"/>
      <c r="MT175" s="27"/>
      <c r="MU175" s="27"/>
      <c r="MV175" s="27"/>
      <c r="MW175" s="27"/>
      <c r="MX175" s="28"/>
      <c r="MY175" s="25"/>
      <c r="MZ175" s="27"/>
      <c r="NA175" s="27"/>
      <c r="NB175" s="27"/>
      <c r="NC175" s="27"/>
      <c r="ND175" s="27"/>
      <c r="NE175" s="28"/>
      <c r="NF175" s="25"/>
      <c r="NG175" s="27"/>
      <c r="NH175" s="27"/>
      <c r="NI175" s="27"/>
      <c r="NJ175" s="27"/>
      <c r="NK175" s="27"/>
      <c r="NL175" s="28"/>
      <c r="NM175" s="25"/>
      <c r="NN175" s="27"/>
      <c r="NO175" s="27"/>
      <c r="NP175" s="27"/>
      <c r="NQ175" s="27"/>
      <c r="NR175" s="27"/>
      <c r="NS175" s="28"/>
      <c r="NT175" s="25"/>
      <c r="NU175" s="27"/>
      <c r="NV175" s="27"/>
      <c r="NW175" s="27"/>
      <c r="NX175" s="27"/>
      <c r="NY175" s="27"/>
      <c r="NZ175" s="28"/>
      <c r="OA175" s="25"/>
      <c r="OB175" s="27"/>
      <c r="OC175" s="27"/>
      <c r="OD175" s="27"/>
      <c r="OE175" s="27"/>
      <c r="OF175" s="27"/>
      <c r="OG175" s="28"/>
      <c r="OH175" s="25"/>
      <c r="OI175" s="27"/>
      <c r="OJ175" s="27"/>
      <c r="OK175" s="27"/>
      <c r="OL175" s="27"/>
      <c r="OM175" s="27"/>
      <c r="ON175" s="28"/>
      <c r="OO175" s="25"/>
      <c r="OP175" s="27"/>
      <c r="OQ175" s="27"/>
      <c r="OR175" s="27"/>
      <c r="OS175" s="27"/>
      <c r="OT175" s="27"/>
      <c r="OU175" s="28"/>
      <c r="OV175" s="25"/>
      <c r="OW175" s="27"/>
      <c r="OX175" s="27"/>
      <c r="OY175" s="27"/>
      <c r="OZ175" s="27"/>
      <c r="PA175" s="27"/>
      <c r="PB175" s="28"/>
      <c r="PC175" s="25"/>
      <c r="PD175" s="27"/>
      <c r="PE175" s="27"/>
      <c r="PF175" s="27"/>
      <c r="PG175" s="27"/>
      <c r="PH175" s="27"/>
      <c r="PI175" s="28"/>
      <c r="PJ175" s="25"/>
      <c r="PK175" s="27"/>
      <c r="PL175" s="27"/>
      <c r="PM175" s="27"/>
      <c r="PN175" s="27"/>
      <c r="PO175" s="27"/>
      <c r="PP175" s="28"/>
      <c r="PQ175" s="25"/>
      <c r="PR175" s="27"/>
      <c r="PS175" s="27"/>
      <c r="PT175" s="27"/>
      <c r="PU175" s="27"/>
      <c r="PV175" s="27"/>
      <c r="PW175" s="28"/>
      <c r="PX175" s="25"/>
      <c r="PY175" s="27"/>
      <c r="PZ175" s="27"/>
      <c r="QA175" s="27"/>
      <c r="QB175" s="27"/>
      <c r="QC175" s="27"/>
      <c r="QD175" s="28"/>
      <c r="QE175" s="25"/>
      <c r="QF175" s="27"/>
      <c r="QG175" s="27"/>
      <c r="QH175" s="27"/>
      <c r="QI175" s="27"/>
      <c r="QJ175" s="27"/>
      <c r="QK175" s="28"/>
      <c r="QL175" s="25"/>
      <c r="QM175" s="27"/>
      <c r="QN175" s="27"/>
      <c r="QO175" s="27"/>
      <c r="QP175" s="27"/>
      <c r="QQ175" s="27"/>
      <c r="QR175" s="28"/>
      <c r="QS175" s="25"/>
      <c r="QT175" s="27"/>
      <c r="QU175" s="27"/>
      <c r="QV175" s="27"/>
      <c r="QW175" s="27"/>
      <c r="QX175" s="27"/>
      <c r="QY175" s="28"/>
      <c r="QZ175" s="25"/>
      <c r="RA175" s="27"/>
      <c r="RB175" s="27"/>
      <c r="RC175" s="27"/>
      <c r="RD175" s="27"/>
      <c r="RE175" s="27"/>
      <c r="RF175" s="28"/>
      <c r="RG175" s="25"/>
      <c r="RH175" s="27"/>
      <c r="RI175" s="27"/>
      <c r="RJ175" s="27"/>
      <c r="RK175" s="27"/>
      <c r="RL175" s="27"/>
      <c r="RM175" s="28"/>
      <c r="RN175" s="25"/>
      <c r="RO175" s="27"/>
      <c r="RP175" s="27"/>
      <c r="RQ175" s="27"/>
      <c r="RR175" s="27"/>
      <c r="RS175" s="27"/>
      <c r="RT175" s="28"/>
      <c r="RU175" s="25"/>
      <c r="RV175" s="27"/>
      <c r="RW175" s="27"/>
      <c r="RX175" s="27"/>
      <c r="RY175" s="27"/>
      <c r="RZ175" s="27"/>
      <c r="SA175" s="28"/>
      <c r="SB175" s="25"/>
      <c r="SC175" s="27"/>
      <c r="SD175" s="27"/>
      <c r="SE175" s="27"/>
      <c r="SF175" s="27"/>
      <c r="SG175" s="27"/>
      <c r="SH175" s="28"/>
      <c r="SI175" s="25"/>
      <c r="SJ175" s="27"/>
      <c r="SK175" s="27"/>
      <c r="SL175" s="27"/>
      <c r="SM175" s="27"/>
      <c r="SN175" s="27"/>
      <c r="SO175" s="28"/>
      <c r="SP175" s="25"/>
      <c r="SQ175" s="27"/>
      <c r="SR175" s="27"/>
    </row>
    <row r="176" spans="1:512" x14ac:dyDescent="0.15">
      <c r="A176" s="101">
        <f t="shared" ca="1" si="1562"/>
        <v>39</v>
      </c>
      <c r="B176" s="111">
        <v>39</v>
      </c>
      <c r="C176" s="71" t="str">
        <f t="shared" ca="1" si="1555"/>
        <v>Vroni</v>
      </c>
      <c r="D176" s="112">
        <f t="shared" ca="1" si="1563"/>
        <v>219.1</v>
      </c>
      <c r="E176" s="25"/>
      <c r="F176" s="26"/>
      <c r="G176" s="27"/>
      <c r="H176" s="28"/>
      <c r="I176" s="25"/>
      <c r="J176" s="25"/>
      <c r="K176" s="26"/>
      <c r="L176" s="62"/>
      <c r="M176" s="61" t="s">
        <v>226</v>
      </c>
      <c r="N176" s="63" t="s">
        <v>107</v>
      </c>
      <c r="O176" s="32"/>
      <c r="P176" s="32">
        <f t="shared" ca="1" si="1566"/>
        <v>35</v>
      </c>
      <c r="Q176" s="32" t="str">
        <f t="shared" ca="1" si="1567"/>
        <v>Joseph</v>
      </c>
      <c r="R176" s="113">
        <f t="shared" ca="1" si="1568"/>
        <v>220.20000000000002</v>
      </c>
      <c r="S176" s="73">
        <v>39</v>
      </c>
      <c r="T176" s="32">
        <f t="shared" ca="1" si="1561"/>
        <v>220.20039000000003</v>
      </c>
      <c r="U176" s="32"/>
      <c r="V176" s="61"/>
      <c r="W176" s="62"/>
      <c r="X176" s="32"/>
      <c r="Y176" s="63"/>
      <c r="Z176" s="73"/>
      <c r="AA176" s="32"/>
      <c r="AB176" s="32"/>
      <c r="AC176" s="61"/>
      <c r="AD176" s="27"/>
      <c r="AE176" s="27"/>
      <c r="AF176" s="27"/>
      <c r="AG176" s="28"/>
      <c r="AH176" s="25"/>
      <c r="AI176" s="27"/>
      <c r="AJ176" s="27"/>
      <c r="AK176" s="27"/>
      <c r="AL176" s="27"/>
      <c r="AM176" s="27"/>
      <c r="AN176" s="28"/>
      <c r="AO176" s="25"/>
      <c r="AP176" s="27"/>
      <c r="AQ176" s="27"/>
      <c r="AR176" s="27"/>
      <c r="AS176" s="27"/>
      <c r="AT176" s="27"/>
      <c r="AU176" s="28"/>
      <c r="AV176" s="25"/>
      <c r="AW176" s="27"/>
      <c r="AX176" s="27"/>
      <c r="AY176" s="27"/>
      <c r="AZ176" s="27"/>
      <c r="BA176" s="27"/>
      <c r="BB176" s="28"/>
      <c r="BC176" s="25"/>
      <c r="BD176" s="27"/>
      <c r="BE176" s="27"/>
      <c r="BF176" s="27"/>
      <c r="BG176" s="27"/>
      <c r="BH176" s="27"/>
      <c r="BI176" s="28"/>
      <c r="BJ176" s="25"/>
      <c r="BK176" s="27"/>
      <c r="BL176" s="27"/>
      <c r="BM176" s="27"/>
      <c r="BN176" s="27"/>
      <c r="BO176" s="27"/>
      <c r="BP176" s="28"/>
      <c r="BQ176" s="25"/>
      <c r="BR176" s="27"/>
      <c r="BS176" s="27"/>
      <c r="BT176" s="27"/>
      <c r="BU176" s="27"/>
      <c r="BV176" s="27"/>
      <c r="BW176" s="28"/>
      <c r="BX176" s="25"/>
      <c r="BY176" s="27"/>
      <c r="BZ176" s="27"/>
      <c r="CA176" s="27"/>
      <c r="CB176" s="27"/>
      <c r="CC176" s="27"/>
      <c r="CD176" s="28"/>
      <c r="CE176" s="25"/>
      <c r="CF176" s="27"/>
      <c r="CG176" s="27"/>
      <c r="CH176" s="27"/>
      <c r="CI176" s="27"/>
      <c r="CJ176" s="27"/>
      <c r="CK176" s="28"/>
      <c r="CL176" s="25"/>
      <c r="CM176" s="27"/>
      <c r="CN176" s="27"/>
      <c r="CO176" s="27"/>
      <c r="CP176" s="27"/>
      <c r="CQ176" s="27"/>
      <c r="CR176" s="28"/>
      <c r="CS176" s="25"/>
      <c r="CT176" s="27"/>
      <c r="CU176" s="27"/>
      <c r="CV176" s="27"/>
      <c r="CW176" s="27"/>
      <c r="CX176" s="27"/>
      <c r="CY176" s="28"/>
      <c r="CZ176" s="25"/>
      <c r="DA176" s="27"/>
      <c r="DB176" s="27"/>
      <c r="DC176" s="27"/>
      <c r="DD176" s="27"/>
      <c r="DE176" s="27"/>
      <c r="DF176" s="28"/>
      <c r="DG176" s="25"/>
      <c r="DH176" s="27"/>
      <c r="DI176" s="27"/>
      <c r="DJ176" s="27"/>
      <c r="DK176" s="27"/>
      <c r="DL176" s="27"/>
      <c r="DM176" s="28"/>
      <c r="DN176" s="25"/>
      <c r="DO176" s="27"/>
      <c r="DP176" s="27"/>
      <c r="DQ176" s="27"/>
      <c r="DR176" s="27"/>
      <c r="DS176" s="27"/>
      <c r="DT176" s="28"/>
      <c r="DU176" s="25"/>
      <c r="DV176" s="27"/>
      <c r="DW176" s="27"/>
      <c r="DX176" s="27"/>
      <c r="DY176" s="27"/>
      <c r="DZ176" s="27"/>
      <c r="EA176" s="28"/>
      <c r="EB176" s="25"/>
      <c r="EC176" s="27"/>
      <c r="ED176" s="27"/>
      <c r="EE176" s="27"/>
      <c r="EF176" s="27"/>
      <c r="EG176" s="27"/>
      <c r="EH176" s="28"/>
      <c r="EI176" s="25"/>
      <c r="EJ176" s="27"/>
      <c r="EK176" s="27"/>
      <c r="EL176" s="27"/>
      <c r="EM176" s="27"/>
      <c r="EN176" s="27"/>
      <c r="EO176" s="28"/>
      <c r="EP176" s="25"/>
      <c r="EQ176" s="27"/>
      <c r="ER176" s="27"/>
      <c r="ES176" s="27"/>
      <c r="ET176" s="27"/>
      <c r="EU176" s="27"/>
      <c r="EV176" s="28"/>
      <c r="EW176" s="25"/>
      <c r="EX176" s="27"/>
      <c r="EY176" s="27"/>
      <c r="EZ176" s="27"/>
      <c r="FA176" s="27"/>
      <c r="FB176" s="27"/>
      <c r="FC176" s="28"/>
      <c r="FD176" s="25"/>
      <c r="FE176" s="27"/>
      <c r="FF176" s="27"/>
      <c r="FG176" s="27"/>
      <c r="FH176" s="27"/>
      <c r="FI176" s="27"/>
      <c r="FJ176" s="28"/>
      <c r="FK176" s="25"/>
      <c r="FL176" s="27"/>
      <c r="FM176" s="27"/>
      <c r="FN176" s="27"/>
      <c r="FO176" s="27"/>
      <c r="FP176" s="27"/>
      <c r="FQ176" s="28"/>
      <c r="FR176" s="25"/>
      <c r="FS176" s="27"/>
      <c r="FT176" s="27"/>
      <c r="FU176" s="27"/>
      <c r="FV176" s="27"/>
      <c r="FW176" s="27"/>
      <c r="FX176" s="28"/>
      <c r="FY176" s="25"/>
      <c r="FZ176" s="27"/>
      <c r="GA176" s="27"/>
      <c r="GB176" s="27"/>
      <c r="GC176" s="27"/>
      <c r="GD176" s="27"/>
      <c r="GE176" s="28"/>
      <c r="GF176" s="25"/>
      <c r="GG176" s="27"/>
      <c r="GH176" s="27"/>
      <c r="GI176" s="27"/>
      <c r="GJ176" s="27"/>
      <c r="GK176" s="27"/>
      <c r="GL176" s="28"/>
      <c r="GM176" s="25"/>
      <c r="GN176" s="27"/>
      <c r="GO176" s="27"/>
      <c r="GP176" s="27"/>
      <c r="GQ176" s="27"/>
      <c r="GR176" s="27"/>
      <c r="GS176" s="28"/>
      <c r="GT176" s="25"/>
      <c r="GU176" s="27"/>
      <c r="GV176" s="27"/>
      <c r="GW176" s="27"/>
      <c r="GX176" s="27"/>
      <c r="GY176" s="27"/>
      <c r="GZ176" s="28"/>
      <c r="HA176" s="25"/>
      <c r="HB176" s="27"/>
      <c r="HC176" s="27"/>
      <c r="HD176" s="27"/>
      <c r="HE176" s="27"/>
      <c r="HF176" s="27"/>
      <c r="HG176" s="28"/>
      <c r="HH176" s="25"/>
      <c r="HI176" s="27"/>
      <c r="HJ176" s="27"/>
      <c r="HK176" s="27"/>
      <c r="HL176" s="27"/>
      <c r="HM176" s="27"/>
      <c r="HN176" s="28"/>
      <c r="HO176" s="25"/>
      <c r="HP176" s="27"/>
      <c r="HQ176" s="27"/>
      <c r="HR176" s="27"/>
      <c r="HS176" s="27"/>
      <c r="HT176" s="27"/>
      <c r="HU176" s="28"/>
      <c r="HV176" s="25"/>
      <c r="HW176" s="27"/>
      <c r="HX176" s="27"/>
      <c r="HY176" s="27"/>
      <c r="HZ176" s="27"/>
      <c r="IA176" s="27"/>
      <c r="IB176" s="28"/>
      <c r="IC176" s="25"/>
      <c r="ID176" s="27"/>
      <c r="IE176" s="27"/>
      <c r="IF176" s="27"/>
      <c r="IG176" s="27"/>
      <c r="IH176" s="27"/>
      <c r="II176" s="28"/>
      <c r="IJ176" s="25"/>
      <c r="IK176" s="27"/>
      <c r="IL176" s="27"/>
      <c r="IM176" s="27"/>
      <c r="IN176" s="27"/>
      <c r="IO176" s="27"/>
      <c r="IP176" s="28"/>
      <c r="IQ176" s="25"/>
      <c r="IR176" s="27"/>
      <c r="IS176" s="27"/>
      <c r="IT176" s="27"/>
      <c r="IU176" s="27"/>
      <c r="IV176" s="27"/>
      <c r="IW176" s="28"/>
      <c r="IX176" s="25"/>
      <c r="IY176" s="27"/>
      <c r="IZ176" s="27"/>
      <c r="JA176" s="27"/>
      <c r="JB176" s="27"/>
      <c r="JC176" s="27"/>
      <c r="JD176" s="28"/>
      <c r="JE176" s="25"/>
      <c r="JF176" s="27"/>
      <c r="JG176" s="27"/>
      <c r="JH176" s="27"/>
      <c r="JI176" s="27"/>
      <c r="JJ176" s="27"/>
      <c r="JK176" s="28"/>
      <c r="JL176" s="25"/>
      <c r="JM176" s="27"/>
      <c r="JN176" s="27"/>
      <c r="JO176" s="27"/>
      <c r="JP176" s="27"/>
      <c r="JQ176" s="27"/>
      <c r="JR176" s="28"/>
      <c r="JS176" s="25"/>
      <c r="JT176" s="27"/>
      <c r="JU176" s="27"/>
      <c r="JV176" s="27"/>
      <c r="JW176" s="27"/>
      <c r="JX176" s="27"/>
      <c r="JY176" s="28"/>
      <c r="JZ176" s="25"/>
      <c r="KA176" s="27"/>
      <c r="KB176" s="27"/>
      <c r="KC176" s="27"/>
      <c r="KD176" s="27"/>
      <c r="KE176" s="27"/>
      <c r="KF176" s="28"/>
      <c r="KG176" s="25"/>
      <c r="KH176" s="27"/>
      <c r="KI176" s="27"/>
      <c r="KJ176" s="27"/>
      <c r="KK176" s="27"/>
      <c r="KL176" s="27"/>
      <c r="KM176" s="28"/>
      <c r="KN176" s="25"/>
      <c r="KO176" s="27"/>
      <c r="KP176" s="27"/>
      <c r="KQ176" s="27"/>
      <c r="KR176" s="27"/>
      <c r="KS176" s="27"/>
      <c r="KT176" s="28"/>
      <c r="KU176" s="25"/>
      <c r="KV176" s="27"/>
      <c r="KW176" s="27"/>
      <c r="KX176" s="27"/>
      <c r="KY176" s="27"/>
      <c r="KZ176" s="27"/>
      <c r="LA176" s="28"/>
      <c r="LB176" s="25"/>
      <c r="LC176" s="27"/>
      <c r="LD176" s="27"/>
      <c r="LE176" s="27"/>
      <c r="LF176" s="27"/>
      <c r="LG176" s="27"/>
      <c r="LH176" s="28"/>
      <c r="LI176" s="25"/>
      <c r="LJ176" s="27"/>
      <c r="LK176" s="27"/>
      <c r="LL176" s="27"/>
      <c r="LM176" s="27"/>
      <c r="LN176" s="27"/>
      <c r="LO176" s="28"/>
      <c r="LP176" s="25"/>
      <c r="LQ176" s="27"/>
      <c r="LR176" s="27"/>
      <c r="LS176" s="27"/>
      <c r="LT176" s="27"/>
      <c r="LU176" s="27"/>
      <c r="LV176" s="28"/>
      <c r="LW176" s="25"/>
      <c r="LX176" s="27"/>
      <c r="LY176" s="27"/>
      <c r="LZ176" s="27"/>
      <c r="MA176" s="27"/>
      <c r="MB176" s="27"/>
      <c r="MC176" s="28"/>
      <c r="MD176" s="25"/>
      <c r="ME176" s="27"/>
      <c r="MF176" s="27"/>
      <c r="MG176" s="27"/>
      <c r="MH176" s="27"/>
      <c r="MI176" s="27"/>
      <c r="MJ176" s="28"/>
      <c r="MK176" s="25"/>
      <c r="ML176" s="27"/>
      <c r="MM176" s="27"/>
      <c r="MN176" s="27"/>
      <c r="MO176" s="27"/>
      <c r="MP176" s="27"/>
      <c r="MQ176" s="28"/>
      <c r="MR176" s="25"/>
      <c r="MS176" s="27"/>
      <c r="MT176" s="27"/>
      <c r="MU176" s="27"/>
      <c r="MV176" s="27"/>
      <c r="MW176" s="27"/>
      <c r="MX176" s="28"/>
      <c r="MY176" s="25"/>
      <c r="MZ176" s="27"/>
      <c r="NA176" s="27"/>
      <c r="NB176" s="27"/>
      <c r="NC176" s="27"/>
      <c r="ND176" s="27"/>
      <c r="NE176" s="28"/>
      <c r="NF176" s="25"/>
      <c r="NG176" s="27"/>
      <c r="NH176" s="27"/>
      <c r="NI176" s="27"/>
      <c r="NJ176" s="27"/>
      <c r="NK176" s="27"/>
      <c r="NL176" s="28"/>
      <c r="NM176" s="25"/>
      <c r="NN176" s="27"/>
      <c r="NO176" s="27"/>
      <c r="NP176" s="27"/>
      <c r="NQ176" s="27"/>
      <c r="NR176" s="27"/>
      <c r="NS176" s="28"/>
      <c r="NT176" s="25"/>
      <c r="NU176" s="27"/>
      <c r="NV176" s="27"/>
      <c r="NW176" s="27"/>
      <c r="NX176" s="27"/>
      <c r="NY176" s="27"/>
      <c r="NZ176" s="28"/>
      <c r="OA176" s="25"/>
      <c r="OB176" s="27"/>
      <c r="OC176" s="27"/>
      <c r="OD176" s="27"/>
      <c r="OE176" s="27"/>
      <c r="OF176" s="27"/>
      <c r="OG176" s="28"/>
      <c r="OH176" s="25"/>
      <c r="OI176" s="27"/>
      <c r="OJ176" s="27"/>
      <c r="OK176" s="27"/>
      <c r="OL176" s="27"/>
      <c r="OM176" s="27"/>
      <c r="ON176" s="28"/>
      <c r="OO176" s="25"/>
      <c r="OP176" s="27"/>
      <c r="OQ176" s="27"/>
      <c r="OR176" s="27"/>
      <c r="OS176" s="27"/>
      <c r="OT176" s="27"/>
      <c r="OU176" s="28"/>
      <c r="OV176" s="25"/>
      <c r="OW176" s="27"/>
      <c r="OX176" s="27"/>
      <c r="OY176" s="27"/>
      <c r="OZ176" s="27"/>
      <c r="PA176" s="27"/>
      <c r="PB176" s="28"/>
      <c r="PC176" s="25"/>
      <c r="PD176" s="27"/>
      <c r="PE176" s="27"/>
      <c r="PF176" s="27"/>
      <c r="PG176" s="27"/>
      <c r="PH176" s="27"/>
      <c r="PI176" s="28"/>
      <c r="PJ176" s="25"/>
      <c r="PK176" s="27"/>
      <c r="PL176" s="27"/>
      <c r="PM176" s="27"/>
      <c r="PN176" s="27"/>
      <c r="PO176" s="27"/>
      <c r="PP176" s="28"/>
      <c r="PQ176" s="25"/>
      <c r="PR176" s="27"/>
      <c r="PS176" s="27"/>
      <c r="PT176" s="27"/>
      <c r="PU176" s="27"/>
      <c r="PV176" s="27"/>
      <c r="PW176" s="28"/>
      <c r="PX176" s="25"/>
      <c r="PY176" s="27"/>
      <c r="PZ176" s="27"/>
      <c r="QA176" s="27"/>
      <c r="QB176" s="27"/>
      <c r="QC176" s="27"/>
      <c r="QD176" s="28"/>
      <c r="QE176" s="25"/>
      <c r="QF176" s="27"/>
      <c r="QG176" s="27"/>
      <c r="QH176" s="27"/>
      <c r="QI176" s="27"/>
      <c r="QJ176" s="27"/>
      <c r="QK176" s="28"/>
      <c r="QL176" s="25"/>
      <c r="QM176" s="27"/>
      <c r="QN176" s="27"/>
      <c r="QO176" s="27"/>
      <c r="QP176" s="27"/>
      <c r="QQ176" s="27"/>
      <c r="QR176" s="28"/>
      <c r="QS176" s="25"/>
      <c r="QT176" s="27"/>
      <c r="QU176" s="27"/>
      <c r="QV176" s="27"/>
      <c r="QW176" s="27"/>
      <c r="QX176" s="27"/>
      <c r="QY176" s="28"/>
      <c r="QZ176" s="25"/>
      <c r="RA176" s="27"/>
      <c r="RB176" s="27"/>
      <c r="RC176" s="27"/>
      <c r="RD176" s="27"/>
      <c r="RE176" s="27"/>
      <c r="RF176" s="28"/>
      <c r="RG176" s="25"/>
      <c r="RH176" s="27"/>
      <c r="RI176" s="27"/>
      <c r="RJ176" s="27"/>
      <c r="RK176" s="27"/>
      <c r="RL176" s="27"/>
      <c r="RM176" s="28"/>
      <c r="RN176" s="25"/>
      <c r="RO176" s="27"/>
      <c r="RP176" s="27"/>
      <c r="RQ176" s="27"/>
      <c r="RR176" s="27"/>
      <c r="RS176" s="27"/>
      <c r="RT176" s="28"/>
      <c r="RU176" s="25"/>
      <c r="RV176" s="27"/>
      <c r="RW176" s="27"/>
      <c r="RX176" s="27"/>
      <c r="RY176" s="27"/>
      <c r="RZ176" s="27"/>
      <c r="SA176" s="28"/>
      <c r="SB176" s="25"/>
      <c r="SC176" s="27"/>
      <c r="SD176" s="27"/>
      <c r="SE176" s="27"/>
      <c r="SF176" s="27"/>
      <c r="SG176" s="27"/>
      <c r="SH176" s="28"/>
      <c r="SI176" s="25"/>
      <c r="SJ176" s="27"/>
      <c r="SK176" s="27"/>
      <c r="SL176" s="27"/>
      <c r="SM176" s="27"/>
      <c r="SN176" s="27"/>
      <c r="SO176" s="28"/>
      <c r="SP176" s="25"/>
      <c r="SQ176" s="27"/>
      <c r="SR176" s="27"/>
    </row>
    <row r="177" spans="1:512" x14ac:dyDescent="0.15">
      <c r="A177" s="101">
        <f t="shared" ca="1" si="1562"/>
        <v>40</v>
      </c>
      <c r="B177" s="111">
        <v>40</v>
      </c>
      <c r="C177" s="71" t="str">
        <f t="shared" ca="1" si="1555"/>
        <v>Johanna</v>
      </c>
      <c r="D177" s="112">
        <f t="shared" ca="1" si="1563"/>
        <v>218.9</v>
      </c>
      <c r="E177" s="25"/>
      <c r="F177" s="26"/>
      <c r="G177" s="27"/>
      <c r="H177" s="28"/>
      <c r="I177" s="25"/>
      <c r="J177" s="25"/>
      <c r="K177" s="26"/>
      <c r="L177" s="62"/>
      <c r="M177" s="62" t="s">
        <v>227</v>
      </c>
      <c r="N177" s="32" t="s">
        <v>108</v>
      </c>
      <c r="O177" s="32"/>
      <c r="P177" s="32">
        <f t="shared" ca="1" si="1566"/>
        <v>57</v>
      </c>
      <c r="Q177" s="32" t="str">
        <f t="shared" ca="1" si="1567"/>
        <v>Sören</v>
      </c>
      <c r="R177" s="113">
        <f t="shared" ca="1" si="1568"/>
        <v>204.20000000000002</v>
      </c>
      <c r="S177" s="73">
        <v>40</v>
      </c>
      <c r="T177" s="32">
        <f t="shared" ca="1" si="1561"/>
        <v>204.20040000000003</v>
      </c>
      <c r="U177" s="32"/>
      <c r="V177" s="61"/>
      <c r="W177" s="62"/>
      <c r="X177" s="32"/>
      <c r="Y177" s="63"/>
      <c r="Z177" s="73"/>
      <c r="AA177" s="32"/>
      <c r="AB177" s="32"/>
      <c r="AC177" s="61"/>
      <c r="AD177" s="27"/>
      <c r="AE177" s="27"/>
      <c r="AF177" s="27"/>
      <c r="AG177" s="28"/>
      <c r="AH177" s="25"/>
      <c r="AI177" s="27"/>
      <c r="AJ177" s="27"/>
      <c r="AK177" s="27"/>
      <c r="AL177" s="27"/>
      <c r="AM177" s="27"/>
      <c r="AN177" s="28"/>
      <c r="AO177" s="25"/>
      <c r="AP177" s="27"/>
      <c r="AQ177" s="27"/>
      <c r="AR177" s="27"/>
      <c r="AS177" s="27"/>
      <c r="AT177" s="27"/>
      <c r="AU177" s="28"/>
      <c r="AV177" s="25"/>
      <c r="AW177" s="27"/>
      <c r="AX177" s="27"/>
      <c r="AY177" s="27"/>
      <c r="AZ177" s="27"/>
      <c r="BA177" s="27"/>
      <c r="BB177" s="28"/>
      <c r="BC177" s="25"/>
      <c r="BD177" s="27"/>
      <c r="BE177" s="27"/>
      <c r="BF177" s="27"/>
      <c r="BG177" s="27"/>
      <c r="BH177" s="27"/>
      <c r="BI177" s="28"/>
      <c r="BJ177" s="25"/>
      <c r="BK177" s="27"/>
      <c r="BL177" s="27"/>
      <c r="BM177" s="27"/>
      <c r="BN177" s="27"/>
      <c r="BO177" s="27"/>
      <c r="BP177" s="28"/>
      <c r="BQ177" s="25"/>
      <c r="BR177" s="27"/>
      <c r="BS177" s="27"/>
      <c r="BT177" s="27"/>
      <c r="BU177" s="27"/>
      <c r="BV177" s="27"/>
      <c r="BW177" s="28"/>
      <c r="BX177" s="25"/>
      <c r="BY177" s="27"/>
      <c r="BZ177" s="27"/>
      <c r="CA177" s="27"/>
      <c r="CB177" s="27"/>
      <c r="CC177" s="27"/>
      <c r="CD177" s="28"/>
      <c r="CE177" s="25"/>
      <c r="CF177" s="27"/>
      <c r="CG177" s="27"/>
      <c r="CH177" s="27"/>
      <c r="CI177" s="27"/>
      <c r="CJ177" s="27"/>
      <c r="CK177" s="28"/>
      <c r="CL177" s="25"/>
      <c r="CM177" s="27"/>
      <c r="CN177" s="27"/>
      <c r="CO177" s="27"/>
      <c r="CP177" s="27"/>
      <c r="CQ177" s="27"/>
      <c r="CR177" s="28"/>
      <c r="CS177" s="25"/>
      <c r="CT177" s="27"/>
      <c r="CU177" s="27"/>
      <c r="CV177" s="27"/>
      <c r="CW177" s="27"/>
      <c r="CX177" s="27"/>
      <c r="CY177" s="28"/>
      <c r="CZ177" s="25"/>
      <c r="DA177" s="27"/>
      <c r="DB177" s="27"/>
      <c r="DC177" s="27"/>
      <c r="DD177" s="27"/>
      <c r="DE177" s="27"/>
      <c r="DF177" s="28"/>
      <c r="DG177" s="25"/>
      <c r="DH177" s="27"/>
      <c r="DI177" s="27"/>
      <c r="DJ177" s="27"/>
      <c r="DK177" s="27"/>
      <c r="DL177" s="27"/>
      <c r="DM177" s="28"/>
      <c r="DN177" s="25"/>
      <c r="DO177" s="27"/>
      <c r="DP177" s="27"/>
      <c r="DQ177" s="27"/>
      <c r="DR177" s="27"/>
      <c r="DS177" s="27"/>
      <c r="DT177" s="28"/>
      <c r="DU177" s="25"/>
      <c r="DV177" s="27"/>
      <c r="DW177" s="27"/>
      <c r="DX177" s="27"/>
      <c r="DY177" s="27"/>
      <c r="DZ177" s="27"/>
      <c r="EA177" s="28"/>
      <c r="EB177" s="25"/>
      <c r="EC177" s="27"/>
      <c r="ED177" s="27"/>
      <c r="EE177" s="27"/>
      <c r="EF177" s="27"/>
      <c r="EG177" s="27"/>
      <c r="EH177" s="28"/>
      <c r="EI177" s="25"/>
      <c r="EJ177" s="27"/>
      <c r="EK177" s="27"/>
      <c r="EL177" s="27"/>
      <c r="EM177" s="27"/>
      <c r="EN177" s="27"/>
      <c r="EO177" s="28"/>
      <c r="EP177" s="25"/>
      <c r="EQ177" s="27"/>
      <c r="ER177" s="27"/>
      <c r="ES177" s="27"/>
      <c r="ET177" s="27"/>
      <c r="EU177" s="27"/>
      <c r="EV177" s="28"/>
      <c r="EW177" s="25"/>
      <c r="EX177" s="27"/>
      <c r="EY177" s="27"/>
      <c r="EZ177" s="27"/>
      <c r="FA177" s="27"/>
      <c r="FB177" s="27"/>
      <c r="FC177" s="28"/>
      <c r="FD177" s="25"/>
      <c r="FE177" s="27"/>
      <c r="FF177" s="27"/>
      <c r="FG177" s="27"/>
      <c r="FH177" s="27"/>
      <c r="FI177" s="27"/>
      <c r="FJ177" s="28"/>
      <c r="FK177" s="25"/>
      <c r="FL177" s="27"/>
      <c r="FM177" s="27"/>
      <c r="FN177" s="27"/>
      <c r="FO177" s="27"/>
      <c r="FP177" s="27"/>
      <c r="FQ177" s="28"/>
      <c r="FR177" s="25"/>
      <c r="FS177" s="27"/>
      <c r="FT177" s="27"/>
      <c r="FU177" s="27"/>
      <c r="FV177" s="27"/>
      <c r="FW177" s="27"/>
      <c r="FX177" s="28"/>
      <c r="FY177" s="25"/>
      <c r="FZ177" s="27"/>
      <c r="GA177" s="27"/>
      <c r="GB177" s="27"/>
      <c r="GC177" s="27"/>
      <c r="GD177" s="27"/>
      <c r="GE177" s="28"/>
      <c r="GF177" s="25"/>
      <c r="GG177" s="27"/>
      <c r="GH177" s="27"/>
      <c r="GI177" s="27"/>
      <c r="GJ177" s="27"/>
      <c r="GK177" s="27"/>
      <c r="GL177" s="28"/>
      <c r="GM177" s="25"/>
      <c r="GN177" s="27"/>
      <c r="GO177" s="27"/>
      <c r="GP177" s="27"/>
      <c r="GQ177" s="27"/>
      <c r="GR177" s="27"/>
      <c r="GS177" s="28"/>
      <c r="GT177" s="25"/>
      <c r="GU177" s="27"/>
      <c r="GV177" s="27"/>
      <c r="GW177" s="27"/>
      <c r="GX177" s="27"/>
      <c r="GY177" s="27"/>
      <c r="GZ177" s="28"/>
      <c r="HA177" s="25"/>
      <c r="HB177" s="27"/>
      <c r="HC177" s="27"/>
      <c r="HD177" s="27"/>
      <c r="HE177" s="27"/>
      <c r="HF177" s="27"/>
      <c r="HG177" s="28"/>
      <c r="HH177" s="25"/>
      <c r="HI177" s="27"/>
      <c r="HJ177" s="27"/>
      <c r="HK177" s="27"/>
      <c r="HL177" s="27"/>
      <c r="HM177" s="27"/>
      <c r="HN177" s="28"/>
      <c r="HO177" s="25"/>
      <c r="HP177" s="27"/>
      <c r="HQ177" s="27"/>
      <c r="HR177" s="27"/>
      <c r="HS177" s="27"/>
      <c r="HT177" s="27"/>
      <c r="HU177" s="28"/>
      <c r="HV177" s="25"/>
      <c r="HW177" s="27"/>
      <c r="HX177" s="27"/>
      <c r="HY177" s="27"/>
      <c r="HZ177" s="27"/>
      <c r="IA177" s="27"/>
      <c r="IB177" s="28"/>
      <c r="IC177" s="25"/>
      <c r="ID177" s="27"/>
      <c r="IE177" s="27"/>
      <c r="IF177" s="27"/>
      <c r="IG177" s="27"/>
      <c r="IH177" s="27"/>
      <c r="II177" s="28"/>
      <c r="IJ177" s="25"/>
      <c r="IK177" s="27"/>
      <c r="IL177" s="27"/>
      <c r="IM177" s="27"/>
      <c r="IN177" s="27"/>
      <c r="IO177" s="27"/>
      <c r="IP177" s="28"/>
      <c r="IQ177" s="25"/>
      <c r="IR177" s="27"/>
      <c r="IS177" s="27"/>
      <c r="IT177" s="27"/>
      <c r="IU177" s="27"/>
      <c r="IV177" s="27"/>
      <c r="IW177" s="28"/>
      <c r="IX177" s="25"/>
      <c r="IY177" s="27"/>
      <c r="IZ177" s="27"/>
      <c r="JA177" s="27"/>
      <c r="JB177" s="27"/>
      <c r="JC177" s="27"/>
      <c r="JD177" s="28"/>
      <c r="JE177" s="25"/>
      <c r="JF177" s="27"/>
      <c r="JG177" s="27"/>
      <c r="JH177" s="27"/>
      <c r="JI177" s="27"/>
      <c r="JJ177" s="27"/>
      <c r="JK177" s="28"/>
      <c r="JL177" s="25"/>
      <c r="JM177" s="27"/>
      <c r="JN177" s="27"/>
      <c r="JO177" s="27"/>
      <c r="JP177" s="27"/>
      <c r="JQ177" s="27"/>
      <c r="JR177" s="28"/>
      <c r="JS177" s="25"/>
      <c r="JT177" s="27"/>
      <c r="JU177" s="27"/>
      <c r="JV177" s="27"/>
      <c r="JW177" s="27"/>
      <c r="JX177" s="27"/>
      <c r="JY177" s="28"/>
      <c r="JZ177" s="25"/>
      <c r="KA177" s="27"/>
      <c r="KB177" s="27"/>
      <c r="KC177" s="27"/>
      <c r="KD177" s="27"/>
      <c r="KE177" s="27"/>
      <c r="KF177" s="28"/>
      <c r="KG177" s="25"/>
      <c r="KH177" s="27"/>
      <c r="KI177" s="27"/>
      <c r="KJ177" s="27"/>
      <c r="KK177" s="27"/>
      <c r="KL177" s="27"/>
      <c r="KM177" s="28"/>
      <c r="KN177" s="25"/>
      <c r="KO177" s="27"/>
      <c r="KP177" s="27"/>
      <c r="KQ177" s="27"/>
      <c r="KR177" s="27"/>
      <c r="KS177" s="27"/>
      <c r="KT177" s="28"/>
      <c r="KU177" s="25"/>
      <c r="KV177" s="27"/>
      <c r="KW177" s="27"/>
      <c r="KX177" s="27"/>
      <c r="KY177" s="27"/>
      <c r="KZ177" s="27"/>
      <c r="LA177" s="28"/>
      <c r="LB177" s="25"/>
      <c r="LC177" s="27"/>
      <c r="LD177" s="27"/>
      <c r="LE177" s="27"/>
      <c r="LF177" s="27"/>
      <c r="LG177" s="27"/>
      <c r="LH177" s="28"/>
      <c r="LI177" s="25"/>
      <c r="LJ177" s="27"/>
      <c r="LK177" s="27"/>
      <c r="LL177" s="27"/>
      <c r="LM177" s="27"/>
      <c r="LN177" s="27"/>
      <c r="LO177" s="28"/>
      <c r="LP177" s="25"/>
      <c r="LQ177" s="27"/>
      <c r="LR177" s="27"/>
      <c r="LS177" s="27"/>
      <c r="LT177" s="27"/>
      <c r="LU177" s="27"/>
      <c r="LV177" s="28"/>
      <c r="LW177" s="25"/>
      <c r="LX177" s="27"/>
      <c r="LY177" s="27"/>
      <c r="LZ177" s="27"/>
      <c r="MA177" s="27"/>
      <c r="MB177" s="27"/>
      <c r="MC177" s="28"/>
      <c r="MD177" s="25"/>
      <c r="ME177" s="27"/>
      <c r="MF177" s="27"/>
      <c r="MG177" s="27"/>
      <c r="MH177" s="27"/>
      <c r="MI177" s="27"/>
      <c r="MJ177" s="28"/>
      <c r="MK177" s="25"/>
      <c r="ML177" s="27"/>
      <c r="MM177" s="27"/>
      <c r="MN177" s="27"/>
      <c r="MO177" s="27"/>
      <c r="MP177" s="27"/>
      <c r="MQ177" s="28"/>
      <c r="MR177" s="25"/>
      <c r="MS177" s="27"/>
      <c r="MT177" s="27"/>
      <c r="MU177" s="27"/>
      <c r="MV177" s="27"/>
      <c r="MW177" s="27"/>
      <c r="MX177" s="28"/>
      <c r="MY177" s="25"/>
      <c r="MZ177" s="27"/>
      <c r="NA177" s="27"/>
      <c r="NB177" s="27"/>
      <c r="NC177" s="27"/>
      <c r="ND177" s="27"/>
      <c r="NE177" s="28"/>
      <c r="NF177" s="25"/>
      <c r="NG177" s="27"/>
      <c r="NH177" s="27"/>
      <c r="NI177" s="27"/>
      <c r="NJ177" s="27"/>
      <c r="NK177" s="27"/>
      <c r="NL177" s="28"/>
      <c r="NM177" s="25"/>
      <c r="NN177" s="27"/>
      <c r="NO177" s="27"/>
      <c r="NP177" s="27"/>
      <c r="NQ177" s="27"/>
      <c r="NR177" s="27"/>
      <c r="NS177" s="28"/>
      <c r="NT177" s="25"/>
      <c r="NU177" s="27"/>
      <c r="NV177" s="27"/>
      <c r="NW177" s="27"/>
      <c r="NX177" s="27"/>
      <c r="NY177" s="27"/>
      <c r="NZ177" s="28"/>
      <c r="OA177" s="25"/>
      <c r="OB177" s="27"/>
      <c r="OC177" s="27"/>
      <c r="OD177" s="27"/>
      <c r="OE177" s="27"/>
      <c r="OF177" s="27"/>
      <c r="OG177" s="28"/>
      <c r="OH177" s="25"/>
      <c r="OI177" s="27"/>
      <c r="OJ177" s="27"/>
      <c r="OK177" s="27"/>
      <c r="OL177" s="27"/>
      <c r="OM177" s="27"/>
      <c r="ON177" s="28"/>
      <c r="OO177" s="25"/>
      <c r="OP177" s="27"/>
      <c r="OQ177" s="27"/>
      <c r="OR177" s="27"/>
      <c r="OS177" s="27"/>
      <c r="OT177" s="27"/>
      <c r="OU177" s="28"/>
      <c r="OV177" s="25"/>
      <c r="OW177" s="27"/>
      <c r="OX177" s="27"/>
      <c r="OY177" s="27"/>
      <c r="OZ177" s="27"/>
      <c r="PA177" s="27"/>
      <c r="PB177" s="28"/>
      <c r="PC177" s="25"/>
      <c r="PD177" s="27"/>
      <c r="PE177" s="27"/>
      <c r="PF177" s="27"/>
      <c r="PG177" s="27"/>
      <c r="PH177" s="27"/>
      <c r="PI177" s="28"/>
      <c r="PJ177" s="25"/>
      <c r="PK177" s="27"/>
      <c r="PL177" s="27"/>
      <c r="PM177" s="27"/>
      <c r="PN177" s="27"/>
      <c r="PO177" s="27"/>
      <c r="PP177" s="28"/>
      <c r="PQ177" s="25"/>
      <c r="PR177" s="27"/>
      <c r="PS177" s="27"/>
      <c r="PT177" s="27"/>
      <c r="PU177" s="27"/>
      <c r="PV177" s="27"/>
      <c r="PW177" s="28"/>
      <c r="PX177" s="25"/>
      <c r="PY177" s="27"/>
      <c r="PZ177" s="27"/>
      <c r="QA177" s="27"/>
      <c r="QB177" s="27"/>
      <c r="QC177" s="27"/>
      <c r="QD177" s="28"/>
      <c r="QE177" s="25"/>
      <c r="QF177" s="27"/>
      <c r="QG177" s="27"/>
      <c r="QH177" s="27"/>
      <c r="QI177" s="27"/>
      <c r="QJ177" s="27"/>
      <c r="QK177" s="28"/>
      <c r="QL177" s="25"/>
      <c r="QM177" s="27"/>
      <c r="QN177" s="27"/>
      <c r="QO177" s="27"/>
      <c r="QP177" s="27"/>
      <c r="QQ177" s="27"/>
      <c r="QR177" s="28"/>
      <c r="QS177" s="25"/>
      <c r="QT177" s="27"/>
      <c r="QU177" s="27"/>
      <c r="QV177" s="27"/>
      <c r="QW177" s="27"/>
      <c r="QX177" s="27"/>
      <c r="QY177" s="28"/>
      <c r="QZ177" s="25"/>
      <c r="RA177" s="27"/>
      <c r="RB177" s="27"/>
      <c r="RC177" s="27"/>
      <c r="RD177" s="27"/>
      <c r="RE177" s="27"/>
      <c r="RF177" s="28"/>
      <c r="RG177" s="25"/>
      <c r="RH177" s="27"/>
      <c r="RI177" s="27"/>
      <c r="RJ177" s="27"/>
      <c r="RK177" s="27"/>
      <c r="RL177" s="27"/>
      <c r="RM177" s="28"/>
      <c r="RN177" s="25"/>
      <c r="RO177" s="27"/>
      <c r="RP177" s="27"/>
      <c r="RQ177" s="27"/>
      <c r="RR177" s="27"/>
      <c r="RS177" s="27"/>
      <c r="RT177" s="28"/>
      <c r="RU177" s="25"/>
      <c r="RV177" s="27"/>
      <c r="RW177" s="27"/>
      <c r="RX177" s="27"/>
      <c r="RY177" s="27"/>
      <c r="RZ177" s="27"/>
      <c r="SA177" s="28"/>
      <c r="SB177" s="25"/>
      <c r="SC177" s="27"/>
      <c r="SD177" s="27"/>
      <c r="SE177" s="27"/>
      <c r="SF177" s="27"/>
      <c r="SG177" s="27"/>
      <c r="SH177" s="28"/>
      <c r="SI177" s="25"/>
      <c r="SJ177" s="27"/>
      <c r="SK177" s="27"/>
      <c r="SL177" s="27"/>
      <c r="SM177" s="27"/>
      <c r="SN177" s="27"/>
      <c r="SO177" s="28"/>
      <c r="SP177" s="25"/>
      <c r="SQ177" s="27"/>
      <c r="SR177" s="27"/>
    </row>
    <row r="178" spans="1:512" x14ac:dyDescent="0.15">
      <c r="A178" s="101">
        <f t="shared" ca="1" si="1562"/>
        <v>41</v>
      </c>
      <c r="B178" s="111">
        <v>41</v>
      </c>
      <c r="C178" s="71" t="str">
        <f t="shared" ca="1" si="1555"/>
        <v>Christian</v>
      </c>
      <c r="D178" s="112">
        <f t="shared" ca="1" si="1563"/>
        <v>218.39999999999992</v>
      </c>
      <c r="E178" s="25"/>
      <c r="F178" s="26"/>
      <c r="G178" s="27"/>
      <c r="H178" s="28"/>
      <c r="I178" s="25"/>
      <c r="J178" s="25"/>
      <c r="K178" s="26"/>
      <c r="L178" s="62"/>
      <c r="M178" s="62" t="s">
        <v>228</v>
      </c>
      <c r="N178" s="62" t="s">
        <v>109</v>
      </c>
      <c r="O178" s="32"/>
      <c r="P178" s="32">
        <f t="shared" ca="1" si="1566"/>
        <v>48</v>
      </c>
      <c r="Q178" s="32" t="str">
        <f t="shared" ca="1" si="1567"/>
        <v>Marietta</v>
      </c>
      <c r="R178" s="113">
        <f t="shared" ca="1" si="1568"/>
        <v>214.59999999999997</v>
      </c>
      <c r="S178" s="73">
        <v>41</v>
      </c>
      <c r="T178" s="32">
        <f t="shared" ca="1" si="1561"/>
        <v>214.60040999999995</v>
      </c>
      <c r="U178" s="32"/>
      <c r="V178" s="61"/>
      <c r="W178" s="62"/>
      <c r="X178" s="32"/>
      <c r="Y178" s="63"/>
      <c r="Z178" s="73"/>
      <c r="AA178" s="32"/>
      <c r="AB178" s="32"/>
      <c r="AC178" s="61"/>
      <c r="AD178" s="27"/>
      <c r="AE178" s="27"/>
      <c r="AF178" s="27"/>
      <c r="AG178" s="28"/>
      <c r="AH178" s="25"/>
      <c r="AI178" s="27"/>
      <c r="AJ178" s="27"/>
      <c r="AK178" s="27"/>
      <c r="AL178" s="27"/>
      <c r="AM178" s="27"/>
      <c r="AN178" s="28"/>
      <c r="AO178" s="25"/>
      <c r="AP178" s="27"/>
      <c r="AQ178" s="27"/>
      <c r="AR178" s="27"/>
      <c r="AS178" s="27"/>
      <c r="AT178" s="27"/>
      <c r="AU178" s="28"/>
      <c r="AV178" s="25"/>
      <c r="AW178" s="27"/>
      <c r="AX178" s="27"/>
      <c r="AY178" s="27"/>
      <c r="AZ178" s="27"/>
      <c r="BA178" s="27"/>
      <c r="BB178" s="28"/>
      <c r="BC178" s="25"/>
      <c r="BD178" s="27"/>
      <c r="BE178" s="27"/>
      <c r="BF178" s="27"/>
      <c r="BG178" s="27"/>
      <c r="BH178" s="27"/>
      <c r="BI178" s="28"/>
      <c r="BJ178" s="25"/>
      <c r="BK178" s="27"/>
      <c r="BL178" s="27"/>
      <c r="BM178" s="27"/>
      <c r="BN178" s="27"/>
      <c r="BO178" s="27"/>
      <c r="BP178" s="28"/>
      <c r="BQ178" s="25"/>
      <c r="BR178" s="27"/>
      <c r="BS178" s="27"/>
      <c r="BT178" s="27"/>
      <c r="BU178" s="27"/>
      <c r="BV178" s="27"/>
      <c r="BW178" s="28"/>
      <c r="BX178" s="25"/>
      <c r="BY178" s="27"/>
      <c r="BZ178" s="27"/>
      <c r="CA178" s="27"/>
      <c r="CB178" s="27"/>
      <c r="CC178" s="27"/>
      <c r="CD178" s="28"/>
      <c r="CE178" s="25"/>
      <c r="CF178" s="27"/>
      <c r="CG178" s="27"/>
      <c r="CH178" s="27"/>
      <c r="CI178" s="27"/>
      <c r="CJ178" s="27"/>
      <c r="CK178" s="28"/>
      <c r="CL178" s="25"/>
      <c r="CM178" s="27"/>
      <c r="CN178" s="27"/>
      <c r="CO178" s="27"/>
      <c r="CP178" s="27"/>
      <c r="CQ178" s="27"/>
      <c r="CR178" s="28"/>
      <c r="CS178" s="25"/>
      <c r="CT178" s="27"/>
      <c r="CU178" s="27"/>
      <c r="CV178" s="27"/>
      <c r="CW178" s="27"/>
      <c r="CX178" s="27"/>
      <c r="CY178" s="28"/>
      <c r="CZ178" s="25"/>
      <c r="DA178" s="27"/>
      <c r="DB178" s="27"/>
      <c r="DC178" s="27"/>
      <c r="DD178" s="27"/>
      <c r="DE178" s="27"/>
      <c r="DF178" s="28"/>
      <c r="DG178" s="25"/>
      <c r="DH178" s="27"/>
      <c r="DI178" s="27"/>
      <c r="DJ178" s="27"/>
      <c r="DK178" s="27"/>
      <c r="DL178" s="27"/>
      <c r="DM178" s="28"/>
      <c r="DN178" s="25"/>
      <c r="DO178" s="27"/>
      <c r="DP178" s="27"/>
      <c r="DQ178" s="27"/>
      <c r="DR178" s="27"/>
      <c r="DS178" s="27"/>
      <c r="DT178" s="28"/>
      <c r="DU178" s="25"/>
      <c r="DV178" s="27"/>
      <c r="DW178" s="27"/>
      <c r="DX178" s="27"/>
      <c r="DY178" s="27"/>
      <c r="DZ178" s="27"/>
      <c r="EA178" s="28"/>
      <c r="EB178" s="25"/>
      <c r="EC178" s="27"/>
      <c r="ED178" s="27"/>
      <c r="EE178" s="27"/>
      <c r="EF178" s="27"/>
      <c r="EG178" s="27"/>
      <c r="EH178" s="28"/>
      <c r="EI178" s="25"/>
      <c r="EJ178" s="27"/>
      <c r="EK178" s="27"/>
      <c r="EL178" s="27"/>
      <c r="EM178" s="27"/>
      <c r="EN178" s="27"/>
      <c r="EO178" s="28"/>
      <c r="EP178" s="25"/>
      <c r="EQ178" s="27"/>
      <c r="ER178" s="27"/>
      <c r="ES178" s="27"/>
      <c r="ET178" s="27"/>
      <c r="EU178" s="27"/>
      <c r="EV178" s="28"/>
      <c r="EW178" s="25"/>
      <c r="EX178" s="27"/>
      <c r="EY178" s="27"/>
      <c r="EZ178" s="27"/>
      <c r="FA178" s="27"/>
      <c r="FB178" s="27"/>
      <c r="FC178" s="28"/>
      <c r="FD178" s="25"/>
      <c r="FE178" s="27"/>
      <c r="FF178" s="27"/>
      <c r="FG178" s="27"/>
      <c r="FH178" s="27"/>
      <c r="FI178" s="27"/>
      <c r="FJ178" s="28"/>
      <c r="FK178" s="25"/>
      <c r="FL178" s="27"/>
      <c r="FM178" s="27"/>
      <c r="FN178" s="27"/>
      <c r="FO178" s="27"/>
      <c r="FP178" s="27"/>
      <c r="FQ178" s="28"/>
      <c r="FR178" s="25"/>
      <c r="FS178" s="27"/>
      <c r="FT178" s="27"/>
      <c r="FU178" s="27"/>
      <c r="FV178" s="27"/>
      <c r="FW178" s="27"/>
      <c r="FX178" s="28"/>
      <c r="FY178" s="25"/>
      <c r="FZ178" s="27"/>
      <c r="GA178" s="27"/>
      <c r="GB178" s="27"/>
      <c r="GC178" s="27"/>
      <c r="GD178" s="27"/>
      <c r="GE178" s="28"/>
      <c r="GF178" s="25"/>
      <c r="GG178" s="27"/>
      <c r="GH178" s="27"/>
      <c r="GI178" s="27"/>
      <c r="GJ178" s="27"/>
      <c r="GK178" s="27"/>
      <c r="GL178" s="28"/>
      <c r="GM178" s="25"/>
      <c r="GN178" s="27"/>
      <c r="GO178" s="27"/>
      <c r="GP178" s="27"/>
      <c r="GQ178" s="27"/>
      <c r="GR178" s="27"/>
      <c r="GS178" s="28"/>
      <c r="GT178" s="25"/>
      <c r="GU178" s="27"/>
      <c r="GV178" s="27"/>
      <c r="GW178" s="27"/>
      <c r="GX178" s="27"/>
      <c r="GY178" s="27"/>
      <c r="GZ178" s="28"/>
      <c r="HA178" s="25"/>
      <c r="HB178" s="27"/>
      <c r="HC178" s="27"/>
      <c r="HD178" s="27"/>
      <c r="HE178" s="27"/>
      <c r="HF178" s="27"/>
      <c r="HG178" s="28"/>
      <c r="HH178" s="25"/>
      <c r="HI178" s="27"/>
      <c r="HJ178" s="27"/>
      <c r="HK178" s="27"/>
      <c r="HL178" s="27"/>
      <c r="HM178" s="27"/>
      <c r="HN178" s="28"/>
      <c r="HO178" s="25"/>
      <c r="HP178" s="27"/>
      <c r="HQ178" s="27"/>
      <c r="HR178" s="27"/>
      <c r="HS178" s="27"/>
      <c r="HT178" s="27"/>
      <c r="HU178" s="28"/>
      <c r="HV178" s="25"/>
      <c r="HW178" s="27"/>
      <c r="HX178" s="27"/>
      <c r="HY178" s="27"/>
      <c r="HZ178" s="27"/>
      <c r="IA178" s="27"/>
      <c r="IB178" s="28"/>
      <c r="IC178" s="25"/>
      <c r="ID178" s="27"/>
      <c r="IE178" s="27"/>
      <c r="IF178" s="27"/>
      <c r="IG178" s="27"/>
      <c r="IH178" s="27"/>
      <c r="II178" s="28"/>
      <c r="IJ178" s="25"/>
      <c r="IK178" s="27"/>
      <c r="IL178" s="27"/>
      <c r="IM178" s="27"/>
      <c r="IN178" s="27"/>
      <c r="IO178" s="27"/>
      <c r="IP178" s="28"/>
      <c r="IQ178" s="25"/>
      <c r="IR178" s="27"/>
      <c r="IS178" s="27"/>
      <c r="IT178" s="27"/>
      <c r="IU178" s="27"/>
      <c r="IV178" s="27"/>
      <c r="IW178" s="28"/>
      <c r="IX178" s="25"/>
      <c r="IY178" s="27"/>
      <c r="IZ178" s="27"/>
      <c r="JA178" s="27"/>
      <c r="JB178" s="27"/>
      <c r="JC178" s="27"/>
      <c r="JD178" s="28"/>
      <c r="JE178" s="25"/>
      <c r="JF178" s="27"/>
      <c r="JG178" s="27"/>
      <c r="JH178" s="27"/>
      <c r="JI178" s="27"/>
      <c r="JJ178" s="27"/>
      <c r="JK178" s="28"/>
      <c r="JL178" s="25"/>
      <c r="JM178" s="27"/>
      <c r="JN178" s="27"/>
      <c r="JO178" s="27"/>
      <c r="JP178" s="27"/>
      <c r="JQ178" s="27"/>
      <c r="JR178" s="28"/>
      <c r="JS178" s="25"/>
      <c r="JT178" s="27"/>
      <c r="JU178" s="27"/>
      <c r="JV178" s="27"/>
      <c r="JW178" s="27"/>
      <c r="JX178" s="27"/>
      <c r="JY178" s="28"/>
      <c r="JZ178" s="25"/>
      <c r="KA178" s="27"/>
      <c r="KB178" s="27"/>
      <c r="KC178" s="27"/>
      <c r="KD178" s="27"/>
      <c r="KE178" s="27"/>
      <c r="KF178" s="28"/>
      <c r="KG178" s="25"/>
      <c r="KH178" s="27"/>
      <c r="KI178" s="27"/>
      <c r="KJ178" s="27"/>
      <c r="KK178" s="27"/>
      <c r="KL178" s="27"/>
      <c r="KM178" s="28"/>
      <c r="KN178" s="25"/>
      <c r="KO178" s="27"/>
      <c r="KP178" s="27"/>
      <c r="KQ178" s="27"/>
      <c r="KR178" s="27"/>
      <c r="KS178" s="27"/>
      <c r="KT178" s="28"/>
      <c r="KU178" s="25"/>
      <c r="KV178" s="27"/>
      <c r="KW178" s="27"/>
      <c r="KX178" s="27"/>
      <c r="KY178" s="27"/>
      <c r="KZ178" s="27"/>
      <c r="LA178" s="28"/>
      <c r="LB178" s="25"/>
      <c r="LC178" s="27"/>
      <c r="LD178" s="27"/>
      <c r="LE178" s="27"/>
      <c r="LF178" s="27"/>
      <c r="LG178" s="27"/>
      <c r="LH178" s="28"/>
      <c r="LI178" s="25"/>
      <c r="LJ178" s="27"/>
      <c r="LK178" s="27"/>
      <c r="LL178" s="27"/>
      <c r="LM178" s="27"/>
      <c r="LN178" s="27"/>
      <c r="LO178" s="28"/>
      <c r="LP178" s="25"/>
      <c r="LQ178" s="27"/>
      <c r="LR178" s="27"/>
      <c r="LS178" s="27"/>
      <c r="LT178" s="27"/>
      <c r="LU178" s="27"/>
      <c r="LV178" s="28"/>
      <c r="LW178" s="25"/>
      <c r="LX178" s="27"/>
      <c r="LY178" s="27"/>
      <c r="LZ178" s="27"/>
      <c r="MA178" s="27"/>
      <c r="MB178" s="27"/>
      <c r="MC178" s="28"/>
      <c r="MD178" s="25"/>
      <c r="ME178" s="27"/>
      <c r="MF178" s="27"/>
      <c r="MG178" s="27"/>
      <c r="MH178" s="27"/>
      <c r="MI178" s="27"/>
      <c r="MJ178" s="28"/>
      <c r="MK178" s="25"/>
      <c r="ML178" s="27"/>
      <c r="MM178" s="27"/>
      <c r="MN178" s="27"/>
      <c r="MO178" s="27"/>
      <c r="MP178" s="27"/>
      <c r="MQ178" s="28"/>
      <c r="MR178" s="25"/>
      <c r="MS178" s="27"/>
      <c r="MT178" s="27"/>
      <c r="MU178" s="27"/>
      <c r="MV178" s="27"/>
      <c r="MW178" s="27"/>
      <c r="MX178" s="28"/>
      <c r="MY178" s="25"/>
      <c r="MZ178" s="27"/>
      <c r="NA178" s="27"/>
      <c r="NB178" s="27"/>
      <c r="NC178" s="27"/>
      <c r="ND178" s="27"/>
      <c r="NE178" s="28"/>
      <c r="NF178" s="25"/>
      <c r="NG178" s="27"/>
      <c r="NH178" s="27"/>
      <c r="NI178" s="27"/>
      <c r="NJ178" s="27"/>
      <c r="NK178" s="27"/>
      <c r="NL178" s="28"/>
      <c r="NM178" s="25"/>
      <c r="NN178" s="27"/>
      <c r="NO178" s="27"/>
      <c r="NP178" s="27"/>
      <c r="NQ178" s="27"/>
      <c r="NR178" s="27"/>
      <c r="NS178" s="28"/>
      <c r="NT178" s="25"/>
      <c r="NU178" s="27"/>
      <c r="NV178" s="27"/>
      <c r="NW178" s="27"/>
      <c r="NX178" s="27"/>
      <c r="NY178" s="27"/>
      <c r="NZ178" s="28"/>
      <c r="OA178" s="25"/>
      <c r="OB178" s="27"/>
      <c r="OC178" s="27"/>
      <c r="OD178" s="27"/>
      <c r="OE178" s="27"/>
      <c r="OF178" s="27"/>
      <c r="OG178" s="28"/>
      <c r="OH178" s="25"/>
      <c r="OI178" s="27"/>
      <c r="OJ178" s="27"/>
      <c r="OK178" s="27"/>
      <c r="OL178" s="27"/>
      <c r="OM178" s="27"/>
      <c r="ON178" s="28"/>
      <c r="OO178" s="25"/>
      <c r="OP178" s="27"/>
      <c r="OQ178" s="27"/>
      <c r="OR178" s="27"/>
      <c r="OS178" s="27"/>
      <c r="OT178" s="27"/>
      <c r="OU178" s="28"/>
      <c r="OV178" s="25"/>
      <c r="OW178" s="27"/>
      <c r="OX178" s="27"/>
      <c r="OY178" s="27"/>
      <c r="OZ178" s="27"/>
      <c r="PA178" s="27"/>
      <c r="PB178" s="28"/>
      <c r="PC178" s="25"/>
      <c r="PD178" s="27"/>
      <c r="PE178" s="27"/>
      <c r="PF178" s="27"/>
      <c r="PG178" s="27"/>
      <c r="PH178" s="27"/>
      <c r="PI178" s="28"/>
      <c r="PJ178" s="25"/>
      <c r="PK178" s="27"/>
      <c r="PL178" s="27"/>
      <c r="PM178" s="27"/>
      <c r="PN178" s="27"/>
      <c r="PO178" s="27"/>
      <c r="PP178" s="28"/>
      <c r="PQ178" s="25"/>
      <c r="PR178" s="27"/>
      <c r="PS178" s="27"/>
      <c r="PT178" s="27"/>
      <c r="PU178" s="27"/>
      <c r="PV178" s="27"/>
      <c r="PW178" s="28"/>
      <c r="PX178" s="25"/>
      <c r="PY178" s="27"/>
      <c r="PZ178" s="27"/>
      <c r="QA178" s="27"/>
      <c r="QB178" s="27"/>
      <c r="QC178" s="27"/>
      <c r="QD178" s="28"/>
      <c r="QE178" s="25"/>
      <c r="QF178" s="27"/>
      <c r="QG178" s="27"/>
      <c r="QH178" s="27"/>
      <c r="QI178" s="27"/>
      <c r="QJ178" s="27"/>
      <c r="QK178" s="28"/>
      <c r="QL178" s="25"/>
      <c r="QM178" s="27"/>
      <c r="QN178" s="27"/>
      <c r="QO178" s="27"/>
      <c r="QP178" s="27"/>
      <c r="QQ178" s="27"/>
      <c r="QR178" s="28"/>
      <c r="QS178" s="25"/>
      <c r="QT178" s="27"/>
      <c r="QU178" s="27"/>
      <c r="QV178" s="27"/>
      <c r="QW178" s="27"/>
      <c r="QX178" s="27"/>
      <c r="QY178" s="28"/>
      <c r="QZ178" s="25"/>
      <c r="RA178" s="27"/>
      <c r="RB178" s="27"/>
      <c r="RC178" s="27"/>
      <c r="RD178" s="27"/>
      <c r="RE178" s="27"/>
      <c r="RF178" s="28"/>
      <c r="RG178" s="25"/>
      <c r="RH178" s="27"/>
      <c r="RI178" s="27"/>
      <c r="RJ178" s="27"/>
      <c r="RK178" s="27"/>
      <c r="RL178" s="27"/>
      <c r="RM178" s="28"/>
      <c r="RN178" s="25"/>
      <c r="RO178" s="27"/>
      <c r="RP178" s="27"/>
      <c r="RQ178" s="27"/>
      <c r="RR178" s="27"/>
      <c r="RS178" s="27"/>
      <c r="RT178" s="28"/>
      <c r="RU178" s="25"/>
      <c r="RV178" s="27"/>
      <c r="RW178" s="27"/>
      <c r="RX178" s="27"/>
      <c r="RY178" s="27"/>
      <c r="RZ178" s="27"/>
      <c r="SA178" s="28"/>
      <c r="SB178" s="25"/>
      <c r="SC178" s="27"/>
      <c r="SD178" s="27"/>
      <c r="SE178" s="27"/>
      <c r="SF178" s="27"/>
      <c r="SG178" s="27"/>
      <c r="SH178" s="28"/>
      <c r="SI178" s="25"/>
      <c r="SJ178" s="27"/>
      <c r="SK178" s="27"/>
      <c r="SL178" s="27"/>
      <c r="SM178" s="27"/>
      <c r="SN178" s="27"/>
      <c r="SO178" s="28"/>
      <c r="SP178" s="25"/>
      <c r="SQ178" s="27"/>
      <c r="SR178" s="27"/>
    </row>
    <row r="179" spans="1:512" x14ac:dyDescent="0.15">
      <c r="A179" s="101">
        <f t="shared" ca="1" si="1562"/>
        <v>42</v>
      </c>
      <c r="B179" s="111">
        <v>42</v>
      </c>
      <c r="C179" s="71" t="str">
        <f t="shared" ca="1" si="1555"/>
        <v>Uwe</v>
      </c>
      <c r="D179" s="112">
        <f t="shared" ca="1" si="1563"/>
        <v>217.6</v>
      </c>
      <c r="E179" s="25"/>
      <c r="F179" s="26"/>
      <c r="G179" s="27"/>
      <c r="H179" s="28"/>
      <c r="I179" s="25"/>
      <c r="J179" s="25"/>
      <c r="K179" s="26"/>
      <c r="L179" s="62"/>
      <c r="M179" s="63" t="s">
        <v>229</v>
      </c>
      <c r="N179" s="62" t="s">
        <v>110</v>
      </c>
      <c r="O179" s="32"/>
      <c r="P179" s="32">
        <f t="shared" ca="1" si="1566"/>
        <v>34</v>
      </c>
      <c r="Q179" s="32" t="str">
        <f t="shared" ca="1" si="1567"/>
        <v>Marlene</v>
      </c>
      <c r="R179" s="113">
        <f t="shared" ca="1" si="1568"/>
        <v>221.7</v>
      </c>
      <c r="S179" s="73">
        <v>42</v>
      </c>
      <c r="T179" s="32">
        <f t="shared" ca="1" si="1561"/>
        <v>221.70041999999998</v>
      </c>
      <c r="U179" s="32"/>
      <c r="V179" s="61"/>
      <c r="W179" s="62"/>
      <c r="X179" s="32"/>
      <c r="Y179" s="63"/>
      <c r="Z179" s="73"/>
      <c r="AA179" s="32"/>
      <c r="AB179" s="32"/>
      <c r="AC179" s="61"/>
      <c r="AD179" s="27"/>
      <c r="AE179" s="27"/>
      <c r="AF179" s="27"/>
      <c r="AG179" s="28"/>
      <c r="AH179" s="25"/>
      <c r="AI179" s="27"/>
      <c r="AJ179" s="27"/>
      <c r="AK179" s="27"/>
      <c r="AL179" s="27"/>
      <c r="AM179" s="27"/>
      <c r="AN179" s="28"/>
      <c r="AO179" s="25"/>
      <c r="AP179" s="27"/>
      <c r="AQ179" s="27"/>
      <c r="AR179" s="27"/>
      <c r="AS179" s="27"/>
      <c r="AT179" s="27"/>
      <c r="AU179" s="28"/>
      <c r="AV179" s="25"/>
      <c r="AW179" s="27"/>
      <c r="AX179" s="27"/>
      <c r="AY179" s="27"/>
      <c r="AZ179" s="27"/>
      <c r="BA179" s="27"/>
      <c r="BB179" s="28"/>
      <c r="BC179" s="25"/>
      <c r="BD179" s="27"/>
      <c r="BE179" s="27"/>
      <c r="BF179" s="27"/>
      <c r="BG179" s="27"/>
      <c r="BH179" s="27"/>
      <c r="BI179" s="28"/>
      <c r="BJ179" s="25"/>
      <c r="BK179" s="27"/>
      <c r="BL179" s="27"/>
      <c r="BM179" s="27"/>
      <c r="BN179" s="27"/>
      <c r="BO179" s="27"/>
      <c r="BP179" s="28"/>
      <c r="BQ179" s="25"/>
      <c r="BR179" s="27"/>
      <c r="BS179" s="27"/>
      <c r="BT179" s="27"/>
      <c r="BU179" s="27"/>
      <c r="BV179" s="27"/>
      <c r="BW179" s="28"/>
      <c r="BX179" s="25"/>
      <c r="BY179" s="27"/>
      <c r="BZ179" s="27"/>
      <c r="CA179" s="27"/>
      <c r="CB179" s="27"/>
      <c r="CC179" s="27"/>
      <c r="CD179" s="28"/>
      <c r="CE179" s="25"/>
      <c r="CF179" s="27"/>
      <c r="CG179" s="27"/>
      <c r="CH179" s="27"/>
      <c r="CI179" s="27"/>
      <c r="CJ179" s="27"/>
      <c r="CK179" s="28"/>
      <c r="CL179" s="25"/>
      <c r="CM179" s="27"/>
      <c r="CN179" s="27"/>
      <c r="CO179" s="27"/>
      <c r="CP179" s="27"/>
      <c r="CQ179" s="27"/>
      <c r="CR179" s="28"/>
      <c r="CS179" s="25"/>
      <c r="CT179" s="27"/>
      <c r="CU179" s="27"/>
      <c r="CV179" s="27"/>
      <c r="CW179" s="27"/>
      <c r="CX179" s="27"/>
      <c r="CY179" s="28"/>
      <c r="CZ179" s="25"/>
      <c r="DA179" s="27"/>
      <c r="DB179" s="27"/>
      <c r="DC179" s="27"/>
      <c r="DD179" s="27"/>
      <c r="DE179" s="27"/>
      <c r="DF179" s="28"/>
      <c r="DG179" s="25"/>
      <c r="DH179" s="27"/>
      <c r="DI179" s="27"/>
      <c r="DJ179" s="27"/>
      <c r="DK179" s="27"/>
      <c r="DL179" s="27"/>
      <c r="DM179" s="28"/>
      <c r="DN179" s="25"/>
      <c r="DO179" s="27"/>
      <c r="DP179" s="27"/>
      <c r="DQ179" s="27"/>
      <c r="DR179" s="27"/>
      <c r="DS179" s="27"/>
      <c r="DT179" s="28"/>
      <c r="DU179" s="25"/>
      <c r="DV179" s="27"/>
      <c r="DW179" s="27"/>
      <c r="DX179" s="27"/>
      <c r="DY179" s="27"/>
      <c r="DZ179" s="27"/>
      <c r="EA179" s="28"/>
      <c r="EB179" s="25"/>
      <c r="EC179" s="27"/>
      <c r="ED179" s="27"/>
      <c r="EE179" s="27"/>
      <c r="EF179" s="27"/>
      <c r="EG179" s="27"/>
      <c r="EH179" s="28"/>
      <c r="EI179" s="25"/>
      <c r="EJ179" s="27"/>
      <c r="EK179" s="27"/>
      <c r="EL179" s="27"/>
      <c r="EM179" s="27"/>
      <c r="EN179" s="27"/>
      <c r="EO179" s="28"/>
      <c r="EP179" s="25"/>
      <c r="EQ179" s="27"/>
      <c r="ER179" s="27"/>
      <c r="ES179" s="27"/>
      <c r="ET179" s="27"/>
      <c r="EU179" s="27"/>
      <c r="EV179" s="28"/>
      <c r="EW179" s="25"/>
      <c r="EX179" s="27"/>
      <c r="EY179" s="27"/>
      <c r="EZ179" s="27"/>
      <c r="FA179" s="27"/>
      <c r="FB179" s="27"/>
      <c r="FC179" s="28"/>
      <c r="FD179" s="25"/>
      <c r="FE179" s="27"/>
      <c r="FF179" s="27"/>
      <c r="FG179" s="27"/>
      <c r="FH179" s="27"/>
      <c r="FI179" s="27"/>
      <c r="FJ179" s="28"/>
      <c r="FK179" s="25"/>
      <c r="FL179" s="27"/>
      <c r="FM179" s="27"/>
      <c r="FN179" s="27"/>
      <c r="FO179" s="27"/>
      <c r="FP179" s="27"/>
      <c r="FQ179" s="28"/>
      <c r="FR179" s="25"/>
      <c r="FS179" s="27"/>
      <c r="FT179" s="27"/>
      <c r="FU179" s="27"/>
      <c r="FV179" s="27"/>
      <c r="FW179" s="27"/>
      <c r="FX179" s="28"/>
      <c r="FY179" s="25"/>
      <c r="FZ179" s="27"/>
      <c r="GA179" s="27"/>
      <c r="GB179" s="27"/>
      <c r="GC179" s="27"/>
      <c r="GD179" s="27"/>
      <c r="GE179" s="28"/>
      <c r="GF179" s="25"/>
      <c r="GG179" s="27"/>
      <c r="GH179" s="27"/>
      <c r="GI179" s="27"/>
      <c r="GJ179" s="27"/>
      <c r="GK179" s="27"/>
      <c r="GL179" s="28"/>
      <c r="GM179" s="25"/>
      <c r="GN179" s="27"/>
      <c r="GO179" s="27"/>
      <c r="GP179" s="27"/>
      <c r="GQ179" s="27"/>
      <c r="GR179" s="27"/>
      <c r="GS179" s="28"/>
      <c r="GT179" s="25"/>
      <c r="GU179" s="27"/>
      <c r="GV179" s="27"/>
      <c r="GW179" s="27"/>
      <c r="GX179" s="27"/>
      <c r="GY179" s="27"/>
      <c r="GZ179" s="28"/>
      <c r="HA179" s="25"/>
      <c r="HB179" s="27"/>
      <c r="HC179" s="27"/>
      <c r="HD179" s="27"/>
      <c r="HE179" s="27"/>
      <c r="HF179" s="27"/>
      <c r="HG179" s="28"/>
      <c r="HH179" s="25"/>
      <c r="HI179" s="27"/>
      <c r="HJ179" s="27"/>
      <c r="HK179" s="27"/>
      <c r="HL179" s="27"/>
      <c r="HM179" s="27"/>
      <c r="HN179" s="28"/>
      <c r="HO179" s="25"/>
      <c r="HP179" s="27"/>
      <c r="HQ179" s="27"/>
      <c r="HR179" s="27"/>
      <c r="HS179" s="27"/>
      <c r="HT179" s="27"/>
      <c r="HU179" s="28"/>
      <c r="HV179" s="25"/>
      <c r="HW179" s="27"/>
      <c r="HX179" s="27"/>
      <c r="HY179" s="27"/>
      <c r="HZ179" s="27"/>
      <c r="IA179" s="27"/>
      <c r="IB179" s="28"/>
      <c r="IC179" s="25"/>
      <c r="ID179" s="27"/>
      <c r="IE179" s="27"/>
      <c r="IF179" s="27"/>
      <c r="IG179" s="27"/>
      <c r="IH179" s="27"/>
      <c r="II179" s="28"/>
      <c r="IJ179" s="25"/>
      <c r="IK179" s="27"/>
      <c r="IL179" s="27"/>
      <c r="IM179" s="27"/>
      <c r="IN179" s="27"/>
      <c r="IO179" s="27"/>
      <c r="IP179" s="28"/>
      <c r="IQ179" s="25"/>
      <c r="IR179" s="27"/>
      <c r="IS179" s="27"/>
      <c r="IT179" s="27"/>
      <c r="IU179" s="27"/>
      <c r="IV179" s="27"/>
      <c r="IW179" s="28"/>
      <c r="IX179" s="25"/>
      <c r="IY179" s="27"/>
      <c r="IZ179" s="27"/>
      <c r="JA179" s="27"/>
      <c r="JB179" s="27"/>
      <c r="JC179" s="27"/>
      <c r="JD179" s="28"/>
      <c r="JE179" s="25"/>
      <c r="JF179" s="27"/>
      <c r="JG179" s="27"/>
      <c r="JH179" s="27"/>
      <c r="JI179" s="27"/>
      <c r="JJ179" s="27"/>
      <c r="JK179" s="28"/>
      <c r="JL179" s="25"/>
      <c r="JM179" s="27"/>
      <c r="JN179" s="27"/>
      <c r="JO179" s="27"/>
      <c r="JP179" s="27"/>
      <c r="JQ179" s="27"/>
      <c r="JR179" s="28"/>
      <c r="JS179" s="25"/>
      <c r="JT179" s="27"/>
      <c r="JU179" s="27"/>
      <c r="JV179" s="27"/>
      <c r="JW179" s="27"/>
      <c r="JX179" s="27"/>
      <c r="JY179" s="28"/>
      <c r="JZ179" s="25"/>
      <c r="KA179" s="27"/>
      <c r="KB179" s="27"/>
      <c r="KC179" s="27"/>
      <c r="KD179" s="27"/>
      <c r="KE179" s="27"/>
      <c r="KF179" s="28"/>
      <c r="KG179" s="25"/>
      <c r="KH179" s="27"/>
      <c r="KI179" s="27"/>
      <c r="KJ179" s="27"/>
      <c r="KK179" s="27"/>
      <c r="KL179" s="27"/>
      <c r="KM179" s="28"/>
      <c r="KN179" s="25"/>
      <c r="KO179" s="27"/>
      <c r="KP179" s="27"/>
      <c r="KQ179" s="27"/>
      <c r="KR179" s="27"/>
      <c r="KS179" s="27"/>
      <c r="KT179" s="28"/>
      <c r="KU179" s="25"/>
      <c r="KV179" s="27"/>
      <c r="KW179" s="27"/>
      <c r="KX179" s="27"/>
      <c r="KY179" s="27"/>
      <c r="KZ179" s="27"/>
      <c r="LA179" s="28"/>
      <c r="LB179" s="25"/>
      <c r="LC179" s="27"/>
      <c r="LD179" s="27"/>
      <c r="LE179" s="27"/>
      <c r="LF179" s="27"/>
      <c r="LG179" s="27"/>
      <c r="LH179" s="28"/>
      <c r="LI179" s="25"/>
      <c r="LJ179" s="27"/>
      <c r="LK179" s="27"/>
      <c r="LL179" s="27"/>
      <c r="LM179" s="27"/>
      <c r="LN179" s="27"/>
      <c r="LO179" s="28"/>
      <c r="LP179" s="25"/>
      <c r="LQ179" s="27"/>
      <c r="LR179" s="27"/>
      <c r="LS179" s="27"/>
      <c r="LT179" s="27"/>
      <c r="LU179" s="27"/>
      <c r="LV179" s="28"/>
      <c r="LW179" s="25"/>
      <c r="LX179" s="27"/>
      <c r="LY179" s="27"/>
      <c r="LZ179" s="27"/>
      <c r="MA179" s="27"/>
      <c r="MB179" s="27"/>
      <c r="MC179" s="28"/>
      <c r="MD179" s="25"/>
      <c r="ME179" s="27"/>
      <c r="MF179" s="27"/>
      <c r="MG179" s="27"/>
      <c r="MH179" s="27"/>
      <c r="MI179" s="27"/>
      <c r="MJ179" s="28"/>
      <c r="MK179" s="25"/>
      <c r="ML179" s="27"/>
      <c r="MM179" s="27"/>
      <c r="MN179" s="27"/>
      <c r="MO179" s="27"/>
      <c r="MP179" s="27"/>
      <c r="MQ179" s="28"/>
      <c r="MR179" s="25"/>
      <c r="MS179" s="27"/>
      <c r="MT179" s="27"/>
      <c r="MU179" s="27"/>
      <c r="MV179" s="27"/>
      <c r="MW179" s="27"/>
      <c r="MX179" s="28"/>
      <c r="MY179" s="25"/>
      <c r="MZ179" s="27"/>
      <c r="NA179" s="27"/>
      <c r="NB179" s="27"/>
      <c r="NC179" s="27"/>
      <c r="ND179" s="27"/>
      <c r="NE179" s="28"/>
      <c r="NF179" s="25"/>
      <c r="NG179" s="27"/>
      <c r="NH179" s="27"/>
      <c r="NI179" s="27"/>
      <c r="NJ179" s="27"/>
      <c r="NK179" s="27"/>
      <c r="NL179" s="28"/>
      <c r="NM179" s="25"/>
      <c r="NN179" s="27"/>
      <c r="NO179" s="27"/>
      <c r="NP179" s="27"/>
      <c r="NQ179" s="27"/>
      <c r="NR179" s="27"/>
      <c r="NS179" s="28"/>
      <c r="NT179" s="25"/>
      <c r="NU179" s="27"/>
      <c r="NV179" s="27"/>
      <c r="NW179" s="27"/>
      <c r="NX179" s="27"/>
      <c r="NY179" s="27"/>
      <c r="NZ179" s="28"/>
      <c r="OA179" s="25"/>
      <c r="OB179" s="27"/>
      <c r="OC179" s="27"/>
      <c r="OD179" s="27"/>
      <c r="OE179" s="27"/>
      <c r="OF179" s="27"/>
      <c r="OG179" s="28"/>
      <c r="OH179" s="25"/>
      <c r="OI179" s="27"/>
      <c r="OJ179" s="27"/>
      <c r="OK179" s="27"/>
      <c r="OL179" s="27"/>
      <c r="OM179" s="27"/>
      <c r="ON179" s="28"/>
      <c r="OO179" s="25"/>
      <c r="OP179" s="27"/>
      <c r="OQ179" s="27"/>
      <c r="OR179" s="27"/>
      <c r="OS179" s="27"/>
      <c r="OT179" s="27"/>
      <c r="OU179" s="28"/>
      <c r="OV179" s="25"/>
      <c r="OW179" s="27"/>
      <c r="OX179" s="27"/>
      <c r="OY179" s="27"/>
      <c r="OZ179" s="27"/>
      <c r="PA179" s="27"/>
      <c r="PB179" s="28"/>
      <c r="PC179" s="25"/>
      <c r="PD179" s="27"/>
      <c r="PE179" s="27"/>
      <c r="PF179" s="27"/>
      <c r="PG179" s="27"/>
      <c r="PH179" s="27"/>
      <c r="PI179" s="28"/>
      <c r="PJ179" s="25"/>
      <c r="PK179" s="27"/>
      <c r="PL179" s="27"/>
      <c r="PM179" s="27"/>
      <c r="PN179" s="27"/>
      <c r="PO179" s="27"/>
      <c r="PP179" s="28"/>
      <c r="PQ179" s="25"/>
      <c r="PR179" s="27"/>
      <c r="PS179" s="27"/>
      <c r="PT179" s="27"/>
      <c r="PU179" s="27"/>
      <c r="PV179" s="27"/>
      <c r="PW179" s="28"/>
      <c r="PX179" s="25"/>
      <c r="PY179" s="27"/>
      <c r="PZ179" s="27"/>
      <c r="QA179" s="27"/>
      <c r="QB179" s="27"/>
      <c r="QC179" s="27"/>
      <c r="QD179" s="28"/>
      <c r="QE179" s="25"/>
      <c r="QF179" s="27"/>
      <c r="QG179" s="27"/>
      <c r="QH179" s="27"/>
      <c r="QI179" s="27"/>
      <c r="QJ179" s="27"/>
      <c r="QK179" s="28"/>
      <c r="QL179" s="25"/>
      <c r="QM179" s="27"/>
      <c r="QN179" s="27"/>
      <c r="QO179" s="27"/>
      <c r="QP179" s="27"/>
      <c r="QQ179" s="27"/>
      <c r="QR179" s="28"/>
      <c r="QS179" s="25"/>
      <c r="QT179" s="27"/>
      <c r="QU179" s="27"/>
      <c r="QV179" s="27"/>
      <c r="QW179" s="27"/>
      <c r="QX179" s="27"/>
      <c r="QY179" s="28"/>
      <c r="QZ179" s="25"/>
      <c r="RA179" s="27"/>
      <c r="RB179" s="27"/>
      <c r="RC179" s="27"/>
      <c r="RD179" s="27"/>
      <c r="RE179" s="27"/>
      <c r="RF179" s="28"/>
      <c r="RG179" s="25"/>
      <c r="RH179" s="27"/>
      <c r="RI179" s="27"/>
      <c r="RJ179" s="27"/>
      <c r="RK179" s="27"/>
      <c r="RL179" s="27"/>
      <c r="RM179" s="28"/>
      <c r="RN179" s="25"/>
      <c r="RO179" s="27"/>
      <c r="RP179" s="27"/>
      <c r="RQ179" s="27"/>
      <c r="RR179" s="27"/>
      <c r="RS179" s="27"/>
      <c r="RT179" s="28"/>
      <c r="RU179" s="25"/>
      <c r="RV179" s="27"/>
      <c r="RW179" s="27"/>
      <c r="RX179" s="27"/>
      <c r="RY179" s="27"/>
      <c r="RZ179" s="27"/>
      <c r="SA179" s="28"/>
      <c r="SB179" s="25"/>
      <c r="SC179" s="27"/>
      <c r="SD179" s="27"/>
      <c r="SE179" s="27"/>
      <c r="SF179" s="27"/>
      <c r="SG179" s="27"/>
      <c r="SH179" s="28"/>
      <c r="SI179" s="25"/>
      <c r="SJ179" s="27"/>
      <c r="SK179" s="27"/>
      <c r="SL179" s="27"/>
      <c r="SM179" s="27"/>
      <c r="SN179" s="27"/>
      <c r="SO179" s="28"/>
      <c r="SP179" s="25"/>
      <c r="SQ179" s="27"/>
      <c r="SR179" s="27"/>
    </row>
    <row r="180" spans="1:512" x14ac:dyDescent="0.15">
      <c r="A180" s="101">
        <f t="shared" ca="1" si="1562"/>
        <v>43</v>
      </c>
      <c r="B180" s="111">
        <v>43</v>
      </c>
      <c r="C180" s="71" t="str">
        <f t="shared" ca="1" si="1555"/>
        <v>Evi</v>
      </c>
      <c r="D180" s="112">
        <f t="shared" ca="1" si="1563"/>
        <v>216.6</v>
      </c>
      <c r="E180" s="25"/>
      <c r="F180" s="26"/>
      <c r="G180" s="27"/>
      <c r="H180" s="28"/>
      <c r="I180" s="25"/>
      <c r="J180" s="25"/>
      <c r="K180" s="26"/>
      <c r="L180" s="62"/>
      <c r="M180" s="32" t="s">
        <v>230</v>
      </c>
      <c r="N180" s="32" t="s">
        <v>111</v>
      </c>
      <c r="O180" s="32"/>
      <c r="P180" s="32">
        <f t="shared" ca="1" si="1566"/>
        <v>42</v>
      </c>
      <c r="Q180" s="32" t="str">
        <f t="shared" ca="1" si="1567"/>
        <v>Uwe</v>
      </c>
      <c r="R180" s="113">
        <f t="shared" ca="1" si="1568"/>
        <v>217.6</v>
      </c>
      <c r="S180" s="73">
        <v>43</v>
      </c>
      <c r="T180" s="32">
        <f t="shared" ca="1" si="1561"/>
        <v>217.60042999999999</v>
      </c>
      <c r="U180" s="32"/>
      <c r="V180" s="61"/>
      <c r="W180" s="62"/>
      <c r="X180" s="32"/>
      <c r="Y180" s="63"/>
      <c r="Z180" s="73"/>
      <c r="AA180" s="32"/>
      <c r="AB180" s="32"/>
      <c r="AC180" s="61"/>
      <c r="AD180" s="27"/>
      <c r="AE180" s="27"/>
      <c r="AF180" s="27"/>
      <c r="AG180" s="28"/>
      <c r="AH180" s="25"/>
      <c r="AI180" s="27"/>
      <c r="AJ180" s="27"/>
      <c r="AK180" s="27"/>
      <c r="AL180" s="27"/>
      <c r="AM180" s="27"/>
      <c r="AN180" s="28"/>
      <c r="AO180" s="25"/>
      <c r="AP180" s="27"/>
      <c r="AQ180" s="27"/>
      <c r="AR180" s="27"/>
      <c r="AS180" s="27"/>
      <c r="AT180" s="27"/>
      <c r="AU180" s="28"/>
      <c r="AV180" s="25"/>
      <c r="AW180" s="27"/>
      <c r="AX180" s="27"/>
      <c r="AY180" s="27"/>
      <c r="AZ180" s="27"/>
      <c r="BA180" s="27"/>
      <c r="BB180" s="28"/>
      <c r="BC180" s="25"/>
      <c r="BD180" s="27"/>
      <c r="BE180" s="27"/>
      <c r="BF180" s="27"/>
      <c r="BG180" s="27"/>
      <c r="BH180" s="27"/>
      <c r="BI180" s="28"/>
      <c r="BJ180" s="25"/>
      <c r="BK180" s="27"/>
      <c r="BL180" s="27"/>
      <c r="BM180" s="27"/>
      <c r="BN180" s="27"/>
      <c r="BO180" s="27"/>
      <c r="BP180" s="28"/>
      <c r="BQ180" s="25"/>
      <c r="BR180" s="27"/>
      <c r="BS180" s="27"/>
      <c r="BT180" s="27"/>
      <c r="BU180" s="27"/>
      <c r="BV180" s="27"/>
      <c r="BW180" s="28"/>
      <c r="BX180" s="25"/>
      <c r="BY180" s="27"/>
      <c r="BZ180" s="27"/>
      <c r="CA180" s="27"/>
      <c r="CB180" s="27"/>
      <c r="CC180" s="27"/>
      <c r="CD180" s="28"/>
      <c r="CE180" s="25"/>
      <c r="CF180" s="27"/>
      <c r="CG180" s="27"/>
      <c r="CH180" s="27"/>
      <c r="CI180" s="27"/>
      <c r="CJ180" s="27"/>
      <c r="CK180" s="28"/>
      <c r="CL180" s="25"/>
      <c r="CM180" s="27"/>
      <c r="CN180" s="27"/>
      <c r="CO180" s="27"/>
      <c r="CP180" s="27"/>
      <c r="CQ180" s="27"/>
      <c r="CR180" s="28"/>
      <c r="CS180" s="25"/>
      <c r="CT180" s="27"/>
      <c r="CU180" s="27"/>
      <c r="CV180" s="27"/>
      <c r="CW180" s="27"/>
      <c r="CX180" s="27"/>
      <c r="CY180" s="28"/>
      <c r="CZ180" s="25"/>
      <c r="DA180" s="27"/>
      <c r="DB180" s="27"/>
      <c r="DC180" s="27"/>
      <c r="DD180" s="27"/>
      <c r="DE180" s="27"/>
      <c r="DF180" s="28"/>
      <c r="DG180" s="25"/>
      <c r="DH180" s="27"/>
      <c r="DI180" s="27"/>
      <c r="DJ180" s="27"/>
      <c r="DK180" s="27"/>
      <c r="DL180" s="27"/>
      <c r="DM180" s="28"/>
      <c r="DN180" s="25"/>
      <c r="DO180" s="27"/>
      <c r="DP180" s="27"/>
      <c r="DQ180" s="27"/>
      <c r="DR180" s="27"/>
      <c r="DS180" s="27"/>
      <c r="DT180" s="28"/>
      <c r="DU180" s="25"/>
      <c r="DV180" s="27"/>
      <c r="DW180" s="27"/>
      <c r="DX180" s="27"/>
      <c r="DY180" s="27"/>
      <c r="DZ180" s="27"/>
      <c r="EA180" s="28"/>
      <c r="EB180" s="25"/>
      <c r="EC180" s="27"/>
      <c r="ED180" s="27"/>
      <c r="EE180" s="27"/>
      <c r="EF180" s="27"/>
      <c r="EG180" s="27"/>
      <c r="EH180" s="28"/>
      <c r="EI180" s="25"/>
      <c r="EJ180" s="27"/>
      <c r="EK180" s="27"/>
      <c r="EL180" s="27"/>
      <c r="EM180" s="27"/>
      <c r="EN180" s="27"/>
      <c r="EO180" s="28"/>
      <c r="EP180" s="25"/>
      <c r="EQ180" s="27"/>
      <c r="ER180" s="27"/>
      <c r="ES180" s="27"/>
      <c r="ET180" s="27"/>
      <c r="EU180" s="27"/>
      <c r="EV180" s="28"/>
      <c r="EW180" s="25"/>
      <c r="EX180" s="27"/>
      <c r="EY180" s="27"/>
      <c r="EZ180" s="27"/>
      <c r="FA180" s="27"/>
      <c r="FB180" s="27"/>
      <c r="FC180" s="28"/>
      <c r="FD180" s="25"/>
      <c r="FE180" s="27"/>
      <c r="FF180" s="27"/>
      <c r="FG180" s="27"/>
      <c r="FH180" s="27"/>
      <c r="FI180" s="27"/>
      <c r="FJ180" s="28"/>
      <c r="FK180" s="25"/>
      <c r="FL180" s="27"/>
      <c r="FM180" s="27"/>
      <c r="FN180" s="27"/>
      <c r="FO180" s="27"/>
      <c r="FP180" s="27"/>
      <c r="FQ180" s="28"/>
      <c r="FR180" s="25"/>
      <c r="FS180" s="27"/>
      <c r="FT180" s="27"/>
      <c r="FU180" s="27"/>
      <c r="FV180" s="27"/>
      <c r="FW180" s="27"/>
      <c r="FX180" s="28"/>
      <c r="FY180" s="25"/>
      <c r="FZ180" s="27"/>
      <c r="GA180" s="27"/>
      <c r="GB180" s="27"/>
      <c r="GC180" s="27"/>
      <c r="GD180" s="27"/>
      <c r="GE180" s="28"/>
      <c r="GF180" s="25"/>
      <c r="GG180" s="27"/>
      <c r="GH180" s="27"/>
      <c r="GI180" s="27"/>
      <c r="GJ180" s="27"/>
      <c r="GK180" s="27"/>
      <c r="GL180" s="28"/>
      <c r="GM180" s="25"/>
      <c r="GN180" s="27"/>
      <c r="GO180" s="27"/>
      <c r="GP180" s="27"/>
      <c r="GQ180" s="27"/>
      <c r="GR180" s="27"/>
      <c r="GS180" s="28"/>
      <c r="GT180" s="25"/>
      <c r="GU180" s="27"/>
      <c r="GV180" s="27"/>
      <c r="GW180" s="27"/>
      <c r="GX180" s="27"/>
      <c r="GY180" s="27"/>
      <c r="GZ180" s="28"/>
      <c r="HA180" s="25"/>
      <c r="HB180" s="27"/>
      <c r="HC180" s="27"/>
      <c r="HD180" s="27"/>
      <c r="HE180" s="27"/>
      <c r="HF180" s="27"/>
      <c r="HG180" s="28"/>
      <c r="HH180" s="25"/>
      <c r="HI180" s="27"/>
      <c r="HJ180" s="27"/>
      <c r="HK180" s="27"/>
      <c r="HL180" s="27"/>
      <c r="HM180" s="27"/>
      <c r="HN180" s="28"/>
      <c r="HO180" s="25"/>
      <c r="HP180" s="27"/>
      <c r="HQ180" s="27"/>
      <c r="HR180" s="27"/>
      <c r="HS180" s="27"/>
      <c r="HT180" s="27"/>
      <c r="HU180" s="28"/>
      <c r="HV180" s="25"/>
      <c r="HW180" s="27"/>
      <c r="HX180" s="27"/>
      <c r="HY180" s="27"/>
      <c r="HZ180" s="27"/>
      <c r="IA180" s="27"/>
      <c r="IB180" s="28"/>
      <c r="IC180" s="25"/>
      <c r="ID180" s="27"/>
      <c r="IE180" s="27"/>
      <c r="IF180" s="27"/>
      <c r="IG180" s="27"/>
      <c r="IH180" s="27"/>
      <c r="II180" s="28"/>
      <c r="IJ180" s="25"/>
      <c r="IK180" s="27"/>
      <c r="IL180" s="27"/>
      <c r="IM180" s="27"/>
      <c r="IN180" s="27"/>
      <c r="IO180" s="27"/>
      <c r="IP180" s="28"/>
      <c r="IQ180" s="25"/>
      <c r="IR180" s="27"/>
      <c r="IS180" s="27"/>
      <c r="IT180" s="27"/>
      <c r="IU180" s="27"/>
      <c r="IV180" s="27"/>
      <c r="IW180" s="28"/>
      <c r="IX180" s="25"/>
      <c r="IY180" s="27"/>
      <c r="IZ180" s="27"/>
      <c r="JA180" s="27"/>
      <c r="JB180" s="27"/>
      <c r="JC180" s="27"/>
      <c r="JD180" s="28"/>
      <c r="JE180" s="25"/>
      <c r="JF180" s="27"/>
      <c r="JG180" s="27"/>
      <c r="JH180" s="27"/>
      <c r="JI180" s="27"/>
      <c r="JJ180" s="27"/>
      <c r="JK180" s="28"/>
      <c r="JL180" s="25"/>
      <c r="JM180" s="27"/>
      <c r="JN180" s="27"/>
      <c r="JO180" s="27"/>
      <c r="JP180" s="27"/>
      <c r="JQ180" s="27"/>
      <c r="JR180" s="28"/>
      <c r="JS180" s="25"/>
      <c r="JT180" s="27"/>
      <c r="JU180" s="27"/>
      <c r="JV180" s="27"/>
      <c r="JW180" s="27"/>
      <c r="JX180" s="27"/>
      <c r="JY180" s="28"/>
      <c r="JZ180" s="25"/>
      <c r="KA180" s="27"/>
      <c r="KB180" s="27"/>
      <c r="KC180" s="27"/>
      <c r="KD180" s="27"/>
      <c r="KE180" s="27"/>
      <c r="KF180" s="28"/>
      <c r="KG180" s="25"/>
      <c r="KH180" s="27"/>
      <c r="KI180" s="27"/>
      <c r="KJ180" s="27"/>
      <c r="KK180" s="27"/>
      <c r="KL180" s="27"/>
      <c r="KM180" s="28"/>
      <c r="KN180" s="25"/>
      <c r="KO180" s="27"/>
      <c r="KP180" s="27"/>
      <c r="KQ180" s="27"/>
      <c r="KR180" s="27"/>
      <c r="KS180" s="27"/>
      <c r="KT180" s="28"/>
      <c r="KU180" s="25"/>
      <c r="KV180" s="27"/>
      <c r="KW180" s="27"/>
      <c r="KX180" s="27"/>
      <c r="KY180" s="27"/>
      <c r="KZ180" s="27"/>
      <c r="LA180" s="28"/>
      <c r="LB180" s="25"/>
      <c r="LC180" s="27"/>
      <c r="LD180" s="27"/>
      <c r="LE180" s="27"/>
      <c r="LF180" s="27"/>
      <c r="LG180" s="27"/>
      <c r="LH180" s="28"/>
      <c r="LI180" s="25"/>
      <c r="LJ180" s="27"/>
      <c r="LK180" s="27"/>
      <c r="LL180" s="27"/>
      <c r="LM180" s="27"/>
      <c r="LN180" s="27"/>
      <c r="LO180" s="28"/>
      <c r="LP180" s="25"/>
      <c r="LQ180" s="27"/>
      <c r="LR180" s="27"/>
      <c r="LS180" s="27"/>
      <c r="LT180" s="27"/>
      <c r="LU180" s="27"/>
      <c r="LV180" s="28"/>
      <c r="LW180" s="25"/>
      <c r="LX180" s="27"/>
      <c r="LY180" s="27"/>
      <c r="LZ180" s="27"/>
      <c r="MA180" s="27"/>
      <c r="MB180" s="27"/>
      <c r="MC180" s="28"/>
      <c r="MD180" s="25"/>
      <c r="ME180" s="27"/>
      <c r="MF180" s="27"/>
      <c r="MG180" s="27"/>
      <c r="MH180" s="27"/>
      <c r="MI180" s="27"/>
      <c r="MJ180" s="28"/>
      <c r="MK180" s="25"/>
      <c r="ML180" s="27"/>
      <c r="MM180" s="27"/>
      <c r="MN180" s="27"/>
      <c r="MO180" s="27"/>
      <c r="MP180" s="27"/>
      <c r="MQ180" s="28"/>
      <c r="MR180" s="25"/>
      <c r="MS180" s="27"/>
      <c r="MT180" s="27"/>
      <c r="MU180" s="27"/>
      <c r="MV180" s="27"/>
      <c r="MW180" s="27"/>
      <c r="MX180" s="28"/>
      <c r="MY180" s="25"/>
      <c r="MZ180" s="27"/>
      <c r="NA180" s="27"/>
      <c r="NB180" s="27"/>
      <c r="NC180" s="27"/>
      <c r="ND180" s="27"/>
      <c r="NE180" s="28"/>
      <c r="NF180" s="25"/>
      <c r="NG180" s="27"/>
      <c r="NH180" s="27"/>
      <c r="NI180" s="27"/>
      <c r="NJ180" s="27"/>
      <c r="NK180" s="27"/>
      <c r="NL180" s="28"/>
      <c r="NM180" s="25"/>
      <c r="NN180" s="27"/>
      <c r="NO180" s="27"/>
      <c r="NP180" s="27"/>
      <c r="NQ180" s="27"/>
      <c r="NR180" s="27"/>
      <c r="NS180" s="28"/>
      <c r="NT180" s="25"/>
      <c r="NU180" s="27"/>
      <c r="NV180" s="27"/>
      <c r="NW180" s="27"/>
      <c r="NX180" s="27"/>
      <c r="NY180" s="27"/>
      <c r="NZ180" s="28"/>
      <c r="OA180" s="25"/>
      <c r="OB180" s="27"/>
      <c r="OC180" s="27"/>
      <c r="OD180" s="27"/>
      <c r="OE180" s="27"/>
      <c r="OF180" s="27"/>
      <c r="OG180" s="28"/>
      <c r="OH180" s="25"/>
      <c r="OI180" s="27"/>
      <c r="OJ180" s="27"/>
      <c r="OK180" s="27"/>
      <c r="OL180" s="27"/>
      <c r="OM180" s="27"/>
      <c r="ON180" s="28"/>
      <c r="OO180" s="25"/>
      <c r="OP180" s="27"/>
      <c r="OQ180" s="27"/>
      <c r="OR180" s="27"/>
      <c r="OS180" s="27"/>
      <c r="OT180" s="27"/>
      <c r="OU180" s="28"/>
      <c r="OV180" s="25"/>
      <c r="OW180" s="27"/>
      <c r="OX180" s="27"/>
      <c r="OY180" s="27"/>
      <c r="OZ180" s="27"/>
      <c r="PA180" s="27"/>
      <c r="PB180" s="28"/>
      <c r="PC180" s="25"/>
      <c r="PD180" s="27"/>
      <c r="PE180" s="27"/>
      <c r="PF180" s="27"/>
      <c r="PG180" s="27"/>
      <c r="PH180" s="27"/>
      <c r="PI180" s="28"/>
      <c r="PJ180" s="25"/>
      <c r="PK180" s="27"/>
      <c r="PL180" s="27"/>
      <c r="PM180" s="27"/>
      <c r="PN180" s="27"/>
      <c r="PO180" s="27"/>
      <c r="PP180" s="28"/>
      <c r="PQ180" s="25"/>
      <c r="PR180" s="27"/>
      <c r="PS180" s="27"/>
      <c r="PT180" s="27"/>
      <c r="PU180" s="27"/>
      <c r="PV180" s="27"/>
      <c r="PW180" s="28"/>
      <c r="PX180" s="25"/>
      <c r="PY180" s="27"/>
      <c r="PZ180" s="27"/>
      <c r="QA180" s="27"/>
      <c r="QB180" s="27"/>
      <c r="QC180" s="27"/>
      <c r="QD180" s="28"/>
      <c r="QE180" s="25"/>
      <c r="QF180" s="27"/>
      <c r="QG180" s="27"/>
      <c r="QH180" s="27"/>
      <c r="QI180" s="27"/>
      <c r="QJ180" s="27"/>
      <c r="QK180" s="28"/>
      <c r="QL180" s="25"/>
      <c r="QM180" s="27"/>
      <c r="QN180" s="27"/>
      <c r="QO180" s="27"/>
      <c r="QP180" s="27"/>
      <c r="QQ180" s="27"/>
      <c r="QR180" s="28"/>
      <c r="QS180" s="25"/>
      <c r="QT180" s="27"/>
      <c r="QU180" s="27"/>
      <c r="QV180" s="27"/>
      <c r="QW180" s="27"/>
      <c r="QX180" s="27"/>
      <c r="QY180" s="28"/>
      <c r="QZ180" s="25"/>
      <c r="RA180" s="27"/>
      <c r="RB180" s="27"/>
      <c r="RC180" s="27"/>
      <c r="RD180" s="27"/>
      <c r="RE180" s="27"/>
      <c r="RF180" s="28"/>
      <c r="RG180" s="25"/>
      <c r="RH180" s="27"/>
      <c r="RI180" s="27"/>
      <c r="RJ180" s="27"/>
      <c r="RK180" s="27"/>
      <c r="RL180" s="27"/>
      <c r="RM180" s="28"/>
      <c r="RN180" s="25"/>
      <c r="RO180" s="27"/>
      <c r="RP180" s="27"/>
      <c r="RQ180" s="27"/>
      <c r="RR180" s="27"/>
      <c r="RS180" s="27"/>
      <c r="RT180" s="28"/>
      <c r="RU180" s="25"/>
      <c r="RV180" s="27"/>
      <c r="RW180" s="27"/>
      <c r="RX180" s="27"/>
      <c r="RY180" s="27"/>
      <c r="RZ180" s="27"/>
      <c r="SA180" s="28"/>
      <c r="SB180" s="25"/>
      <c r="SC180" s="27"/>
      <c r="SD180" s="27"/>
      <c r="SE180" s="27"/>
      <c r="SF180" s="27"/>
      <c r="SG180" s="27"/>
      <c r="SH180" s="28"/>
      <c r="SI180" s="25"/>
      <c r="SJ180" s="27"/>
      <c r="SK180" s="27"/>
      <c r="SL180" s="27"/>
      <c r="SM180" s="27"/>
      <c r="SN180" s="27"/>
      <c r="SO180" s="28"/>
      <c r="SP180" s="25"/>
      <c r="SQ180" s="27"/>
      <c r="SR180" s="27"/>
    </row>
    <row r="181" spans="1:512" x14ac:dyDescent="0.15">
      <c r="A181" s="101">
        <f t="shared" ca="1" si="1562"/>
        <v>44</v>
      </c>
      <c r="B181" s="111">
        <v>44</v>
      </c>
      <c r="C181" s="71" t="str">
        <f t="shared" ca="1" si="1555"/>
        <v>Emma E</v>
      </c>
      <c r="D181" s="112">
        <f t="shared" ca="1" si="1563"/>
        <v>216.49999999999997</v>
      </c>
      <c r="E181" s="25"/>
      <c r="F181" s="26"/>
      <c r="G181" s="27"/>
      <c r="H181" s="28"/>
      <c r="I181" s="25"/>
      <c r="J181" s="25"/>
      <c r="K181" s="26"/>
      <c r="L181" s="62"/>
      <c r="M181" s="32" t="s">
        <v>231</v>
      </c>
      <c r="N181" s="62" t="s">
        <v>112</v>
      </c>
      <c r="O181" s="32"/>
      <c r="P181" s="32">
        <f t="shared" ca="1" si="1566"/>
        <v>46</v>
      </c>
      <c r="Q181" s="32" t="str">
        <f t="shared" ca="1" si="1567"/>
        <v>Jonathan</v>
      </c>
      <c r="R181" s="113">
        <f t="shared" ca="1" si="1568"/>
        <v>215.3</v>
      </c>
      <c r="S181" s="73">
        <v>44</v>
      </c>
      <c r="T181" s="32">
        <f t="shared" ca="1" si="1561"/>
        <v>215.30044000000001</v>
      </c>
      <c r="U181" s="32"/>
      <c r="V181" s="61"/>
      <c r="W181" s="62"/>
      <c r="X181" s="32"/>
      <c r="Y181" s="63"/>
      <c r="Z181" s="73"/>
      <c r="AA181" s="32"/>
      <c r="AB181" s="32"/>
      <c r="AC181" s="61"/>
      <c r="AD181" s="27"/>
      <c r="AE181" s="27"/>
      <c r="AF181" s="27"/>
      <c r="AG181" s="28"/>
      <c r="AH181" s="25"/>
      <c r="AI181" s="27"/>
      <c r="AJ181" s="27"/>
      <c r="AK181" s="27"/>
      <c r="AL181" s="27"/>
      <c r="AM181" s="27"/>
      <c r="AN181" s="28"/>
      <c r="AO181" s="25"/>
      <c r="AP181" s="27"/>
      <c r="AQ181" s="27"/>
      <c r="AR181" s="27"/>
      <c r="AS181" s="27"/>
      <c r="AT181" s="27"/>
      <c r="AU181" s="28"/>
      <c r="AV181" s="25"/>
      <c r="AW181" s="27"/>
      <c r="AX181" s="27"/>
      <c r="AY181" s="27"/>
      <c r="AZ181" s="27"/>
      <c r="BA181" s="27"/>
      <c r="BB181" s="28"/>
      <c r="BC181" s="25"/>
      <c r="BD181" s="27"/>
      <c r="BE181" s="27"/>
      <c r="BF181" s="27"/>
      <c r="BG181" s="27"/>
      <c r="BH181" s="27"/>
      <c r="BI181" s="28"/>
      <c r="BJ181" s="25"/>
      <c r="BK181" s="27"/>
      <c r="BL181" s="27"/>
      <c r="BM181" s="27"/>
      <c r="BN181" s="27"/>
      <c r="BO181" s="27"/>
      <c r="BP181" s="28"/>
      <c r="BQ181" s="25"/>
      <c r="BR181" s="27"/>
      <c r="BS181" s="27"/>
      <c r="BT181" s="27"/>
      <c r="BU181" s="27"/>
      <c r="BV181" s="27"/>
      <c r="BW181" s="28"/>
      <c r="BX181" s="25"/>
      <c r="BY181" s="27"/>
      <c r="BZ181" s="27"/>
      <c r="CA181" s="27"/>
      <c r="CB181" s="27"/>
      <c r="CC181" s="27"/>
      <c r="CD181" s="28"/>
      <c r="CE181" s="25"/>
      <c r="CF181" s="27"/>
      <c r="CG181" s="27"/>
      <c r="CH181" s="27"/>
      <c r="CI181" s="27"/>
      <c r="CJ181" s="27"/>
      <c r="CK181" s="28"/>
      <c r="CL181" s="25"/>
      <c r="CM181" s="27"/>
      <c r="CN181" s="27"/>
      <c r="CO181" s="27"/>
      <c r="CP181" s="27"/>
      <c r="CQ181" s="27"/>
      <c r="CR181" s="28"/>
      <c r="CS181" s="25"/>
      <c r="CT181" s="27"/>
      <c r="CU181" s="27"/>
      <c r="CV181" s="27"/>
      <c r="CW181" s="27"/>
      <c r="CX181" s="27"/>
      <c r="CY181" s="28"/>
      <c r="CZ181" s="25"/>
      <c r="DA181" s="27"/>
      <c r="DB181" s="27"/>
      <c r="DC181" s="27"/>
      <c r="DD181" s="27"/>
      <c r="DE181" s="27"/>
      <c r="DF181" s="28"/>
      <c r="DG181" s="25"/>
      <c r="DH181" s="27"/>
      <c r="DI181" s="27"/>
      <c r="DJ181" s="27"/>
      <c r="DK181" s="27"/>
      <c r="DL181" s="27"/>
      <c r="DM181" s="28"/>
      <c r="DN181" s="25"/>
      <c r="DO181" s="27"/>
      <c r="DP181" s="27"/>
      <c r="DQ181" s="27"/>
      <c r="DR181" s="27"/>
      <c r="DS181" s="27"/>
      <c r="DT181" s="28"/>
      <c r="DU181" s="25"/>
      <c r="DV181" s="27"/>
      <c r="DW181" s="27"/>
      <c r="DX181" s="27"/>
      <c r="DY181" s="27"/>
      <c r="DZ181" s="27"/>
      <c r="EA181" s="28"/>
      <c r="EB181" s="25"/>
      <c r="EC181" s="27"/>
      <c r="ED181" s="27"/>
      <c r="EE181" s="27"/>
      <c r="EF181" s="27"/>
      <c r="EG181" s="27"/>
      <c r="EH181" s="28"/>
      <c r="EI181" s="25"/>
      <c r="EJ181" s="27"/>
      <c r="EK181" s="27"/>
      <c r="EL181" s="27"/>
      <c r="EM181" s="27"/>
      <c r="EN181" s="27"/>
      <c r="EO181" s="28"/>
      <c r="EP181" s="25"/>
      <c r="EQ181" s="27"/>
      <c r="ER181" s="27"/>
      <c r="ES181" s="27"/>
      <c r="ET181" s="27"/>
      <c r="EU181" s="27"/>
      <c r="EV181" s="28"/>
      <c r="EW181" s="25"/>
      <c r="EX181" s="27"/>
      <c r="EY181" s="27"/>
      <c r="EZ181" s="27"/>
      <c r="FA181" s="27"/>
      <c r="FB181" s="27"/>
      <c r="FC181" s="28"/>
      <c r="FD181" s="25"/>
      <c r="FE181" s="27"/>
      <c r="FF181" s="27"/>
      <c r="FG181" s="27"/>
      <c r="FH181" s="27"/>
      <c r="FI181" s="27"/>
      <c r="FJ181" s="28"/>
      <c r="FK181" s="25"/>
      <c r="FL181" s="27"/>
      <c r="FM181" s="27"/>
      <c r="FN181" s="27"/>
      <c r="FO181" s="27"/>
      <c r="FP181" s="27"/>
      <c r="FQ181" s="28"/>
      <c r="FR181" s="25"/>
      <c r="FS181" s="27"/>
      <c r="FT181" s="27"/>
      <c r="FU181" s="27"/>
      <c r="FV181" s="27"/>
      <c r="FW181" s="27"/>
      <c r="FX181" s="28"/>
      <c r="FY181" s="25"/>
      <c r="FZ181" s="27"/>
      <c r="GA181" s="27"/>
      <c r="GB181" s="27"/>
      <c r="GC181" s="27"/>
      <c r="GD181" s="27"/>
      <c r="GE181" s="28"/>
      <c r="GF181" s="25"/>
      <c r="GG181" s="27"/>
      <c r="GH181" s="27"/>
      <c r="GI181" s="27"/>
      <c r="GJ181" s="27"/>
      <c r="GK181" s="27"/>
      <c r="GL181" s="28"/>
      <c r="GM181" s="25"/>
      <c r="GN181" s="27"/>
      <c r="GO181" s="27"/>
      <c r="GP181" s="27"/>
      <c r="GQ181" s="27"/>
      <c r="GR181" s="27"/>
      <c r="GS181" s="28"/>
      <c r="GT181" s="25"/>
      <c r="GU181" s="27"/>
      <c r="GV181" s="27"/>
      <c r="GW181" s="27"/>
      <c r="GX181" s="27"/>
      <c r="GY181" s="27"/>
      <c r="GZ181" s="28"/>
      <c r="HA181" s="25"/>
      <c r="HB181" s="27"/>
      <c r="HC181" s="27"/>
      <c r="HD181" s="27"/>
      <c r="HE181" s="27"/>
      <c r="HF181" s="27"/>
      <c r="HG181" s="28"/>
      <c r="HH181" s="25"/>
      <c r="HI181" s="27"/>
      <c r="HJ181" s="27"/>
      <c r="HK181" s="27"/>
      <c r="HL181" s="27"/>
      <c r="HM181" s="27"/>
      <c r="HN181" s="28"/>
      <c r="HO181" s="25"/>
      <c r="HP181" s="27"/>
      <c r="HQ181" s="27"/>
      <c r="HR181" s="27"/>
      <c r="HS181" s="27"/>
      <c r="HT181" s="27"/>
      <c r="HU181" s="28"/>
      <c r="HV181" s="25"/>
      <c r="HW181" s="27"/>
      <c r="HX181" s="27"/>
      <c r="HY181" s="27"/>
      <c r="HZ181" s="27"/>
      <c r="IA181" s="27"/>
      <c r="IB181" s="28"/>
      <c r="IC181" s="25"/>
      <c r="ID181" s="27"/>
      <c r="IE181" s="27"/>
      <c r="IF181" s="27"/>
      <c r="IG181" s="27"/>
      <c r="IH181" s="27"/>
      <c r="II181" s="28"/>
      <c r="IJ181" s="25"/>
      <c r="IK181" s="27"/>
      <c r="IL181" s="27"/>
      <c r="IM181" s="27"/>
      <c r="IN181" s="27"/>
      <c r="IO181" s="27"/>
      <c r="IP181" s="28"/>
      <c r="IQ181" s="25"/>
      <c r="IR181" s="27"/>
      <c r="IS181" s="27"/>
      <c r="IT181" s="27"/>
      <c r="IU181" s="27"/>
      <c r="IV181" s="27"/>
      <c r="IW181" s="28"/>
      <c r="IX181" s="25"/>
      <c r="IY181" s="27"/>
      <c r="IZ181" s="27"/>
      <c r="JA181" s="27"/>
      <c r="JB181" s="27"/>
      <c r="JC181" s="27"/>
      <c r="JD181" s="28"/>
      <c r="JE181" s="25"/>
      <c r="JF181" s="27"/>
      <c r="JG181" s="27"/>
      <c r="JH181" s="27"/>
      <c r="JI181" s="27"/>
      <c r="JJ181" s="27"/>
      <c r="JK181" s="28"/>
      <c r="JL181" s="25"/>
      <c r="JM181" s="27"/>
      <c r="JN181" s="27"/>
      <c r="JO181" s="27"/>
      <c r="JP181" s="27"/>
      <c r="JQ181" s="27"/>
      <c r="JR181" s="28"/>
      <c r="JS181" s="25"/>
      <c r="JT181" s="27"/>
      <c r="JU181" s="27"/>
      <c r="JV181" s="27"/>
      <c r="JW181" s="27"/>
      <c r="JX181" s="27"/>
      <c r="JY181" s="28"/>
      <c r="JZ181" s="25"/>
      <c r="KA181" s="27"/>
      <c r="KB181" s="27"/>
      <c r="KC181" s="27"/>
      <c r="KD181" s="27"/>
      <c r="KE181" s="27"/>
      <c r="KF181" s="28"/>
      <c r="KG181" s="25"/>
      <c r="KH181" s="27"/>
      <c r="KI181" s="27"/>
      <c r="KJ181" s="27"/>
      <c r="KK181" s="27"/>
      <c r="KL181" s="27"/>
      <c r="KM181" s="28"/>
      <c r="KN181" s="25"/>
      <c r="KO181" s="27"/>
      <c r="KP181" s="27"/>
      <c r="KQ181" s="27"/>
      <c r="KR181" s="27"/>
      <c r="KS181" s="27"/>
      <c r="KT181" s="28"/>
      <c r="KU181" s="25"/>
      <c r="KV181" s="27"/>
      <c r="KW181" s="27"/>
      <c r="KX181" s="27"/>
      <c r="KY181" s="27"/>
      <c r="KZ181" s="27"/>
      <c r="LA181" s="28"/>
      <c r="LB181" s="25"/>
      <c r="LC181" s="27"/>
      <c r="LD181" s="27"/>
      <c r="LE181" s="27"/>
      <c r="LF181" s="27"/>
      <c r="LG181" s="27"/>
      <c r="LH181" s="28"/>
      <c r="LI181" s="25"/>
      <c r="LJ181" s="27"/>
      <c r="LK181" s="27"/>
      <c r="LL181" s="27"/>
      <c r="LM181" s="27"/>
      <c r="LN181" s="27"/>
      <c r="LO181" s="28"/>
      <c r="LP181" s="25"/>
      <c r="LQ181" s="27"/>
      <c r="LR181" s="27"/>
      <c r="LS181" s="27"/>
      <c r="LT181" s="27"/>
      <c r="LU181" s="27"/>
      <c r="LV181" s="28"/>
      <c r="LW181" s="25"/>
      <c r="LX181" s="27"/>
      <c r="LY181" s="27"/>
      <c r="LZ181" s="27"/>
      <c r="MA181" s="27"/>
      <c r="MB181" s="27"/>
      <c r="MC181" s="28"/>
      <c r="MD181" s="25"/>
      <c r="ME181" s="27"/>
      <c r="MF181" s="27"/>
      <c r="MG181" s="27"/>
      <c r="MH181" s="27"/>
      <c r="MI181" s="27"/>
      <c r="MJ181" s="28"/>
      <c r="MK181" s="25"/>
      <c r="ML181" s="27"/>
      <c r="MM181" s="27"/>
      <c r="MN181" s="27"/>
      <c r="MO181" s="27"/>
      <c r="MP181" s="27"/>
      <c r="MQ181" s="28"/>
      <c r="MR181" s="25"/>
      <c r="MS181" s="27"/>
      <c r="MT181" s="27"/>
      <c r="MU181" s="27"/>
      <c r="MV181" s="27"/>
      <c r="MW181" s="27"/>
      <c r="MX181" s="28"/>
      <c r="MY181" s="25"/>
      <c r="MZ181" s="27"/>
      <c r="NA181" s="27"/>
      <c r="NB181" s="27"/>
      <c r="NC181" s="27"/>
      <c r="ND181" s="27"/>
      <c r="NE181" s="28"/>
      <c r="NF181" s="25"/>
      <c r="NG181" s="27"/>
      <c r="NH181" s="27"/>
      <c r="NI181" s="27"/>
      <c r="NJ181" s="27"/>
      <c r="NK181" s="27"/>
      <c r="NL181" s="28"/>
      <c r="NM181" s="25"/>
      <c r="NN181" s="27"/>
      <c r="NO181" s="27"/>
      <c r="NP181" s="27"/>
      <c r="NQ181" s="27"/>
      <c r="NR181" s="27"/>
      <c r="NS181" s="28"/>
      <c r="NT181" s="25"/>
      <c r="NU181" s="27"/>
      <c r="NV181" s="27"/>
      <c r="NW181" s="27"/>
      <c r="NX181" s="27"/>
      <c r="NY181" s="27"/>
      <c r="NZ181" s="28"/>
      <c r="OA181" s="25"/>
      <c r="OB181" s="27"/>
      <c r="OC181" s="27"/>
      <c r="OD181" s="27"/>
      <c r="OE181" s="27"/>
      <c r="OF181" s="27"/>
      <c r="OG181" s="28"/>
      <c r="OH181" s="25"/>
      <c r="OI181" s="27"/>
      <c r="OJ181" s="27"/>
      <c r="OK181" s="27"/>
      <c r="OL181" s="27"/>
      <c r="OM181" s="27"/>
      <c r="ON181" s="28"/>
      <c r="OO181" s="25"/>
      <c r="OP181" s="27"/>
      <c r="OQ181" s="27"/>
      <c r="OR181" s="27"/>
      <c r="OS181" s="27"/>
      <c r="OT181" s="27"/>
      <c r="OU181" s="28"/>
      <c r="OV181" s="25"/>
      <c r="OW181" s="27"/>
      <c r="OX181" s="27"/>
      <c r="OY181" s="27"/>
      <c r="OZ181" s="27"/>
      <c r="PA181" s="27"/>
      <c r="PB181" s="28"/>
      <c r="PC181" s="25"/>
      <c r="PD181" s="27"/>
      <c r="PE181" s="27"/>
      <c r="PF181" s="27"/>
      <c r="PG181" s="27"/>
      <c r="PH181" s="27"/>
      <c r="PI181" s="28"/>
      <c r="PJ181" s="25"/>
      <c r="PK181" s="27"/>
      <c r="PL181" s="27"/>
      <c r="PM181" s="27"/>
      <c r="PN181" s="27"/>
      <c r="PO181" s="27"/>
      <c r="PP181" s="28"/>
      <c r="PQ181" s="25"/>
      <c r="PR181" s="27"/>
      <c r="PS181" s="27"/>
      <c r="PT181" s="27"/>
      <c r="PU181" s="27"/>
      <c r="PV181" s="27"/>
      <c r="PW181" s="28"/>
      <c r="PX181" s="25"/>
      <c r="PY181" s="27"/>
      <c r="PZ181" s="27"/>
      <c r="QA181" s="27"/>
      <c r="QB181" s="27"/>
      <c r="QC181" s="27"/>
      <c r="QD181" s="28"/>
      <c r="QE181" s="25"/>
      <c r="QF181" s="27"/>
      <c r="QG181" s="27"/>
      <c r="QH181" s="27"/>
      <c r="QI181" s="27"/>
      <c r="QJ181" s="27"/>
      <c r="QK181" s="28"/>
      <c r="QL181" s="25"/>
      <c r="QM181" s="27"/>
      <c r="QN181" s="27"/>
      <c r="QO181" s="27"/>
      <c r="QP181" s="27"/>
      <c r="QQ181" s="27"/>
      <c r="QR181" s="28"/>
      <c r="QS181" s="25"/>
      <c r="QT181" s="27"/>
      <c r="QU181" s="27"/>
      <c r="QV181" s="27"/>
      <c r="QW181" s="27"/>
      <c r="QX181" s="27"/>
      <c r="QY181" s="28"/>
      <c r="QZ181" s="25"/>
      <c r="RA181" s="27"/>
      <c r="RB181" s="27"/>
      <c r="RC181" s="27"/>
      <c r="RD181" s="27"/>
      <c r="RE181" s="27"/>
      <c r="RF181" s="28"/>
      <c r="RG181" s="25"/>
      <c r="RH181" s="27"/>
      <c r="RI181" s="27"/>
      <c r="RJ181" s="27"/>
      <c r="RK181" s="27"/>
      <c r="RL181" s="27"/>
      <c r="RM181" s="28"/>
      <c r="RN181" s="25"/>
      <c r="RO181" s="27"/>
      <c r="RP181" s="27"/>
      <c r="RQ181" s="27"/>
      <c r="RR181" s="27"/>
      <c r="RS181" s="27"/>
      <c r="RT181" s="28"/>
      <c r="RU181" s="25"/>
      <c r="RV181" s="27"/>
      <c r="RW181" s="27"/>
      <c r="RX181" s="27"/>
      <c r="RY181" s="27"/>
      <c r="RZ181" s="27"/>
      <c r="SA181" s="28"/>
      <c r="SB181" s="25"/>
      <c r="SC181" s="27"/>
      <c r="SD181" s="27"/>
      <c r="SE181" s="27"/>
      <c r="SF181" s="27"/>
      <c r="SG181" s="27"/>
      <c r="SH181" s="28"/>
      <c r="SI181" s="25"/>
      <c r="SJ181" s="27"/>
      <c r="SK181" s="27"/>
      <c r="SL181" s="27"/>
      <c r="SM181" s="27"/>
      <c r="SN181" s="27"/>
      <c r="SO181" s="28"/>
      <c r="SP181" s="25"/>
      <c r="SQ181" s="27"/>
      <c r="SR181" s="27"/>
    </row>
    <row r="182" spans="1:512" x14ac:dyDescent="0.15">
      <c r="A182" s="101">
        <f t="shared" ca="1" si="1562"/>
        <v>45</v>
      </c>
      <c r="B182" s="111">
        <v>45</v>
      </c>
      <c r="C182" s="71" t="str">
        <f t="shared" ca="1" si="1555"/>
        <v>Folker</v>
      </c>
      <c r="D182" s="112">
        <f t="shared" ca="1" si="1563"/>
        <v>216.30000000000004</v>
      </c>
      <c r="E182" s="25"/>
      <c r="F182" s="26"/>
      <c r="G182" s="27"/>
      <c r="H182" s="28"/>
      <c r="I182" s="25"/>
      <c r="J182" s="25"/>
      <c r="K182" s="26"/>
      <c r="L182" s="62"/>
      <c r="M182" s="32" t="s">
        <v>232</v>
      </c>
      <c r="N182" s="62" t="s">
        <v>113</v>
      </c>
      <c r="O182" s="32"/>
      <c r="P182" s="32">
        <f t="shared" ca="1" si="1566"/>
        <v>11</v>
      </c>
      <c r="Q182" s="32" t="str">
        <f t="shared" ca="1" si="1567"/>
        <v>Marius</v>
      </c>
      <c r="R182" s="113">
        <f t="shared" ca="1" si="1568"/>
        <v>247.5</v>
      </c>
      <c r="S182" s="73">
        <v>45</v>
      </c>
      <c r="T182" s="32">
        <f t="shared" ca="1" si="1561"/>
        <v>247.50045</v>
      </c>
      <c r="U182" s="32"/>
      <c r="V182" s="61"/>
      <c r="W182" s="62"/>
      <c r="X182" s="32"/>
      <c r="Y182" s="63"/>
      <c r="Z182" s="73"/>
      <c r="AA182" s="32"/>
      <c r="AB182" s="32"/>
      <c r="AC182" s="61"/>
      <c r="AD182" s="27"/>
      <c r="AE182" s="27"/>
      <c r="AF182" s="27"/>
      <c r="AG182" s="28"/>
      <c r="AH182" s="25"/>
      <c r="AI182" s="27"/>
      <c r="AJ182" s="27"/>
      <c r="AK182" s="27"/>
      <c r="AL182" s="27"/>
      <c r="AM182" s="27"/>
      <c r="AN182" s="28"/>
      <c r="AO182" s="25"/>
      <c r="AP182" s="27"/>
      <c r="AQ182" s="27"/>
      <c r="AR182" s="27"/>
      <c r="AS182" s="27"/>
      <c r="AT182" s="27"/>
      <c r="AU182" s="28"/>
      <c r="AV182" s="25"/>
      <c r="AW182" s="27"/>
      <c r="AX182" s="27"/>
      <c r="AY182" s="27"/>
      <c r="AZ182" s="27"/>
      <c r="BA182" s="27"/>
      <c r="BB182" s="28"/>
      <c r="BC182" s="25"/>
      <c r="BD182" s="27"/>
      <c r="BE182" s="27"/>
      <c r="BF182" s="27"/>
      <c r="BG182" s="27"/>
      <c r="BH182" s="27"/>
      <c r="BI182" s="28"/>
      <c r="BJ182" s="25"/>
      <c r="BK182" s="27"/>
      <c r="BL182" s="27"/>
      <c r="BM182" s="27"/>
      <c r="BN182" s="27"/>
      <c r="BO182" s="27"/>
      <c r="BP182" s="28"/>
      <c r="BQ182" s="25"/>
      <c r="BR182" s="27"/>
      <c r="BS182" s="27"/>
      <c r="BT182" s="27"/>
      <c r="BU182" s="27"/>
      <c r="BV182" s="27"/>
      <c r="BW182" s="28"/>
      <c r="BX182" s="25"/>
      <c r="BY182" s="27"/>
      <c r="BZ182" s="27"/>
      <c r="CA182" s="27"/>
      <c r="CB182" s="27"/>
      <c r="CC182" s="27"/>
      <c r="CD182" s="28"/>
      <c r="CE182" s="25"/>
      <c r="CF182" s="27"/>
      <c r="CG182" s="27"/>
      <c r="CH182" s="27"/>
      <c r="CI182" s="27"/>
      <c r="CJ182" s="27"/>
      <c r="CK182" s="28"/>
      <c r="CL182" s="25"/>
      <c r="CM182" s="27"/>
      <c r="CN182" s="27"/>
      <c r="CO182" s="27"/>
      <c r="CP182" s="27"/>
      <c r="CQ182" s="27"/>
      <c r="CR182" s="28"/>
      <c r="CS182" s="25"/>
      <c r="CT182" s="27"/>
      <c r="CU182" s="27"/>
      <c r="CV182" s="27"/>
      <c r="CW182" s="27"/>
      <c r="CX182" s="27"/>
      <c r="CY182" s="28"/>
      <c r="CZ182" s="25"/>
      <c r="DA182" s="27"/>
      <c r="DB182" s="27"/>
      <c r="DC182" s="27"/>
      <c r="DD182" s="27"/>
      <c r="DE182" s="27"/>
      <c r="DF182" s="28"/>
      <c r="DG182" s="25"/>
      <c r="DH182" s="27"/>
      <c r="DI182" s="27"/>
      <c r="DJ182" s="27"/>
      <c r="DK182" s="27"/>
      <c r="DL182" s="27"/>
      <c r="DM182" s="28"/>
      <c r="DN182" s="25"/>
      <c r="DO182" s="27"/>
      <c r="DP182" s="27"/>
      <c r="DQ182" s="27"/>
      <c r="DR182" s="27"/>
      <c r="DS182" s="27"/>
      <c r="DT182" s="28"/>
      <c r="DU182" s="25"/>
      <c r="DV182" s="27"/>
      <c r="DW182" s="27"/>
      <c r="DX182" s="27"/>
      <c r="DY182" s="27"/>
      <c r="DZ182" s="27"/>
      <c r="EA182" s="28"/>
      <c r="EB182" s="25"/>
      <c r="EC182" s="27"/>
      <c r="ED182" s="27"/>
      <c r="EE182" s="27"/>
      <c r="EF182" s="27"/>
      <c r="EG182" s="27"/>
      <c r="EH182" s="28"/>
      <c r="EI182" s="25"/>
      <c r="EJ182" s="27"/>
      <c r="EK182" s="27"/>
      <c r="EL182" s="27"/>
      <c r="EM182" s="27"/>
      <c r="EN182" s="27"/>
      <c r="EO182" s="28"/>
      <c r="EP182" s="25"/>
      <c r="EQ182" s="27"/>
      <c r="ER182" s="27"/>
      <c r="ES182" s="27"/>
      <c r="ET182" s="27"/>
      <c r="EU182" s="27"/>
      <c r="EV182" s="28"/>
      <c r="EW182" s="25"/>
      <c r="EX182" s="27"/>
      <c r="EY182" s="27"/>
      <c r="EZ182" s="27"/>
      <c r="FA182" s="27"/>
      <c r="FB182" s="27"/>
      <c r="FC182" s="28"/>
      <c r="FD182" s="25"/>
      <c r="FE182" s="27"/>
      <c r="FF182" s="27"/>
      <c r="FG182" s="27"/>
      <c r="FH182" s="27"/>
      <c r="FI182" s="27"/>
      <c r="FJ182" s="28"/>
      <c r="FK182" s="25"/>
      <c r="FL182" s="27"/>
      <c r="FM182" s="27"/>
      <c r="FN182" s="27"/>
      <c r="FO182" s="27"/>
      <c r="FP182" s="27"/>
      <c r="FQ182" s="28"/>
      <c r="FR182" s="25"/>
      <c r="FS182" s="27"/>
      <c r="FT182" s="27"/>
      <c r="FU182" s="27"/>
      <c r="FV182" s="27"/>
      <c r="FW182" s="27"/>
      <c r="FX182" s="28"/>
      <c r="FY182" s="25"/>
      <c r="FZ182" s="27"/>
      <c r="GA182" s="27"/>
      <c r="GB182" s="27"/>
      <c r="GC182" s="27"/>
      <c r="GD182" s="27"/>
      <c r="GE182" s="28"/>
      <c r="GF182" s="25"/>
      <c r="GG182" s="27"/>
      <c r="GH182" s="27"/>
      <c r="GI182" s="27"/>
      <c r="GJ182" s="27"/>
      <c r="GK182" s="27"/>
      <c r="GL182" s="28"/>
      <c r="GM182" s="25"/>
      <c r="GN182" s="27"/>
      <c r="GO182" s="27"/>
      <c r="GP182" s="27"/>
      <c r="GQ182" s="27"/>
      <c r="GR182" s="27"/>
      <c r="GS182" s="28"/>
      <c r="GT182" s="25"/>
      <c r="GU182" s="27"/>
      <c r="GV182" s="27"/>
      <c r="GW182" s="27"/>
      <c r="GX182" s="27"/>
      <c r="GY182" s="27"/>
      <c r="GZ182" s="28"/>
      <c r="HA182" s="25"/>
      <c r="HB182" s="27"/>
      <c r="HC182" s="27"/>
      <c r="HD182" s="27"/>
      <c r="HE182" s="27"/>
      <c r="HF182" s="27"/>
      <c r="HG182" s="28"/>
      <c r="HH182" s="25"/>
      <c r="HI182" s="27"/>
      <c r="HJ182" s="27"/>
      <c r="HK182" s="27"/>
      <c r="HL182" s="27"/>
      <c r="HM182" s="27"/>
      <c r="HN182" s="28"/>
      <c r="HO182" s="25"/>
      <c r="HP182" s="27"/>
      <c r="HQ182" s="27"/>
      <c r="HR182" s="27"/>
      <c r="HS182" s="27"/>
      <c r="HT182" s="27"/>
      <c r="HU182" s="28"/>
      <c r="HV182" s="25"/>
      <c r="HW182" s="27"/>
      <c r="HX182" s="27"/>
      <c r="HY182" s="27"/>
      <c r="HZ182" s="27"/>
      <c r="IA182" s="27"/>
      <c r="IB182" s="28"/>
      <c r="IC182" s="25"/>
      <c r="ID182" s="27"/>
      <c r="IE182" s="27"/>
      <c r="IF182" s="27"/>
      <c r="IG182" s="27"/>
      <c r="IH182" s="27"/>
      <c r="II182" s="28"/>
      <c r="IJ182" s="25"/>
      <c r="IK182" s="27"/>
      <c r="IL182" s="27"/>
      <c r="IM182" s="27"/>
      <c r="IN182" s="27"/>
      <c r="IO182" s="27"/>
      <c r="IP182" s="28"/>
      <c r="IQ182" s="25"/>
      <c r="IR182" s="27"/>
      <c r="IS182" s="27"/>
      <c r="IT182" s="27"/>
      <c r="IU182" s="27"/>
      <c r="IV182" s="27"/>
      <c r="IW182" s="28"/>
      <c r="IX182" s="25"/>
      <c r="IY182" s="27"/>
      <c r="IZ182" s="27"/>
      <c r="JA182" s="27"/>
      <c r="JB182" s="27"/>
      <c r="JC182" s="27"/>
      <c r="JD182" s="28"/>
      <c r="JE182" s="25"/>
      <c r="JF182" s="27"/>
      <c r="JG182" s="27"/>
      <c r="JH182" s="27"/>
      <c r="JI182" s="27"/>
      <c r="JJ182" s="27"/>
      <c r="JK182" s="28"/>
      <c r="JL182" s="25"/>
      <c r="JM182" s="27"/>
      <c r="JN182" s="27"/>
      <c r="JO182" s="27"/>
      <c r="JP182" s="27"/>
      <c r="JQ182" s="27"/>
      <c r="JR182" s="28"/>
      <c r="JS182" s="25"/>
      <c r="JT182" s="27"/>
      <c r="JU182" s="27"/>
      <c r="JV182" s="27"/>
      <c r="JW182" s="27"/>
      <c r="JX182" s="27"/>
      <c r="JY182" s="28"/>
      <c r="JZ182" s="25"/>
      <c r="KA182" s="27"/>
      <c r="KB182" s="27"/>
      <c r="KC182" s="27"/>
      <c r="KD182" s="27"/>
      <c r="KE182" s="27"/>
      <c r="KF182" s="28"/>
      <c r="KG182" s="25"/>
      <c r="KH182" s="27"/>
      <c r="KI182" s="27"/>
      <c r="KJ182" s="27"/>
      <c r="KK182" s="27"/>
      <c r="KL182" s="27"/>
      <c r="KM182" s="28"/>
      <c r="KN182" s="25"/>
      <c r="KO182" s="27"/>
      <c r="KP182" s="27"/>
      <c r="KQ182" s="27"/>
      <c r="KR182" s="27"/>
      <c r="KS182" s="27"/>
      <c r="KT182" s="28"/>
      <c r="KU182" s="25"/>
      <c r="KV182" s="27"/>
      <c r="KW182" s="27"/>
      <c r="KX182" s="27"/>
      <c r="KY182" s="27"/>
      <c r="KZ182" s="27"/>
      <c r="LA182" s="28"/>
      <c r="LB182" s="25"/>
      <c r="LC182" s="27"/>
      <c r="LD182" s="27"/>
      <c r="LE182" s="27"/>
      <c r="LF182" s="27"/>
      <c r="LG182" s="27"/>
      <c r="LH182" s="28"/>
      <c r="LI182" s="25"/>
      <c r="LJ182" s="27"/>
      <c r="LK182" s="27"/>
      <c r="LL182" s="27"/>
      <c r="LM182" s="27"/>
      <c r="LN182" s="27"/>
      <c r="LO182" s="28"/>
      <c r="LP182" s="25"/>
      <c r="LQ182" s="27"/>
      <c r="LR182" s="27"/>
      <c r="LS182" s="27"/>
      <c r="LT182" s="27"/>
      <c r="LU182" s="27"/>
      <c r="LV182" s="28"/>
      <c r="LW182" s="25"/>
      <c r="LX182" s="27"/>
      <c r="LY182" s="27"/>
      <c r="LZ182" s="27"/>
      <c r="MA182" s="27"/>
      <c r="MB182" s="27"/>
      <c r="MC182" s="28"/>
      <c r="MD182" s="25"/>
      <c r="ME182" s="27"/>
      <c r="MF182" s="27"/>
      <c r="MG182" s="27"/>
      <c r="MH182" s="27"/>
      <c r="MI182" s="27"/>
      <c r="MJ182" s="28"/>
      <c r="MK182" s="25"/>
      <c r="ML182" s="27"/>
      <c r="MM182" s="27"/>
      <c r="MN182" s="27"/>
      <c r="MO182" s="27"/>
      <c r="MP182" s="27"/>
      <c r="MQ182" s="28"/>
      <c r="MR182" s="25"/>
      <c r="MS182" s="27"/>
      <c r="MT182" s="27"/>
      <c r="MU182" s="27"/>
      <c r="MV182" s="27"/>
      <c r="MW182" s="27"/>
      <c r="MX182" s="28"/>
      <c r="MY182" s="25"/>
      <c r="MZ182" s="27"/>
      <c r="NA182" s="27"/>
      <c r="NB182" s="27"/>
      <c r="NC182" s="27"/>
      <c r="ND182" s="27"/>
      <c r="NE182" s="28"/>
      <c r="NF182" s="25"/>
      <c r="NG182" s="27"/>
      <c r="NH182" s="27"/>
      <c r="NI182" s="27"/>
      <c r="NJ182" s="27"/>
      <c r="NK182" s="27"/>
      <c r="NL182" s="28"/>
      <c r="NM182" s="25"/>
      <c r="NN182" s="27"/>
      <c r="NO182" s="27"/>
      <c r="NP182" s="27"/>
      <c r="NQ182" s="27"/>
      <c r="NR182" s="27"/>
      <c r="NS182" s="28"/>
      <c r="NT182" s="25"/>
      <c r="NU182" s="27"/>
      <c r="NV182" s="27"/>
      <c r="NW182" s="27"/>
      <c r="NX182" s="27"/>
      <c r="NY182" s="27"/>
      <c r="NZ182" s="28"/>
      <c r="OA182" s="25"/>
      <c r="OB182" s="27"/>
      <c r="OC182" s="27"/>
      <c r="OD182" s="27"/>
      <c r="OE182" s="27"/>
      <c r="OF182" s="27"/>
      <c r="OG182" s="28"/>
      <c r="OH182" s="25"/>
      <c r="OI182" s="27"/>
      <c r="OJ182" s="27"/>
      <c r="OK182" s="27"/>
      <c r="OL182" s="27"/>
      <c r="OM182" s="27"/>
      <c r="ON182" s="28"/>
      <c r="OO182" s="25"/>
      <c r="OP182" s="27"/>
      <c r="OQ182" s="27"/>
      <c r="OR182" s="27"/>
      <c r="OS182" s="27"/>
      <c r="OT182" s="27"/>
      <c r="OU182" s="28"/>
      <c r="OV182" s="25"/>
      <c r="OW182" s="27"/>
      <c r="OX182" s="27"/>
      <c r="OY182" s="27"/>
      <c r="OZ182" s="27"/>
      <c r="PA182" s="27"/>
      <c r="PB182" s="28"/>
      <c r="PC182" s="25"/>
      <c r="PD182" s="27"/>
      <c r="PE182" s="27"/>
      <c r="PF182" s="27"/>
      <c r="PG182" s="27"/>
      <c r="PH182" s="27"/>
      <c r="PI182" s="28"/>
      <c r="PJ182" s="25"/>
      <c r="PK182" s="27"/>
      <c r="PL182" s="27"/>
      <c r="PM182" s="27"/>
      <c r="PN182" s="27"/>
      <c r="PO182" s="27"/>
      <c r="PP182" s="28"/>
      <c r="PQ182" s="25"/>
      <c r="PR182" s="27"/>
      <c r="PS182" s="27"/>
      <c r="PT182" s="27"/>
      <c r="PU182" s="27"/>
      <c r="PV182" s="27"/>
      <c r="PW182" s="28"/>
      <c r="PX182" s="25"/>
      <c r="PY182" s="27"/>
      <c r="PZ182" s="27"/>
      <c r="QA182" s="27"/>
      <c r="QB182" s="27"/>
      <c r="QC182" s="27"/>
      <c r="QD182" s="28"/>
      <c r="QE182" s="25"/>
      <c r="QF182" s="27"/>
      <c r="QG182" s="27"/>
      <c r="QH182" s="27"/>
      <c r="QI182" s="27"/>
      <c r="QJ182" s="27"/>
      <c r="QK182" s="28"/>
      <c r="QL182" s="25"/>
      <c r="QM182" s="27"/>
      <c r="QN182" s="27"/>
      <c r="QO182" s="27"/>
      <c r="QP182" s="27"/>
      <c r="QQ182" s="27"/>
      <c r="QR182" s="28"/>
      <c r="QS182" s="25"/>
      <c r="QT182" s="27"/>
      <c r="QU182" s="27"/>
      <c r="QV182" s="27"/>
      <c r="QW182" s="27"/>
      <c r="QX182" s="27"/>
      <c r="QY182" s="28"/>
      <c r="QZ182" s="25"/>
      <c r="RA182" s="27"/>
      <c r="RB182" s="27"/>
      <c r="RC182" s="27"/>
      <c r="RD182" s="27"/>
      <c r="RE182" s="27"/>
      <c r="RF182" s="28"/>
      <c r="RG182" s="25"/>
      <c r="RH182" s="27"/>
      <c r="RI182" s="27"/>
      <c r="RJ182" s="27"/>
      <c r="RK182" s="27"/>
      <c r="RL182" s="27"/>
      <c r="RM182" s="28"/>
      <c r="RN182" s="25"/>
      <c r="RO182" s="27"/>
      <c r="RP182" s="27"/>
      <c r="RQ182" s="27"/>
      <c r="RR182" s="27"/>
      <c r="RS182" s="27"/>
      <c r="RT182" s="28"/>
      <c r="RU182" s="25"/>
      <c r="RV182" s="27"/>
      <c r="RW182" s="27"/>
      <c r="RX182" s="27"/>
      <c r="RY182" s="27"/>
      <c r="RZ182" s="27"/>
      <c r="SA182" s="28"/>
      <c r="SB182" s="25"/>
      <c r="SC182" s="27"/>
      <c r="SD182" s="27"/>
      <c r="SE182" s="27"/>
      <c r="SF182" s="27"/>
      <c r="SG182" s="27"/>
      <c r="SH182" s="28"/>
      <c r="SI182" s="25"/>
      <c r="SJ182" s="27"/>
      <c r="SK182" s="27"/>
      <c r="SL182" s="27"/>
      <c r="SM182" s="27"/>
      <c r="SN182" s="27"/>
      <c r="SO182" s="28"/>
      <c r="SP182" s="25"/>
      <c r="SQ182" s="27"/>
      <c r="SR182" s="27"/>
    </row>
    <row r="183" spans="1:512" x14ac:dyDescent="0.15">
      <c r="A183" s="101">
        <f t="shared" ca="1" si="1562"/>
        <v>46</v>
      </c>
      <c r="B183" s="111">
        <v>46</v>
      </c>
      <c r="C183" s="71" t="str">
        <f t="shared" ca="1" si="1555"/>
        <v>Jonathan</v>
      </c>
      <c r="D183" s="112">
        <f t="shared" ca="1" si="1563"/>
        <v>215.3</v>
      </c>
      <c r="E183" s="25"/>
      <c r="F183" s="26"/>
      <c r="G183" s="27"/>
      <c r="H183" s="28"/>
      <c r="I183" s="25"/>
      <c r="J183" s="25"/>
      <c r="K183" s="26"/>
      <c r="L183" s="62"/>
      <c r="M183" s="61" t="s">
        <v>233</v>
      </c>
      <c r="N183" s="63" t="s">
        <v>114</v>
      </c>
      <c r="O183" s="32"/>
      <c r="P183" s="32">
        <f t="shared" ca="1" si="1566"/>
        <v>36</v>
      </c>
      <c r="Q183" s="32" t="str">
        <f t="shared" ca="1" si="1567"/>
        <v>Claudia F</v>
      </c>
      <c r="R183" s="113">
        <f t="shared" ca="1" si="1568"/>
        <v>220</v>
      </c>
      <c r="S183" s="73">
        <v>46</v>
      </c>
      <c r="T183" s="32">
        <f t="shared" ref="T183:T185" ca="1" si="1569">R183+S183/100000</f>
        <v>220.00046</v>
      </c>
      <c r="U183" s="32"/>
      <c r="V183" s="61"/>
      <c r="W183" s="62"/>
      <c r="X183" s="32"/>
      <c r="Y183" s="63"/>
      <c r="Z183" s="73"/>
      <c r="AA183" s="32"/>
      <c r="AB183" s="32"/>
      <c r="AC183" s="61"/>
      <c r="AD183" s="27"/>
      <c r="AE183" s="27"/>
      <c r="AF183" s="27"/>
      <c r="AG183" s="28"/>
      <c r="AH183" s="25"/>
      <c r="AI183" s="27"/>
      <c r="AJ183" s="27"/>
      <c r="AK183" s="27"/>
      <c r="AL183" s="27"/>
      <c r="AM183" s="27"/>
      <c r="AN183" s="28"/>
      <c r="AO183" s="25"/>
      <c r="AP183" s="27"/>
      <c r="AQ183" s="27"/>
      <c r="AR183" s="27"/>
      <c r="AS183" s="27"/>
      <c r="AT183" s="27"/>
      <c r="AU183" s="28"/>
      <c r="AV183" s="25"/>
      <c r="AW183" s="27"/>
      <c r="AX183" s="27"/>
      <c r="AY183" s="27"/>
      <c r="AZ183" s="27"/>
      <c r="BA183" s="27"/>
      <c r="BB183" s="28"/>
      <c r="BC183" s="25"/>
      <c r="BD183" s="27"/>
      <c r="BE183" s="27"/>
      <c r="BF183" s="27"/>
      <c r="BG183" s="27"/>
      <c r="BH183" s="27"/>
      <c r="BI183" s="28"/>
      <c r="BJ183" s="25"/>
      <c r="BK183" s="27"/>
      <c r="BL183" s="27"/>
      <c r="BM183" s="27"/>
      <c r="BN183" s="27"/>
      <c r="BO183" s="27"/>
      <c r="BP183" s="28"/>
      <c r="BQ183" s="25"/>
      <c r="BR183" s="27"/>
      <c r="BS183" s="27"/>
      <c r="BT183" s="27"/>
      <c r="BU183" s="27"/>
      <c r="BV183" s="27"/>
      <c r="BW183" s="28"/>
      <c r="BX183" s="25"/>
      <c r="BY183" s="27"/>
      <c r="BZ183" s="27"/>
      <c r="CA183" s="27"/>
      <c r="CB183" s="27"/>
      <c r="CC183" s="27"/>
      <c r="CD183" s="28"/>
      <c r="CE183" s="25"/>
      <c r="CF183" s="27"/>
      <c r="CG183" s="27"/>
      <c r="CH183" s="27"/>
      <c r="CI183" s="27"/>
      <c r="CJ183" s="27"/>
      <c r="CK183" s="28"/>
      <c r="CL183" s="25"/>
      <c r="CM183" s="27"/>
      <c r="CN183" s="27"/>
      <c r="CO183" s="27"/>
      <c r="CP183" s="27"/>
      <c r="CQ183" s="27"/>
      <c r="CR183" s="28"/>
      <c r="CS183" s="25"/>
      <c r="CT183" s="27"/>
      <c r="CU183" s="27"/>
      <c r="CV183" s="27"/>
      <c r="CW183" s="27"/>
      <c r="CX183" s="27"/>
      <c r="CY183" s="28"/>
      <c r="CZ183" s="25"/>
      <c r="DA183" s="27"/>
      <c r="DB183" s="27"/>
      <c r="DC183" s="27"/>
      <c r="DD183" s="27"/>
      <c r="DE183" s="27"/>
      <c r="DF183" s="28"/>
      <c r="DG183" s="25"/>
      <c r="DH183" s="27"/>
      <c r="DI183" s="27"/>
      <c r="DJ183" s="27"/>
      <c r="DK183" s="27"/>
      <c r="DL183" s="27"/>
      <c r="DM183" s="28"/>
      <c r="DN183" s="25"/>
      <c r="DO183" s="27"/>
      <c r="DP183" s="27"/>
      <c r="DQ183" s="27"/>
      <c r="DR183" s="27"/>
      <c r="DS183" s="27"/>
      <c r="DT183" s="28"/>
      <c r="DU183" s="25"/>
      <c r="DV183" s="27"/>
      <c r="DW183" s="27"/>
      <c r="DX183" s="27"/>
      <c r="DY183" s="27"/>
      <c r="DZ183" s="27"/>
      <c r="EA183" s="28"/>
      <c r="EB183" s="25"/>
      <c r="EC183" s="27"/>
      <c r="ED183" s="27"/>
      <c r="EE183" s="27"/>
      <c r="EF183" s="27"/>
      <c r="EG183" s="27"/>
      <c r="EH183" s="28"/>
      <c r="EI183" s="25"/>
      <c r="EJ183" s="27"/>
      <c r="EK183" s="27"/>
      <c r="EL183" s="27"/>
      <c r="EM183" s="27"/>
      <c r="EN183" s="27"/>
      <c r="EO183" s="28"/>
      <c r="EP183" s="25"/>
      <c r="EQ183" s="27"/>
      <c r="ER183" s="27"/>
      <c r="ES183" s="27"/>
      <c r="ET183" s="27"/>
      <c r="EU183" s="27"/>
      <c r="EV183" s="28"/>
      <c r="EW183" s="25"/>
      <c r="EX183" s="27"/>
      <c r="EY183" s="27"/>
      <c r="EZ183" s="27"/>
      <c r="FA183" s="27"/>
      <c r="FB183" s="27"/>
      <c r="FC183" s="28"/>
      <c r="FD183" s="25"/>
      <c r="FE183" s="27"/>
      <c r="FF183" s="27"/>
      <c r="FG183" s="27"/>
      <c r="FH183" s="27"/>
      <c r="FI183" s="27"/>
      <c r="FJ183" s="28"/>
      <c r="FK183" s="25"/>
      <c r="FL183" s="27"/>
      <c r="FM183" s="27"/>
      <c r="FN183" s="27"/>
      <c r="FO183" s="27"/>
      <c r="FP183" s="27"/>
      <c r="FQ183" s="28"/>
      <c r="FR183" s="25"/>
      <c r="FS183" s="27"/>
      <c r="FT183" s="27"/>
      <c r="FU183" s="27"/>
      <c r="FV183" s="27"/>
      <c r="FW183" s="27"/>
      <c r="FX183" s="28"/>
      <c r="FY183" s="25"/>
      <c r="FZ183" s="27"/>
      <c r="GA183" s="27"/>
      <c r="GB183" s="27"/>
      <c r="GC183" s="27"/>
      <c r="GD183" s="27"/>
      <c r="GE183" s="28"/>
      <c r="GF183" s="25"/>
      <c r="GG183" s="27"/>
      <c r="GH183" s="27"/>
      <c r="GI183" s="27"/>
      <c r="GJ183" s="27"/>
      <c r="GK183" s="27"/>
      <c r="GL183" s="28"/>
      <c r="GM183" s="25"/>
      <c r="GN183" s="27"/>
      <c r="GO183" s="27"/>
      <c r="GP183" s="27"/>
      <c r="GQ183" s="27"/>
      <c r="GR183" s="27"/>
      <c r="GS183" s="28"/>
      <c r="GT183" s="25"/>
      <c r="GU183" s="27"/>
      <c r="GV183" s="27"/>
      <c r="GW183" s="27"/>
      <c r="GX183" s="27"/>
      <c r="GY183" s="27"/>
      <c r="GZ183" s="28"/>
      <c r="HA183" s="25"/>
      <c r="HB183" s="27"/>
      <c r="HC183" s="27"/>
      <c r="HD183" s="27"/>
      <c r="HE183" s="27"/>
      <c r="HF183" s="27"/>
      <c r="HG183" s="28"/>
      <c r="HH183" s="25"/>
      <c r="HI183" s="27"/>
      <c r="HJ183" s="27"/>
      <c r="HK183" s="27"/>
      <c r="HL183" s="27"/>
      <c r="HM183" s="27"/>
      <c r="HN183" s="28"/>
      <c r="HO183" s="25"/>
      <c r="HP183" s="27"/>
      <c r="HQ183" s="27"/>
      <c r="HR183" s="27"/>
      <c r="HS183" s="27"/>
      <c r="HT183" s="27"/>
      <c r="HU183" s="28"/>
      <c r="HV183" s="25"/>
      <c r="HW183" s="27"/>
      <c r="HX183" s="27"/>
      <c r="HY183" s="27"/>
      <c r="HZ183" s="27"/>
      <c r="IA183" s="27"/>
      <c r="IB183" s="28"/>
      <c r="IC183" s="25"/>
      <c r="ID183" s="27"/>
      <c r="IE183" s="27"/>
      <c r="IF183" s="27"/>
      <c r="IG183" s="27"/>
      <c r="IH183" s="27"/>
      <c r="II183" s="28"/>
      <c r="IJ183" s="25"/>
      <c r="IK183" s="27"/>
      <c r="IL183" s="27"/>
      <c r="IM183" s="27"/>
      <c r="IN183" s="27"/>
      <c r="IO183" s="27"/>
      <c r="IP183" s="28"/>
      <c r="IQ183" s="25"/>
      <c r="IR183" s="27"/>
      <c r="IS183" s="27"/>
      <c r="IT183" s="27"/>
      <c r="IU183" s="27"/>
      <c r="IV183" s="27"/>
      <c r="IW183" s="28"/>
      <c r="IX183" s="25"/>
      <c r="IY183" s="27"/>
      <c r="IZ183" s="27"/>
      <c r="JA183" s="27"/>
      <c r="JB183" s="27"/>
      <c r="JC183" s="27"/>
      <c r="JD183" s="28"/>
      <c r="JE183" s="25"/>
      <c r="JF183" s="27"/>
      <c r="JG183" s="27"/>
      <c r="JH183" s="27"/>
      <c r="JI183" s="27"/>
      <c r="JJ183" s="27"/>
      <c r="JK183" s="28"/>
      <c r="JL183" s="25"/>
      <c r="JM183" s="27"/>
      <c r="JN183" s="27"/>
      <c r="JO183" s="27"/>
      <c r="JP183" s="27"/>
      <c r="JQ183" s="27"/>
      <c r="JR183" s="28"/>
      <c r="JS183" s="25"/>
      <c r="JT183" s="27"/>
      <c r="JU183" s="27"/>
      <c r="JV183" s="27"/>
      <c r="JW183" s="27"/>
      <c r="JX183" s="27"/>
      <c r="JY183" s="28"/>
      <c r="JZ183" s="25"/>
      <c r="KA183" s="27"/>
      <c r="KB183" s="27"/>
      <c r="KC183" s="27"/>
      <c r="KD183" s="27"/>
      <c r="KE183" s="27"/>
      <c r="KF183" s="28"/>
      <c r="KG183" s="25"/>
      <c r="KH183" s="27"/>
      <c r="KI183" s="27"/>
      <c r="KJ183" s="27"/>
      <c r="KK183" s="27"/>
      <c r="KL183" s="27"/>
      <c r="KM183" s="28"/>
      <c r="KN183" s="25"/>
      <c r="KO183" s="27"/>
      <c r="KP183" s="27"/>
      <c r="KQ183" s="27"/>
      <c r="KR183" s="27"/>
      <c r="KS183" s="27"/>
      <c r="KT183" s="28"/>
      <c r="KU183" s="25"/>
      <c r="KV183" s="27"/>
      <c r="KW183" s="27"/>
      <c r="KX183" s="27"/>
      <c r="KY183" s="27"/>
      <c r="KZ183" s="27"/>
      <c r="LA183" s="28"/>
      <c r="LB183" s="25"/>
      <c r="LC183" s="27"/>
      <c r="LD183" s="27"/>
      <c r="LE183" s="27"/>
      <c r="LF183" s="27"/>
      <c r="LG183" s="27"/>
      <c r="LH183" s="28"/>
      <c r="LI183" s="25"/>
      <c r="LJ183" s="27"/>
      <c r="LK183" s="27"/>
      <c r="LL183" s="27"/>
      <c r="LM183" s="27"/>
      <c r="LN183" s="27"/>
      <c r="LO183" s="28"/>
      <c r="LP183" s="25"/>
      <c r="LQ183" s="27"/>
      <c r="LR183" s="27"/>
      <c r="LS183" s="27"/>
      <c r="LT183" s="27"/>
      <c r="LU183" s="27"/>
      <c r="LV183" s="28"/>
      <c r="LW183" s="25"/>
      <c r="LX183" s="27"/>
      <c r="LY183" s="27"/>
      <c r="LZ183" s="27"/>
      <c r="MA183" s="27"/>
      <c r="MB183" s="27"/>
      <c r="MC183" s="28"/>
      <c r="MD183" s="25"/>
      <c r="ME183" s="27"/>
      <c r="MF183" s="27"/>
      <c r="MG183" s="27"/>
      <c r="MH183" s="27"/>
      <c r="MI183" s="27"/>
      <c r="MJ183" s="28"/>
      <c r="MK183" s="25"/>
      <c r="ML183" s="27"/>
      <c r="MM183" s="27"/>
      <c r="MN183" s="27"/>
      <c r="MO183" s="27"/>
      <c r="MP183" s="27"/>
      <c r="MQ183" s="28"/>
      <c r="MR183" s="25"/>
      <c r="MS183" s="27"/>
      <c r="MT183" s="27"/>
      <c r="MU183" s="27"/>
      <c r="MV183" s="27"/>
      <c r="MW183" s="27"/>
      <c r="MX183" s="28"/>
      <c r="MY183" s="25"/>
      <c r="MZ183" s="27"/>
      <c r="NA183" s="27"/>
      <c r="NB183" s="27"/>
      <c r="NC183" s="27"/>
      <c r="ND183" s="27"/>
      <c r="NE183" s="28"/>
      <c r="NF183" s="25"/>
      <c r="NG183" s="27"/>
      <c r="NH183" s="27"/>
      <c r="NI183" s="27"/>
      <c r="NJ183" s="27"/>
      <c r="NK183" s="27"/>
      <c r="NL183" s="28"/>
      <c r="NM183" s="25"/>
      <c r="NN183" s="27"/>
      <c r="NO183" s="27"/>
      <c r="NP183" s="27"/>
      <c r="NQ183" s="27"/>
      <c r="NR183" s="27"/>
      <c r="NS183" s="28"/>
      <c r="NT183" s="25"/>
      <c r="NU183" s="27"/>
      <c r="NV183" s="27"/>
      <c r="NW183" s="27"/>
      <c r="NX183" s="27"/>
      <c r="NY183" s="27"/>
      <c r="NZ183" s="28"/>
      <c r="OA183" s="25"/>
      <c r="OB183" s="27"/>
      <c r="OC183" s="27"/>
      <c r="OD183" s="27"/>
      <c r="OE183" s="27"/>
      <c r="OF183" s="27"/>
      <c r="OG183" s="28"/>
      <c r="OH183" s="25"/>
      <c r="OI183" s="27"/>
      <c r="OJ183" s="27"/>
      <c r="OK183" s="27"/>
      <c r="OL183" s="27"/>
      <c r="OM183" s="27"/>
      <c r="ON183" s="28"/>
      <c r="OO183" s="25"/>
      <c r="OP183" s="27"/>
      <c r="OQ183" s="27"/>
      <c r="OR183" s="27"/>
      <c r="OS183" s="27"/>
      <c r="OT183" s="27"/>
      <c r="OU183" s="28"/>
      <c r="OV183" s="25"/>
      <c r="OW183" s="27"/>
      <c r="OX183" s="27"/>
      <c r="OY183" s="27"/>
      <c r="OZ183" s="27"/>
      <c r="PA183" s="27"/>
      <c r="PB183" s="28"/>
      <c r="PC183" s="25"/>
      <c r="PD183" s="27"/>
      <c r="PE183" s="27"/>
      <c r="PF183" s="27"/>
      <c r="PG183" s="27"/>
      <c r="PH183" s="27"/>
      <c r="PI183" s="28"/>
      <c r="PJ183" s="25"/>
      <c r="PK183" s="27"/>
      <c r="PL183" s="27"/>
      <c r="PM183" s="27"/>
      <c r="PN183" s="27"/>
      <c r="PO183" s="27"/>
      <c r="PP183" s="28"/>
      <c r="PQ183" s="25"/>
      <c r="PR183" s="27"/>
      <c r="PS183" s="27"/>
      <c r="PT183" s="27"/>
      <c r="PU183" s="27"/>
      <c r="PV183" s="27"/>
      <c r="PW183" s="28"/>
      <c r="PX183" s="25"/>
      <c r="PY183" s="27"/>
      <c r="PZ183" s="27"/>
      <c r="QA183" s="27"/>
      <c r="QB183" s="27"/>
      <c r="QC183" s="27"/>
      <c r="QD183" s="28"/>
      <c r="QE183" s="25"/>
      <c r="QF183" s="27"/>
      <c r="QG183" s="27"/>
      <c r="QH183" s="27"/>
      <c r="QI183" s="27"/>
      <c r="QJ183" s="27"/>
      <c r="QK183" s="28"/>
      <c r="QL183" s="25"/>
      <c r="QM183" s="27"/>
      <c r="QN183" s="27"/>
      <c r="QO183" s="27"/>
      <c r="QP183" s="27"/>
      <c r="QQ183" s="27"/>
      <c r="QR183" s="28"/>
      <c r="QS183" s="25"/>
      <c r="QT183" s="27"/>
      <c r="QU183" s="27"/>
      <c r="QV183" s="27"/>
      <c r="QW183" s="27"/>
      <c r="QX183" s="27"/>
      <c r="QY183" s="28"/>
      <c r="QZ183" s="25"/>
      <c r="RA183" s="27"/>
      <c r="RB183" s="27"/>
      <c r="RC183" s="27"/>
      <c r="RD183" s="27"/>
      <c r="RE183" s="27"/>
      <c r="RF183" s="28"/>
      <c r="RG183" s="25"/>
      <c r="RH183" s="27"/>
      <c r="RI183" s="27"/>
      <c r="RJ183" s="27"/>
      <c r="RK183" s="27"/>
      <c r="RL183" s="27"/>
      <c r="RM183" s="28"/>
      <c r="RN183" s="25"/>
      <c r="RO183" s="27"/>
      <c r="RP183" s="27"/>
      <c r="RQ183" s="27"/>
      <c r="RR183" s="27"/>
      <c r="RS183" s="27"/>
      <c r="RT183" s="28"/>
      <c r="RU183" s="25"/>
      <c r="RV183" s="27"/>
      <c r="RW183" s="27"/>
      <c r="RX183" s="27"/>
      <c r="RY183" s="27"/>
      <c r="RZ183" s="27"/>
      <c r="SA183" s="28"/>
      <c r="SB183" s="25"/>
      <c r="SC183" s="27"/>
      <c r="SD183" s="27"/>
      <c r="SE183" s="27"/>
      <c r="SF183" s="27"/>
      <c r="SG183" s="27"/>
      <c r="SH183" s="28"/>
      <c r="SI183" s="25"/>
      <c r="SJ183" s="27"/>
      <c r="SK183" s="27"/>
      <c r="SL183" s="27"/>
      <c r="SM183" s="27"/>
      <c r="SN183" s="27"/>
      <c r="SO183" s="28"/>
      <c r="SP183" s="25"/>
      <c r="SQ183" s="27"/>
      <c r="SR183" s="27"/>
    </row>
    <row r="184" spans="1:512" x14ac:dyDescent="0.15">
      <c r="A184" s="101">
        <f t="shared" ca="1" si="1562"/>
        <v>47</v>
      </c>
      <c r="B184" s="111">
        <v>47</v>
      </c>
      <c r="C184" s="71" t="str">
        <f t="shared" ca="1" si="1555"/>
        <v>Valentin</v>
      </c>
      <c r="D184" s="112">
        <f t="shared" ca="1" si="1563"/>
        <v>215.09999999999997</v>
      </c>
      <c r="E184" s="25"/>
      <c r="F184" s="26"/>
      <c r="G184" s="27"/>
      <c r="H184" s="28"/>
      <c r="I184" s="25"/>
      <c r="J184" s="25"/>
      <c r="K184" s="26"/>
      <c r="L184" s="62"/>
      <c r="M184" s="62" t="s">
        <v>234</v>
      </c>
      <c r="N184" s="32" t="s">
        <v>115</v>
      </c>
      <c r="O184" s="32"/>
      <c r="P184" s="32">
        <f t="shared" ca="1" si="1566"/>
        <v>14</v>
      </c>
      <c r="Q184" s="32" t="str">
        <f t="shared" ca="1" si="1567"/>
        <v>Anton</v>
      </c>
      <c r="R184" s="113">
        <f t="shared" ca="1" si="1568"/>
        <v>243.7</v>
      </c>
      <c r="S184" s="73">
        <v>47</v>
      </c>
      <c r="T184" s="32">
        <f t="shared" ca="1" si="1569"/>
        <v>243.70047</v>
      </c>
      <c r="U184" s="32"/>
      <c r="V184" s="61"/>
      <c r="W184" s="62"/>
      <c r="X184" s="32"/>
      <c r="Y184" s="63"/>
      <c r="Z184" s="73"/>
      <c r="AA184" s="32"/>
      <c r="AB184" s="32"/>
      <c r="AC184" s="61"/>
      <c r="AD184" s="27"/>
      <c r="AE184" s="27"/>
      <c r="AF184" s="27"/>
      <c r="AG184" s="28"/>
      <c r="AH184" s="25"/>
      <c r="AI184" s="27"/>
      <c r="AJ184" s="27"/>
      <c r="AK184" s="27"/>
      <c r="AL184" s="27"/>
      <c r="AM184" s="27"/>
      <c r="AN184" s="28"/>
      <c r="AO184" s="25"/>
      <c r="AP184" s="27"/>
      <c r="AQ184" s="27"/>
      <c r="AR184" s="27"/>
      <c r="AS184" s="27"/>
      <c r="AT184" s="27"/>
      <c r="AU184" s="28"/>
      <c r="AV184" s="25"/>
      <c r="AW184" s="27"/>
      <c r="AX184" s="27"/>
      <c r="AY184" s="27"/>
      <c r="AZ184" s="27"/>
      <c r="BA184" s="27"/>
      <c r="BB184" s="28"/>
      <c r="BC184" s="25"/>
      <c r="BD184" s="27"/>
      <c r="BE184" s="27"/>
      <c r="BF184" s="27"/>
      <c r="BG184" s="27"/>
      <c r="BH184" s="27"/>
      <c r="BI184" s="28"/>
      <c r="BJ184" s="25"/>
      <c r="BK184" s="27"/>
      <c r="BL184" s="27"/>
      <c r="BM184" s="27"/>
      <c r="BN184" s="27"/>
      <c r="BO184" s="27"/>
      <c r="BP184" s="28"/>
      <c r="BQ184" s="25"/>
      <c r="BR184" s="27"/>
      <c r="BS184" s="27"/>
      <c r="BT184" s="27"/>
      <c r="BU184" s="27"/>
      <c r="BV184" s="27"/>
      <c r="BW184" s="28"/>
      <c r="BX184" s="25"/>
      <c r="BY184" s="27"/>
      <c r="BZ184" s="27"/>
      <c r="CA184" s="27"/>
      <c r="CB184" s="27"/>
      <c r="CC184" s="27"/>
      <c r="CD184" s="28"/>
      <c r="CE184" s="25"/>
      <c r="CF184" s="27"/>
      <c r="CG184" s="27"/>
      <c r="CH184" s="27"/>
      <c r="CI184" s="27"/>
      <c r="CJ184" s="27"/>
      <c r="CK184" s="28"/>
      <c r="CL184" s="25"/>
      <c r="CM184" s="27"/>
      <c r="CN184" s="27"/>
      <c r="CO184" s="27"/>
      <c r="CP184" s="27"/>
      <c r="CQ184" s="27"/>
      <c r="CR184" s="28"/>
      <c r="CS184" s="25"/>
      <c r="CT184" s="27"/>
      <c r="CU184" s="27"/>
      <c r="CV184" s="27"/>
      <c r="CW184" s="27"/>
      <c r="CX184" s="27"/>
      <c r="CY184" s="28"/>
      <c r="CZ184" s="25"/>
      <c r="DA184" s="27"/>
      <c r="DB184" s="27"/>
      <c r="DC184" s="27"/>
      <c r="DD184" s="27"/>
      <c r="DE184" s="27"/>
      <c r="DF184" s="28"/>
      <c r="DG184" s="25"/>
      <c r="DH184" s="27"/>
      <c r="DI184" s="27"/>
      <c r="DJ184" s="27"/>
      <c r="DK184" s="27"/>
      <c r="DL184" s="27"/>
      <c r="DM184" s="28"/>
      <c r="DN184" s="25"/>
      <c r="DO184" s="27"/>
      <c r="DP184" s="27"/>
      <c r="DQ184" s="27"/>
      <c r="DR184" s="27"/>
      <c r="DS184" s="27"/>
      <c r="DT184" s="28"/>
      <c r="DU184" s="25"/>
      <c r="DV184" s="27"/>
      <c r="DW184" s="27"/>
      <c r="DX184" s="27"/>
      <c r="DY184" s="27"/>
      <c r="DZ184" s="27"/>
      <c r="EA184" s="28"/>
      <c r="EB184" s="25"/>
      <c r="EC184" s="27"/>
      <c r="ED184" s="27"/>
      <c r="EE184" s="27"/>
      <c r="EF184" s="27"/>
      <c r="EG184" s="27"/>
      <c r="EH184" s="28"/>
      <c r="EI184" s="25"/>
      <c r="EJ184" s="27"/>
      <c r="EK184" s="27"/>
      <c r="EL184" s="27"/>
      <c r="EM184" s="27"/>
      <c r="EN184" s="27"/>
      <c r="EO184" s="28"/>
      <c r="EP184" s="25"/>
      <c r="EQ184" s="27"/>
      <c r="ER184" s="27"/>
      <c r="ES184" s="27"/>
      <c r="ET184" s="27"/>
      <c r="EU184" s="27"/>
      <c r="EV184" s="28"/>
      <c r="EW184" s="25"/>
      <c r="EX184" s="27"/>
      <c r="EY184" s="27"/>
      <c r="EZ184" s="27"/>
      <c r="FA184" s="27"/>
      <c r="FB184" s="27"/>
      <c r="FC184" s="28"/>
      <c r="FD184" s="25"/>
      <c r="FE184" s="27"/>
      <c r="FF184" s="27"/>
      <c r="FG184" s="27"/>
      <c r="FH184" s="27"/>
      <c r="FI184" s="27"/>
      <c r="FJ184" s="28"/>
      <c r="FK184" s="25"/>
      <c r="FL184" s="27"/>
      <c r="FM184" s="27"/>
      <c r="FN184" s="27"/>
      <c r="FO184" s="27"/>
      <c r="FP184" s="27"/>
      <c r="FQ184" s="28"/>
      <c r="FR184" s="25"/>
      <c r="FS184" s="27"/>
      <c r="FT184" s="27"/>
      <c r="FU184" s="27"/>
      <c r="FV184" s="27"/>
      <c r="FW184" s="27"/>
      <c r="FX184" s="28"/>
      <c r="FY184" s="25"/>
      <c r="FZ184" s="27"/>
      <c r="GA184" s="27"/>
      <c r="GB184" s="27"/>
      <c r="GC184" s="27"/>
      <c r="GD184" s="27"/>
      <c r="GE184" s="28"/>
      <c r="GF184" s="25"/>
      <c r="GG184" s="27"/>
      <c r="GH184" s="27"/>
      <c r="GI184" s="27"/>
      <c r="GJ184" s="27"/>
      <c r="GK184" s="27"/>
      <c r="GL184" s="28"/>
      <c r="GM184" s="25"/>
      <c r="GN184" s="27"/>
      <c r="GO184" s="27"/>
      <c r="GP184" s="27"/>
      <c r="GQ184" s="27"/>
      <c r="GR184" s="27"/>
      <c r="GS184" s="28"/>
      <c r="GT184" s="25"/>
      <c r="GU184" s="27"/>
      <c r="GV184" s="27"/>
      <c r="GW184" s="27"/>
      <c r="GX184" s="27"/>
      <c r="GY184" s="27"/>
      <c r="GZ184" s="28"/>
      <c r="HA184" s="25"/>
      <c r="HB184" s="27"/>
      <c r="HC184" s="27"/>
      <c r="HD184" s="27"/>
      <c r="HE184" s="27"/>
      <c r="HF184" s="27"/>
      <c r="HG184" s="28"/>
      <c r="HH184" s="25"/>
      <c r="HI184" s="27"/>
      <c r="HJ184" s="27"/>
      <c r="HK184" s="27"/>
      <c r="HL184" s="27"/>
      <c r="HM184" s="27"/>
      <c r="HN184" s="28"/>
      <c r="HO184" s="25"/>
      <c r="HP184" s="27"/>
      <c r="HQ184" s="27"/>
      <c r="HR184" s="27"/>
      <c r="HS184" s="27"/>
      <c r="HT184" s="27"/>
      <c r="HU184" s="28"/>
      <c r="HV184" s="25"/>
      <c r="HW184" s="27"/>
      <c r="HX184" s="27"/>
      <c r="HY184" s="27"/>
      <c r="HZ184" s="27"/>
      <c r="IA184" s="27"/>
      <c r="IB184" s="28"/>
      <c r="IC184" s="25"/>
      <c r="ID184" s="27"/>
      <c r="IE184" s="27"/>
      <c r="IF184" s="27"/>
      <c r="IG184" s="27"/>
      <c r="IH184" s="27"/>
      <c r="II184" s="28"/>
      <c r="IJ184" s="25"/>
      <c r="IK184" s="27"/>
      <c r="IL184" s="27"/>
      <c r="IM184" s="27"/>
      <c r="IN184" s="27"/>
      <c r="IO184" s="27"/>
      <c r="IP184" s="28"/>
      <c r="IQ184" s="25"/>
      <c r="IR184" s="27"/>
      <c r="IS184" s="27"/>
      <c r="IT184" s="27"/>
      <c r="IU184" s="27"/>
      <c r="IV184" s="27"/>
      <c r="IW184" s="28"/>
      <c r="IX184" s="25"/>
      <c r="IY184" s="27"/>
      <c r="IZ184" s="27"/>
      <c r="JA184" s="27"/>
      <c r="JB184" s="27"/>
      <c r="JC184" s="27"/>
      <c r="JD184" s="28"/>
      <c r="JE184" s="25"/>
      <c r="JF184" s="27"/>
      <c r="JG184" s="27"/>
      <c r="JH184" s="27"/>
      <c r="JI184" s="27"/>
      <c r="JJ184" s="27"/>
      <c r="JK184" s="28"/>
      <c r="JL184" s="25"/>
      <c r="JM184" s="27"/>
      <c r="JN184" s="27"/>
      <c r="JO184" s="27"/>
      <c r="JP184" s="27"/>
      <c r="JQ184" s="27"/>
      <c r="JR184" s="28"/>
      <c r="JS184" s="25"/>
      <c r="JT184" s="27"/>
      <c r="JU184" s="27"/>
      <c r="JV184" s="27"/>
      <c r="JW184" s="27"/>
      <c r="JX184" s="27"/>
      <c r="JY184" s="28"/>
      <c r="JZ184" s="25"/>
      <c r="KA184" s="27"/>
      <c r="KB184" s="27"/>
      <c r="KC184" s="27"/>
      <c r="KD184" s="27"/>
      <c r="KE184" s="27"/>
      <c r="KF184" s="28"/>
      <c r="KG184" s="25"/>
      <c r="KH184" s="27"/>
      <c r="KI184" s="27"/>
      <c r="KJ184" s="27"/>
      <c r="KK184" s="27"/>
      <c r="KL184" s="27"/>
      <c r="KM184" s="28"/>
      <c r="KN184" s="25"/>
      <c r="KO184" s="27"/>
      <c r="KP184" s="27"/>
      <c r="KQ184" s="27"/>
      <c r="KR184" s="27"/>
      <c r="KS184" s="27"/>
      <c r="KT184" s="28"/>
      <c r="KU184" s="25"/>
      <c r="KV184" s="27"/>
      <c r="KW184" s="27"/>
      <c r="KX184" s="27"/>
      <c r="KY184" s="27"/>
      <c r="KZ184" s="27"/>
      <c r="LA184" s="28"/>
      <c r="LB184" s="25"/>
      <c r="LC184" s="27"/>
      <c r="LD184" s="27"/>
      <c r="LE184" s="27"/>
      <c r="LF184" s="27"/>
      <c r="LG184" s="27"/>
      <c r="LH184" s="28"/>
      <c r="LI184" s="25"/>
      <c r="LJ184" s="27"/>
      <c r="LK184" s="27"/>
      <c r="LL184" s="27"/>
      <c r="LM184" s="27"/>
      <c r="LN184" s="27"/>
      <c r="LO184" s="28"/>
      <c r="LP184" s="25"/>
      <c r="LQ184" s="27"/>
      <c r="LR184" s="27"/>
      <c r="LS184" s="27"/>
      <c r="LT184" s="27"/>
      <c r="LU184" s="27"/>
      <c r="LV184" s="28"/>
      <c r="LW184" s="25"/>
      <c r="LX184" s="27"/>
      <c r="LY184" s="27"/>
      <c r="LZ184" s="27"/>
      <c r="MA184" s="27"/>
      <c r="MB184" s="27"/>
      <c r="MC184" s="28"/>
      <c r="MD184" s="25"/>
      <c r="ME184" s="27"/>
      <c r="MF184" s="27"/>
      <c r="MG184" s="27"/>
      <c r="MH184" s="27"/>
      <c r="MI184" s="27"/>
      <c r="MJ184" s="28"/>
      <c r="MK184" s="25"/>
      <c r="ML184" s="27"/>
      <c r="MM184" s="27"/>
      <c r="MN184" s="27"/>
      <c r="MO184" s="27"/>
      <c r="MP184" s="27"/>
      <c r="MQ184" s="28"/>
      <c r="MR184" s="25"/>
      <c r="MS184" s="27"/>
      <c r="MT184" s="27"/>
      <c r="MU184" s="27"/>
      <c r="MV184" s="27"/>
      <c r="MW184" s="27"/>
      <c r="MX184" s="28"/>
      <c r="MY184" s="25"/>
      <c r="MZ184" s="27"/>
      <c r="NA184" s="27"/>
      <c r="NB184" s="27"/>
      <c r="NC184" s="27"/>
      <c r="ND184" s="27"/>
      <c r="NE184" s="28"/>
      <c r="NF184" s="25"/>
      <c r="NG184" s="27"/>
      <c r="NH184" s="27"/>
      <c r="NI184" s="27"/>
      <c r="NJ184" s="27"/>
      <c r="NK184" s="27"/>
      <c r="NL184" s="28"/>
      <c r="NM184" s="25"/>
      <c r="NN184" s="27"/>
      <c r="NO184" s="27"/>
      <c r="NP184" s="27"/>
      <c r="NQ184" s="27"/>
      <c r="NR184" s="27"/>
      <c r="NS184" s="28"/>
      <c r="NT184" s="25"/>
      <c r="NU184" s="27"/>
      <c r="NV184" s="27"/>
      <c r="NW184" s="27"/>
      <c r="NX184" s="27"/>
      <c r="NY184" s="27"/>
      <c r="NZ184" s="28"/>
      <c r="OA184" s="25"/>
      <c r="OB184" s="27"/>
      <c r="OC184" s="27"/>
      <c r="OD184" s="27"/>
      <c r="OE184" s="27"/>
      <c r="OF184" s="27"/>
      <c r="OG184" s="28"/>
      <c r="OH184" s="25"/>
      <c r="OI184" s="27"/>
      <c r="OJ184" s="27"/>
      <c r="OK184" s="27"/>
      <c r="OL184" s="27"/>
      <c r="OM184" s="27"/>
      <c r="ON184" s="28"/>
      <c r="OO184" s="25"/>
      <c r="OP184" s="27"/>
      <c r="OQ184" s="27"/>
      <c r="OR184" s="27"/>
      <c r="OS184" s="27"/>
      <c r="OT184" s="27"/>
      <c r="OU184" s="28"/>
      <c r="OV184" s="25"/>
      <c r="OW184" s="27"/>
      <c r="OX184" s="27"/>
      <c r="OY184" s="27"/>
      <c r="OZ184" s="27"/>
      <c r="PA184" s="27"/>
      <c r="PB184" s="28"/>
      <c r="PC184" s="25"/>
      <c r="PD184" s="27"/>
      <c r="PE184" s="27"/>
      <c r="PF184" s="27"/>
      <c r="PG184" s="27"/>
      <c r="PH184" s="27"/>
      <c r="PI184" s="28"/>
      <c r="PJ184" s="25"/>
      <c r="PK184" s="27"/>
      <c r="PL184" s="27"/>
      <c r="PM184" s="27"/>
      <c r="PN184" s="27"/>
      <c r="PO184" s="27"/>
      <c r="PP184" s="28"/>
      <c r="PQ184" s="25"/>
      <c r="PR184" s="27"/>
      <c r="PS184" s="27"/>
      <c r="PT184" s="27"/>
      <c r="PU184" s="27"/>
      <c r="PV184" s="27"/>
      <c r="PW184" s="28"/>
      <c r="PX184" s="25"/>
      <c r="PY184" s="27"/>
      <c r="PZ184" s="27"/>
      <c r="QA184" s="27"/>
      <c r="QB184" s="27"/>
      <c r="QC184" s="27"/>
      <c r="QD184" s="28"/>
      <c r="QE184" s="25"/>
      <c r="QF184" s="27"/>
      <c r="QG184" s="27"/>
      <c r="QH184" s="27"/>
      <c r="QI184" s="27"/>
      <c r="QJ184" s="27"/>
      <c r="QK184" s="28"/>
      <c r="QL184" s="25"/>
      <c r="QM184" s="27"/>
      <c r="QN184" s="27"/>
      <c r="QO184" s="27"/>
      <c r="QP184" s="27"/>
      <c r="QQ184" s="27"/>
      <c r="QR184" s="28"/>
      <c r="QS184" s="25"/>
      <c r="QT184" s="27"/>
      <c r="QU184" s="27"/>
      <c r="QV184" s="27"/>
      <c r="QW184" s="27"/>
      <c r="QX184" s="27"/>
      <c r="QY184" s="28"/>
      <c r="QZ184" s="25"/>
      <c r="RA184" s="27"/>
      <c r="RB184" s="27"/>
      <c r="RC184" s="27"/>
      <c r="RD184" s="27"/>
      <c r="RE184" s="27"/>
      <c r="RF184" s="28"/>
      <c r="RG184" s="25"/>
      <c r="RH184" s="27"/>
      <c r="RI184" s="27"/>
      <c r="RJ184" s="27"/>
      <c r="RK184" s="27"/>
      <c r="RL184" s="27"/>
      <c r="RM184" s="28"/>
      <c r="RN184" s="25"/>
      <c r="RO184" s="27"/>
      <c r="RP184" s="27"/>
      <c r="RQ184" s="27"/>
      <c r="RR184" s="27"/>
      <c r="RS184" s="27"/>
      <c r="RT184" s="28"/>
      <c r="RU184" s="25"/>
      <c r="RV184" s="27"/>
      <c r="RW184" s="27"/>
      <c r="RX184" s="27"/>
      <c r="RY184" s="27"/>
      <c r="RZ184" s="27"/>
      <c r="SA184" s="28"/>
      <c r="SB184" s="25"/>
      <c r="SC184" s="27"/>
      <c r="SD184" s="27"/>
      <c r="SE184" s="27"/>
      <c r="SF184" s="27"/>
      <c r="SG184" s="27"/>
      <c r="SH184" s="28"/>
      <c r="SI184" s="25"/>
      <c r="SJ184" s="27"/>
      <c r="SK184" s="27"/>
      <c r="SL184" s="27"/>
      <c r="SM184" s="27"/>
      <c r="SN184" s="27"/>
      <c r="SO184" s="28"/>
      <c r="SP184" s="25"/>
      <c r="SQ184" s="27"/>
      <c r="SR184" s="27"/>
    </row>
    <row r="185" spans="1:512" x14ac:dyDescent="0.15">
      <c r="A185" s="101">
        <f t="shared" ca="1" si="1562"/>
        <v>48</v>
      </c>
      <c r="B185" s="111">
        <v>48</v>
      </c>
      <c r="C185" s="71" t="str">
        <f t="shared" ca="1" si="1555"/>
        <v>Marietta</v>
      </c>
      <c r="D185" s="112">
        <f t="shared" ca="1" si="1563"/>
        <v>214.59999999999997</v>
      </c>
      <c r="E185" s="25"/>
      <c r="F185" s="26"/>
      <c r="G185" s="27"/>
      <c r="H185" s="28"/>
      <c r="I185" s="25"/>
      <c r="J185" s="25"/>
      <c r="K185" s="26"/>
      <c r="L185" s="62"/>
      <c r="M185" s="62" t="s">
        <v>235</v>
      </c>
      <c r="N185" s="62" t="s">
        <v>116</v>
      </c>
      <c r="O185" s="32"/>
      <c r="P185" s="32">
        <f t="shared" ca="1" si="1566"/>
        <v>54</v>
      </c>
      <c r="Q185" s="32" t="str">
        <f t="shared" ca="1" si="1567"/>
        <v>Jörg</v>
      </c>
      <c r="R185" s="113">
        <f t="shared" ca="1" si="1568"/>
        <v>206.1</v>
      </c>
      <c r="S185" s="73">
        <v>48</v>
      </c>
      <c r="T185" s="32">
        <f t="shared" ca="1" si="1569"/>
        <v>206.10048</v>
      </c>
      <c r="U185" s="32"/>
      <c r="V185" s="61"/>
      <c r="W185" s="62"/>
      <c r="X185" s="32"/>
      <c r="Y185" s="63"/>
      <c r="Z185" s="73"/>
      <c r="AA185" s="32"/>
      <c r="AB185" s="32"/>
      <c r="AC185" s="61"/>
      <c r="AD185" s="27"/>
      <c r="AE185" s="27"/>
      <c r="AF185" s="27"/>
      <c r="AG185" s="28"/>
      <c r="AH185" s="25"/>
      <c r="AI185" s="27"/>
      <c r="AJ185" s="27"/>
      <c r="AK185" s="27"/>
      <c r="AL185" s="27"/>
      <c r="AM185" s="27"/>
      <c r="AN185" s="28"/>
      <c r="AO185" s="25"/>
      <c r="AP185" s="27"/>
      <c r="AQ185" s="27"/>
      <c r="AR185" s="27"/>
      <c r="AS185" s="27"/>
      <c r="AT185" s="27"/>
      <c r="AU185" s="28"/>
      <c r="AV185" s="25"/>
      <c r="AW185" s="27"/>
      <c r="AX185" s="27"/>
      <c r="AY185" s="27"/>
      <c r="AZ185" s="27"/>
      <c r="BA185" s="27"/>
      <c r="BB185" s="28"/>
      <c r="BC185" s="25"/>
      <c r="BD185" s="27"/>
      <c r="BE185" s="27"/>
      <c r="BF185" s="27"/>
      <c r="BG185" s="27"/>
      <c r="BH185" s="27"/>
      <c r="BI185" s="28"/>
      <c r="BJ185" s="25"/>
      <c r="BK185" s="27"/>
      <c r="BL185" s="27"/>
      <c r="BM185" s="27"/>
      <c r="BN185" s="27"/>
      <c r="BO185" s="27"/>
      <c r="BP185" s="28"/>
      <c r="BQ185" s="25"/>
      <c r="BR185" s="27"/>
      <c r="BS185" s="27"/>
      <c r="BT185" s="27"/>
      <c r="BU185" s="27"/>
      <c r="BV185" s="27"/>
      <c r="BW185" s="28"/>
      <c r="BX185" s="25"/>
      <c r="BY185" s="27"/>
      <c r="BZ185" s="27"/>
      <c r="CA185" s="27"/>
      <c r="CB185" s="27"/>
      <c r="CC185" s="27"/>
      <c r="CD185" s="28"/>
      <c r="CE185" s="25"/>
      <c r="CF185" s="27"/>
      <c r="CG185" s="27"/>
      <c r="CH185" s="27"/>
      <c r="CI185" s="27"/>
      <c r="CJ185" s="27"/>
      <c r="CK185" s="28"/>
      <c r="CL185" s="25"/>
      <c r="CM185" s="27"/>
      <c r="CN185" s="27"/>
      <c r="CO185" s="27"/>
      <c r="CP185" s="27"/>
      <c r="CQ185" s="27"/>
      <c r="CR185" s="28"/>
      <c r="CS185" s="25"/>
      <c r="CT185" s="27"/>
      <c r="CU185" s="27"/>
      <c r="CV185" s="27"/>
      <c r="CW185" s="27"/>
      <c r="CX185" s="27"/>
      <c r="CY185" s="28"/>
      <c r="CZ185" s="25"/>
      <c r="DA185" s="27"/>
      <c r="DB185" s="27"/>
      <c r="DC185" s="27"/>
      <c r="DD185" s="27"/>
      <c r="DE185" s="27"/>
      <c r="DF185" s="28"/>
      <c r="DG185" s="25"/>
      <c r="DH185" s="27"/>
      <c r="DI185" s="27"/>
      <c r="DJ185" s="27"/>
      <c r="DK185" s="27"/>
      <c r="DL185" s="27"/>
      <c r="DM185" s="28"/>
      <c r="DN185" s="25"/>
      <c r="DO185" s="27"/>
      <c r="DP185" s="27"/>
      <c r="DQ185" s="27"/>
      <c r="DR185" s="27"/>
      <c r="DS185" s="27"/>
      <c r="DT185" s="28"/>
      <c r="DU185" s="25"/>
      <c r="DV185" s="27"/>
      <c r="DW185" s="27"/>
      <c r="DX185" s="27"/>
      <c r="DY185" s="27"/>
      <c r="DZ185" s="27"/>
      <c r="EA185" s="28"/>
      <c r="EB185" s="25"/>
      <c r="EC185" s="27"/>
      <c r="ED185" s="27"/>
      <c r="EE185" s="27"/>
      <c r="EF185" s="27"/>
      <c r="EG185" s="27"/>
      <c r="EH185" s="28"/>
      <c r="EI185" s="25"/>
      <c r="EJ185" s="27"/>
      <c r="EK185" s="27"/>
      <c r="EL185" s="27"/>
      <c r="EM185" s="27"/>
      <c r="EN185" s="27"/>
      <c r="EO185" s="28"/>
      <c r="EP185" s="25"/>
      <c r="EQ185" s="27"/>
      <c r="ER185" s="27"/>
      <c r="ES185" s="27"/>
      <c r="ET185" s="27"/>
      <c r="EU185" s="27"/>
      <c r="EV185" s="28"/>
      <c r="EW185" s="25"/>
      <c r="EX185" s="27"/>
      <c r="EY185" s="27"/>
      <c r="EZ185" s="27"/>
      <c r="FA185" s="27"/>
      <c r="FB185" s="27"/>
      <c r="FC185" s="28"/>
      <c r="FD185" s="25"/>
      <c r="FE185" s="27"/>
      <c r="FF185" s="27"/>
      <c r="FG185" s="27"/>
      <c r="FH185" s="27"/>
      <c r="FI185" s="27"/>
      <c r="FJ185" s="28"/>
      <c r="FK185" s="25"/>
      <c r="FL185" s="27"/>
      <c r="FM185" s="27"/>
      <c r="FN185" s="27"/>
      <c r="FO185" s="27"/>
      <c r="FP185" s="27"/>
      <c r="FQ185" s="28"/>
      <c r="FR185" s="25"/>
      <c r="FS185" s="27"/>
      <c r="FT185" s="27"/>
      <c r="FU185" s="27"/>
      <c r="FV185" s="27"/>
      <c r="FW185" s="27"/>
      <c r="FX185" s="28"/>
      <c r="FY185" s="25"/>
      <c r="FZ185" s="27"/>
      <c r="GA185" s="27"/>
      <c r="GB185" s="27"/>
      <c r="GC185" s="27"/>
      <c r="GD185" s="27"/>
      <c r="GE185" s="28"/>
      <c r="GF185" s="25"/>
      <c r="GG185" s="27"/>
      <c r="GH185" s="27"/>
      <c r="GI185" s="27"/>
      <c r="GJ185" s="27"/>
      <c r="GK185" s="27"/>
      <c r="GL185" s="28"/>
      <c r="GM185" s="25"/>
      <c r="GN185" s="27"/>
      <c r="GO185" s="27"/>
      <c r="GP185" s="27"/>
      <c r="GQ185" s="27"/>
      <c r="GR185" s="27"/>
      <c r="GS185" s="28"/>
      <c r="GT185" s="25"/>
      <c r="GU185" s="27"/>
      <c r="GV185" s="27"/>
      <c r="GW185" s="27"/>
      <c r="GX185" s="27"/>
      <c r="GY185" s="27"/>
      <c r="GZ185" s="28"/>
      <c r="HA185" s="25"/>
      <c r="HB185" s="27"/>
      <c r="HC185" s="27"/>
      <c r="HD185" s="27"/>
      <c r="HE185" s="27"/>
      <c r="HF185" s="27"/>
      <c r="HG185" s="28"/>
      <c r="HH185" s="25"/>
      <c r="HI185" s="27"/>
      <c r="HJ185" s="27"/>
      <c r="HK185" s="27"/>
      <c r="HL185" s="27"/>
      <c r="HM185" s="27"/>
      <c r="HN185" s="28"/>
      <c r="HO185" s="25"/>
      <c r="HP185" s="27"/>
      <c r="HQ185" s="27"/>
      <c r="HR185" s="27"/>
      <c r="HS185" s="27"/>
      <c r="HT185" s="27"/>
      <c r="HU185" s="28"/>
      <c r="HV185" s="25"/>
      <c r="HW185" s="27"/>
      <c r="HX185" s="27"/>
      <c r="HY185" s="27"/>
      <c r="HZ185" s="27"/>
      <c r="IA185" s="27"/>
      <c r="IB185" s="28"/>
      <c r="IC185" s="25"/>
      <c r="ID185" s="27"/>
      <c r="IE185" s="27"/>
      <c r="IF185" s="27"/>
      <c r="IG185" s="27"/>
      <c r="IH185" s="27"/>
      <c r="II185" s="28"/>
      <c r="IJ185" s="25"/>
      <c r="IK185" s="27"/>
      <c r="IL185" s="27"/>
      <c r="IM185" s="27"/>
      <c r="IN185" s="27"/>
      <c r="IO185" s="27"/>
      <c r="IP185" s="28"/>
      <c r="IQ185" s="25"/>
      <c r="IR185" s="27"/>
      <c r="IS185" s="27"/>
      <c r="IT185" s="27"/>
      <c r="IU185" s="27"/>
      <c r="IV185" s="27"/>
      <c r="IW185" s="28"/>
      <c r="IX185" s="25"/>
      <c r="IY185" s="27"/>
      <c r="IZ185" s="27"/>
      <c r="JA185" s="27"/>
      <c r="JB185" s="27"/>
      <c r="JC185" s="27"/>
      <c r="JD185" s="28"/>
      <c r="JE185" s="25"/>
      <c r="JF185" s="27"/>
      <c r="JG185" s="27"/>
      <c r="JH185" s="27"/>
      <c r="JI185" s="27"/>
      <c r="JJ185" s="27"/>
      <c r="JK185" s="28"/>
      <c r="JL185" s="25"/>
      <c r="JM185" s="27"/>
      <c r="JN185" s="27"/>
      <c r="JO185" s="27"/>
      <c r="JP185" s="27"/>
      <c r="JQ185" s="27"/>
      <c r="JR185" s="28"/>
      <c r="JS185" s="25"/>
      <c r="JT185" s="27"/>
      <c r="JU185" s="27"/>
      <c r="JV185" s="27"/>
      <c r="JW185" s="27"/>
      <c r="JX185" s="27"/>
      <c r="JY185" s="28"/>
      <c r="JZ185" s="25"/>
      <c r="KA185" s="27"/>
      <c r="KB185" s="27"/>
      <c r="KC185" s="27"/>
      <c r="KD185" s="27"/>
      <c r="KE185" s="27"/>
      <c r="KF185" s="28"/>
      <c r="KG185" s="25"/>
      <c r="KH185" s="27"/>
      <c r="KI185" s="27"/>
      <c r="KJ185" s="27"/>
      <c r="KK185" s="27"/>
      <c r="KL185" s="27"/>
      <c r="KM185" s="28"/>
      <c r="KN185" s="25"/>
      <c r="KO185" s="27"/>
      <c r="KP185" s="27"/>
      <c r="KQ185" s="27"/>
      <c r="KR185" s="27"/>
      <c r="KS185" s="27"/>
      <c r="KT185" s="28"/>
      <c r="KU185" s="25"/>
      <c r="KV185" s="27"/>
      <c r="KW185" s="27"/>
      <c r="KX185" s="27"/>
      <c r="KY185" s="27"/>
      <c r="KZ185" s="27"/>
      <c r="LA185" s="28"/>
      <c r="LB185" s="25"/>
      <c r="LC185" s="27"/>
      <c r="LD185" s="27"/>
      <c r="LE185" s="27"/>
      <c r="LF185" s="27"/>
      <c r="LG185" s="27"/>
      <c r="LH185" s="28"/>
      <c r="LI185" s="25"/>
      <c r="LJ185" s="27"/>
      <c r="LK185" s="27"/>
      <c r="LL185" s="27"/>
      <c r="LM185" s="27"/>
      <c r="LN185" s="27"/>
      <c r="LO185" s="28"/>
      <c r="LP185" s="25"/>
      <c r="LQ185" s="27"/>
      <c r="LR185" s="27"/>
      <c r="LS185" s="27"/>
      <c r="LT185" s="27"/>
      <c r="LU185" s="27"/>
      <c r="LV185" s="28"/>
      <c r="LW185" s="25"/>
      <c r="LX185" s="27"/>
      <c r="LY185" s="27"/>
      <c r="LZ185" s="27"/>
      <c r="MA185" s="27"/>
      <c r="MB185" s="27"/>
      <c r="MC185" s="28"/>
      <c r="MD185" s="25"/>
      <c r="ME185" s="27"/>
      <c r="MF185" s="27"/>
      <c r="MG185" s="27"/>
      <c r="MH185" s="27"/>
      <c r="MI185" s="27"/>
      <c r="MJ185" s="28"/>
      <c r="MK185" s="25"/>
      <c r="ML185" s="27"/>
      <c r="MM185" s="27"/>
      <c r="MN185" s="27"/>
      <c r="MO185" s="27"/>
      <c r="MP185" s="27"/>
      <c r="MQ185" s="28"/>
      <c r="MR185" s="25"/>
      <c r="MS185" s="27"/>
      <c r="MT185" s="27"/>
      <c r="MU185" s="27"/>
      <c r="MV185" s="27"/>
      <c r="MW185" s="27"/>
      <c r="MX185" s="28"/>
      <c r="MY185" s="25"/>
      <c r="MZ185" s="27"/>
      <c r="NA185" s="27"/>
      <c r="NB185" s="27"/>
      <c r="NC185" s="27"/>
      <c r="ND185" s="27"/>
      <c r="NE185" s="28"/>
      <c r="NF185" s="25"/>
      <c r="NG185" s="27"/>
      <c r="NH185" s="27"/>
      <c r="NI185" s="27"/>
      <c r="NJ185" s="27"/>
      <c r="NK185" s="27"/>
      <c r="NL185" s="28"/>
      <c r="NM185" s="25"/>
      <c r="NN185" s="27"/>
      <c r="NO185" s="27"/>
      <c r="NP185" s="27"/>
      <c r="NQ185" s="27"/>
      <c r="NR185" s="27"/>
      <c r="NS185" s="28"/>
      <c r="NT185" s="25"/>
      <c r="NU185" s="27"/>
      <c r="NV185" s="27"/>
      <c r="NW185" s="27"/>
      <c r="NX185" s="27"/>
      <c r="NY185" s="27"/>
      <c r="NZ185" s="28"/>
      <c r="OA185" s="25"/>
      <c r="OB185" s="27"/>
      <c r="OC185" s="27"/>
      <c r="OD185" s="27"/>
      <c r="OE185" s="27"/>
      <c r="OF185" s="27"/>
      <c r="OG185" s="28"/>
      <c r="OH185" s="25"/>
      <c r="OI185" s="27"/>
      <c r="OJ185" s="27"/>
      <c r="OK185" s="27"/>
      <c r="OL185" s="27"/>
      <c r="OM185" s="27"/>
      <c r="ON185" s="28"/>
      <c r="OO185" s="25"/>
      <c r="OP185" s="27"/>
      <c r="OQ185" s="27"/>
      <c r="OR185" s="27"/>
      <c r="OS185" s="27"/>
      <c r="OT185" s="27"/>
      <c r="OU185" s="28"/>
      <c r="OV185" s="25"/>
      <c r="OW185" s="27"/>
      <c r="OX185" s="27"/>
      <c r="OY185" s="27"/>
      <c r="OZ185" s="27"/>
      <c r="PA185" s="27"/>
      <c r="PB185" s="28"/>
      <c r="PC185" s="25"/>
      <c r="PD185" s="27"/>
      <c r="PE185" s="27"/>
      <c r="PF185" s="27"/>
      <c r="PG185" s="27"/>
      <c r="PH185" s="27"/>
      <c r="PI185" s="28"/>
      <c r="PJ185" s="25"/>
      <c r="PK185" s="27"/>
      <c r="PL185" s="27"/>
      <c r="PM185" s="27"/>
      <c r="PN185" s="27"/>
      <c r="PO185" s="27"/>
      <c r="PP185" s="28"/>
      <c r="PQ185" s="25"/>
      <c r="PR185" s="27"/>
      <c r="PS185" s="27"/>
      <c r="PT185" s="27"/>
      <c r="PU185" s="27"/>
      <c r="PV185" s="27"/>
      <c r="PW185" s="28"/>
      <c r="PX185" s="25"/>
      <c r="PY185" s="27"/>
      <c r="PZ185" s="27"/>
      <c r="QA185" s="27"/>
      <c r="QB185" s="27"/>
      <c r="QC185" s="27"/>
      <c r="QD185" s="28"/>
      <c r="QE185" s="25"/>
      <c r="QF185" s="27"/>
      <c r="QG185" s="27"/>
      <c r="QH185" s="27"/>
      <c r="QI185" s="27"/>
      <c r="QJ185" s="27"/>
      <c r="QK185" s="28"/>
      <c r="QL185" s="25"/>
      <c r="QM185" s="27"/>
      <c r="QN185" s="27"/>
      <c r="QO185" s="27"/>
      <c r="QP185" s="27"/>
      <c r="QQ185" s="27"/>
      <c r="QR185" s="28"/>
      <c r="QS185" s="25"/>
      <c r="QT185" s="27"/>
      <c r="QU185" s="27"/>
      <c r="QV185" s="27"/>
      <c r="QW185" s="27"/>
      <c r="QX185" s="27"/>
      <c r="QY185" s="28"/>
      <c r="QZ185" s="25"/>
      <c r="RA185" s="27"/>
      <c r="RB185" s="27"/>
      <c r="RC185" s="27"/>
      <c r="RD185" s="27"/>
      <c r="RE185" s="27"/>
      <c r="RF185" s="28"/>
      <c r="RG185" s="25"/>
      <c r="RH185" s="27"/>
      <c r="RI185" s="27"/>
      <c r="RJ185" s="27"/>
      <c r="RK185" s="27"/>
      <c r="RL185" s="27"/>
      <c r="RM185" s="28"/>
      <c r="RN185" s="25"/>
      <c r="RO185" s="27"/>
      <c r="RP185" s="27"/>
      <c r="RQ185" s="27"/>
      <c r="RR185" s="27"/>
      <c r="RS185" s="27"/>
      <c r="RT185" s="28"/>
      <c r="RU185" s="25"/>
      <c r="RV185" s="27"/>
      <c r="RW185" s="27"/>
      <c r="RX185" s="27"/>
      <c r="RY185" s="27"/>
      <c r="RZ185" s="27"/>
      <c r="SA185" s="28"/>
      <c r="SB185" s="25"/>
      <c r="SC185" s="27"/>
      <c r="SD185" s="27"/>
      <c r="SE185" s="27"/>
      <c r="SF185" s="27"/>
      <c r="SG185" s="27"/>
      <c r="SH185" s="28"/>
      <c r="SI185" s="25"/>
      <c r="SJ185" s="27"/>
      <c r="SK185" s="27"/>
      <c r="SL185" s="27"/>
      <c r="SM185" s="27"/>
      <c r="SN185" s="27"/>
      <c r="SO185" s="28"/>
      <c r="SP185" s="25"/>
      <c r="SQ185" s="27"/>
      <c r="SR185" s="27"/>
    </row>
    <row r="186" spans="1:512" x14ac:dyDescent="0.15">
      <c r="A186" s="101">
        <f t="shared" ca="1" si="1562"/>
        <v>49</v>
      </c>
      <c r="B186" s="111">
        <v>49</v>
      </c>
      <c r="C186" s="71" t="str">
        <f t="shared" ca="1" si="1555"/>
        <v>Julian</v>
      </c>
      <c r="D186" s="112">
        <f t="shared" ca="1" si="1563"/>
        <v>214.49999999999994</v>
      </c>
      <c r="E186" s="25"/>
      <c r="F186" s="26"/>
      <c r="G186" s="27"/>
      <c r="H186" s="28"/>
      <c r="I186" s="25"/>
      <c r="J186" s="25"/>
      <c r="K186" s="26"/>
      <c r="L186" s="62"/>
      <c r="M186" s="63" t="s">
        <v>236</v>
      </c>
      <c r="N186" s="32" t="s">
        <v>117</v>
      </c>
      <c r="O186" s="32"/>
      <c r="P186" s="32">
        <f t="shared" ca="1" si="1566"/>
        <v>25</v>
      </c>
      <c r="Q186" s="32" t="str">
        <f t="shared" ca="1" si="1567"/>
        <v>Nico</v>
      </c>
      <c r="R186" s="113">
        <f t="shared" ca="1" si="1568"/>
        <v>231.6</v>
      </c>
      <c r="S186" s="73">
        <v>49</v>
      </c>
      <c r="T186" s="32">
        <f t="shared" ref="T186:T188" ca="1" si="1570">R186+S186/100000</f>
        <v>231.60049000000001</v>
      </c>
      <c r="U186" s="32"/>
      <c r="V186" s="61"/>
      <c r="W186" s="62"/>
      <c r="X186" s="32"/>
      <c r="Y186" s="63"/>
      <c r="Z186" s="73"/>
      <c r="AA186" s="32"/>
      <c r="AB186" s="32"/>
      <c r="AC186" s="61"/>
      <c r="AD186" s="27"/>
      <c r="AE186" s="27"/>
      <c r="AF186" s="27"/>
      <c r="AG186" s="28"/>
      <c r="AH186" s="25"/>
      <c r="AI186" s="27"/>
      <c r="AJ186" s="27"/>
      <c r="AK186" s="27"/>
      <c r="AL186" s="27"/>
      <c r="AM186" s="27"/>
      <c r="AN186" s="28"/>
      <c r="AO186" s="25"/>
      <c r="AP186" s="27"/>
      <c r="AQ186" s="27"/>
      <c r="AR186" s="27"/>
      <c r="AS186" s="27"/>
      <c r="AT186" s="27"/>
      <c r="AU186" s="28"/>
      <c r="AV186" s="25"/>
      <c r="AW186" s="27"/>
      <c r="AX186" s="27"/>
      <c r="AY186" s="27"/>
      <c r="AZ186" s="27"/>
      <c r="BA186" s="27"/>
      <c r="BB186" s="28"/>
      <c r="BC186" s="25"/>
      <c r="BD186" s="27"/>
      <c r="BE186" s="27"/>
      <c r="BF186" s="27"/>
      <c r="BG186" s="27"/>
      <c r="BH186" s="27"/>
      <c r="BI186" s="28"/>
      <c r="BJ186" s="25"/>
      <c r="BK186" s="27"/>
      <c r="BL186" s="27"/>
      <c r="BM186" s="27"/>
      <c r="BN186" s="27"/>
      <c r="BO186" s="27"/>
      <c r="BP186" s="28"/>
      <c r="BQ186" s="25"/>
      <c r="BR186" s="27"/>
      <c r="BS186" s="27"/>
      <c r="BT186" s="27"/>
      <c r="BU186" s="27"/>
      <c r="BV186" s="27"/>
      <c r="BW186" s="28"/>
      <c r="BX186" s="25"/>
      <c r="BY186" s="27"/>
      <c r="BZ186" s="27"/>
      <c r="CA186" s="27"/>
      <c r="CB186" s="27"/>
      <c r="CC186" s="27"/>
      <c r="CD186" s="28"/>
      <c r="CE186" s="25"/>
      <c r="CF186" s="27"/>
      <c r="CG186" s="27"/>
      <c r="CH186" s="27"/>
      <c r="CI186" s="27"/>
      <c r="CJ186" s="27"/>
      <c r="CK186" s="28"/>
      <c r="CL186" s="25"/>
      <c r="CM186" s="27"/>
      <c r="CN186" s="27"/>
      <c r="CO186" s="27"/>
      <c r="CP186" s="27"/>
      <c r="CQ186" s="27"/>
      <c r="CR186" s="28"/>
      <c r="CS186" s="25"/>
      <c r="CT186" s="27"/>
      <c r="CU186" s="27"/>
      <c r="CV186" s="27"/>
      <c r="CW186" s="27"/>
      <c r="CX186" s="27"/>
      <c r="CY186" s="28"/>
      <c r="CZ186" s="25"/>
      <c r="DA186" s="27"/>
      <c r="DB186" s="27"/>
      <c r="DC186" s="27"/>
      <c r="DD186" s="27"/>
      <c r="DE186" s="27"/>
      <c r="DF186" s="28"/>
      <c r="DG186" s="25"/>
      <c r="DH186" s="27"/>
      <c r="DI186" s="27"/>
      <c r="DJ186" s="27"/>
      <c r="DK186" s="27"/>
      <c r="DL186" s="27"/>
      <c r="DM186" s="28"/>
      <c r="DN186" s="25"/>
      <c r="DO186" s="27"/>
      <c r="DP186" s="27"/>
      <c r="DQ186" s="27"/>
      <c r="DR186" s="27"/>
      <c r="DS186" s="27"/>
      <c r="DT186" s="28"/>
      <c r="DU186" s="25"/>
      <c r="DV186" s="27"/>
      <c r="DW186" s="27"/>
      <c r="DX186" s="27"/>
      <c r="DY186" s="27"/>
      <c r="DZ186" s="27"/>
      <c r="EA186" s="28"/>
      <c r="EB186" s="25"/>
      <c r="EC186" s="27"/>
      <c r="ED186" s="27"/>
      <c r="EE186" s="27"/>
      <c r="EF186" s="27"/>
      <c r="EG186" s="27"/>
      <c r="EH186" s="28"/>
      <c r="EI186" s="25"/>
      <c r="EJ186" s="27"/>
      <c r="EK186" s="27"/>
      <c r="EL186" s="27"/>
      <c r="EM186" s="27"/>
      <c r="EN186" s="27"/>
      <c r="EO186" s="28"/>
      <c r="EP186" s="25"/>
      <c r="EQ186" s="27"/>
      <c r="ER186" s="27"/>
      <c r="ES186" s="27"/>
      <c r="ET186" s="27"/>
      <c r="EU186" s="27"/>
      <c r="EV186" s="28"/>
      <c r="EW186" s="25"/>
      <c r="EX186" s="27"/>
      <c r="EY186" s="27"/>
      <c r="EZ186" s="27"/>
      <c r="FA186" s="27"/>
      <c r="FB186" s="27"/>
      <c r="FC186" s="28"/>
      <c r="FD186" s="25"/>
      <c r="FE186" s="27"/>
      <c r="FF186" s="27"/>
      <c r="FG186" s="27"/>
      <c r="FH186" s="27"/>
      <c r="FI186" s="27"/>
      <c r="FJ186" s="28"/>
      <c r="FK186" s="25"/>
      <c r="FL186" s="27"/>
      <c r="FM186" s="27"/>
      <c r="FN186" s="27"/>
      <c r="FO186" s="27"/>
      <c r="FP186" s="27"/>
      <c r="FQ186" s="28"/>
      <c r="FR186" s="25"/>
      <c r="FS186" s="27"/>
      <c r="FT186" s="27"/>
      <c r="FU186" s="27"/>
      <c r="FV186" s="27"/>
      <c r="FW186" s="27"/>
      <c r="FX186" s="28"/>
      <c r="FY186" s="25"/>
      <c r="FZ186" s="27"/>
      <c r="GA186" s="27"/>
      <c r="GB186" s="27"/>
      <c r="GC186" s="27"/>
      <c r="GD186" s="27"/>
      <c r="GE186" s="28"/>
      <c r="GF186" s="25"/>
      <c r="GG186" s="27"/>
      <c r="GH186" s="27"/>
      <c r="GI186" s="27"/>
      <c r="GJ186" s="27"/>
      <c r="GK186" s="27"/>
      <c r="GL186" s="28"/>
      <c r="GM186" s="25"/>
      <c r="GN186" s="27"/>
      <c r="GO186" s="27"/>
      <c r="GP186" s="27"/>
      <c r="GQ186" s="27"/>
      <c r="GR186" s="27"/>
      <c r="GS186" s="28"/>
      <c r="GT186" s="25"/>
      <c r="GU186" s="27"/>
      <c r="GV186" s="27"/>
      <c r="GW186" s="27"/>
      <c r="GX186" s="27"/>
      <c r="GY186" s="27"/>
      <c r="GZ186" s="28"/>
      <c r="HA186" s="25"/>
      <c r="HB186" s="27"/>
      <c r="HC186" s="27"/>
      <c r="HD186" s="27"/>
      <c r="HE186" s="27"/>
      <c r="HF186" s="27"/>
      <c r="HG186" s="28"/>
      <c r="HH186" s="25"/>
      <c r="HI186" s="27"/>
      <c r="HJ186" s="27"/>
      <c r="HK186" s="27"/>
      <c r="HL186" s="27"/>
      <c r="HM186" s="27"/>
      <c r="HN186" s="28"/>
      <c r="HO186" s="25"/>
      <c r="HP186" s="27"/>
      <c r="HQ186" s="27"/>
      <c r="HR186" s="27"/>
      <c r="HS186" s="27"/>
      <c r="HT186" s="27"/>
      <c r="HU186" s="28"/>
      <c r="HV186" s="25"/>
      <c r="HW186" s="27"/>
      <c r="HX186" s="27"/>
      <c r="HY186" s="27"/>
      <c r="HZ186" s="27"/>
      <c r="IA186" s="27"/>
      <c r="IB186" s="28"/>
      <c r="IC186" s="25"/>
      <c r="ID186" s="27"/>
      <c r="IE186" s="27"/>
      <c r="IF186" s="27"/>
      <c r="IG186" s="27"/>
      <c r="IH186" s="27"/>
      <c r="II186" s="28"/>
      <c r="IJ186" s="25"/>
      <c r="IK186" s="27"/>
      <c r="IL186" s="27"/>
      <c r="IM186" s="27"/>
      <c r="IN186" s="27"/>
      <c r="IO186" s="27"/>
      <c r="IP186" s="28"/>
      <c r="IQ186" s="25"/>
      <c r="IR186" s="27"/>
      <c r="IS186" s="27"/>
      <c r="IT186" s="27"/>
      <c r="IU186" s="27"/>
      <c r="IV186" s="27"/>
      <c r="IW186" s="28"/>
      <c r="IX186" s="25"/>
      <c r="IY186" s="27"/>
      <c r="IZ186" s="27"/>
      <c r="JA186" s="27"/>
      <c r="JB186" s="27"/>
      <c r="JC186" s="27"/>
      <c r="JD186" s="28"/>
      <c r="JE186" s="25"/>
      <c r="JF186" s="27"/>
      <c r="JG186" s="27"/>
      <c r="JH186" s="27"/>
      <c r="JI186" s="27"/>
      <c r="JJ186" s="27"/>
      <c r="JK186" s="28"/>
      <c r="JL186" s="25"/>
      <c r="JM186" s="27"/>
      <c r="JN186" s="27"/>
      <c r="JO186" s="27"/>
      <c r="JP186" s="27"/>
      <c r="JQ186" s="27"/>
      <c r="JR186" s="28"/>
      <c r="JS186" s="25"/>
      <c r="JT186" s="27"/>
      <c r="JU186" s="27"/>
      <c r="JV186" s="27"/>
      <c r="JW186" s="27"/>
      <c r="JX186" s="27"/>
      <c r="JY186" s="28"/>
      <c r="JZ186" s="25"/>
      <c r="KA186" s="27"/>
      <c r="KB186" s="27"/>
      <c r="KC186" s="27"/>
      <c r="KD186" s="27"/>
      <c r="KE186" s="27"/>
      <c r="KF186" s="28"/>
      <c r="KG186" s="25"/>
      <c r="KH186" s="27"/>
      <c r="KI186" s="27"/>
      <c r="KJ186" s="27"/>
      <c r="KK186" s="27"/>
      <c r="KL186" s="27"/>
      <c r="KM186" s="28"/>
      <c r="KN186" s="25"/>
      <c r="KO186" s="27"/>
      <c r="KP186" s="27"/>
      <c r="KQ186" s="27"/>
      <c r="KR186" s="27"/>
      <c r="KS186" s="27"/>
      <c r="KT186" s="28"/>
      <c r="KU186" s="25"/>
      <c r="KV186" s="27"/>
      <c r="KW186" s="27"/>
      <c r="KX186" s="27"/>
      <c r="KY186" s="27"/>
      <c r="KZ186" s="27"/>
      <c r="LA186" s="28"/>
      <c r="LB186" s="25"/>
      <c r="LC186" s="27"/>
      <c r="LD186" s="27"/>
      <c r="LE186" s="27"/>
      <c r="LF186" s="27"/>
      <c r="LG186" s="27"/>
      <c r="LH186" s="28"/>
      <c r="LI186" s="25"/>
      <c r="LJ186" s="27"/>
      <c r="LK186" s="27"/>
      <c r="LL186" s="27"/>
      <c r="LM186" s="27"/>
      <c r="LN186" s="27"/>
      <c r="LO186" s="28"/>
      <c r="LP186" s="25"/>
      <c r="LQ186" s="27"/>
      <c r="LR186" s="27"/>
      <c r="LS186" s="27"/>
      <c r="LT186" s="27"/>
      <c r="LU186" s="27"/>
      <c r="LV186" s="28"/>
      <c r="LW186" s="25"/>
      <c r="LX186" s="27"/>
      <c r="LY186" s="27"/>
      <c r="LZ186" s="27"/>
      <c r="MA186" s="27"/>
      <c r="MB186" s="27"/>
      <c r="MC186" s="28"/>
      <c r="MD186" s="25"/>
      <c r="ME186" s="27"/>
      <c r="MF186" s="27"/>
      <c r="MG186" s="27"/>
      <c r="MH186" s="27"/>
      <c r="MI186" s="27"/>
      <c r="MJ186" s="28"/>
      <c r="MK186" s="25"/>
      <c r="ML186" s="27"/>
      <c r="MM186" s="27"/>
      <c r="MN186" s="27"/>
      <c r="MO186" s="27"/>
      <c r="MP186" s="27"/>
      <c r="MQ186" s="28"/>
      <c r="MR186" s="25"/>
      <c r="MS186" s="27"/>
      <c r="MT186" s="27"/>
      <c r="MU186" s="27"/>
      <c r="MV186" s="27"/>
      <c r="MW186" s="27"/>
      <c r="MX186" s="28"/>
      <c r="MY186" s="25"/>
      <c r="MZ186" s="27"/>
      <c r="NA186" s="27"/>
      <c r="NB186" s="27"/>
      <c r="NC186" s="27"/>
      <c r="ND186" s="27"/>
      <c r="NE186" s="28"/>
      <c r="NF186" s="25"/>
      <c r="NG186" s="27"/>
      <c r="NH186" s="27"/>
      <c r="NI186" s="27"/>
      <c r="NJ186" s="27"/>
      <c r="NK186" s="27"/>
      <c r="NL186" s="28"/>
      <c r="NM186" s="25"/>
      <c r="NN186" s="27"/>
      <c r="NO186" s="27"/>
      <c r="NP186" s="27"/>
      <c r="NQ186" s="27"/>
      <c r="NR186" s="27"/>
      <c r="NS186" s="28"/>
      <c r="NT186" s="25"/>
      <c r="NU186" s="27"/>
      <c r="NV186" s="27"/>
      <c r="NW186" s="27"/>
      <c r="NX186" s="27"/>
      <c r="NY186" s="27"/>
      <c r="NZ186" s="28"/>
      <c r="OA186" s="25"/>
      <c r="OB186" s="27"/>
      <c r="OC186" s="27"/>
      <c r="OD186" s="27"/>
      <c r="OE186" s="27"/>
      <c r="OF186" s="27"/>
      <c r="OG186" s="28"/>
      <c r="OH186" s="25"/>
      <c r="OI186" s="27"/>
      <c r="OJ186" s="27"/>
      <c r="OK186" s="27"/>
      <c r="OL186" s="27"/>
      <c r="OM186" s="27"/>
      <c r="ON186" s="28"/>
      <c r="OO186" s="25"/>
      <c r="OP186" s="27"/>
      <c r="OQ186" s="27"/>
      <c r="OR186" s="27"/>
      <c r="OS186" s="27"/>
      <c r="OT186" s="27"/>
      <c r="OU186" s="28"/>
      <c r="OV186" s="25"/>
      <c r="OW186" s="27"/>
      <c r="OX186" s="27"/>
      <c r="OY186" s="27"/>
      <c r="OZ186" s="27"/>
      <c r="PA186" s="27"/>
      <c r="PB186" s="28"/>
      <c r="PC186" s="25"/>
      <c r="PD186" s="27"/>
      <c r="PE186" s="27"/>
      <c r="PF186" s="27"/>
      <c r="PG186" s="27"/>
      <c r="PH186" s="27"/>
      <c r="PI186" s="28"/>
      <c r="PJ186" s="25"/>
      <c r="PK186" s="27"/>
      <c r="PL186" s="27"/>
      <c r="PM186" s="27"/>
      <c r="PN186" s="27"/>
      <c r="PO186" s="27"/>
      <c r="PP186" s="28"/>
      <c r="PQ186" s="25"/>
      <c r="PR186" s="27"/>
      <c r="PS186" s="27"/>
      <c r="PT186" s="27"/>
      <c r="PU186" s="27"/>
      <c r="PV186" s="27"/>
      <c r="PW186" s="28"/>
      <c r="PX186" s="25"/>
      <c r="PY186" s="27"/>
      <c r="PZ186" s="27"/>
      <c r="QA186" s="27"/>
      <c r="QB186" s="27"/>
      <c r="QC186" s="27"/>
      <c r="QD186" s="28"/>
      <c r="QE186" s="25"/>
      <c r="QF186" s="27"/>
      <c r="QG186" s="27"/>
      <c r="QH186" s="27"/>
      <c r="QI186" s="27"/>
      <c r="QJ186" s="27"/>
      <c r="QK186" s="28"/>
      <c r="QL186" s="25"/>
      <c r="QM186" s="27"/>
      <c r="QN186" s="27"/>
      <c r="QO186" s="27"/>
      <c r="QP186" s="27"/>
      <c r="QQ186" s="27"/>
      <c r="QR186" s="28"/>
      <c r="QS186" s="25"/>
      <c r="QT186" s="27"/>
      <c r="QU186" s="27"/>
      <c r="QV186" s="27"/>
      <c r="QW186" s="27"/>
      <c r="QX186" s="27"/>
      <c r="QY186" s="28"/>
      <c r="QZ186" s="25"/>
      <c r="RA186" s="27"/>
      <c r="RB186" s="27"/>
      <c r="RC186" s="27"/>
      <c r="RD186" s="27"/>
      <c r="RE186" s="27"/>
      <c r="RF186" s="28"/>
      <c r="RG186" s="25"/>
      <c r="RH186" s="27"/>
      <c r="RI186" s="27"/>
      <c r="RJ186" s="27"/>
      <c r="RK186" s="27"/>
      <c r="RL186" s="27"/>
      <c r="RM186" s="28"/>
      <c r="RN186" s="25"/>
      <c r="RO186" s="27"/>
      <c r="RP186" s="27"/>
      <c r="RQ186" s="27"/>
      <c r="RR186" s="27"/>
      <c r="RS186" s="27"/>
      <c r="RT186" s="28"/>
      <c r="RU186" s="25"/>
      <c r="RV186" s="27"/>
      <c r="RW186" s="27"/>
      <c r="RX186" s="27"/>
      <c r="RY186" s="27"/>
      <c r="RZ186" s="27"/>
      <c r="SA186" s="28"/>
      <c r="SB186" s="25"/>
      <c r="SC186" s="27"/>
      <c r="SD186" s="27"/>
      <c r="SE186" s="27"/>
      <c r="SF186" s="27"/>
      <c r="SG186" s="27"/>
      <c r="SH186" s="28"/>
      <c r="SI186" s="25"/>
      <c r="SJ186" s="27"/>
      <c r="SK186" s="27"/>
      <c r="SL186" s="27"/>
      <c r="SM186" s="27"/>
      <c r="SN186" s="27"/>
      <c r="SO186" s="28"/>
      <c r="SP186" s="25"/>
      <c r="SQ186" s="27"/>
      <c r="SR186" s="27"/>
    </row>
    <row r="187" spans="1:512" x14ac:dyDescent="0.15">
      <c r="A187" s="101">
        <f t="shared" ca="1" si="1562"/>
        <v>50</v>
      </c>
      <c r="B187" s="111">
        <v>50</v>
      </c>
      <c r="C187" s="71" t="str">
        <f t="shared" ca="1" si="1555"/>
        <v>Andrea</v>
      </c>
      <c r="D187" s="112">
        <f t="shared" ca="1" si="1563"/>
        <v>214.39999999999995</v>
      </c>
      <c r="E187" s="25"/>
      <c r="F187" s="26"/>
      <c r="G187" s="27"/>
      <c r="H187" s="28"/>
      <c r="I187" s="25"/>
      <c r="J187" s="25"/>
      <c r="K187" s="26"/>
      <c r="L187" s="62"/>
      <c r="M187" s="32" t="s">
        <v>237</v>
      </c>
      <c r="N187" s="32" t="s">
        <v>118</v>
      </c>
      <c r="O187" s="32"/>
      <c r="P187" s="32">
        <f t="shared" ca="1" si="1566"/>
        <v>43</v>
      </c>
      <c r="Q187" s="32" t="str">
        <f t="shared" ca="1" si="1567"/>
        <v>Evi</v>
      </c>
      <c r="R187" s="113">
        <f t="shared" ca="1" si="1568"/>
        <v>216.6</v>
      </c>
      <c r="S187" s="73">
        <v>50</v>
      </c>
      <c r="T187" s="32">
        <f t="shared" ca="1" si="1570"/>
        <v>216.60049999999998</v>
      </c>
      <c r="U187" s="32"/>
      <c r="V187" s="61"/>
      <c r="W187" s="62"/>
      <c r="X187" s="32"/>
      <c r="Y187" s="63"/>
      <c r="Z187" s="73"/>
      <c r="AA187" s="32"/>
      <c r="AB187" s="32"/>
      <c r="AC187" s="61"/>
      <c r="AD187" s="27"/>
      <c r="AE187" s="27"/>
      <c r="AF187" s="27"/>
      <c r="AG187" s="28"/>
      <c r="AH187" s="25"/>
      <c r="AI187" s="27"/>
      <c r="AJ187" s="27"/>
      <c r="AK187" s="27"/>
      <c r="AL187" s="27"/>
      <c r="AM187" s="27"/>
      <c r="AN187" s="28"/>
      <c r="AO187" s="25"/>
      <c r="AP187" s="27"/>
      <c r="AQ187" s="27"/>
      <c r="AR187" s="27"/>
      <c r="AS187" s="27"/>
      <c r="AT187" s="27"/>
      <c r="AU187" s="28"/>
      <c r="AV187" s="25"/>
      <c r="AW187" s="27"/>
      <c r="AX187" s="27"/>
      <c r="AY187" s="27"/>
      <c r="AZ187" s="27"/>
      <c r="BA187" s="27"/>
      <c r="BB187" s="28"/>
      <c r="BC187" s="25"/>
      <c r="BD187" s="27"/>
      <c r="BE187" s="27"/>
      <c r="BF187" s="27"/>
      <c r="BG187" s="27"/>
      <c r="BH187" s="27"/>
      <c r="BI187" s="28"/>
      <c r="BJ187" s="25"/>
      <c r="BK187" s="27"/>
      <c r="BL187" s="27"/>
      <c r="BM187" s="27"/>
      <c r="BN187" s="27"/>
      <c r="BO187" s="27"/>
      <c r="BP187" s="28"/>
      <c r="BQ187" s="25"/>
      <c r="BR187" s="27"/>
      <c r="BS187" s="27"/>
      <c r="BT187" s="27"/>
      <c r="BU187" s="27"/>
      <c r="BV187" s="27"/>
      <c r="BW187" s="28"/>
      <c r="BX187" s="25"/>
      <c r="BY187" s="27"/>
      <c r="BZ187" s="27"/>
      <c r="CA187" s="27"/>
      <c r="CB187" s="27"/>
      <c r="CC187" s="27"/>
      <c r="CD187" s="28"/>
      <c r="CE187" s="25"/>
      <c r="CF187" s="27"/>
      <c r="CG187" s="27"/>
      <c r="CH187" s="27"/>
      <c r="CI187" s="27"/>
      <c r="CJ187" s="27"/>
      <c r="CK187" s="28"/>
      <c r="CL187" s="25"/>
      <c r="CM187" s="27"/>
      <c r="CN187" s="27"/>
      <c r="CO187" s="27"/>
      <c r="CP187" s="27"/>
      <c r="CQ187" s="27"/>
      <c r="CR187" s="28"/>
      <c r="CS187" s="25"/>
      <c r="CT187" s="27"/>
      <c r="CU187" s="27"/>
      <c r="CV187" s="27"/>
      <c r="CW187" s="27"/>
      <c r="CX187" s="27"/>
      <c r="CY187" s="28"/>
      <c r="CZ187" s="25"/>
      <c r="DA187" s="27"/>
      <c r="DB187" s="27"/>
      <c r="DC187" s="27"/>
      <c r="DD187" s="27"/>
      <c r="DE187" s="27"/>
      <c r="DF187" s="28"/>
      <c r="DG187" s="25"/>
      <c r="DH187" s="27"/>
      <c r="DI187" s="27"/>
      <c r="DJ187" s="27"/>
      <c r="DK187" s="27"/>
      <c r="DL187" s="27"/>
      <c r="DM187" s="28"/>
      <c r="DN187" s="25"/>
      <c r="DO187" s="27"/>
      <c r="DP187" s="27"/>
      <c r="DQ187" s="27"/>
      <c r="DR187" s="27"/>
      <c r="DS187" s="27"/>
      <c r="DT187" s="28"/>
      <c r="DU187" s="25"/>
      <c r="DV187" s="27"/>
      <c r="DW187" s="27"/>
      <c r="DX187" s="27"/>
      <c r="DY187" s="27"/>
      <c r="DZ187" s="27"/>
      <c r="EA187" s="28"/>
      <c r="EB187" s="25"/>
      <c r="EC187" s="27"/>
      <c r="ED187" s="27"/>
      <c r="EE187" s="27"/>
      <c r="EF187" s="27"/>
      <c r="EG187" s="27"/>
      <c r="EH187" s="28"/>
      <c r="EI187" s="25"/>
      <c r="EJ187" s="27"/>
      <c r="EK187" s="27"/>
      <c r="EL187" s="27"/>
      <c r="EM187" s="27"/>
      <c r="EN187" s="27"/>
      <c r="EO187" s="28"/>
      <c r="EP187" s="25"/>
      <c r="EQ187" s="27"/>
      <c r="ER187" s="27"/>
      <c r="ES187" s="27"/>
      <c r="ET187" s="27"/>
      <c r="EU187" s="27"/>
      <c r="EV187" s="28"/>
      <c r="EW187" s="25"/>
      <c r="EX187" s="27"/>
      <c r="EY187" s="27"/>
      <c r="EZ187" s="27"/>
      <c r="FA187" s="27"/>
      <c r="FB187" s="27"/>
      <c r="FC187" s="28"/>
      <c r="FD187" s="25"/>
      <c r="FE187" s="27"/>
      <c r="FF187" s="27"/>
      <c r="FG187" s="27"/>
      <c r="FH187" s="27"/>
      <c r="FI187" s="27"/>
      <c r="FJ187" s="28"/>
      <c r="FK187" s="25"/>
      <c r="FL187" s="27"/>
      <c r="FM187" s="27"/>
      <c r="FN187" s="27"/>
      <c r="FO187" s="27"/>
      <c r="FP187" s="27"/>
      <c r="FQ187" s="28"/>
      <c r="FR187" s="25"/>
      <c r="FS187" s="27"/>
      <c r="FT187" s="27"/>
      <c r="FU187" s="27"/>
      <c r="FV187" s="27"/>
      <c r="FW187" s="27"/>
      <c r="FX187" s="28"/>
      <c r="FY187" s="25"/>
      <c r="FZ187" s="27"/>
      <c r="GA187" s="27"/>
      <c r="GB187" s="27"/>
      <c r="GC187" s="27"/>
      <c r="GD187" s="27"/>
      <c r="GE187" s="28"/>
      <c r="GF187" s="25"/>
      <c r="GG187" s="27"/>
      <c r="GH187" s="27"/>
      <c r="GI187" s="27"/>
      <c r="GJ187" s="27"/>
      <c r="GK187" s="27"/>
      <c r="GL187" s="28"/>
      <c r="GM187" s="25"/>
      <c r="GN187" s="27"/>
      <c r="GO187" s="27"/>
      <c r="GP187" s="27"/>
      <c r="GQ187" s="27"/>
      <c r="GR187" s="27"/>
      <c r="GS187" s="28"/>
      <c r="GT187" s="25"/>
      <c r="GU187" s="27"/>
      <c r="GV187" s="27"/>
      <c r="GW187" s="27"/>
      <c r="GX187" s="27"/>
      <c r="GY187" s="27"/>
      <c r="GZ187" s="28"/>
      <c r="HA187" s="25"/>
      <c r="HB187" s="27"/>
      <c r="HC187" s="27"/>
      <c r="HD187" s="27"/>
      <c r="HE187" s="27"/>
      <c r="HF187" s="27"/>
      <c r="HG187" s="28"/>
      <c r="HH187" s="25"/>
      <c r="HI187" s="27"/>
      <c r="HJ187" s="27"/>
      <c r="HK187" s="27"/>
      <c r="HL187" s="27"/>
      <c r="HM187" s="27"/>
      <c r="HN187" s="28"/>
      <c r="HO187" s="25"/>
      <c r="HP187" s="27"/>
      <c r="HQ187" s="27"/>
      <c r="HR187" s="27"/>
      <c r="HS187" s="27"/>
      <c r="HT187" s="27"/>
      <c r="HU187" s="28"/>
      <c r="HV187" s="25"/>
      <c r="HW187" s="27"/>
      <c r="HX187" s="27"/>
      <c r="HY187" s="27"/>
      <c r="HZ187" s="27"/>
      <c r="IA187" s="27"/>
      <c r="IB187" s="28"/>
      <c r="IC187" s="25"/>
      <c r="ID187" s="27"/>
      <c r="IE187" s="27"/>
      <c r="IF187" s="27"/>
      <c r="IG187" s="27"/>
      <c r="IH187" s="27"/>
      <c r="II187" s="28"/>
      <c r="IJ187" s="25"/>
      <c r="IK187" s="27"/>
      <c r="IL187" s="27"/>
      <c r="IM187" s="27"/>
      <c r="IN187" s="27"/>
      <c r="IO187" s="27"/>
      <c r="IP187" s="28"/>
      <c r="IQ187" s="25"/>
      <c r="IR187" s="27"/>
      <c r="IS187" s="27"/>
      <c r="IT187" s="27"/>
      <c r="IU187" s="27"/>
      <c r="IV187" s="27"/>
      <c r="IW187" s="28"/>
      <c r="IX187" s="25"/>
      <c r="IY187" s="27"/>
      <c r="IZ187" s="27"/>
      <c r="JA187" s="27"/>
      <c r="JB187" s="27"/>
      <c r="JC187" s="27"/>
      <c r="JD187" s="28"/>
      <c r="JE187" s="25"/>
      <c r="JF187" s="27"/>
      <c r="JG187" s="27"/>
      <c r="JH187" s="27"/>
      <c r="JI187" s="27"/>
      <c r="JJ187" s="27"/>
      <c r="JK187" s="28"/>
      <c r="JL187" s="25"/>
      <c r="JM187" s="27"/>
      <c r="JN187" s="27"/>
      <c r="JO187" s="27"/>
      <c r="JP187" s="27"/>
      <c r="JQ187" s="27"/>
      <c r="JR187" s="28"/>
      <c r="JS187" s="25"/>
      <c r="JT187" s="27"/>
      <c r="JU187" s="27"/>
      <c r="JV187" s="27"/>
      <c r="JW187" s="27"/>
      <c r="JX187" s="27"/>
      <c r="JY187" s="28"/>
      <c r="JZ187" s="25"/>
      <c r="KA187" s="27"/>
      <c r="KB187" s="27"/>
      <c r="KC187" s="27"/>
      <c r="KD187" s="27"/>
      <c r="KE187" s="27"/>
      <c r="KF187" s="28"/>
      <c r="KG187" s="25"/>
      <c r="KH187" s="27"/>
      <c r="KI187" s="27"/>
      <c r="KJ187" s="27"/>
      <c r="KK187" s="27"/>
      <c r="KL187" s="27"/>
      <c r="KM187" s="28"/>
      <c r="KN187" s="25"/>
      <c r="KO187" s="27"/>
      <c r="KP187" s="27"/>
      <c r="KQ187" s="27"/>
      <c r="KR187" s="27"/>
      <c r="KS187" s="27"/>
      <c r="KT187" s="28"/>
      <c r="KU187" s="25"/>
      <c r="KV187" s="27"/>
      <c r="KW187" s="27"/>
      <c r="KX187" s="27"/>
      <c r="KY187" s="27"/>
      <c r="KZ187" s="27"/>
      <c r="LA187" s="28"/>
      <c r="LB187" s="25"/>
      <c r="LC187" s="27"/>
      <c r="LD187" s="27"/>
      <c r="LE187" s="27"/>
      <c r="LF187" s="27"/>
      <c r="LG187" s="27"/>
      <c r="LH187" s="28"/>
      <c r="LI187" s="25"/>
      <c r="LJ187" s="27"/>
      <c r="LK187" s="27"/>
      <c r="LL187" s="27"/>
      <c r="LM187" s="27"/>
      <c r="LN187" s="27"/>
      <c r="LO187" s="28"/>
      <c r="LP187" s="25"/>
      <c r="LQ187" s="27"/>
      <c r="LR187" s="27"/>
      <c r="LS187" s="27"/>
      <c r="LT187" s="27"/>
      <c r="LU187" s="27"/>
      <c r="LV187" s="28"/>
      <c r="LW187" s="25"/>
      <c r="LX187" s="27"/>
      <c r="LY187" s="27"/>
      <c r="LZ187" s="27"/>
      <c r="MA187" s="27"/>
      <c r="MB187" s="27"/>
      <c r="MC187" s="28"/>
      <c r="MD187" s="25"/>
      <c r="ME187" s="27"/>
      <c r="MF187" s="27"/>
      <c r="MG187" s="27"/>
      <c r="MH187" s="27"/>
      <c r="MI187" s="27"/>
      <c r="MJ187" s="28"/>
      <c r="MK187" s="25"/>
      <c r="ML187" s="27"/>
      <c r="MM187" s="27"/>
      <c r="MN187" s="27"/>
      <c r="MO187" s="27"/>
      <c r="MP187" s="27"/>
      <c r="MQ187" s="28"/>
      <c r="MR187" s="25"/>
      <c r="MS187" s="27"/>
      <c r="MT187" s="27"/>
      <c r="MU187" s="27"/>
      <c r="MV187" s="27"/>
      <c r="MW187" s="27"/>
      <c r="MX187" s="28"/>
      <c r="MY187" s="25"/>
      <c r="MZ187" s="27"/>
      <c r="NA187" s="27"/>
      <c r="NB187" s="27"/>
      <c r="NC187" s="27"/>
      <c r="ND187" s="27"/>
      <c r="NE187" s="28"/>
      <c r="NF187" s="25"/>
      <c r="NG187" s="27"/>
      <c r="NH187" s="27"/>
      <c r="NI187" s="27"/>
      <c r="NJ187" s="27"/>
      <c r="NK187" s="27"/>
      <c r="NL187" s="28"/>
      <c r="NM187" s="25"/>
      <c r="NN187" s="27"/>
      <c r="NO187" s="27"/>
      <c r="NP187" s="27"/>
      <c r="NQ187" s="27"/>
      <c r="NR187" s="27"/>
      <c r="NS187" s="28"/>
      <c r="NT187" s="25"/>
      <c r="NU187" s="27"/>
      <c r="NV187" s="27"/>
      <c r="NW187" s="27"/>
      <c r="NX187" s="27"/>
      <c r="NY187" s="27"/>
      <c r="NZ187" s="28"/>
      <c r="OA187" s="25"/>
      <c r="OB187" s="27"/>
      <c r="OC187" s="27"/>
      <c r="OD187" s="27"/>
      <c r="OE187" s="27"/>
      <c r="OF187" s="27"/>
      <c r="OG187" s="28"/>
      <c r="OH187" s="25"/>
      <c r="OI187" s="27"/>
      <c r="OJ187" s="27"/>
      <c r="OK187" s="27"/>
      <c r="OL187" s="27"/>
      <c r="OM187" s="27"/>
      <c r="ON187" s="28"/>
      <c r="OO187" s="25"/>
      <c r="OP187" s="27"/>
      <c r="OQ187" s="27"/>
      <c r="OR187" s="27"/>
      <c r="OS187" s="27"/>
      <c r="OT187" s="27"/>
      <c r="OU187" s="28"/>
      <c r="OV187" s="25"/>
      <c r="OW187" s="27"/>
      <c r="OX187" s="27"/>
      <c r="OY187" s="27"/>
      <c r="OZ187" s="27"/>
      <c r="PA187" s="27"/>
      <c r="PB187" s="28"/>
      <c r="PC187" s="25"/>
      <c r="PD187" s="27"/>
      <c r="PE187" s="27"/>
      <c r="PF187" s="27"/>
      <c r="PG187" s="27"/>
      <c r="PH187" s="27"/>
      <c r="PI187" s="28"/>
      <c r="PJ187" s="25"/>
      <c r="PK187" s="27"/>
      <c r="PL187" s="27"/>
      <c r="PM187" s="27"/>
      <c r="PN187" s="27"/>
      <c r="PO187" s="27"/>
      <c r="PP187" s="28"/>
      <c r="PQ187" s="25"/>
      <c r="PR187" s="27"/>
      <c r="PS187" s="27"/>
      <c r="PT187" s="27"/>
      <c r="PU187" s="27"/>
      <c r="PV187" s="27"/>
      <c r="PW187" s="28"/>
      <c r="PX187" s="25"/>
      <c r="PY187" s="27"/>
      <c r="PZ187" s="27"/>
      <c r="QA187" s="27"/>
      <c r="QB187" s="27"/>
      <c r="QC187" s="27"/>
      <c r="QD187" s="28"/>
      <c r="QE187" s="25"/>
      <c r="QF187" s="27"/>
      <c r="QG187" s="27"/>
      <c r="QH187" s="27"/>
      <c r="QI187" s="27"/>
      <c r="QJ187" s="27"/>
      <c r="QK187" s="28"/>
      <c r="QL187" s="25"/>
      <c r="QM187" s="27"/>
      <c r="QN187" s="27"/>
      <c r="QO187" s="27"/>
      <c r="QP187" s="27"/>
      <c r="QQ187" s="27"/>
      <c r="QR187" s="28"/>
      <c r="QS187" s="25"/>
      <c r="QT187" s="27"/>
      <c r="QU187" s="27"/>
      <c r="QV187" s="27"/>
      <c r="QW187" s="27"/>
      <c r="QX187" s="27"/>
      <c r="QY187" s="28"/>
      <c r="QZ187" s="25"/>
      <c r="RA187" s="27"/>
      <c r="RB187" s="27"/>
      <c r="RC187" s="27"/>
      <c r="RD187" s="27"/>
      <c r="RE187" s="27"/>
      <c r="RF187" s="28"/>
      <c r="RG187" s="25"/>
      <c r="RH187" s="27"/>
      <c r="RI187" s="27"/>
      <c r="RJ187" s="27"/>
      <c r="RK187" s="27"/>
      <c r="RL187" s="27"/>
      <c r="RM187" s="28"/>
      <c r="RN187" s="25"/>
      <c r="RO187" s="27"/>
      <c r="RP187" s="27"/>
      <c r="RQ187" s="27"/>
      <c r="RR187" s="27"/>
      <c r="RS187" s="27"/>
      <c r="RT187" s="28"/>
      <c r="RU187" s="25"/>
      <c r="RV187" s="27"/>
      <c r="RW187" s="27"/>
      <c r="RX187" s="27"/>
      <c r="RY187" s="27"/>
      <c r="RZ187" s="27"/>
      <c r="SA187" s="28"/>
      <c r="SB187" s="25"/>
      <c r="SC187" s="27"/>
      <c r="SD187" s="27"/>
      <c r="SE187" s="27"/>
      <c r="SF187" s="27"/>
      <c r="SG187" s="27"/>
      <c r="SH187" s="28"/>
      <c r="SI187" s="25"/>
      <c r="SJ187" s="27"/>
      <c r="SK187" s="27"/>
      <c r="SL187" s="27"/>
      <c r="SM187" s="27"/>
      <c r="SN187" s="27"/>
      <c r="SO187" s="28"/>
      <c r="SP187" s="25"/>
      <c r="SQ187" s="27"/>
      <c r="SR187" s="27"/>
    </row>
    <row r="188" spans="1:512" x14ac:dyDescent="0.15">
      <c r="A188" s="101">
        <f t="shared" ca="1" si="1562"/>
        <v>51</v>
      </c>
      <c r="B188" s="111">
        <v>51</v>
      </c>
      <c r="C188" s="71" t="str">
        <f t="shared" ca="1" si="1555"/>
        <v>Sandra</v>
      </c>
      <c r="D188" s="112">
        <f t="shared" ca="1" si="1563"/>
        <v>210.8</v>
      </c>
      <c r="E188" s="25"/>
      <c r="F188" s="26"/>
      <c r="G188" s="27"/>
      <c r="H188" s="28"/>
      <c r="I188" s="25"/>
      <c r="J188" s="25"/>
      <c r="K188" s="26"/>
      <c r="L188" s="62"/>
      <c r="M188" s="62" t="s">
        <v>238</v>
      </c>
      <c r="N188" s="32" t="s">
        <v>119</v>
      </c>
      <c r="O188" s="32"/>
      <c r="P188" s="32">
        <f t="shared" ca="1" si="1566"/>
        <v>24</v>
      </c>
      <c r="Q188" s="32" t="str">
        <f t="shared" ca="1" si="1567"/>
        <v>Valentina</v>
      </c>
      <c r="R188" s="113">
        <f t="shared" ca="1" si="1568"/>
        <v>232.29999999999995</v>
      </c>
      <c r="S188" s="73">
        <v>51</v>
      </c>
      <c r="T188" s="32">
        <f t="shared" ca="1" si="1570"/>
        <v>232.30050999999995</v>
      </c>
      <c r="U188" s="32"/>
      <c r="V188" s="61"/>
      <c r="W188" s="62"/>
      <c r="X188" s="32"/>
      <c r="Y188" s="63"/>
      <c r="Z188" s="73"/>
      <c r="AA188" s="32"/>
      <c r="AB188" s="32"/>
      <c r="AC188" s="61"/>
      <c r="AD188" s="27"/>
      <c r="AE188" s="27"/>
      <c r="AF188" s="27"/>
      <c r="AG188" s="28"/>
      <c r="AH188" s="25"/>
      <c r="AI188" s="27"/>
      <c r="AJ188" s="27"/>
      <c r="AK188" s="27"/>
      <c r="AL188" s="27"/>
      <c r="AM188" s="27"/>
      <c r="AN188" s="28"/>
      <c r="AO188" s="25"/>
      <c r="AP188" s="27"/>
      <c r="AQ188" s="27"/>
      <c r="AR188" s="27"/>
      <c r="AS188" s="27"/>
      <c r="AT188" s="27"/>
      <c r="AU188" s="28"/>
      <c r="AV188" s="25"/>
      <c r="AW188" s="27"/>
      <c r="AX188" s="27"/>
      <c r="AY188" s="27"/>
      <c r="AZ188" s="27"/>
      <c r="BA188" s="27"/>
      <c r="BB188" s="28"/>
      <c r="BC188" s="25"/>
      <c r="BD188" s="27"/>
      <c r="BE188" s="27"/>
      <c r="BF188" s="27"/>
      <c r="BG188" s="27"/>
      <c r="BH188" s="27"/>
      <c r="BI188" s="28"/>
      <c r="BJ188" s="25"/>
      <c r="BK188" s="27"/>
      <c r="BL188" s="27"/>
      <c r="BM188" s="27"/>
      <c r="BN188" s="27"/>
      <c r="BO188" s="27"/>
      <c r="BP188" s="28"/>
      <c r="BQ188" s="25"/>
      <c r="BR188" s="27"/>
      <c r="BS188" s="27"/>
      <c r="BT188" s="27"/>
      <c r="BU188" s="27"/>
      <c r="BV188" s="27"/>
      <c r="BW188" s="28"/>
      <c r="BX188" s="25"/>
      <c r="BY188" s="27"/>
      <c r="BZ188" s="27"/>
      <c r="CA188" s="27"/>
      <c r="CB188" s="27"/>
      <c r="CC188" s="27"/>
      <c r="CD188" s="28"/>
      <c r="CE188" s="25"/>
      <c r="CF188" s="27"/>
      <c r="CG188" s="27"/>
      <c r="CH188" s="27"/>
      <c r="CI188" s="27"/>
      <c r="CJ188" s="27"/>
      <c r="CK188" s="28"/>
      <c r="CL188" s="25"/>
      <c r="CM188" s="27"/>
      <c r="CN188" s="27"/>
      <c r="CO188" s="27"/>
      <c r="CP188" s="27"/>
      <c r="CQ188" s="27"/>
      <c r="CR188" s="28"/>
      <c r="CS188" s="25"/>
      <c r="CT188" s="27"/>
      <c r="CU188" s="27"/>
      <c r="CV188" s="27"/>
      <c r="CW188" s="27"/>
      <c r="CX188" s="27"/>
      <c r="CY188" s="28"/>
      <c r="CZ188" s="25"/>
      <c r="DA188" s="27"/>
      <c r="DB188" s="27"/>
      <c r="DC188" s="27"/>
      <c r="DD188" s="27"/>
      <c r="DE188" s="27"/>
      <c r="DF188" s="28"/>
      <c r="DG188" s="25"/>
      <c r="DH188" s="27"/>
      <c r="DI188" s="27"/>
      <c r="DJ188" s="27"/>
      <c r="DK188" s="27"/>
      <c r="DL188" s="27"/>
      <c r="DM188" s="28"/>
      <c r="DN188" s="25"/>
      <c r="DO188" s="27"/>
      <c r="DP188" s="27"/>
      <c r="DQ188" s="27"/>
      <c r="DR188" s="27"/>
      <c r="DS188" s="27"/>
      <c r="DT188" s="28"/>
      <c r="DU188" s="25"/>
      <c r="DV188" s="27"/>
      <c r="DW188" s="27"/>
      <c r="DX188" s="27"/>
      <c r="DY188" s="27"/>
      <c r="DZ188" s="27"/>
      <c r="EA188" s="28"/>
      <c r="EB188" s="25"/>
      <c r="EC188" s="27"/>
      <c r="ED188" s="27"/>
      <c r="EE188" s="27"/>
      <c r="EF188" s="27"/>
      <c r="EG188" s="27"/>
      <c r="EH188" s="28"/>
      <c r="EI188" s="25"/>
      <c r="EJ188" s="27"/>
      <c r="EK188" s="27"/>
      <c r="EL188" s="27"/>
      <c r="EM188" s="27"/>
      <c r="EN188" s="27"/>
      <c r="EO188" s="28"/>
      <c r="EP188" s="25"/>
      <c r="EQ188" s="27"/>
      <c r="ER188" s="27"/>
      <c r="ES188" s="27"/>
      <c r="ET188" s="27"/>
      <c r="EU188" s="27"/>
      <c r="EV188" s="28"/>
      <c r="EW188" s="25"/>
      <c r="EX188" s="27"/>
      <c r="EY188" s="27"/>
      <c r="EZ188" s="27"/>
      <c r="FA188" s="27"/>
      <c r="FB188" s="27"/>
      <c r="FC188" s="28"/>
      <c r="FD188" s="25"/>
      <c r="FE188" s="27"/>
      <c r="FF188" s="27"/>
      <c r="FG188" s="27"/>
      <c r="FH188" s="27"/>
      <c r="FI188" s="27"/>
      <c r="FJ188" s="28"/>
      <c r="FK188" s="25"/>
      <c r="FL188" s="27"/>
      <c r="FM188" s="27"/>
      <c r="FN188" s="27"/>
      <c r="FO188" s="27"/>
      <c r="FP188" s="27"/>
      <c r="FQ188" s="28"/>
      <c r="FR188" s="25"/>
      <c r="FS188" s="27"/>
      <c r="FT188" s="27"/>
      <c r="FU188" s="27"/>
      <c r="FV188" s="27"/>
      <c r="FW188" s="27"/>
      <c r="FX188" s="28"/>
      <c r="FY188" s="25"/>
      <c r="FZ188" s="27"/>
      <c r="GA188" s="27"/>
      <c r="GB188" s="27"/>
      <c r="GC188" s="27"/>
      <c r="GD188" s="27"/>
      <c r="GE188" s="28"/>
      <c r="GF188" s="25"/>
      <c r="GG188" s="27"/>
      <c r="GH188" s="27"/>
      <c r="GI188" s="27"/>
      <c r="GJ188" s="27"/>
      <c r="GK188" s="27"/>
      <c r="GL188" s="28"/>
      <c r="GM188" s="25"/>
      <c r="GN188" s="27"/>
      <c r="GO188" s="27"/>
      <c r="GP188" s="27"/>
      <c r="GQ188" s="27"/>
      <c r="GR188" s="27"/>
      <c r="GS188" s="28"/>
      <c r="GT188" s="25"/>
      <c r="GU188" s="27"/>
      <c r="GV188" s="27"/>
      <c r="GW188" s="27"/>
      <c r="GX188" s="27"/>
      <c r="GY188" s="27"/>
      <c r="GZ188" s="28"/>
      <c r="HA188" s="25"/>
      <c r="HB188" s="27"/>
      <c r="HC188" s="27"/>
      <c r="HD188" s="27"/>
      <c r="HE188" s="27"/>
      <c r="HF188" s="27"/>
      <c r="HG188" s="28"/>
      <c r="HH188" s="25"/>
      <c r="HI188" s="27"/>
      <c r="HJ188" s="27"/>
      <c r="HK188" s="27"/>
      <c r="HL188" s="27"/>
      <c r="HM188" s="27"/>
      <c r="HN188" s="28"/>
      <c r="HO188" s="25"/>
      <c r="HP188" s="27"/>
      <c r="HQ188" s="27"/>
      <c r="HR188" s="27"/>
      <c r="HS188" s="27"/>
      <c r="HT188" s="27"/>
      <c r="HU188" s="28"/>
      <c r="HV188" s="25"/>
      <c r="HW188" s="27"/>
      <c r="HX188" s="27"/>
      <c r="HY188" s="27"/>
      <c r="HZ188" s="27"/>
      <c r="IA188" s="27"/>
      <c r="IB188" s="28"/>
      <c r="IC188" s="25"/>
      <c r="ID188" s="27"/>
      <c r="IE188" s="27"/>
      <c r="IF188" s="27"/>
      <c r="IG188" s="27"/>
      <c r="IH188" s="27"/>
      <c r="II188" s="28"/>
      <c r="IJ188" s="25"/>
      <c r="IK188" s="27"/>
      <c r="IL188" s="27"/>
      <c r="IM188" s="27"/>
      <c r="IN188" s="27"/>
      <c r="IO188" s="27"/>
      <c r="IP188" s="28"/>
      <c r="IQ188" s="25"/>
      <c r="IR188" s="27"/>
      <c r="IS188" s="27"/>
      <c r="IT188" s="27"/>
      <c r="IU188" s="27"/>
      <c r="IV188" s="27"/>
      <c r="IW188" s="28"/>
      <c r="IX188" s="25"/>
      <c r="IY188" s="27"/>
      <c r="IZ188" s="27"/>
      <c r="JA188" s="27"/>
      <c r="JB188" s="27"/>
      <c r="JC188" s="27"/>
      <c r="JD188" s="28"/>
      <c r="JE188" s="25"/>
      <c r="JF188" s="27"/>
      <c r="JG188" s="27"/>
      <c r="JH188" s="27"/>
      <c r="JI188" s="27"/>
      <c r="JJ188" s="27"/>
      <c r="JK188" s="28"/>
      <c r="JL188" s="25"/>
      <c r="JM188" s="27"/>
      <c r="JN188" s="27"/>
      <c r="JO188" s="27"/>
      <c r="JP188" s="27"/>
      <c r="JQ188" s="27"/>
      <c r="JR188" s="28"/>
      <c r="JS188" s="25"/>
      <c r="JT188" s="27"/>
      <c r="JU188" s="27"/>
      <c r="JV188" s="27"/>
      <c r="JW188" s="27"/>
      <c r="JX188" s="27"/>
      <c r="JY188" s="28"/>
      <c r="JZ188" s="25"/>
      <c r="KA188" s="27"/>
      <c r="KB188" s="27"/>
      <c r="KC188" s="27"/>
      <c r="KD188" s="27"/>
      <c r="KE188" s="27"/>
      <c r="KF188" s="28"/>
      <c r="KG188" s="25"/>
      <c r="KH188" s="27"/>
      <c r="KI188" s="27"/>
      <c r="KJ188" s="27"/>
      <c r="KK188" s="27"/>
      <c r="KL188" s="27"/>
      <c r="KM188" s="28"/>
      <c r="KN188" s="25"/>
      <c r="KO188" s="27"/>
      <c r="KP188" s="27"/>
      <c r="KQ188" s="27"/>
      <c r="KR188" s="27"/>
      <c r="KS188" s="27"/>
      <c r="KT188" s="28"/>
      <c r="KU188" s="25"/>
      <c r="KV188" s="27"/>
      <c r="KW188" s="27"/>
      <c r="KX188" s="27"/>
      <c r="KY188" s="27"/>
      <c r="KZ188" s="27"/>
      <c r="LA188" s="28"/>
      <c r="LB188" s="25"/>
      <c r="LC188" s="27"/>
      <c r="LD188" s="27"/>
      <c r="LE188" s="27"/>
      <c r="LF188" s="27"/>
      <c r="LG188" s="27"/>
      <c r="LH188" s="28"/>
      <c r="LI188" s="25"/>
      <c r="LJ188" s="27"/>
      <c r="LK188" s="27"/>
      <c r="LL188" s="27"/>
      <c r="LM188" s="27"/>
      <c r="LN188" s="27"/>
      <c r="LO188" s="28"/>
      <c r="LP188" s="25"/>
      <c r="LQ188" s="27"/>
      <c r="LR188" s="27"/>
      <c r="LS188" s="27"/>
      <c r="LT188" s="27"/>
      <c r="LU188" s="27"/>
      <c r="LV188" s="28"/>
      <c r="LW188" s="25"/>
      <c r="LX188" s="27"/>
      <c r="LY188" s="27"/>
      <c r="LZ188" s="27"/>
      <c r="MA188" s="27"/>
      <c r="MB188" s="27"/>
      <c r="MC188" s="28"/>
      <c r="MD188" s="25"/>
      <c r="ME188" s="27"/>
      <c r="MF188" s="27"/>
      <c r="MG188" s="27"/>
      <c r="MH188" s="27"/>
      <c r="MI188" s="27"/>
      <c r="MJ188" s="28"/>
      <c r="MK188" s="25"/>
      <c r="ML188" s="27"/>
      <c r="MM188" s="27"/>
      <c r="MN188" s="27"/>
      <c r="MO188" s="27"/>
      <c r="MP188" s="27"/>
      <c r="MQ188" s="28"/>
      <c r="MR188" s="25"/>
      <c r="MS188" s="27"/>
      <c r="MT188" s="27"/>
      <c r="MU188" s="27"/>
      <c r="MV188" s="27"/>
      <c r="MW188" s="27"/>
      <c r="MX188" s="28"/>
      <c r="MY188" s="25"/>
      <c r="MZ188" s="27"/>
      <c r="NA188" s="27"/>
      <c r="NB188" s="27"/>
      <c r="NC188" s="27"/>
      <c r="ND188" s="27"/>
      <c r="NE188" s="28"/>
      <c r="NF188" s="25"/>
      <c r="NG188" s="27"/>
      <c r="NH188" s="27"/>
      <c r="NI188" s="27"/>
      <c r="NJ188" s="27"/>
      <c r="NK188" s="27"/>
      <c r="NL188" s="28"/>
      <c r="NM188" s="25"/>
      <c r="NN188" s="27"/>
      <c r="NO188" s="27"/>
      <c r="NP188" s="27"/>
      <c r="NQ188" s="27"/>
      <c r="NR188" s="27"/>
      <c r="NS188" s="28"/>
      <c r="NT188" s="25"/>
      <c r="NU188" s="27"/>
      <c r="NV188" s="27"/>
      <c r="NW188" s="27"/>
      <c r="NX188" s="27"/>
      <c r="NY188" s="27"/>
      <c r="NZ188" s="28"/>
      <c r="OA188" s="25"/>
      <c r="OB188" s="27"/>
      <c r="OC188" s="27"/>
      <c r="OD188" s="27"/>
      <c r="OE188" s="27"/>
      <c r="OF188" s="27"/>
      <c r="OG188" s="28"/>
      <c r="OH188" s="25"/>
      <c r="OI188" s="27"/>
      <c r="OJ188" s="27"/>
      <c r="OK188" s="27"/>
      <c r="OL188" s="27"/>
      <c r="OM188" s="27"/>
      <c r="ON188" s="28"/>
      <c r="OO188" s="25"/>
      <c r="OP188" s="27"/>
      <c r="OQ188" s="27"/>
      <c r="OR188" s="27"/>
      <c r="OS188" s="27"/>
      <c r="OT188" s="27"/>
      <c r="OU188" s="28"/>
      <c r="OV188" s="25"/>
      <c r="OW188" s="27"/>
      <c r="OX188" s="27"/>
      <c r="OY188" s="27"/>
      <c r="OZ188" s="27"/>
      <c r="PA188" s="27"/>
      <c r="PB188" s="28"/>
      <c r="PC188" s="25"/>
      <c r="PD188" s="27"/>
      <c r="PE188" s="27"/>
      <c r="PF188" s="27"/>
      <c r="PG188" s="27"/>
      <c r="PH188" s="27"/>
      <c r="PI188" s="28"/>
      <c r="PJ188" s="25"/>
      <c r="PK188" s="27"/>
      <c r="PL188" s="27"/>
      <c r="PM188" s="27"/>
      <c r="PN188" s="27"/>
      <c r="PO188" s="27"/>
      <c r="PP188" s="28"/>
      <c r="PQ188" s="25"/>
      <c r="PR188" s="27"/>
      <c r="PS188" s="27"/>
      <c r="PT188" s="27"/>
      <c r="PU188" s="27"/>
      <c r="PV188" s="27"/>
      <c r="PW188" s="28"/>
      <c r="PX188" s="25"/>
      <c r="PY188" s="27"/>
      <c r="PZ188" s="27"/>
      <c r="QA188" s="27"/>
      <c r="QB188" s="27"/>
      <c r="QC188" s="27"/>
      <c r="QD188" s="28"/>
      <c r="QE188" s="25"/>
      <c r="QF188" s="27"/>
      <c r="QG188" s="27"/>
      <c r="QH188" s="27"/>
      <c r="QI188" s="27"/>
      <c r="QJ188" s="27"/>
      <c r="QK188" s="28"/>
      <c r="QL188" s="25"/>
      <c r="QM188" s="27"/>
      <c r="QN188" s="27"/>
      <c r="QO188" s="27"/>
      <c r="QP188" s="27"/>
      <c r="QQ188" s="27"/>
      <c r="QR188" s="28"/>
      <c r="QS188" s="25"/>
      <c r="QT188" s="27"/>
      <c r="QU188" s="27"/>
      <c r="QV188" s="27"/>
      <c r="QW188" s="27"/>
      <c r="QX188" s="27"/>
      <c r="QY188" s="28"/>
      <c r="QZ188" s="25"/>
      <c r="RA188" s="27"/>
      <c r="RB188" s="27"/>
      <c r="RC188" s="27"/>
      <c r="RD188" s="27"/>
      <c r="RE188" s="27"/>
      <c r="RF188" s="28"/>
      <c r="RG188" s="25"/>
      <c r="RH188" s="27"/>
      <c r="RI188" s="27"/>
      <c r="RJ188" s="27"/>
      <c r="RK188" s="27"/>
      <c r="RL188" s="27"/>
      <c r="RM188" s="28"/>
      <c r="RN188" s="25"/>
      <c r="RO188" s="27"/>
      <c r="RP188" s="27"/>
      <c r="RQ188" s="27"/>
      <c r="RR188" s="27"/>
      <c r="RS188" s="27"/>
      <c r="RT188" s="28"/>
      <c r="RU188" s="25"/>
      <c r="RV188" s="27"/>
      <c r="RW188" s="27"/>
      <c r="RX188" s="27"/>
      <c r="RY188" s="27"/>
      <c r="RZ188" s="27"/>
      <c r="SA188" s="28"/>
      <c r="SB188" s="25"/>
      <c r="SC188" s="27"/>
      <c r="SD188" s="27"/>
      <c r="SE188" s="27"/>
      <c r="SF188" s="27"/>
      <c r="SG188" s="27"/>
      <c r="SH188" s="28"/>
      <c r="SI188" s="25"/>
      <c r="SJ188" s="27"/>
      <c r="SK188" s="27"/>
      <c r="SL188" s="27"/>
      <c r="SM188" s="27"/>
      <c r="SN188" s="27"/>
      <c r="SO188" s="28"/>
      <c r="SP188" s="25"/>
      <c r="SQ188" s="27"/>
      <c r="SR188" s="27"/>
    </row>
    <row r="189" spans="1:512" x14ac:dyDescent="0.15">
      <c r="A189" s="101">
        <f t="shared" ca="1" si="1562"/>
        <v>52</v>
      </c>
      <c r="B189" s="111">
        <v>52</v>
      </c>
      <c r="C189" s="71" t="str">
        <f t="shared" ca="1" si="1555"/>
        <v>Conrad</v>
      </c>
      <c r="D189" s="112">
        <f t="shared" ca="1" si="1563"/>
        <v>209.70000000000002</v>
      </c>
      <c r="E189" s="25"/>
      <c r="F189" s="26"/>
      <c r="G189" s="27"/>
      <c r="H189" s="28"/>
      <c r="I189" s="25"/>
      <c r="J189" s="25"/>
      <c r="K189" s="26"/>
      <c r="L189" s="62"/>
      <c r="M189" s="32" t="s">
        <v>239</v>
      </c>
      <c r="N189" s="32" t="s">
        <v>120</v>
      </c>
      <c r="O189" s="32"/>
      <c r="P189" s="32">
        <f t="shared" ca="1" si="1566"/>
        <v>59</v>
      </c>
      <c r="Q189" s="32" t="str">
        <f t="shared" ca="1" si="1567"/>
        <v>Rebecca</v>
      </c>
      <c r="R189" s="113">
        <f t="shared" ca="1" si="1568"/>
        <v>193.4</v>
      </c>
      <c r="S189" s="73">
        <v>52</v>
      </c>
      <c r="T189" s="32">
        <f t="shared" ref="T189:T191" ca="1" si="1571">R189+S189/100000</f>
        <v>193.40052</v>
      </c>
      <c r="U189" s="32"/>
      <c r="V189" s="61"/>
      <c r="W189" s="62"/>
      <c r="X189" s="32"/>
      <c r="Y189" s="63"/>
      <c r="Z189" s="73"/>
      <c r="AA189" s="32"/>
      <c r="AB189" s="32"/>
      <c r="AC189" s="61"/>
      <c r="AD189" s="27"/>
      <c r="AE189" s="27"/>
      <c r="AF189" s="27"/>
      <c r="AG189" s="28"/>
      <c r="AH189" s="25"/>
      <c r="AI189" s="27"/>
      <c r="AJ189" s="27"/>
      <c r="AK189" s="27"/>
      <c r="AL189" s="27"/>
      <c r="AM189" s="27"/>
      <c r="AN189" s="28"/>
      <c r="AO189" s="25"/>
      <c r="AP189" s="27"/>
      <c r="AQ189" s="27"/>
      <c r="AR189" s="27"/>
      <c r="AS189" s="27"/>
      <c r="AT189" s="27"/>
      <c r="AU189" s="28"/>
      <c r="AV189" s="25"/>
      <c r="AW189" s="27"/>
      <c r="AX189" s="27"/>
      <c r="AY189" s="27"/>
      <c r="AZ189" s="27"/>
      <c r="BA189" s="27"/>
      <c r="BB189" s="28"/>
      <c r="BC189" s="25"/>
      <c r="BD189" s="27"/>
      <c r="BE189" s="27"/>
      <c r="BF189" s="27"/>
      <c r="BG189" s="27"/>
      <c r="BH189" s="27"/>
      <c r="BI189" s="28"/>
      <c r="BJ189" s="25"/>
      <c r="BK189" s="27"/>
      <c r="BL189" s="27"/>
      <c r="BM189" s="27"/>
      <c r="BN189" s="27"/>
      <c r="BO189" s="27"/>
      <c r="BP189" s="28"/>
      <c r="BQ189" s="25"/>
      <c r="BR189" s="27"/>
      <c r="BS189" s="27"/>
      <c r="BT189" s="27"/>
      <c r="BU189" s="27"/>
      <c r="BV189" s="27"/>
      <c r="BW189" s="28"/>
      <c r="BX189" s="25"/>
      <c r="BY189" s="27"/>
      <c r="BZ189" s="27"/>
      <c r="CA189" s="27"/>
      <c r="CB189" s="27"/>
      <c r="CC189" s="27"/>
      <c r="CD189" s="28"/>
      <c r="CE189" s="25"/>
      <c r="CF189" s="27"/>
      <c r="CG189" s="27"/>
      <c r="CH189" s="27"/>
      <c r="CI189" s="27"/>
      <c r="CJ189" s="27"/>
      <c r="CK189" s="28"/>
      <c r="CL189" s="25"/>
      <c r="CM189" s="27"/>
      <c r="CN189" s="27"/>
      <c r="CO189" s="27"/>
      <c r="CP189" s="27"/>
      <c r="CQ189" s="27"/>
      <c r="CR189" s="28"/>
      <c r="CS189" s="25"/>
      <c r="CT189" s="27"/>
      <c r="CU189" s="27"/>
      <c r="CV189" s="27"/>
      <c r="CW189" s="27"/>
      <c r="CX189" s="27"/>
      <c r="CY189" s="28"/>
      <c r="CZ189" s="25"/>
      <c r="DA189" s="27"/>
      <c r="DB189" s="27"/>
      <c r="DC189" s="27"/>
      <c r="DD189" s="27"/>
      <c r="DE189" s="27"/>
      <c r="DF189" s="28"/>
      <c r="DG189" s="25"/>
      <c r="DH189" s="27"/>
      <c r="DI189" s="27"/>
      <c r="DJ189" s="27"/>
      <c r="DK189" s="27"/>
      <c r="DL189" s="27"/>
      <c r="DM189" s="28"/>
      <c r="DN189" s="25"/>
      <c r="DO189" s="27"/>
      <c r="DP189" s="27"/>
      <c r="DQ189" s="27"/>
      <c r="DR189" s="27"/>
      <c r="DS189" s="27"/>
      <c r="DT189" s="28"/>
      <c r="DU189" s="25"/>
      <c r="DV189" s="27"/>
      <c r="DW189" s="27"/>
      <c r="DX189" s="27"/>
      <c r="DY189" s="27"/>
      <c r="DZ189" s="27"/>
      <c r="EA189" s="28"/>
      <c r="EB189" s="25"/>
      <c r="EC189" s="27"/>
      <c r="ED189" s="27"/>
      <c r="EE189" s="27"/>
      <c r="EF189" s="27"/>
      <c r="EG189" s="27"/>
      <c r="EH189" s="28"/>
      <c r="EI189" s="25"/>
      <c r="EJ189" s="27"/>
      <c r="EK189" s="27"/>
      <c r="EL189" s="27"/>
      <c r="EM189" s="27"/>
      <c r="EN189" s="27"/>
      <c r="EO189" s="28"/>
      <c r="EP189" s="25"/>
      <c r="EQ189" s="27"/>
      <c r="ER189" s="27"/>
      <c r="ES189" s="27"/>
      <c r="ET189" s="27"/>
      <c r="EU189" s="27"/>
      <c r="EV189" s="28"/>
      <c r="EW189" s="25"/>
      <c r="EX189" s="27"/>
      <c r="EY189" s="27"/>
      <c r="EZ189" s="27"/>
      <c r="FA189" s="27"/>
      <c r="FB189" s="27"/>
      <c r="FC189" s="28"/>
      <c r="FD189" s="25"/>
      <c r="FE189" s="27"/>
      <c r="FF189" s="27"/>
      <c r="FG189" s="27"/>
      <c r="FH189" s="27"/>
      <c r="FI189" s="27"/>
      <c r="FJ189" s="28"/>
      <c r="FK189" s="25"/>
      <c r="FL189" s="27"/>
      <c r="FM189" s="27"/>
      <c r="FN189" s="27"/>
      <c r="FO189" s="27"/>
      <c r="FP189" s="27"/>
      <c r="FQ189" s="28"/>
      <c r="FR189" s="25"/>
      <c r="FS189" s="27"/>
      <c r="FT189" s="27"/>
      <c r="FU189" s="27"/>
      <c r="FV189" s="27"/>
      <c r="FW189" s="27"/>
      <c r="FX189" s="28"/>
      <c r="FY189" s="25"/>
      <c r="FZ189" s="27"/>
      <c r="GA189" s="27"/>
      <c r="GB189" s="27"/>
      <c r="GC189" s="27"/>
      <c r="GD189" s="27"/>
      <c r="GE189" s="28"/>
      <c r="GF189" s="25"/>
      <c r="GG189" s="27"/>
      <c r="GH189" s="27"/>
      <c r="GI189" s="27"/>
      <c r="GJ189" s="27"/>
      <c r="GK189" s="27"/>
      <c r="GL189" s="28"/>
      <c r="GM189" s="25"/>
      <c r="GN189" s="27"/>
      <c r="GO189" s="27"/>
      <c r="GP189" s="27"/>
      <c r="GQ189" s="27"/>
      <c r="GR189" s="27"/>
      <c r="GS189" s="28"/>
      <c r="GT189" s="25"/>
      <c r="GU189" s="27"/>
      <c r="GV189" s="27"/>
      <c r="GW189" s="27"/>
      <c r="GX189" s="27"/>
      <c r="GY189" s="27"/>
      <c r="GZ189" s="28"/>
      <c r="HA189" s="25"/>
      <c r="HB189" s="27"/>
      <c r="HC189" s="27"/>
      <c r="HD189" s="27"/>
      <c r="HE189" s="27"/>
      <c r="HF189" s="27"/>
      <c r="HG189" s="28"/>
      <c r="HH189" s="25"/>
      <c r="HI189" s="27"/>
      <c r="HJ189" s="27"/>
      <c r="HK189" s="27"/>
      <c r="HL189" s="27"/>
      <c r="HM189" s="27"/>
      <c r="HN189" s="28"/>
      <c r="HO189" s="25"/>
      <c r="HP189" s="27"/>
      <c r="HQ189" s="27"/>
      <c r="HR189" s="27"/>
      <c r="HS189" s="27"/>
      <c r="HT189" s="27"/>
      <c r="HU189" s="28"/>
      <c r="HV189" s="25"/>
      <c r="HW189" s="27"/>
      <c r="HX189" s="27"/>
      <c r="HY189" s="27"/>
      <c r="HZ189" s="27"/>
      <c r="IA189" s="27"/>
      <c r="IB189" s="28"/>
      <c r="IC189" s="25"/>
      <c r="ID189" s="27"/>
      <c r="IE189" s="27"/>
      <c r="IF189" s="27"/>
      <c r="IG189" s="27"/>
      <c r="IH189" s="27"/>
      <c r="II189" s="28"/>
      <c r="IJ189" s="25"/>
      <c r="IK189" s="27"/>
      <c r="IL189" s="27"/>
      <c r="IM189" s="27"/>
      <c r="IN189" s="27"/>
      <c r="IO189" s="27"/>
      <c r="IP189" s="28"/>
      <c r="IQ189" s="25"/>
      <c r="IR189" s="27"/>
      <c r="IS189" s="27"/>
      <c r="IT189" s="27"/>
      <c r="IU189" s="27"/>
      <c r="IV189" s="27"/>
      <c r="IW189" s="28"/>
      <c r="IX189" s="25"/>
      <c r="IY189" s="27"/>
      <c r="IZ189" s="27"/>
      <c r="JA189" s="27"/>
      <c r="JB189" s="27"/>
      <c r="JC189" s="27"/>
      <c r="JD189" s="28"/>
      <c r="JE189" s="25"/>
      <c r="JF189" s="27"/>
      <c r="JG189" s="27"/>
      <c r="JH189" s="27"/>
      <c r="JI189" s="27"/>
      <c r="JJ189" s="27"/>
      <c r="JK189" s="28"/>
      <c r="JL189" s="25"/>
      <c r="JM189" s="27"/>
      <c r="JN189" s="27"/>
      <c r="JO189" s="27"/>
      <c r="JP189" s="27"/>
      <c r="JQ189" s="27"/>
      <c r="JR189" s="28"/>
      <c r="JS189" s="25"/>
      <c r="JT189" s="27"/>
      <c r="JU189" s="27"/>
      <c r="JV189" s="27"/>
      <c r="JW189" s="27"/>
      <c r="JX189" s="27"/>
      <c r="JY189" s="28"/>
      <c r="JZ189" s="25"/>
      <c r="KA189" s="27"/>
      <c r="KB189" s="27"/>
      <c r="KC189" s="27"/>
      <c r="KD189" s="27"/>
      <c r="KE189" s="27"/>
      <c r="KF189" s="28"/>
      <c r="KG189" s="25"/>
      <c r="KH189" s="27"/>
      <c r="KI189" s="27"/>
      <c r="KJ189" s="27"/>
      <c r="KK189" s="27"/>
      <c r="KL189" s="27"/>
      <c r="KM189" s="28"/>
      <c r="KN189" s="25"/>
      <c r="KO189" s="27"/>
      <c r="KP189" s="27"/>
      <c r="KQ189" s="27"/>
      <c r="KR189" s="27"/>
      <c r="KS189" s="27"/>
      <c r="KT189" s="28"/>
      <c r="KU189" s="25"/>
      <c r="KV189" s="27"/>
      <c r="KW189" s="27"/>
      <c r="KX189" s="27"/>
      <c r="KY189" s="27"/>
      <c r="KZ189" s="27"/>
      <c r="LA189" s="28"/>
      <c r="LB189" s="25"/>
      <c r="LC189" s="27"/>
      <c r="LD189" s="27"/>
      <c r="LE189" s="27"/>
      <c r="LF189" s="27"/>
      <c r="LG189" s="27"/>
      <c r="LH189" s="28"/>
      <c r="LI189" s="25"/>
      <c r="LJ189" s="27"/>
      <c r="LK189" s="27"/>
      <c r="LL189" s="27"/>
      <c r="LM189" s="27"/>
      <c r="LN189" s="27"/>
      <c r="LO189" s="28"/>
      <c r="LP189" s="25"/>
      <c r="LQ189" s="27"/>
      <c r="LR189" s="27"/>
      <c r="LS189" s="27"/>
      <c r="LT189" s="27"/>
      <c r="LU189" s="27"/>
      <c r="LV189" s="28"/>
      <c r="LW189" s="25"/>
      <c r="LX189" s="27"/>
      <c r="LY189" s="27"/>
      <c r="LZ189" s="27"/>
      <c r="MA189" s="27"/>
      <c r="MB189" s="27"/>
      <c r="MC189" s="28"/>
      <c r="MD189" s="25"/>
      <c r="ME189" s="27"/>
      <c r="MF189" s="27"/>
      <c r="MG189" s="27"/>
      <c r="MH189" s="27"/>
      <c r="MI189" s="27"/>
      <c r="MJ189" s="28"/>
      <c r="MK189" s="25"/>
      <c r="ML189" s="27"/>
      <c r="MM189" s="27"/>
      <c r="MN189" s="27"/>
      <c r="MO189" s="27"/>
      <c r="MP189" s="27"/>
      <c r="MQ189" s="28"/>
      <c r="MR189" s="25"/>
      <c r="MS189" s="27"/>
      <c r="MT189" s="27"/>
      <c r="MU189" s="27"/>
      <c r="MV189" s="27"/>
      <c r="MW189" s="27"/>
      <c r="MX189" s="28"/>
      <c r="MY189" s="25"/>
      <c r="MZ189" s="27"/>
      <c r="NA189" s="27"/>
      <c r="NB189" s="27"/>
      <c r="NC189" s="27"/>
      <c r="ND189" s="27"/>
      <c r="NE189" s="28"/>
      <c r="NF189" s="25"/>
      <c r="NG189" s="27"/>
      <c r="NH189" s="27"/>
      <c r="NI189" s="27"/>
      <c r="NJ189" s="27"/>
      <c r="NK189" s="27"/>
      <c r="NL189" s="28"/>
      <c r="NM189" s="25"/>
      <c r="NN189" s="27"/>
      <c r="NO189" s="27"/>
      <c r="NP189" s="27"/>
      <c r="NQ189" s="27"/>
      <c r="NR189" s="27"/>
      <c r="NS189" s="28"/>
      <c r="NT189" s="25"/>
      <c r="NU189" s="27"/>
      <c r="NV189" s="27"/>
      <c r="NW189" s="27"/>
      <c r="NX189" s="27"/>
      <c r="NY189" s="27"/>
      <c r="NZ189" s="28"/>
      <c r="OA189" s="25"/>
      <c r="OB189" s="27"/>
      <c r="OC189" s="27"/>
      <c r="OD189" s="27"/>
      <c r="OE189" s="27"/>
      <c r="OF189" s="27"/>
      <c r="OG189" s="28"/>
      <c r="OH189" s="25"/>
      <c r="OI189" s="27"/>
      <c r="OJ189" s="27"/>
      <c r="OK189" s="27"/>
      <c r="OL189" s="27"/>
      <c r="OM189" s="27"/>
      <c r="ON189" s="28"/>
      <c r="OO189" s="25"/>
      <c r="OP189" s="27"/>
      <c r="OQ189" s="27"/>
      <c r="OR189" s="27"/>
      <c r="OS189" s="27"/>
      <c r="OT189" s="27"/>
      <c r="OU189" s="28"/>
      <c r="OV189" s="25"/>
      <c r="OW189" s="27"/>
      <c r="OX189" s="27"/>
      <c r="OY189" s="27"/>
      <c r="OZ189" s="27"/>
      <c r="PA189" s="27"/>
      <c r="PB189" s="28"/>
      <c r="PC189" s="25"/>
      <c r="PD189" s="27"/>
      <c r="PE189" s="27"/>
      <c r="PF189" s="27"/>
      <c r="PG189" s="27"/>
      <c r="PH189" s="27"/>
      <c r="PI189" s="28"/>
      <c r="PJ189" s="25"/>
      <c r="PK189" s="27"/>
      <c r="PL189" s="27"/>
      <c r="PM189" s="27"/>
      <c r="PN189" s="27"/>
      <c r="PO189" s="27"/>
      <c r="PP189" s="28"/>
      <c r="PQ189" s="25"/>
      <c r="PR189" s="27"/>
      <c r="PS189" s="27"/>
      <c r="PT189" s="27"/>
      <c r="PU189" s="27"/>
      <c r="PV189" s="27"/>
      <c r="PW189" s="28"/>
      <c r="PX189" s="25"/>
      <c r="PY189" s="27"/>
      <c r="PZ189" s="27"/>
      <c r="QA189" s="27"/>
      <c r="QB189" s="27"/>
      <c r="QC189" s="27"/>
      <c r="QD189" s="28"/>
      <c r="QE189" s="25"/>
      <c r="QF189" s="27"/>
      <c r="QG189" s="27"/>
      <c r="QH189" s="27"/>
      <c r="QI189" s="27"/>
      <c r="QJ189" s="27"/>
      <c r="QK189" s="28"/>
      <c r="QL189" s="25"/>
      <c r="QM189" s="27"/>
      <c r="QN189" s="27"/>
      <c r="QO189" s="27"/>
      <c r="QP189" s="27"/>
      <c r="QQ189" s="27"/>
      <c r="QR189" s="28"/>
      <c r="QS189" s="25"/>
      <c r="QT189" s="27"/>
      <c r="QU189" s="27"/>
      <c r="QV189" s="27"/>
      <c r="QW189" s="27"/>
      <c r="QX189" s="27"/>
      <c r="QY189" s="28"/>
      <c r="QZ189" s="25"/>
      <c r="RA189" s="27"/>
      <c r="RB189" s="27"/>
      <c r="RC189" s="27"/>
      <c r="RD189" s="27"/>
      <c r="RE189" s="27"/>
      <c r="RF189" s="28"/>
      <c r="RG189" s="25"/>
      <c r="RH189" s="27"/>
      <c r="RI189" s="27"/>
      <c r="RJ189" s="27"/>
      <c r="RK189" s="27"/>
      <c r="RL189" s="27"/>
      <c r="RM189" s="28"/>
      <c r="RN189" s="25"/>
      <c r="RO189" s="27"/>
      <c r="RP189" s="27"/>
      <c r="RQ189" s="27"/>
      <c r="RR189" s="27"/>
      <c r="RS189" s="27"/>
      <c r="RT189" s="28"/>
      <c r="RU189" s="25"/>
      <c r="RV189" s="27"/>
      <c r="RW189" s="27"/>
      <c r="RX189" s="27"/>
      <c r="RY189" s="27"/>
      <c r="RZ189" s="27"/>
      <c r="SA189" s="28"/>
      <c r="SB189" s="25"/>
      <c r="SC189" s="27"/>
      <c r="SD189" s="27"/>
      <c r="SE189" s="27"/>
      <c r="SF189" s="27"/>
      <c r="SG189" s="27"/>
      <c r="SH189" s="28"/>
      <c r="SI189" s="25"/>
      <c r="SJ189" s="27"/>
      <c r="SK189" s="27"/>
      <c r="SL189" s="27"/>
      <c r="SM189" s="27"/>
      <c r="SN189" s="27"/>
      <c r="SO189" s="28"/>
      <c r="SP189" s="25"/>
      <c r="SQ189" s="27"/>
      <c r="SR189" s="27"/>
    </row>
    <row r="190" spans="1:512" x14ac:dyDescent="0.15">
      <c r="A190" s="101">
        <f t="shared" ca="1" si="1562"/>
        <v>53</v>
      </c>
      <c r="B190" s="111">
        <v>53</v>
      </c>
      <c r="C190" s="71" t="str">
        <f t="shared" ca="1" si="1555"/>
        <v>Mimi</v>
      </c>
      <c r="D190" s="112">
        <f t="shared" ca="1" si="1563"/>
        <v>207.7</v>
      </c>
      <c r="E190" s="25"/>
      <c r="F190" s="26"/>
      <c r="G190" s="27"/>
      <c r="H190" s="28"/>
      <c r="I190" s="25"/>
      <c r="J190" s="25"/>
      <c r="K190" s="26"/>
      <c r="L190" s="62"/>
      <c r="M190" s="61" t="s">
        <v>240</v>
      </c>
      <c r="N190" s="32" t="s">
        <v>121</v>
      </c>
      <c r="O190" s="32"/>
      <c r="P190" s="32">
        <f t="shared" ca="1" si="1566"/>
        <v>66</v>
      </c>
      <c r="Q190" s="32" t="str">
        <f t="shared" ca="1" si="1567"/>
        <v>Lucian</v>
      </c>
      <c r="R190" s="113">
        <f t="shared" ca="1" si="1568"/>
        <v>159.29999999999995</v>
      </c>
      <c r="S190" s="73">
        <v>53</v>
      </c>
      <c r="T190" s="32">
        <f t="shared" ca="1" si="1571"/>
        <v>159.30052999999995</v>
      </c>
      <c r="U190" s="32"/>
      <c r="V190" s="61"/>
      <c r="W190" s="62"/>
      <c r="X190" s="32"/>
      <c r="Y190" s="63"/>
      <c r="Z190" s="73"/>
      <c r="AA190" s="32"/>
      <c r="AB190" s="32"/>
      <c r="AC190" s="61"/>
      <c r="AD190" s="27"/>
      <c r="AE190" s="27"/>
      <c r="AF190" s="27"/>
      <c r="AG190" s="28"/>
      <c r="AH190" s="25"/>
      <c r="AI190" s="27"/>
      <c r="AJ190" s="27"/>
      <c r="AK190" s="27"/>
      <c r="AL190" s="27"/>
      <c r="AM190" s="27"/>
      <c r="AN190" s="28"/>
      <c r="AO190" s="25"/>
      <c r="AP190" s="27"/>
      <c r="AQ190" s="27"/>
      <c r="AR190" s="27"/>
      <c r="AS190" s="27"/>
      <c r="AT190" s="27"/>
      <c r="AU190" s="28"/>
      <c r="AV190" s="25"/>
      <c r="AW190" s="27"/>
      <c r="AX190" s="27"/>
      <c r="AY190" s="27"/>
      <c r="AZ190" s="27"/>
      <c r="BA190" s="27"/>
      <c r="BB190" s="28"/>
      <c r="BC190" s="25"/>
      <c r="BD190" s="27"/>
      <c r="BE190" s="27"/>
      <c r="BF190" s="27"/>
      <c r="BG190" s="27"/>
      <c r="BH190" s="27"/>
      <c r="BI190" s="28"/>
      <c r="BJ190" s="25"/>
      <c r="BK190" s="27"/>
      <c r="BL190" s="27"/>
      <c r="BM190" s="27"/>
      <c r="BN190" s="27"/>
      <c r="BO190" s="27"/>
      <c r="BP190" s="28"/>
      <c r="BQ190" s="25"/>
      <c r="BR190" s="27"/>
      <c r="BS190" s="27"/>
      <c r="BT190" s="27"/>
      <c r="BU190" s="27"/>
      <c r="BV190" s="27"/>
      <c r="BW190" s="28"/>
      <c r="BX190" s="25"/>
      <c r="BY190" s="27"/>
      <c r="BZ190" s="27"/>
      <c r="CA190" s="27"/>
      <c r="CB190" s="27"/>
      <c r="CC190" s="27"/>
      <c r="CD190" s="28"/>
      <c r="CE190" s="25"/>
      <c r="CF190" s="27"/>
      <c r="CG190" s="27"/>
      <c r="CH190" s="27"/>
      <c r="CI190" s="27"/>
      <c r="CJ190" s="27"/>
      <c r="CK190" s="28"/>
      <c r="CL190" s="25"/>
      <c r="CM190" s="27"/>
      <c r="CN190" s="27"/>
      <c r="CO190" s="27"/>
      <c r="CP190" s="27"/>
      <c r="CQ190" s="27"/>
      <c r="CR190" s="28"/>
      <c r="CS190" s="25"/>
      <c r="CT190" s="27"/>
      <c r="CU190" s="27"/>
      <c r="CV190" s="27"/>
      <c r="CW190" s="27"/>
      <c r="CX190" s="27"/>
      <c r="CY190" s="28"/>
      <c r="CZ190" s="25"/>
      <c r="DA190" s="27"/>
      <c r="DB190" s="27"/>
      <c r="DC190" s="27"/>
      <c r="DD190" s="27"/>
      <c r="DE190" s="27"/>
      <c r="DF190" s="28"/>
      <c r="DG190" s="25"/>
      <c r="DH190" s="27"/>
      <c r="DI190" s="27"/>
      <c r="DJ190" s="27"/>
      <c r="DK190" s="27"/>
      <c r="DL190" s="27"/>
      <c r="DM190" s="28"/>
      <c r="DN190" s="25"/>
      <c r="DO190" s="27"/>
      <c r="DP190" s="27"/>
      <c r="DQ190" s="27"/>
      <c r="DR190" s="27"/>
      <c r="DS190" s="27"/>
      <c r="DT190" s="28"/>
      <c r="DU190" s="25"/>
      <c r="DV190" s="27"/>
      <c r="DW190" s="27"/>
      <c r="DX190" s="27"/>
      <c r="DY190" s="27"/>
      <c r="DZ190" s="27"/>
      <c r="EA190" s="28"/>
      <c r="EB190" s="25"/>
      <c r="EC190" s="27"/>
      <c r="ED190" s="27"/>
      <c r="EE190" s="27"/>
      <c r="EF190" s="27"/>
      <c r="EG190" s="27"/>
      <c r="EH190" s="28"/>
      <c r="EI190" s="25"/>
      <c r="EJ190" s="27"/>
      <c r="EK190" s="27"/>
      <c r="EL190" s="27"/>
      <c r="EM190" s="27"/>
      <c r="EN190" s="27"/>
      <c r="EO190" s="28"/>
      <c r="EP190" s="25"/>
      <c r="EQ190" s="27"/>
      <c r="ER190" s="27"/>
      <c r="ES190" s="27"/>
      <c r="ET190" s="27"/>
      <c r="EU190" s="27"/>
      <c r="EV190" s="28"/>
      <c r="EW190" s="25"/>
      <c r="EX190" s="27"/>
      <c r="EY190" s="27"/>
      <c r="EZ190" s="27"/>
      <c r="FA190" s="27"/>
      <c r="FB190" s="27"/>
      <c r="FC190" s="28"/>
      <c r="FD190" s="25"/>
      <c r="FE190" s="27"/>
      <c r="FF190" s="27"/>
      <c r="FG190" s="27"/>
      <c r="FH190" s="27"/>
      <c r="FI190" s="27"/>
      <c r="FJ190" s="28"/>
      <c r="FK190" s="25"/>
      <c r="FL190" s="27"/>
      <c r="FM190" s="27"/>
      <c r="FN190" s="27"/>
      <c r="FO190" s="27"/>
      <c r="FP190" s="27"/>
      <c r="FQ190" s="28"/>
      <c r="FR190" s="25"/>
      <c r="FS190" s="27"/>
      <c r="FT190" s="27"/>
      <c r="FU190" s="27"/>
      <c r="FV190" s="27"/>
      <c r="FW190" s="27"/>
      <c r="FX190" s="28"/>
      <c r="FY190" s="25"/>
      <c r="FZ190" s="27"/>
      <c r="GA190" s="27"/>
      <c r="GB190" s="27"/>
      <c r="GC190" s="27"/>
      <c r="GD190" s="27"/>
      <c r="GE190" s="28"/>
      <c r="GF190" s="25"/>
      <c r="GG190" s="27"/>
      <c r="GH190" s="27"/>
      <c r="GI190" s="27"/>
      <c r="GJ190" s="27"/>
      <c r="GK190" s="27"/>
      <c r="GL190" s="28"/>
      <c r="GM190" s="25"/>
      <c r="GN190" s="27"/>
      <c r="GO190" s="27"/>
      <c r="GP190" s="27"/>
      <c r="GQ190" s="27"/>
      <c r="GR190" s="27"/>
      <c r="GS190" s="28"/>
      <c r="GT190" s="25"/>
      <c r="GU190" s="27"/>
      <c r="GV190" s="27"/>
      <c r="GW190" s="27"/>
      <c r="GX190" s="27"/>
      <c r="GY190" s="27"/>
      <c r="GZ190" s="28"/>
      <c r="HA190" s="25"/>
      <c r="HB190" s="27"/>
      <c r="HC190" s="27"/>
      <c r="HD190" s="27"/>
      <c r="HE190" s="27"/>
      <c r="HF190" s="27"/>
      <c r="HG190" s="28"/>
      <c r="HH190" s="25"/>
      <c r="HI190" s="27"/>
      <c r="HJ190" s="27"/>
      <c r="HK190" s="27"/>
      <c r="HL190" s="27"/>
      <c r="HM190" s="27"/>
      <c r="HN190" s="28"/>
      <c r="HO190" s="25"/>
      <c r="HP190" s="27"/>
      <c r="HQ190" s="27"/>
      <c r="HR190" s="27"/>
      <c r="HS190" s="27"/>
      <c r="HT190" s="27"/>
      <c r="HU190" s="28"/>
      <c r="HV190" s="25"/>
      <c r="HW190" s="27"/>
      <c r="HX190" s="27"/>
      <c r="HY190" s="27"/>
      <c r="HZ190" s="27"/>
      <c r="IA190" s="27"/>
      <c r="IB190" s="28"/>
      <c r="IC190" s="25"/>
      <c r="ID190" s="27"/>
      <c r="IE190" s="27"/>
      <c r="IF190" s="27"/>
      <c r="IG190" s="27"/>
      <c r="IH190" s="27"/>
      <c r="II190" s="28"/>
      <c r="IJ190" s="25"/>
      <c r="IK190" s="27"/>
      <c r="IL190" s="27"/>
      <c r="IM190" s="27"/>
      <c r="IN190" s="27"/>
      <c r="IO190" s="27"/>
      <c r="IP190" s="28"/>
      <c r="IQ190" s="25"/>
      <c r="IR190" s="27"/>
      <c r="IS190" s="27"/>
      <c r="IT190" s="27"/>
      <c r="IU190" s="27"/>
      <c r="IV190" s="27"/>
      <c r="IW190" s="28"/>
      <c r="IX190" s="25"/>
      <c r="IY190" s="27"/>
      <c r="IZ190" s="27"/>
      <c r="JA190" s="27"/>
      <c r="JB190" s="27"/>
      <c r="JC190" s="27"/>
      <c r="JD190" s="28"/>
      <c r="JE190" s="25"/>
      <c r="JF190" s="27"/>
      <c r="JG190" s="27"/>
      <c r="JH190" s="27"/>
      <c r="JI190" s="27"/>
      <c r="JJ190" s="27"/>
      <c r="JK190" s="28"/>
      <c r="JL190" s="25"/>
      <c r="JM190" s="27"/>
      <c r="JN190" s="27"/>
      <c r="JO190" s="27"/>
      <c r="JP190" s="27"/>
      <c r="JQ190" s="27"/>
      <c r="JR190" s="28"/>
      <c r="JS190" s="25"/>
      <c r="JT190" s="27"/>
      <c r="JU190" s="27"/>
      <c r="JV190" s="27"/>
      <c r="JW190" s="27"/>
      <c r="JX190" s="27"/>
      <c r="JY190" s="28"/>
      <c r="JZ190" s="25"/>
      <c r="KA190" s="27"/>
      <c r="KB190" s="27"/>
      <c r="KC190" s="27"/>
      <c r="KD190" s="27"/>
      <c r="KE190" s="27"/>
      <c r="KF190" s="28"/>
      <c r="KG190" s="25"/>
      <c r="KH190" s="27"/>
      <c r="KI190" s="27"/>
      <c r="KJ190" s="27"/>
      <c r="KK190" s="27"/>
      <c r="KL190" s="27"/>
      <c r="KM190" s="28"/>
      <c r="KN190" s="25"/>
      <c r="KO190" s="27"/>
      <c r="KP190" s="27"/>
      <c r="KQ190" s="27"/>
      <c r="KR190" s="27"/>
      <c r="KS190" s="27"/>
      <c r="KT190" s="28"/>
      <c r="KU190" s="25"/>
      <c r="KV190" s="27"/>
      <c r="KW190" s="27"/>
      <c r="KX190" s="27"/>
      <c r="KY190" s="27"/>
      <c r="KZ190" s="27"/>
      <c r="LA190" s="28"/>
      <c r="LB190" s="25"/>
      <c r="LC190" s="27"/>
      <c r="LD190" s="27"/>
      <c r="LE190" s="27"/>
      <c r="LF190" s="27"/>
      <c r="LG190" s="27"/>
      <c r="LH190" s="28"/>
      <c r="LI190" s="25"/>
      <c r="LJ190" s="27"/>
      <c r="LK190" s="27"/>
      <c r="LL190" s="27"/>
      <c r="LM190" s="27"/>
      <c r="LN190" s="27"/>
      <c r="LO190" s="28"/>
      <c r="LP190" s="25"/>
      <c r="LQ190" s="27"/>
      <c r="LR190" s="27"/>
      <c r="LS190" s="27"/>
      <c r="LT190" s="27"/>
      <c r="LU190" s="27"/>
      <c r="LV190" s="28"/>
      <c r="LW190" s="25"/>
      <c r="LX190" s="27"/>
      <c r="LY190" s="27"/>
      <c r="LZ190" s="27"/>
      <c r="MA190" s="27"/>
      <c r="MB190" s="27"/>
      <c r="MC190" s="28"/>
      <c r="MD190" s="25"/>
      <c r="ME190" s="27"/>
      <c r="MF190" s="27"/>
      <c r="MG190" s="27"/>
      <c r="MH190" s="27"/>
      <c r="MI190" s="27"/>
      <c r="MJ190" s="28"/>
      <c r="MK190" s="25"/>
      <c r="ML190" s="27"/>
      <c r="MM190" s="27"/>
      <c r="MN190" s="27"/>
      <c r="MO190" s="27"/>
      <c r="MP190" s="27"/>
      <c r="MQ190" s="28"/>
      <c r="MR190" s="25"/>
      <c r="MS190" s="27"/>
      <c r="MT190" s="27"/>
      <c r="MU190" s="27"/>
      <c r="MV190" s="27"/>
      <c r="MW190" s="27"/>
      <c r="MX190" s="28"/>
      <c r="MY190" s="25"/>
      <c r="MZ190" s="27"/>
      <c r="NA190" s="27"/>
      <c r="NB190" s="27"/>
      <c r="NC190" s="27"/>
      <c r="ND190" s="27"/>
      <c r="NE190" s="28"/>
      <c r="NF190" s="25"/>
      <c r="NG190" s="27"/>
      <c r="NH190" s="27"/>
      <c r="NI190" s="27"/>
      <c r="NJ190" s="27"/>
      <c r="NK190" s="27"/>
      <c r="NL190" s="28"/>
      <c r="NM190" s="25"/>
      <c r="NN190" s="27"/>
      <c r="NO190" s="27"/>
      <c r="NP190" s="27"/>
      <c r="NQ190" s="27"/>
      <c r="NR190" s="27"/>
      <c r="NS190" s="28"/>
      <c r="NT190" s="25"/>
      <c r="NU190" s="27"/>
      <c r="NV190" s="27"/>
      <c r="NW190" s="27"/>
      <c r="NX190" s="27"/>
      <c r="NY190" s="27"/>
      <c r="NZ190" s="28"/>
      <c r="OA190" s="25"/>
      <c r="OB190" s="27"/>
      <c r="OC190" s="27"/>
      <c r="OD190" s="27"/>
      <c r="OE190" s="27"/>
      <c r="OF190" s="27"/>
      <c r="OG190" s="28"/>
      <c r="OH190" s="25"/>
      <c r="OI190" s="27"/>
      <c r="OJ190" s="27"/>
      <c r="OK190" s="27"/>
      <c r="OL190" s="27"/>
      <c r="OM190" s="27"/>
      <c r="ON190" s="28"/>
      <c r="OO190" s="25"/>
      <c r="OP190" s="27"/>
      <c r="OQ190" s="27"/>
      <c r="OR190" s="27"/>
      <c r="OS190" s="27"/>
      <c r="OT190" s="27"/>
      <c r="OU190" s="28"/>
      <c r="OV190" s="25"/>
      <c r="OW190" s="27"/>
      <c r="OX190" s="27"/>
      <c r="OY190" s="27"/>
      <c r="OZ190" s="27"/>
      <c r="PA190" s="27"/>
      <c r="PB190" s="28"/>
      <c r="PC190" s="25"/>
      <c r="PD190" s="27"/>
      <c r="PE190" s="27"/>
      <c r="PF190" s="27"/>
      <c r="PG190" s="27"/>
      <c r="PH190" s="27"/>
      <c r="PI190" s="28"/>
      <c r="PJ190" s="25"/>
      <c r="PK190" s="27"/>
      <c r="PL190" s="27"/>
      <c r="PM190" s="27"/>
      <c r="PN190" s="27"/>
      <c r="PO190" s="27"/>
      <c r="PP190" s="28"/>
      <c r="PQ190" s="25"/>
      <c r="PR190" s="27"/>
      <c r="PS190" s="27"/>
      <c r="PT190" s="27"/>
      <c r="PU190" s="27"/>
      <c r="PV190" s="27"/>
      <c r="PW190" s="28"/>
      <c r="PX190" s="25"/>
      <c r="PY190" s="27"/>
      <c r="PZ190" s="27"/>
      <c r="QA190" s="27"/>
      <c r="QB190" s="27"/>
      <c r="QC190" s="27"/>
      <c r="QD190" s="28"/>
      <c r="QE190" s="25"/>
      <c r="QF190" s="27"/>
      <c r="QG190" s="27"/>
      <c r="QH190" s="27"/>
      <c r="QI190" s="27"/>
      <c r="QJ190" s="27"/>
      <c r="QK190" s="28"/>
      <c r="QL190" s="25"/>
      <c r="QM190" s="27"/>
      <c r="QN190" s="27"/>
      <c r="QO190" s="27"/>
      <c r="QP190" s="27"/>
      <c r="QQ190" s="27"/>
      <c r="QR190" s="28"/>
      <c r="QS190" s="25"/>
      <c r="QT190" s="27"/>
      <c r="QU190" s="27"/>
      <c r="QV190" s="27"/>
      <c r="QW190" s="27"/>
      <c r="QX190" s="27"/>
      <c r="QY190" s="28"/>
      <c r="QZ190" s="25"/>
      <c r="RA190" s="27"/>
      <c r="RB190" s="27"/>
      <c r="RC190" s="27"/>
      <c r="RD190" s="27"/>
      <c r="RE190" s="27"/>
      <c r="RF190" s="28"/>
      <c r="RG190" s="25"/>
      <c r="RH190" s="27"/>
      <c r="RI190" s="27"/>
      <c r="RJ190" s="27"/>
      <c r="RK190" s="27"/>
      <c r="RL190" s="27"/>
      <c r="RM190" s="28"/>
      <c r="RN190" s="25"/>
      <c r="RO190" s="27"/>
      <c r="RP190" s="27"/>
      <c r="RQ190" s="27"/>
      <c r="RR190" s="27"/>
      <c r="RS190" s="27"/>
      <c r="RT190" s="28"/>
      <c r="RU190" s="25"/>
      <c r="RV190" s="27"/>
      <c r="RW190" s="27"/>
      <c r="RX190" s="27"/>
      <c r="RY190" s="27"/>
      <c r="RZ190" s="27"/>
      <c r="SA190" s="28"/>
      <c r="SB190" s="25"/>
      <c r="SC190" s="27"/>
      <c r="SD190" s="27"/>
      <c r="SE190" s="27"/>
      <c r="SF190" s="27"/>
      <c r="SG190" s="27"/>
      <c r="SH190" s="28"/>
      <c r="SI190" s="25"/>
      <c r="SJ190" s="27"/>
      <c r="SK190" s="27"/>
      <c r="SL190" s="27"/>
      <c r="SM190" s="27"/>
      <c r="SN190" s="27"/>
      <c r="SO190" s="28"/>
      <c r="SP190" s="25"/>
      <c r="SQ190" s="27"/>
      <c r="SR190" s="27"/>
    </row>
    <row r="191" spans="1:512" x14ac:dyDescent="0.15">
      <c r="A191" s="101">
        <f t="shared" ca="1" si="1562"/>
        <v>54</v>
      </c>
      <c r="B191" s="111">
        <v>54</v>
      </c>
      <c r="C191" s="71" t="str">
        <f t="shared" ca="1" si="1555"/>
        <v>Jörg</v>
      </c>
      <c r="D191" s="112">
        <f t="shared" ca="1" si="1563"/>
        <v>206.1</v>
      </c>
      <c r="E191" s="25"/>
      <c r="F191" s="26"/>
      <c r="G191" s="27"/>
      <c r="H191" s="28"/>
      <c r="I191" s="25"/>
      <c r="J191" s="25"/>
      <c r="K191" s="26"/>
      <c r="L191" s="62"/>
      <c r="M191" s="62" t="s">
        <v>241</v>
      </c>
      <c r="N191" s="32" t="s">
        <v>122</v>
      </c>
      <c r="O191" s="32"/>
      <c r="P191" s="32">
        <f t="shared" ca="1" si="1566"/>
        <v>51</v>
      </c>
      <c r="Q191" s="32" t="str">
        <f t="shared" ca="1" si="1567"/>
        <v>Sandra</v>
      </c>
      <c r="R191" s="113">
        <f t="shared" ca="1" si="1568"/>
        <v>210.8</v>
      </c>
      <c r="S191" s="73">
        <v>54</v>
      </c>
      <c r="T191" s="32">
        <f t="shared" ca="1" si="1571"/>
        <v>210.80054000000001</v>
      </c>
      <c r="U191" s="32"/>
      <c r="V191" s="61"/>
      <c r="W191" s="62"/>
      <c r="X191" s="62"/>
      <c r="Y191" s="63"/>
      <c r="Z191" s="73"/>
      <c r="AA191" s="32"/>
      <c r="AB191" s="32"/>
      <c r="AC191" s="61"/>
      <c r="AD191" s="27"/>
      <c r="AE191" s="27"/>
      <c r="AF191" s="27"/>
      <c r="AG191" s="28"/>
      <c r="AH191" s="25"/>
      <c r="AI191" s="27"/>
      <c r="AJ191" s="27"/>
      <c r="AK191" s="27"/>
      <c r="AL191" s="27"/>
      <c r="AM191" s="27"/>
      <c r="AN191" s="28"/>
      <c r="AO191" s="25"/>
      <c r="AP191" s="27"/>
      <c r="AQ191" s="27"/>
      <c r="AR191" s="27"/>
      <c r="AS191" s="27"/>
      <c r="AT191" s="27"/>
      <c r="AU191" s="28"/>
      <c r="AV191" s="25"/>
      <c r="AW191" s="27"/>
      <c r="AX191" s="27"/>
      <c r="AY191" s="27"/>
      <c r="AZ191" s="27"/>
      <c r="BA191" s="27"/>
      <c r="BB191" s="28"/>
      <c r="BC191" s="25"/>
      <c r="BD191" s="27"/>
      <c r="BE191" s="27"/>
      <c r="BF191" s="27"/>
      <c r="BG191" s="27"/>
      <c r="BH191" s="27"/>
      <c r="BI191" s="28"/>
      <c r="BJ191" s="25"/>
      <c r="BK191" s="27"/>
      <c r="BL191" s="27"/>
      <c r="BM191" s="27"/>
      <c r="BN191" s="27"/>
      <c r="BO191" s="27"/>
      <c r="BP191" s="28"/>
      <c r="BQ191" s="25"/>
      <c r="BR191" s="27"/>
      <c r="BS191" s="27"/>
      <c r="BT191" s="27"/>
      <c r="BU191" s="27"/>
      <c r="BV191" s="27"/>
      <c r="BW191" s="28"/>
      <c r="BX191" s="25"/>
      <c r="BY191" s="27"/>
      <c r="BZ191" s="27"/>
      <c r="CA191" s="27"/>
      <c r="CB191" s="27"/>
      <c r="CC191" s="27"/>
      <c r="CD191" s="28"/>
      <c r="CE191" s="25"/>
      <c r="CF191" s="27"/>
      <c r="CG191" s="27"/>
      <c r="CH191" s="27"/>
      <c r="CI191" s="27"/>
      <c r="CJ191" s="27"/>
      <c r="CK191" s="28"/>
      <c r="CL191" s="25"/>
      <c r="CM191" s="27"/>
      <c r="CN191" s="27"/>
      <c r="CO191" s="27"/>
      <c r="CP191" s="27"/>
      <c r="CQ191" s="27"/>
      <c r="CR191" s="28"/>
      <c r="CS191" s="25"/>
      <c r="CT191" s="27"/>
      <c r="CU191" s="27"/>
      <c r="CV191" s="27"/>
      <c r="CW191" s="27"/>
      <c r="CX191" s="27"/>
      <c r="CY191" s="28"/>
      <c r="CZ191" s="25"/>
      <c r="DA191" s="27"/>
      <c r="DB191" s="27"/>
      <c r="DC191" s="27"/>
      <c r="DD191" s="27"/>
      <c r="DE191" s="27"/>
      <c r="DF191" s="28"/>
      <c r="DG191" s="25"/>
      <c r="DH191" s="27"/>
      <c r="DI191" s="27"/>
      <c r="DJ191" s="27"/>
      <c r="DK191" s="27"/>
      <c r="DL191" s="27"/>
      <c r="DM191" s="28"/>
      <c r="DN191" s="25"/>
      <c r="DO191" s="27"/>
      <c r="DP191" s="27"/>
      <c r="DQ191" s="27"/>
      <c r="DR191" s="27"/>
      <c r="DS191" s="27"/>
      <c r="DT191" s="28"/>
      <c r="DU191" s="25"/>
      <c r="DV191" s="27"/>
      <c r="DW191" s="27"/>
      <c r="DX191" s="27"/>
      <c r="DY191" s="27"/>
      <c r="DZ191" s="27"/>
      <c r="EA191" s="28"/>
      <c r="EB191" s="25"/>
      <c r="EC191" s="27"/>
      <c r="ED191" s="27"/>
      <c r="EE191" s="27"/>
      <c r="EF191" s="27"/>
      <c r="EG191" s="27"/>
      <c r="EH191" s="28"/>
      <c r="EI191" s="25"/>
      <c r="EJ191" s="27"/>
      <c r="EK191" s="27"/>
      <c r="EL191" s="27"/>
      <c r="EM191" s="27"/>
      <c r="EN191" s="27"/>
      <c r="EO191" s="28"/>
      <c r="EP191" s="25"/>
      <c r="EQ191" s="27"/>
      <c r="ER191" s="27"/>
      <c r="ES191" s="27"/>
      <c r="ET191" s="27"/>
      <c r="EU191" s="27"/>
      <c r="EV191" s="28"/>
      <c r="EW191" s="25"/>
      <c r="EX191" s="27"/>
      <c r="EY191" s="27"/>
      <c r="EZ191" s="27"/>
      <c r="FA191" s="27"/>
      <c r="FB191" s="27"/>
      <c r="FC191" s="28"/>
      <c r="FD191" s="25"/>
      <c r="FE191" s="27"/>
      <c r="FF191" s="27"/>
      <c r="FG191" s="27"/>
      <c r="FH191" s="27"/>
      <c r="FI191" s="27"/>
      <c r="FJ191" s="28"/>
      <c r="FK191" s="25"/>
      <c r="FL191" s="27"/>
      <c r="FM191" s="27"/>
      <c r="FN191" s="27"/>
      <c r="FO191" s="27"/>
      <c r="FP191" s="27"/>
      <c r="FQ191" s="28"/>
      <c r="FR191" s="25"/>
      <c r="FS191" s="27"/>
      <c r="FT191" s="27"/>
      <c r="FU191" s="27"/>
      <c r="FV191" s="27"/>
      <c r="FW191" s="27"/>
      <c r="FX191" s="28"/>
      <c r="FY191" s="25"/>
      <c r="FZ191" s="27"/>
      <c r="GA191" s="27"/>
      <c r="GB191" s="27"/>
      <c r="GC191" s="27"/>
      <c r="GD191" s="27"/>
      <c r="GE191" s="28"/>
      <c r="GF191" s="25"/>
      <c r="GG191" s="27"/>
      <c r="GH191" s="27"/>
      <c r="GI191" s="27"/>
      <c r="GJ191" s="27"/>
      <c r="GK191" s="27"/>
      <c r="GL191" s="28"/>
      <c r="GM191" s="25"/>
      <c r="GN191" s="27"/>
      <c r="GO191" s="27"/>
      <c r="GP191" s="27"/>
      <c r="GQ191" s="27"/>
      <c r="GR191" s="27"/>
      <c r="GS191" s="28"/>
      <c r="GT191" s="25"/>
      <c r="GU191" s="27"/>
      <c r="GV191" s="27"/>
      <c r="GW191" s="27"/>
      <c r="GX191" s="27"/>
      <c r="GY191" s="27"/>
      <c r="GZ191" s="28"/>
      <c r="HA191" s="25"/>
      <c r="HB191" s="27"/>
      <c r="HC191" s="27"/>
      <c r="HD191" s="27"/>
      <c r="HE191" s="27"/>
      <c r="HF191" s="27"/>
      <c r="HG191" s="28"/>
      <c r="HH191" s="25"/>
      <c r="HI191" s="27"/>
      <c r="HJ191" s="27"/>
      <c r="HK191" s="27"/>
      <c r="HL191" s="27"/>
      <c r="HM191" s="27"/>
      <c r="HN191" s="28"/>
      <c r="HO191" s="25"/>
      <c r="HP191" s="27"/>
      <c r="HQ191" s="27"/>
      <c r="HR191" s="27"/>
      <c r="HS191" s="27"/>
      <c r="HT191" s="27"/>
      <c r="HU191" s="28"/>
      <c r="HV191" s="25"/>
      <c r="HW191" s="27"/>
      <c r="HX191" s="27"/>
      <c r="HY191" s="27"/>
      <c r="HZ191" s="27"/>
      <c r="IA191" s="27"/>
      <c r="IB191" s="28"/>
      <c r="IC191" s="25"/>
      <c r="ID191" s="27"/>
      <c r="IE191" s="27"/>
      <c r="IF191" s="27"/>
      <c r="IG191" s="27"/>
      <c r="IH191" s="27"/>
      <c r="II191" s="28"/>
      <c r="IJ191" s="25"/>
      <c r="IK191" s="27"/>
      <c r="IL191" s="27"/>
      <c r="IM191" s="27"/>
      <c r="IN191" s="27"/>
      <c r="IO191" s="27"/>
      <c r="IP191" s="28"/>
      <c r="IQ191" s="25"/>
      <c r="IR191" s="27"/>
      <c r="IS191" s="27"/>
      <c r="IT191" s="27"/>
      <c r="IU191" s="27"/>
      <c r="IV191" s="27"/>
      <c r="IW191" s="28"/>
      <c r="IX191" s="25"/>
      <c r="IY191" s="27"/>
      <c r="IZ191" s="27"/>
      <c r="JA191" s="27"/>
      <c r="JB191" s="27"/>
      <c r="JC191" s="27"/>
      <c r="JD191" s="28"/>
      <c r="JE191" s="25"/>
      <c r="JF191" s="27"/>
      <c r="JG191" s="27"/>
      <c r="JH191" s="27"/>
      <c r="JI191" s="27"/>
      <c r="JJ191" s="27"/>
      <c r="JK191" s="28"/>
      <c r="JL191" s="25"/>
      <c r="JM191" s="27"/>
      <c r="JN191" s="27"/>
      <c r="JO191" s="27"/>
      <c r="JP191" s="27"/>
      <c r="JQ191" s="27"/>
      <c r="JR191" s="28"/>
      <c r="JS191" s="25"/>
      <c r="JT191" s="27"/>
      <c r="JU191" s="27"/>
      <c r="JV191" s="27"/>
      <c r="JW191" s="27"/>
      <c r="JX191" s="27"/>
      <c r="JY191" s="28"/>
      <c r="JZ191" s="25"/>
      <c r="KA191" s="27"/>
      <c r="KB191" s="27"/>
      <c r="KC191" s="27"/>
      <c r="KD191" s="27"/>
      <c r="KE191" s="27"/>
      <c r="KF191" s="28"/>
      <c r="KG191" s="25"/>
      <c r="KH191" s="27"/>
      <c r="KI191" s="27"/>
      <c r="KJ191" s="27"/>
      <c r="KK191" s="27"/>
      <c r="KL191" s="27"/>
      <c r="KM191" s="28"/>
      <c r="KN191" s="25"/>
      <c r="KO191" s="27"/>
      <c r="KP191" s="27"/>
      <c r="KQ191" s="27"/>
      <c r="KR191" s="27"/>
      <c r="KS191" s="27"/>
      <c r="KT191" s="28"/>
      <c r="KU191" s="25"/>
      <c r="KV191" s="27"/>
      <c r="KW191" s="27"/>
      <c r="KX191" s="27"/>
      <c r="KY191" s="27"/>
      <c r="KZ191" s="27"/>
      <c r="LA191" s="28"/>
      <c r="LB191" s="25"/>
      <c r="LC191" s="27"/>
      <c r="LD191" s="27"/>
      <c r="LE191" s="27"/>
      <c r="LF191" s="27"/>
      <c r="LG191" s="27"/>
      <c r="LH191" s="28"/>
      <c r="LI191" s="25"/>
      <c r="LJ191" s="27"/>
      <c r="LK191" s="27"/>
      <c r="LL191" s="27"/>
      <c r="LM191" s="27"/>
      <c r="LN191" s="27"/>
      <c r="LO191" s="28"/>
      <c r="LP191" s="25"/>
      <c r="LQ191" s="27"/>
      <c r="LR191" s="27"/>
      <c r="LS191" s="27"/>
      <c r="LT191" s="27"/>
      <c r="LU191" s="27"/>
      <c r="LV191" s="28"/>
      <c r="LW191" s="25"/>
      <c r="LX191" s="27"/>
      <c r="LY191" s="27"/>
      <c r="LZ191" s="27"/>
      <c r="MA191" s="27"/>
      <c r="MB191" s="27"/>
      <c r="MC191" s="28"/>
      <c r="MD191" s="25"/>
      <c r="ME191" s="27"/>
      <c r="MF191" s="27"/>
      <c r="MG191" s="27"/>
      <c r="MH191" s="27"/>
      <c r="MI191" s="27"/>
      <c r="MJ191" s="28"/>
      <c r="MK191" s="25"/>
      <c r="ML191" s="27"/>
      <c r="MM191" s="27"/>
      <c r="MN191" s="27"/>
      <c r="MO191" s="27"/>
      <c r="MP191" s="27"/>
      <c r="MQ191" s="28"/>
      <c r="MR191" s="25"/>
      <c r="MS191" s="27"/>
      <c r="MT191" s="27"/>
      <c r="MU191" s="27"/>
      <c r="MV191" s="27"/>
      <c r="MW191" s="27"/>
      <c r="MX191" s="28"/>
      <c r="MY191" s="25"/>
      <c r="MZ191" s="27"/>
      <c r="NA191" s="27"/>
      <c r="NB191" s="27"/>
      <c r="NC191" s="27"/>
      <c r="ND191" s="27"/>
      <c r="NE191" s="28"/>
      <c r="NF191" s="25"/>
      <c r="NG191" s="27"/>
      <c r="NH191" s="27"/>
      <c r="NI191" s="27"/>
      <c r="NJ191" s="27"/>
      <c r="NK191" s="27"/>
      <c r="NL191" s="28"/>
      <c r="NM191" s="25"/>
      <c r="NN191" s="27"/>
      <c r="NO191" s="27"/>
      <c r="NP191" s="27"/>
      <c r="NQ191" s="27"/>
      <c r="NR191" s="27"/>
      <c r="NS191" s="28"/>
      <c r="NT191" s="25"/>
      <c r="NU191" s="27"/>
      <c r="NV191" s="27"/>
      <c r="NW191" s="27"/>
      <c r="NX191" s="27"/>
      <c r="NY191" s="27"/>
      <c r="NZ191" s="28"/>
      <c r="OA191" s="25"/>
      <c r="OB191" s="27"/>
      <c r="OC191" s="27"/>
      <c r="OD191" s="27"/>
      <c r="OE191" s="27"/>
      <c r="OF191" s="27"/>
      <c r="OG191" s="28"/>
      <c r="OH191" s="25"/>
      <c r="OI191" s="27"/>
      <c r="OJ191" s="27"/>
      <c r="OK191" s="27"/>
      <c r="OL191" s="27"/>
      <c r="OM191" s="27"/>
      <c r="ON191" s="28"/>
      <c r="OO191" s="25"/>
      <c r="OP191" s="27"/>
      <c r="OQ191" s="27"/>
      <c r="OR191" s="27"/>
      <c r="OS191" s="27"/>
      <c r="OT191" s="27"/>
      <c r="OU191" s="28"/>
      <c r="OV191" s="25"/>
      <c r="OW191" s="27"/>
      <c r="OX191" s="27"/>
      <c r="OY191" s="27"/>
      <c r="OZ191" s="27"/>
      <c r="PA191" s="27"/>
      <c r="PB191" s="28"/>
      <c r="PC191" s="25"/>
      <c r="PD191" s="27"/>
      <c r="PE191" s="27"/>
      <c r="PF191" s="27"/>
      <c r="PG191" s="27"/>
      <c r="PH191" s="27"/>
      <c r="PI191" s="28"/>
      <c r="PJ191" s="25"/>
      <c r="PK191" s="27"/>
      <c r="PL191" s="27"/>
      <c r="PM191" s="27"/>
      <c r="PN191" s="27"/>
      <c r="PO191" s="27"/>
      <c r="PP191" s="28"/>
      <c r="PQ191" s="25"/>
      <c r="PR191" s="27"/>
      <c r="PS191" s="27"/>
      <c r="PT191" s="27"/>
      <c r="PU191" s="27"/>
      <c r="PV191" s="27"/>
      <c r="PW191" s="28"/>
      <c r="PX191" s="25"/>
      <c r="PY191" s="27"/>
      <c r="PZ191" s="27"/>
      <c r="QA191" s="27"/>
      <c r="QB191" s="27"/>
      <c r="QC191" s="27"/>
      <c r="QD191" s="28"/>
      <c r="QE191" s="25"/>
      <c r="QF191" s="27"/>
      <c r="QG191" s="27"/>
      <c r="QH191" s="27"/>
      <c r="QI191" s="27"/>
      <c r="QJ191" s="27"/>
      <c r="QK191" s="28"/>
      <c r="QL191" s="25"/>
      <c r="QM191" s="27"/>
      <c r="QN191" s="27"/>
      <c r="QO191" s="27"/>
      <c r="QP191" s="27"/>
      <c r="QQ191" s="27"/>
      <c r="QR191" s="28"/>
      <c r="QS191" s="25"/>
      <c r="QT191" s="27"/>
      <c r="QU191" s="27"/>
      <c r="QV191" s="27"/>
      <c r="QW191" s="27"/>
      <c r="QX191" s="27"/>
      <c r="QY191" s="28"/>
      <c r="QZ191" s="25"/>
      <c r="RA191" s="27"/>
      <c r="RB191" s="27"/>
      <c r="RC191" s="27"/>
      <c r="RD191" s="27"/>
      <c r="RE191" s="27"/>
      <c r="RF191" s="28"/>
      <c r="RG191" s="25"/>
      <c r="RH191" s="27"/>
      <c r="RI191" s="27"/>
      <c r="RJ191" s="27"/>
      <c r="RK191" s="27"/>
      <c r="RL191" s="27"/>
      <c r="RM191" s="28"/>
      <c r="RN191" s="25"/>
      <c r="RO191" s="27"/>
      <c r="RP191" s="27"/>
      <c r="RQ191" s="27"/>
      <c r="RR191" s="27"/>
      <c r="RS191" s="27"/>
      <c r="RT191" s="28"/>
      <c r="RU191" s="25"/>
      <c r="RV191" s="27"/>
      <c r="RW191" s="27"/>
      <c r="RX191" s="27"/>
      <c r="RY191" s="27"/>
      <c r="RZ191" s="27"/>
      <c r="SA191" s="28"/>
      <c r="SB191" s="25"/>
      <c r="SC191" s="27"/>
      <c r="SD191" s="27"/>
      <c r="SE191" s="27"/>
      <c r="SF191" s="27"/>
      <c r="SG191" s="27"/>
      <c r="SH191" s="28"/>
      <c r="SI191" s="25"/>
      <c r="SJ191" s="27"/>
      <c r="SK191" s="27"/>
      <c r="SL191" s="27"/>
      <c r="SM191" s="27"/>
      <c r="SN191" s="27"/>
      <c r="SO191" s="28"/>
      <c r="SP191" s="25"/>
      <c r="SQ191" s="27"/>
      <c r="SR191" s="27"/>
    </row>
    <row r="192" spans="1:512" x14ac:dyDescent="0.15">
      <c r="A192" s="101">
        <f t="shared" ca="1" si="1562"/>
        <v>55</v>
      </c>
      <c r="B192" s="111">
        <v>55</v>
      </c>
      <c r="C192" s="71" t="str">
        <f t="shared" ca="1" si="1555"/>
        <v>Jens</v>
      </c>
      <c r="D192" s="112">
        <f t="shared" ca="1" si="1563"/>
        <v>205.39999999999998</v>
      </c>
      <c r="E192" s="25"/>
      <c r="F192" s="26"/>
      <c r="G192" s="27"/>
      <c r="H192" s="28"/>
      <c r="I192" s="25"/>
      <c r="J192" s="25"/>
      <c r="K192" s="26"/>
      <c r="L192" s="62"/>
      <c r="M192" s="62" t="s">
        <v>242</v>
      </c>
      <c r="N192" s="32" t="s">
        <v>123</v>
      </c>
      <c r="O192" s="32"/>
      <c r="P192" s="32">
        <f t="shared" ca="1" si="1566"/>
        <v>4</v>
      </c>
      <c r="Q192" s="32" t="str">
        <f t="shared" ca="1" si="1567"/>
        <v>Jochen</v>
      </c>
      <c r="R192" s="113">
        <f t="shared" ca="1" si="1568"/>
        <v>257.39999999999998</v>
      </c>
      <c r="S192" s="73">
        <v>55</v>
      </c>
      <c r="T192" s="32">
        <f t="shared" ref="T192:T204" ca="1" si="1572">R192+S192/100000</f>
        <v>257.40054999999995</v>
      </c>
      <c r="U192" s="32"/>
      <c r="V192" s="61"/>
      <c r="W192" s="62"/>
      <c r="X192" s="62"/>
      <c r="Y192" s="63"/>
      <c r="Z192" s="73"/>
      <c r="AA192" s="32"/>
      <c r="AB192" s="32"/>
      <c r="AC192" s="61"/>
      <c r="AD192" s="27"/>
      <c r="AE192" s="27"/>
      <c r="AF192" s="27"/>
      <c r="AG192" s="28"/>
      <c r="AH192" s="25"/>
      <c r="AI192" s="27"/>
      <c r="AJ192" s="27"/>
      <c r="AK192" s="27"/>
      <c r="AL192" s="27"/>
      <c r="AM192" s="27"/>
      <c r="AN192" s="28"/>
      <c r="AO192" s="25"/>
      <c r="AP192" s="27"/>
      <c r="AQ192" s="27"/>
      <c r="AR192" s="27"/>
      <c r="AS192" s="27"/>
      <c r="AT192" s="27"/>
      <c r="AU192" s="28"/>
      <c r="AV192" s="25"/>
      <c r="AW192" s="27"/>
      <c r="AX192" s="27"/>
      <c r="AY192" s="27"/>
      <c r="AZ192" s="27"/>
      <c r="BA192" s="27"/>
      <c r="BB192" s="28"/>
      <c r="BC192" s="25"/>
      <c r="BD192" s="27"/>
      <c r="BE192" s="27"/>
      <c r="BF192" s="27"/>
      <c r="BG192" s="27"/>
      <c r="BH192" s="27"/>
      <c r="BI192" s="28"/>
      <c r="BJ192" s="25"/>
      <c r="BK192" s="27"/>
      <c r="BL192" s="27"/>
      <c r="BM192" s="27"/>
      <c r="BN192" s="27"/>
      <c r="BO192" s="27"/>
      <c r="BP192" s="28"/>
      <c r="BQ192" s="25"/>
      <c r="BR192" s="27"/>
      <c r="BS192" s="27"/>
      <c r="BT192" s="27"/>
      <c r="BU192" s="27"/>
      <c r="BV192" s="27"/>
      <c r="BW192" s="28"/>
      <c r="BX192" s="25"/>
      <c r="BY192" s="27"/>
      <c r="BZ192" s="27"/>
      <c r="CA192" s="27"/>
      <c r="CB192" s="27"/>
      <c r="CC192" s="27"/>
      <c r="CD192" s="28"/>
      <c r="CE192" s="25"/>
      <c r="CF192" s="27"/>
      <c r="CG192" s="27"/>
      <c r="CH192" s="27"/>
      <c r="CI192" s="27"/>
      <c r="CJ192" s="27"/>
      <c r="CK192" s="28"/>
      <c r="CL192" s="25"/>
      <c r="CM192" s="27"/>
      <c r="CN192" s="27"/>
      <c r="CO192" s="27"/>
      <c r="CP192" s="27"/>
      <c r="CQ192" s="27"/>
      <c r="CR192" s="28"/>
      <c r="CS192" s="25"/>
      <c r="CT192" s="27"/>
      <c r="CU192" s="27"/>
      <c r="CV192" s="27"/>
      <c r="CW192" s="27"/>
      <c r="CX192" s="27"/>
      <c r="CY192" s="28"/>
      <c r="CZ192" s="25"/>
      <c r="DA192" s="27"/>
      <c r="DB192" s="27"/>
      <c r="DC192" s="27"/>
      <c r="DD192" s="27"/>
      <c r="DE192" s="27"/>
      <c r="DF192" s="28"/>
      <c r="DG192" s="25"/>
      <c r="DH192" s="27"/>
      <c r="DI192" s="27"/>
      <c r="DJ192" s="27"/>
      <c r="DK192" s="27"/>
      <c r="DL192" s="27"/>
      <c r="DM192" s="28"/>
      <c r="DN192" s="25"/>
      <c r="DO192" s="27"/>
      <c r="DP192" s="27"/>
      <c r="DQ192" s="27"/>
      <c r="DR192" s="27"/>
      <c r="DS192" s="27"/>
      <c r="DT192" s="28"/>
      <c r="DU192" s="25"/>
      <c r="DV192" s="27"/>
      <c r="DW192" s="27"/>
      <c r="DX192" s="27"/>
      <c r="DY192" s="27"/>
      <c r="DZ192" s="27"/>
      <c r="EA192" s="28"/>
      <c r="EB192" s="25"/>
      <c r="EC192" s="27"/>
      <c r="ED192" s="27"/>
      <c r="EE192" s="27"/>
      <c r="EF192" s="27"/>
      <c r="EG192" s="27"/>
      <c r="EH192" s="28"/>
      <c r="EI192" s="25"/>
      <c r="EJ192" s="27"/>
      <c r="EK192" s="27"/>
      <c r="EL192" s="27"/>
      <c r="EM192" s="27"/>
      <c r="EN192" s="27"/>
      <c r="EO192" s="28"/>
      <c r="EP192" s="25"/>
      <c r="EQ192" s="27"/>
      <c r="ER192" s="27"/>
      <c r="ES192" s="27"/>
      <c r="ET192" s="27"/>
      <c r="EU192" s="27"/>
      <c r="EV192" s="28"/>
      <c r="EW192" s="25"/>
      <c r="EX192" s="27"/>
      <c r="EY192" s="27"/>
      <c r="EZ192" s="27"/>
      <c r="FA192" s="27"/>
      <c r="FB192" s="27"/>
      <c r="FC192" s="28"/>
      <c r="FD192" s="25"/>
      <c r="FE192" s="27"/>
      <c r="FF192" s="27"/>
      <c r="FG192" s="27"/>
      <c r="FH192" s="27"/>
      <c r="FI192" s="27"/>
      <c r="FJ192" s="28"/>
      <c r="FK192" s="25"/>
      <c r="FL192" s="27"/>
      <c r="FM192" s="27"/>
      <c r="FN192" s="27"/>
      <c r="FO192" s="27"/>
      <c r="FP192" s="27"/>
      <c r="FQ192" s="28"/>
      <c r="FR192" s="25"/>
      <c r="FS192" s="27"/>
      <c r="FT192" s="27"/>
      <c r="FU192" s="27"/>
      <c r="FV192" s="27"/>
      <c r="FW192" s="27"/>
      <c r="FX192" s="28"/>
      <c r="FY192" s="25"/>
      <c r="FZ192" s="27"/>
      <c r="GA192" s="27"/>
      <c r="GB192" s="27"/>
      <c r="GC192" s="27"/>
      <c r="GD192" s="27"/>
      <c r="GE192" s="28"/>
      <c r="GF192" s="25"/>
      <c r="GG192" s="27"/>
      <c r="GH192" s="27"/>
      <c r="GI192" s="27"/>
      <c r="GJ192" s="27"/>
      <c r="GK192" s="27"/>
      <c r="GL192" s="28"/>
      <c r="GM192" s="25"/>
      <c r="GN192" s="27"/>
      <c r="GO192" s="27"/>
      <c r="GP192" s="27"/>
      <c r="GQ192" s="27"/>
      <c r="GR192" s="27"/>
      <c r="GS192" s="28"/>
      <c r="GT192" s="25"/>
      <c r="GU192" s="27"/>
      <c r="GV192" s="27"/>
      <c r="GW192" s="27"/>
      <c r="GX192" s="27"/>
      <c r="GY192" s="27"/>
      <c r="GZ192" s="28"/>
      <c r="HA192" s="25"/>
      <c r="HB192" s="27"/>
      <c r="HC192" s="27"/>
      <c r="HD192" s="27"/>
      <c r="HE192" s="27"/>
      <c r="HF192" s="27"/>
      <c r="HG192" s="28"/>
      <c r="HH192" s="25"/>
      <c r="HI192" s="27"/>
      <c r="HJ192" s="27"/>
      <c r="HK192" s="27"/>
      <c r="HL192" s="27"/>
      <c r="HM192" s="27"/>
      <c r="HN192" s="28"/>
      <c r="HO192" s="25"/>
      <c r="HP192" s="27"/>
      <c r="HQ192" s="27"/>
      <c r="HR192" s="27"/>
      <c r="HS192" s="27"/>
      <c r="HT192" s="27"/>
      <c r="HU192" s="28"/>
      <c r="HV192" s="25"/>
      <c r="HW192" s="27"/>
      <c r="HX192" s="27"/>
      <c r="HY192" s="27"/>
      <c r="HZ192" s="27"/>
      <c r="IA192" s="27"/>
      <c r="IB192" s="28"/>
      <c r="IC192" s="25"/>
      <c r="ID192" s="27"/>
      <c r="IE192" s="27"/>
      <c r="IF192" s="27"/>
      <c r="IG192" s="27"/>
      <c r="IH192" s="27"/>
      <c r="II192" s="28"/>
      <c r="IJ192" s="25"/>
      <c r="IK192" s="27"/>
      <c r="IL192" s="27"/>
      <c r="IM192" s="27"/>
      <c r="IN192" s="27"/>
      <c r="IO192" s="27"/>
      <c r="IP192" s="28"/>
      <c r="IQ192" s="25"/>
      <c r="IR192" s="27"/>
      <c r="IS192" s="27"/>
      <c r="IT192" s="27"/>
      <c r="IU192" s="27"/>
      <c r="IV192" s="27"/>
      <c r="IW192" s="28"/>
      <c r="IX192" s="25"/>
      <c r="IY192" s="27"/>
      <c r="IZ192" s="27"/>
      <c r="JA192" s="27"/>
      <c r="JB192" s="27"/>
      <c r="JC192" s="27"/>
      <c r="JD192" s="28"/>
      <c r="JE192" s="25"/>
      <c r="JF192" s="27"/>
      <c r="JG192" s="27"/>
      <c r="JH192" s="27"/>
      <c r="JI192" s="27"/>
      <c r="JJ192" s="27"/>
      <c r="JK192" s="28"/>
      <c r="JL192" s="25"/>
      <c r="JM192" s="27"/>
      <c r="JN192" s="27"/>
      <c r="JO192" s="27"/>
      <c r="JP192" s="27"/>
      <c r="JQ192" s="27"/>
      <c r="JR192" s="28"/>
      <c r="JS192" s="25"/>
      <c r="JT192" s="27"/>
      <c r="JU192" s="27"/>
      <c r="JV192" s="27"/>
      <c r="JW192" s="27"/>
      <c r="JX192" s="27"/>
      <c r="JY192" s="28"/>
      <c r="JZ192" s="25"/>
      <c r="KA192" s="27"/>
      <c r="KB192" s="27"/>
      <c r="KC192" s="27"/>
      <c r="KD192" s="27"/>
      <c r="KE192" s="27"/>
      <c r="KF192" s="28"/>
      <c r="KG192" s="25"/>
      <c r="KH192" s="27"/>
      <c r="KI192" s="27"/>
      <c r="KJ192" s="27"/>
      <c r="KK192" s="27"/>
      <c r="KL192" s="27"/>
      <c r="KM192" s="28"/>
      <c r="KN192" s="25"/>
      <c r="KO192" s="27"/>
      <c r="KP192" s="27"/>
      <c r="KQ192" s="27"/>
      <c r="KR192" s="27"/>
      <c r="KS192" s="27"/>
      <c r="KT192" s="28"/>
      <c r="KU192" s="25"/>
      <c r="KV192" s="27"/>
      <c r="KW192" s="27"/>
      <c r="KX192" s="27"/>
      <c r="KY192" s="27"/>
      <c r="KZ192" s="27"/>
      <c r="LA192" s="28"/>
      <c r="LB192" s="25"/>
      <c r="LC192" s="27"/>
      <c r="LD192" s="27"/>
      <c r="LE192" s="27"/>
      <c r="LF192" s="27"/>
      <c r="LG192" s="27"/>
      <c r="LH192" s="28"/>
      <c r="LI192" s="25"/>
      <c r="LJ192" s="27"/>
      <c r="LK192" s="27"/>
      <c r="LL192" s="27"/>
      <c r="LM192" s="27"/>
      <c r="LN192" s="27"/>
      <c r="LO192" s="28"/>
      <c r="LP192" s="25"/>
      <c r="LQ192" s="27"/>
      <c r="LR192" s="27"/>
      <c r="LS192" s="27"/>
      <c r="LT192" s="27"/>
      <c r="LU192" s="27"/>
      <c r="LV192" s="28"/>
      <c r="LW192" s="25"/>
      <c r="LX192" s="27"/>
      <c r="LY192" s="27"/>
      <c r="LZ192" s="27"/>
      <c r="MA192" s="27"/>
      <c r="MB192" s="27"/>
      <c r="MC192" s="28"/>
      <c r="MD192" s="25"/>
      <c r="ME192" s="27"/>
      <c r="MF192" s="27"/>
      <c r="MG192" s="27"/>
      <c r="MH192" s="27"/>
      <c r="MI192" s="27"/>
      <c r="MJ192" s="28"/>
      <c r="MK192" s="25"/>
      <c r="ML192" s="27"/>
      <c r="MM192" s="27"/>
      <c r="MN192" s="27"/>
      <c r="MO192" s="27"/>
      <c r="MP192" s="27"/>
      <c r="MQ192" s="28"/>
      <c r="MR192" s="25"/>
      <c r="MS192" s="27"/>
      <c r="MT192" s="27"/>
      <c r="MU192" s="27"/>
      <c r="MV192" s="27"/>
      <c r="MW192" s="27"/>
      <c r="MX192" s="28"/>
      <c r="MY192" s="25"/>
      <c r="MZ192" s="27"/>
      <c r="NA192" s="27"/>
      <c r="NB192" s="27"/>
      <c r="NC192" s="27"/>
      <c r="ND192" s="27"/>
      <c r="NE192" s="28"/>
      <c r="NF192" s="25"/>
      <c r="NG192" s="27"/>
      <c r="NH192" s="27"/>
      <c r="NI192" s="27"/>
      <c r="NJ192" s="27"/>
      <c r="NK192" s="27"/>
      <c r="NL192" s="28"/>
      <c r="NM192" s="25"/>
      <c r="NN192" s="27"/>
      <c r="NO192" s="27"/>
      <c r="NP192" s="27"/>
      <c r="NQ192" s="27"/>
      <c r="NR192" s="27"/>
      <c r="NS192" s="28"/>
      <c r="NT192" s="25"/>
      <c r="NU192" s="27"/>
      <c r="NV192" s="27"/>
      <c r="NW192" s="27"/>
      <c r="NX192" s="27"/>
      <c r="NY192" s="27"/>
      <c r="NZ192" s="28"/>
      <c r="OA192" s="25"/>
      <c r="OB192" s="27"/>
      <c r="OC192" s="27"/>
      <c r="OD192" s="27"/>
      <c r="OE192" s="27"/>
      <c r="OF192" s="27"/>
      <c r="OG192" s="28"/>
      <c r="OH192" s="25"/>
      <c r="OI192" s="27"/>
      <c r="OJ192" s="27"/>
      <c r="OK192" s="27"/>
      <c r="OL192" s="27"/>
      <c r="OM192" s="27"/>
      <c r="ON192" s="28"/>
      <c r="OO192" s="25"/>
      <c r="OP192" s="27"/>
      <c r="OQ192" s="27"/>
      <c r="OR192" s="27"/>
      <c r="OS192" s="27"/>
      <c r="OT192" s="27"/>
      <c r="OU192" s="28"/>
      <c r="OV192" s="25"/>
      <c r="OW192" s="27"/>
      <c r="OX192" s="27"/>
      <c r="OY192" s="27"/>
      <c r="OZ192" s="27"/>
      <c r="PA192" s="27"/>
      <c r="PB192" s="28"/>
      <c r="PC192" s="25"/>
      <c r="PD192" s="27"/>
      <c r="PE192" s="27"/>
      <c r="PF192" s="27"/>
      <c r="PG192" s="27"/>
      <c r="PH192" s="27"/>
      <c r="PI192" s="28"/>
      <c r="PJ192" s="25"/>
      <c r="PK192" s="27"/>
      <c r="PL192" s="27"/>
      <c r="PM192" s="27"/>
      <c r="PN192" s="27"/>
      <c r="PO192" s="27"/>
      <c r="PP192" s="28"/>
      <c r="PQ192" s="25"/>
      <c r="PR192" s="27"/>
      <c r="PS192" s="27"/>
      <c r="PT192" s="27"/>
      <c r="PU192" s="27"/>
      <c r="PV192" s="27"/>
      <c r="PW192" s="28"/>
      <c r="PX192" s="25"/>
      <c r="PY192" s="27"/>
      <c r="PZ192" s="27"/>
      <c r="QA192" s="27"/>
      <c r="QB192" s="27"/>
      <c r="QC192" s="27"/>
      <c r="QD192" s="28"/>
      <c r="QE192" s="25"/>
      <c r="QF192" s="27"/>
      <c r="QG192" s="27"/>
      <c r="QH192" s="27"/>
      <c r="QI192" s="27"/>
      <c r="QJ192" s="27"/>
      <c r="QK192" s="28"/>
      <c r="QL192" s="25"/>
      <c r="QM192" s="27"/>
      <c r="QN192" s="27"/>
      <c r="QO192" s="27"/>
      <c r="QP192" s="27"/>
      <c r="QQ192" s="27"/>
      <c r="QR192" s="28"/>
      <c r="QS192" s="25"/>
      <c r="QT192" s="27"/>
      <c r="QU192" s="27"/>
      <c r="QV192" s="27"/>
      <c r="QW192" s="27"/>
      <c r="QX192" s="27"/>
      <c r="QY192" s="28"/>
      <c r="QZ192" s="25"/>
      <c r="RA192" s="27"/>
      <c r="RB192" s="27"/>
      <c r="RC192" s="27"/>
      <c r="RD192" s="27"/>
      <c r="RE192" s="27"/>
      <c r="RF192" s="28"/>
      <c r="RG192" s="25"/>
      <c r="RH192" s="27"/>
      <c r="RI192" s="27"/>
      <c r="RJ192" s="27"/>
      <c r="RK192" s="27"/>
      <c r="RL192" s="27"/>
      <c r="RM192" s="28"/>
      <c r="RN192" s="25"/>
      <c r="RO192" s="27"/>
      <c r="RP192" s="27"/>
      <c r="RQ192" s="27"/>
      <c r="RR192" s="27"/>
      <c r="RS192" s="27"/>
      <c r="RT192" s="28"/>
      <c r="RU192" s="25"/>
      <c r="RV192" s="27"/>
      <c r="RW192" s="27"/>
      <c r="RX192" s="27"/>
      <c r="RY192" s="27"/>
      <c r="RZ192" s="27"/>
      <c r="SA192" s="28"/>
      <c r="SB192" s="25"/>
      <c r="SC192" s="27"/>
      <c r="SD192" s="27"/>
      <c r="SE192" s="27"/>
      <c r="SF192" s="27"/>
      <c r="SG192" s="27"/>
      <c r="SH192" s="28"/>
      <c r="SI192" s="25"/>
      <c r="SJ192" s="27"/>
      <c r="SK192" s="27"/>
      <c r="SL192" s="27"/>
      <c r="SM192" s="27"/>
      <c r="SN192" s="27"/>
      <c r="SO192" s="28"/>
      <c r="SP192" s="25"/>
      <c r="SQ192" s="27"/>
      <c r="SR192" s="27"/>
    </row>
    <row r="193" spans="1:512" x14ac:dyDescent="0.15">
      <c r="A193" s="101">
        <f t="shared" ca="1" si="1562"/>
        <v>56</v>
      </c>
      <c r="B193" s="111">
        <v>56</v>
      </c>
      <c r="C193" s="71" t="str">
        <f t="shared" ca="1" si="1555"/>
        <v>Luise</v>
      </c>
      <c r="D193" s="112">
        <f t="shared" ca="1" si="1563"/>
        <v>204.7</v>
      </c>
      <c r="E193" s="25"/>
      <c r="F193" s="26"/>
      <c r="G193" s="27"/>
      <c r="H193" s="28"/>
      <c r="I193" s="25"/>
      <c r="J193" s="25"/>
      <c r="K193" s="26"/>
      <c r="L193" s="62"/>
      <c r="M193" s="63" t="s">
        <v>243</v>
      </c>
      <c r="N193" s="32" t="s">
        <v>124</v>
      </c>
      <c r="O193" s="32"/>
      <c r="P193" s="32">
        <f t="shared" ca="1" si="1566"/>
        <v>55</v>
      </c>
      <c r="Q193" s="32" t="str">
        <f t="shared" ca="1" si="1567"/>
        <v>Jens</v>
      </c>
      <c r="R193" s="113">
        <f t="shared" ca="1" si="1568"/>
        <v>205.39999999999998</v>
      </c>
      <c r="S193" s="73">
        <v>56</v>
      </c>
      <c r="T193" s="32">
        <f t="shared" ca="1" si="1572"/>
        <v>205.40055999999998</v>
      </c>
      <c r="U193" s="32"/>
      <c r="V193" s="61"/>
      <c r="W193" s="62"/>
      <c r="X193" s="62"/>
      <c r="Y193" s="63"/>
      <c r="Z193" s="73"/>
      <c r="AA193" s="32"/>
      <c r="AB193" s="32"/>
      <c r="AC193" s="61"/>
      <c r="AD193" s="27"/>
      <c r="AE193" s="27"/>
      <c r="AF193" s="27"/>
      <c r="AG193" s="28"/>
      <c r="AH193" s="25"/>
      <c r="AI193" s="27"/>
      <c r="AJ193" s="27"/>
      <c r="AK193" s="27"/>
      <c r="AL193" s="27"/>
      <c r="AM193" s="27"/>
      <c r="AN193" s="28"/>
      <c r="AO193" s="25"/>
      <c r="AP193" s="27"/>
      <c r="AQ193" s="27"/>
      <c r="AR193" s="27"/>
      <c r="AS193" s="27"/>
      <c r="AT193" s="27"/>
      <c r="AU193" s="28"/>
      <c r="AV193" s="25"/>
      <c r="AW193" s="27"/>
      <c r="AX193" s="27"/>
      <c r="AY193" s="27"/>
      <c r="AZ193" s="27"/>
      <c r="BA193" s="27"/>
      <c r="BB193" s="28"/>
      <c r="BC193" s="25"/>
      <c r="BD193" s="27"/>
      <c r="BE193" s="27"/>
      <c r="BF193" s="27"/>
      <c r="BG193" s="27"/>
      <c r="BH193" s="27"/>
      <c r="BI193" s="28"/>
      <c r="BJ193" s="25"/>
      <c r="BK193" s="27"/>
      <c r="BL193" s="27"/>
      <c r="BM193" s="27"/>
      <c r="BN193" s="27"/>
      <c r="BO193" s="27"/>
      <c r="BP193" s="28"/>
      <c r="BQ193" s="25"/>
      <c r="BR193" s="27"/>
      <c r="BS193" s="27"/>
      <c r="BT193" s="27"/>
      <c r="BU193" s="27"/>
      <c r="BV193" s="27"/>
      <c r="BW193" s="28"/>
      <c r="BX193" s="25"/>
      <c r="BY193" s="27"/>
      <c r="BZ193" s="27"/>
      <c r="CA193" s="27"/>
      <c r="CB193" s="27"/>
      <c r="CC193" s="27"/>
      <c r="CD193" s="28"/>
      <c r="CE193" s="25"/>
      <c r="CF193" s="27"/>
      <c r="CG193" s="27"/>
      <c r="CH193" s="27"/>
      <c r="CI193" s="27"/>
      <c r="CJ193" s="27"/>
      <c r="CK193" s="28"/>
      <c r="CL193" s="25"/>
      <c r="CM193" s="27"/>
      <c r="CN193" s="27"/>
      <c r="CO193" s="27"/>
      <c r="CP193" s="27"/>
      <c r="CQ193" s="27"/>
      <c r="CR193" s="28"/>
      <c r="CS193" s="25"/>
      <c r="CT193" s="27"/>
      <c r="CU193" s="27"/>
      <c r="CV193" s="27"/>
      <c r="CW193" s="27"/>
      <c r="CX193" s="27"/>
      <c r="CY193" s="28"/>
      <c r="CZ193" s="25"/>
      <c r="DA193" s="27"/>
      <c r="DB193" s="27"/>
      <c r="DC193" s="27"/>
      <c r="DD193" s="27"/>
      <c r="DE193" s="27"/>
      <c r="DF193" s="28"/>
      <c r="DG193" s="25"/>
      <c r="DH193" s="27"/>
      <c r="DI193" s="27"/>
      <c r="DJ193" s="27"/>
      <c r="DK193" s="27"/>
      <c r="DL193" s="27"/>
      <c r="DM193" s="28"/>
      <c r="DN193" s="25"/>
      <c r="DO193" s="27"/>
      <c r="DP193" s="27"/>
      <c r="DQ193" s="27"/>
      <c r="DR193" s="27"/>
      <c r="DS193" s="27"/>
      <c r="DT193" s="28"/>
      <c r="DU193" s="25"/>
      <c r="DV193" s="27"/>
      <c r="DW193" s="27"/>
      <c r="DX193" s="27"/>
      <c r="DY193" s="27"/>
      <c r="DZ193" s="27"/>
      <c r="EA193" s="28"/>
      <c r="EB193" s="25"/>
      <c r="EC193" s="27"/>
      <c r="ED193" s="27"/>
      <c r="EE193" s="27"/>
      <c r="EF193" s="27"/>
      <c r="EG193" s="27"/>
      <c r="EH193" s="28"/>
      <c r="EI193" s="25"/>
      <c r="EJ193" s="27"/>
      <c r="EK193" s="27"/>
      <c r="EL193" s="27"/>
      <c r="EM193" s="27"/>
      <c r="EN193" s="27"/>
      <c r="EO193" s="28"/>
      <c r="EP193" s="25"/>
      <c r="EQ193" s="27"/>
      <c r="ER193" s="27"/>
      <c r="ES193" s="27"/>
      <c r="ET193" s="27"/>
      <c r="EU193" s="27"/>
      <c r="EV193" s="28"/>
      <c r="EW193" s="25"/>
      <c r="EX193" s="27"/>
      <c r="EY193" s="27"/>
      <c r="EZ193" s="27"/>
      <c r="FA193" s="27"/>
      <c r="FB193" s="27"/>
      <c r="FC193" s="28"/>
      <c r="FD193" s="25"/>
      <c r="FE193" s="27"/>
      <c r="FF193" s="27"/>
      <c r="FG193" s="27"/>
      <c r="FH193" s="27"/>
      <c r="FI193" s="27"/>
      <c r="FJ193" s="28"/>
      <c r="FK193" s="25"/>
      <c r="FL193" s="27"/>
      <c r="FM193" s="27"/>
      <c r="FN193" s="27"/>
      <c r="FO193" s="27"/>
      <c r="FP193" s="27"/>
      <c r="FQ193" s="28"/>
      <c r="FR193" s="25"/>
      <c r="FS193" s="27"/>
      <c r="FT193" s="27"/>
      <c r="FU193" s="27"/>
      <c r="FV193" s="27"/>
      <c r="FW193" s="27"/>
      <c r="FX193" s="28"/>
      <c r="FY193" s="25"/>
      <c r="FZ193" s="27"/>
      <c r="GA193" s="27"/>
      <c r="GB193" s="27"/>
      <c r="GC193" s="27"/>
      <c r="GD193" s="27"/>
      <c r="GE193" s="28"/>
      <c r="GF193" s="25"/>
      <c r="GG193" s="27"/>
      <c r="GH193" s="27"/>
      <c r="GI193" s="27"/>
      <c r="GJ193" s="27"/>
      <c r="GK193" s="27"/>
      <c r="GL193" s="28"/>
      <c r="GM193" s="25"/>
      <c r="GN193" s="27"/>
      <c r="GO193" s="27"/>
      <c r="GP193" s="27"/>
      <c r="GQ193" s="27"/>
      <c r="GR193" s="27"/>
      <c r="GS193" s="28"/>
      <c r="GT193" s="25"/>
      <c r="GU193" s="27"/>
      <c r="GV193" s="27"/>
      <c r="GW193" s="27"/>
      <c r="GX193" s="27"/>
      <c r="GY193" s="27"/>
      <c r="GZ193" s="28"/>
      <c r="HA193" s="25"/>
      <c r="HB193" s="27"/>
      <c r="HC193" s="27"/>
      <c r="HD193" s="27"/>
      <c r="HE193" s="27"/>
      <c r="HF193" s="27"/>
      <c r="HG193" s="28"/>
      <c r="HH193" s="25"/>
      <c r="HI193" s="27"/>
      <c r="HJ193" s="27"/>
      <c r="HK193" s="27"/>
      <c r="HL193" s="27"/>
      <c r="HM193" s="27"/>
      <c r="HN193" s="28"/>
      <c r="HO193" s="25"/>
      <c r="HP193" s="27"/>
      <c r="HQ193" s="27"/>
      <c r="HR193" s="27"/>
      <c r="HS193" s="27"/>
      <c r="HT193" s="27"/>
      <c r="HU193" s="28"/>
      <c r="HV193" s="25"/>
      <c r="HW193" s="27"/>
      <c r="HX193" s="27"/>
      <c r="HY193" s="27"/>
      <c r="HZ193" s="27"/>
      <c r="IA193" s="27"/>
      <c r="IB193" s="28"/>
      <c r="IC193" s="25"/>
      <c r="ID193" s="27"/>
      <c r="IE193" s="27"/>
      <c r="IF193" s="27"/>
      <c r="IG193" s="27"/>
      <c r="IH193" s="27"/>
      <c r="II193" s="28"/>
      <c r="IJ193" s="25"/>
      <c r="IK193" s="27"/>
      <c r="IL193" s="27"/>
      <c r="IM193" s="27"/>
      <c r="IN193" s="27"/>
      <c r="IO193" s="27"/>
      <c r="IP193" s="28"/>
      <c r="IQ193" s="25"/>
      <c r="IR193" s="27"/>
      <c r="IS193" s="27"/>
      <c r="IT193" s="27"/>
      <c r="IU193" s="27"/>
      <c r="IV193" s="27"/>
      <c r="IW193" s="28"/>
      <c r="IX193" s="25"/>
      <c r="IY193" s="27"/>
      <c r="IZ193" s="27"/>
      <c r="JA193" s="27"/>
      <c r="JB193" s="27"/>
      <c r="JC193" s="27"/>
      <c r="JD193" s="28"/>
      <c r="JE193" s="25"/>
      <c r="JF193" s="27"/>
      <c r="JG193" s="27"/>
      <c r="JH193" s="27"/>
      <c r="JI193" s="27"/>
      <c r="JJ193" s="27"/>
      <c r="JK193" s="28"/>
      <c r="JL193" s="25"/>
      <c r="JM193" s="27"/>
      <c r="JN193" s="27"/>
      <c r="JO193" s="27"/>
      <c r="JP193" s="27"/>
      <c r="JQ193" s="27"/>
      <c r="JR193" s="28"/>
      <c r="JS193" s="25"/>
      <c r="JT193" s="27"/>
      <c r="JU193" s="27"/>
      <c r="JV193" s="27"/>
      <c r="JW193" s="27"/>
      <c r="JX193" s="27"/>
      <c r="JY193" s="28"/>
      <c r="JZ193" s="25"/>
      <c r="KA193" s="27"/>
      <c r="KB193" s="27"/>
      <c r="KC193" s="27"/>
      <c r="KD193" s="27"/>
      <c r="KE193" s="27"/>
      <c r="KF193" s="28"/>
      <c r="KG193" s="25"/>
      <c r="KH193" s="27"/>
      <c r="KI193" s="27"/>
      <c r="KJ193" s="27"/>
      <c r="KK193" s="27"/>
      <c r="KL193" s="27"/>
      <c r="KM193" s="28"/>
      <c r="KN193" s="25"/>
      <c r="KO193" s="27"/>
      <c r="KP193" s="27"/>
      <c r="KQ193" s="27"/>
      <c r="KR193" s="27"/>
      <c r="KS193" s="27"/>
      <c r="KT193" s="28"/>
      <c r="KU193" s="25"/>
      <c r="KV193" s="27"/>
      <c r="KW193" s="27"/>
      <c r="KX193" s="27"/>
      <c r="KY193" s="27"/>
      <c r="KZ193" s="27"/>
      <c r="LA193" s="28"/>
      <c r="LB193" s="25"/>
      <c r="LC193" s="27"/>
      <c r="LD193" s="27"/>
      <c r="LE193" s="27"/>
      <c r="LF193" s="27"/>
      <c r="LG193" s="27"/>
      <c r="LH193" s="28"/>
      <c r="LI193" s="25"/>
      <c r="LJ193" s="27"/>
      <c r="LK193" s="27"/>
      <c r="LL193" s="27"/>
      <c r="LM193" s="27"/>
      <c r="LN193" s="27"/>
      <c r="LO193" s="28"/>
      <c r="LP193" s="25"/>
      <c r="LQ193" s="27"/>
      <c r="LR193" s="27"/>
      <c r="LS193" s="27"/>
      <c r="LT193" s="27"/>
      <c r="LU193" s="27"/>
      <c r="LV193" s="28"/>
      <c r="LW193" s="25"/>
      <c r="LX193" s="27"/>
      <c r="LY193" s="27"/>
      <c r="LZ193" s="27"/>
      <c r="MA193" s="27"/>
      <c r="MB193" s="27"/>
      <c r="MC193" s="28"/>
      <c r="MD193" s="25"/>
      <c r="ME193" s="27"/>
      <c r="MF193" s="27"/>
      <c r="MG193" s="27"/>
      <c r="MH193" s="27"/>
      <c r="MI193" s="27"/>
      <c r="MJ193" s="28"/>
      <c r="MK193" s="25"/>
      <c r="ML193" s="27"/>
      <c r="MM193" s="27"/>
      <c r="MN193" s="27"/>
      <c r="MO193" s="27"/>
      <c r="MP193" s="27"/>
      <c r="MQ193" s="28"/>
      <c r="MR193" s="25"/>
      <c r="MS193" s="27"/>
      <c r="MT193" s="27"/>
      <c r="MU193" s="27"/>
      <c r="MV193" s="27"/>
      <c r="MW193" s="27"/>
      <c r="MX193" s="28"/>
      <c r="MY193" s="25"/>
      <c r="MZ193" s="27"/>
      <c r="NA193" s="27"/>
      <c r="NB193" s="27"/>
      <c r="NC193" s="27"/>
      <c r="ND193" s="27"/>
      <c r="NE193" s="28"/>
      <c r="NF193" s="25"/>
      <c r="NG193" s="27"/>
      <c r="NH193" s="27"/>
      <c r="NI193" s="27"/>
      <c r="NJ193" s="27"/>
      <c r="NK193" s="27"/>
      <c r="NL193" s="28"/>
      <c r="NM193" s="25"/>
      <c r="NN193" s="27"/>
      <c r="NO193" s="27"/>
      <c r="NP193" s="27"/>
      <c r="NQ193" s="27"/>
      <c r="NR193" s="27"/>
      <c r="NS193" s="28"/>
      <c r="NT193" s="25"/>
      <c r="NU193" s="27"/>
      <c r="NV193" s="27"/>
      <c r="NW193" s="27"/>
      <c r="NX193" s="27"/>
      <c r="NY193" s="27"/>
      <c r="NZ193" s="28"/>
      <c r="OA193" s="25"/>
      <c r="OB193" s="27"/>
      <c r="OC193" s="27"/>
      <c r="OD193" s="27"/>
      <c r="OE193" s="27"/>
      <c r="OF193" s="27"/>
      <c r="OG193" s="28"/>
      <c r="OH193" s="25"/>
      <c r="OI193" s="27"/>
      <c r="OJ193" s="27"/>
      <c r="OK193" s="27"/>
      <c r="OL193" s="27"/>
      <c r="OM193" s="27"/>
      <c r="ON193" s="28"/>
      <c r="OO193" s="25"/>
      <c r="OP193" s="27"/>
      <c r="OQ193" s="27"/>
      <c r="OR193" s="27"/>
      <c r="OS193" s="27"/>
      <c r="OT193" s="27"/>
      <c r="OU193" s="28"/>
      <c r="OV193" s="25"/>
      <c r="OW193" s="27"/>
      <c r="OX193" s="27"/>
      <c r="OY193" s="27"/>
      <c r="OZ193" s="27"/>
      <c r="PA193" s="27"/>
      <c r="PB193" s="28"/>
      <c r="PC193" s="25"/>
      <c r="PD193" s="27"/>
      <c r="PE193" s="27"/>
      <c r="PF193" s="27"/>
      <c r="PG193" s="27"/>
      <c r="PH193" s="27"/>
      <c r="PI193" s="28"/>
      <c r="PJ193" s="25"/>
      <c r="PK193" s="27"/>
      <c r="PL193" s="27"/>
      <c r="PM193" s="27"/>
      <c r="PN193" s="27"/>
      <c r="PO193" s="27"/>
      <c r="PP193" s="28"/>
      <c r="PQ193" s="25"/>
      <c r="PR193" s="27"/>
      <c r="PS193" s="27"/>
      <c r="PT193" s="27"/>
      <c r="PU193" s="27"/>
      <c r="PV193" s="27"/>
      <c r="PW193" s="28"/>
      <c r="PX193" s="25"/>
      <c r="PY193" s="27"/>
      <c r="PZ193" s="27"/>
      <c r="QA193" s="27"/>
      <c r="QB193" s="27"/>
      <c r="QC193" s="27"/>
      <c r="QD193" s="28"/>
      <c r="QE193" s="25"/>
      <c r="QF193" s="27"/>
      <c r="QG193" s="27"/>
      <c r="QH193" s="27"/>
      <c r="QI193" s="27"/>
      <c r="QJ193" s="27"/>
      <c r="QK193" s="28"/>
      <c r="QL193" s="25"/>
      <c r="QM193" s="27"/>
      <c r="QN193" s="27"/>
      <c r="QO193" s="27"/>
      <c r="QP193" s="27"/>
      <c r="QQ193" s="27"/>
      <c r="QR193" s="28"/>
      <c r="QS193" s="25"/>
      <c r="QT193" s="27"/>
      <c r="QU193" s="27"/>
      <c r="QV193" s="27"/>
      <c r="QW193" s="27"/>
      <c r="QX193" s="27"/>
      <c r="QY193" s="28"/>
      <c r="QZ193" s="25"/>
      <c r="RA193" s="27"/>
      <c r="RB193" s="27"/>
      <c r="RC193" s="27"/>
      <c r="RD193" s="27"/>
      <c r="RE193" s="27"/>
      <c r="RF193" s="28"/>
      <c r="RG193" s="25"/>
      <c r="RH193" s="27"/>
      <c r="RI193" s="27"/>
      <c r="RJ193" s="27"/>
      <c r="RK193" s="27"/>
      <c r="RL193" s="27"/>
      <c r="RM193" s="28"/>
      <c r="RN193" s="25"/>
      <c r="RO193" s="27"/>
      <c r="RP193" s="27"/>
      <c r="RQ193" s="27"/>
      <c r="RR193" s="27"/>
      <c r="RS193" s="27"/>
      <c r="RT193" s="28"/>
      <c r="RU193" s="25"/>
      <c r="RV193" s="27"/>
      <c r="RW193" s="27"/>
      <c r="RX193" s="27"/>
      <c r="RY193" s="27"/>
      <c r="RZ193" s="27"/>
      <c r="SA193" s="28"/>
      <c r="SB193" s="25"/>
      <c r="SC193" s="27"/>
      <c r="SD193" s="27"/>
      <c r="SE193" s="27"/>
      <c r="SF193" s="27"/>
      <c r="SG193" s="27"/>
      <c r="SH193" s="28"/>
      <c r="SI193" s="25"/>
      <c r="SJ193" s="27"/>
      <c r="SK193" s="27"/>
      <c r="SL193" s="27"/>
      <c r="SM193" s="27"/>
      <c r="SN193" s="27"/>
      <c r="SO193" s="28"/>
      <c r="SP193" s="25"/>
      <c r="SQ193" s="27"/>
      <c r="SR193" s="27"/>
    </row>
    <row r="194" spans="1:512" x14ac:dyDescent="0.15">
      <c r="A194" s="101">
        <f t="shared" ca="1" si="1562"/>
        <v>57</v>
      </c>
      <c r="B194" s="111">
        <v>57</v>
      </c>
      <c r="C194" s="71" t="str">
        <f t="shared" ca="1" si="1555"/>
        <v>Sören</v>
      </c>
      <c r="D194" s="112">
        <f t="shared" ca="1" si="1563"/>
        <v>204.20000000000002</v>
      </c>
      <c r="E194" s="25"/>
      <c r="F194" s="26"/>
      <c r="G194" s="27"/>
      <c r="H194" s="28"/>
      <c r="I194" s="25"/>
      <c r="J194" s="25"/>
      <c r="K194" s="26"/>
      <c r="L194" s="62"/>
      <c r="M194" s="32" t="s">
        <v>244</v>
      </c>
      <c r="N194" s="32" t="s">
        <v>125</v>
      </c>
      <c r="O194" s="32"/>
      <c r="P194" s="32">
        <f t="shared" ca="1" si="1566"/>
        <v>8</v>
      </c>
      <c r="Q194" s="32" t="str">
        <f t="shared" ca="1" si="1567"/>
        <v>Emma H</v>
      </c>
      <c r="R194" s="113">
        <f t="shared" ca="1" si="1568"/>
        <v>248.59999999999997</v>
      </c>
      <c r="S194" s="73">
        <v>57</v>
      </c>
      <c r="T194" s="32">
        <f t="shared" ca="1" si="1572"/>
        <v>248.60056999999998</v>
      </c>
      <c r="U194" s="32"/>
      <c r="V194" s="61"/>
      <c r="W194" s="62"/>
      <c r="X194" s="62"/>
      <c r="Y194" s="63"/>
      <c r="Z194" s="73"/>
      <c r="AA194" s="32"/>
      <c r="AB194" s="32"/>
      <c r="AC194" s="61"/>
      <c r="AD194" s="27"/>
      <c r="AE194" s="27"/>
      <c r="AF194" s="27"/>
      <c r="AG194" s="28"/>
      <c r="AH194" s="25"/>
      <c r="AI194" s="27"/>
      <c r="AJ194" s="27"/>
      <c r="AK194" s="27"/>
      <c r="AL194" s="27"/>
      <c r="AM194" s="27"/>
      <c r="AN194" s="28"/>
      <c r="AO194" s="25"/>
      <c r="AP194" s="27"/>
      <c r="AQ194" s="27"/>
      <c r="AR194" s="27"/>
      <c r="AS194" s="27"/>
      <c r="AT194" s="27"/>
      <c r="AU194" s="28"/>
      <c r="AV194" s="25"/>
      <c r="AW194" s="27"/>
      <c r="AX194" s="27"/>
      <c r="AY194" s="27"/>
      <c r="AZ194" s="27"/>
      <c r="BA194" s="27"/>
      <c r="BB194" s="28"/>
      <c r="BC194" s="25"/>
      <c r="BD194" s="27"/>
      <c r="BE194" s="27"/>
      <c r="BF194" s="27"/>
      <c r="BG194" s="27"/>
      <c r="BH194" s="27"/>
      <c r="BI194" s="28"/>
      <c r="BJ194" s="25"/>
      <c r="BK194" s="27"/>
      <c r="BL194" s="27"/>
      <c r="BM194" s="27"/>
      <c r="BN194" s="27"/>
      <c r="BO194" s="27"/>
      <c r="BP194" s="28"/>
      <c r="BQ194" s="25"/>
      <c r="BR194" s="27"/>
      <c r="BS194" s="27"/>
      <c r="BT194" s="27"/>
      <c r="BU194" s="27"/>
      <c r="BV194" s="27"/>
      <c r="BW194" s="28"/>
      <c r="BX194" s="25"/>
      <c r="BY194" s="27"/>
      <c r="BZ194" s="27"/>
      <c r="CA194" s="27"/>
      <c r="CB194" s="27"/>
      <c r="CC194" s="27"/>
      <c r="CD194" s="28"/>
      <c r="CE194" s="25"/>
      <c r="CF194" s="27"/>
      <c r="CG194" s="27"/>
      <c r="CH194" s="27"/>
      <c r="CI194" s="27"/>
      <c r="CJ194" s="27"/>
      <c r="CK194" s="28"/>
      <c r="CL194" s="25"/>
      <c r="CM194" s="27"/>
      <c r="CN194" s="27"/>
      <c r="CO194" s="27"/>
      <c r="CP194" s="27"/>
      <c r="CQ194" s="27"/>
      <c r="CR194" s="28"/>
      <c r="CS194" s="25"/>
      <c r="CT194" s="27"/>
      <c r="CU194" s="27"/>
      <c r="CV194" s="27"/>
      <c r="CW194" s="27"/>
      <c r="CX194" s="27"/>
      <c r="CY194" s="28"/>
      <c r="CZ194" s="25"/>
      <c r="DA194" s="27"/>
      <c r="DB194" s="27"/>
      <c r="DC194" s="27"/>
      <c r="DD194" s="27"/>
      <c r="DE194" s="27"/>
      <c r="DF194" s="28"/>
      <c r="DG194" s="25"/>
      <c r="DH194" s="27"/>
      <c r="DI194" s="27"/>
      <c r="DJ194" s="27"/>
      <c r="DK194" s="27"/>
      <c r="DL194" s="27"/>
      <c r="DM194" s="28"/>
      <c r="DN194" s="25"/>
      <c r="DO194" s="27"/>
      <c r="DP194" s="27"/>
      <c r="DQ194" s="27"/>
      <c r="DR194" s="27"/>
      <c r="DS194" s="27"/>
      <c r="DT194" s="28"/>
      <c r="DU194" s="25"/>
      <c r="DV194" s="27"/>
      <c r="DW194" s="27"/>
      <c r="DX194" s="27"/>
      <c r="DY194" s="27"/>
      <c r="DZ194" s="27"/>
      <c r="EA194" s="28"/>
      <c r="EB194" s="25"/>
      <c r="EC194" s="27"/>
      <c r="ED194" s="27"/>
      <c r="EE194" s="27"/>
      <c r="EF194" s="27"/>
      <c r="EG194" s="27"/>
      <c r="EH194" s="28"/>
      <c r="EI194" s="25"/>
      <c r="EJ194" s="27"/>
      <c r="EK194" s="27"/>
      <c r="EL194" s="27"/>
      <c r="EM194" s="27"/>
      <c r="EN194" s="27"/>
      <c r="EO194" s="28"/>
      <c r="EP194" s="25"/>
      <c r="EQ194" s="27"/>
      <c r="ER194" s="27"/>
      <c r="ES194" s="27"/>
      <c r="ET194" s="27"/>
      <c r="EU194" s="27"/>
      <c r="EV194" s="28"/>
      <c r="EW194" s="25"/>
      <c r="EX194" s="27"/>
      <c r="EY194" s="27"/>
      <c r="EZ194" s="27"/>
      <c r="FA194" s="27"/>
      <c r="FB194" s="27"/>
      <c r="FC194" s="28"/>
      <c r="FD194" s="25"/>
      <c r="FE194" s="27"/>
      <c r="FF194" s="27"/>
      <c r="FG194" s="27"/>
      <c r="FH194" s="27"/>
      <c r="FI194" s="27"/>
      <c r="FJ194" s="28"/>
      <c r="FK194" s="25"/>
      <c r="FL194" s="27"/>
      <c r="FM194" s="27"/>
      <c r="FN194" s="27"/>
      <c r="FO194" s="27"/>
      <c r="FP194" s="27"/>
      <c r="FQ194" s="28"/>
      <c r="FR194" s="25"/>
      <c r="FS194" s="27"/>
      <c r="FT194" s="27"/>
      <c r="FU194" s="27"/>
      <c r="FV194" s="27"/>
      <c r="FW194" s="27"/>
      <c r="FX194" s="28"/>
      <c r="FY194" s="25"/>
      <c r="FZ194" s="27"/>
      <c r="GA194" s="27"/>
      <c r="GB194" s="27"/>
      <c r="GC194" s="27"/>
      <c r="GD194" s="27"/>
      <c r="GE194" s="28"/>
      <c r="GF194" s="25"/>
      <c r="GG194" s="27"/>
      <c r="GH194" s="27"/>
      <c r="GI194" s="27"/>
      <c r="GJ194" s="27"/>
      <c r="GK194" s="27"/>
      <c r="GL194" s="28"/>
      <c r="GM194" s="25"/>
      <c r="GN194" s="27"/>
      <c r="GO194" s="27"/>
      <c r="GP194" s="27"/>
      <c r="GQ194" s="27"/>
      <c r="GR194" s="27"/>
      <c r="GS194" s="28"/>
      <c r="GT194" s="25"/>
      <c r="GU194" s="27"/>
      <c r="GV194" s="27"/>
      <c r="GW194" s="27"/>
      <c r="GX194" s="27"/>
      <c r="GY194" s="27"/>
      <c r="GZ194" s="28"/>
      <c r="HA194" s="25"/>
      <c r="HB194" s="27"/>
      <c r="HC194" s="27"/>
      <c r="HD194" s="27"/>
      <c r="HE194" s="27"/>
      <c r="HF194" s="27"/>
      <c r="HG194" s="28"/>
      <c r="HH194" s="25"/>
      <c r="HI194" s="27"/>
      <c r="HJ194" s="27"/>
      <c r="HK194" s="27"/>
      <c r="HL194" s="27"/>
      <c r="HM194" s="27"/>
      <c r="HN194" s="28"/>
      <c r="HO194" s="25"/>
      <c r="HP194" s="27"/>
      <c r="HQ194" s="27"/>
      <c r="HR194" s="27"/>
      <c r="HS194" s="27"/>
      <c r="HT194" s="27"/>
      <c r="HU194" s="28"/>
      <c r="HV194" s="25"/>
      <c r="HW194" s="27"/>
      <c r="HX194" s="27"/>
      <c r="HY194" s="27"/>
      <c r="HZ194" s="27"/>
      <c r="IA194" s="27"/>
      <c r="IB194" s="28"/>
      <c r="IC194" s="25"/>
      <c r="ID194" s="27"/>
      <c r="IE194" s="27"/>
      <c r="IF194" s="27"/>
      <c r="IG194" s="27"/>
      <c r="IH194" s="27"/>
      <c r="II194" s="28"/>
      <c r="IJ194" s="25"/>
      <c r="IK194" s="27"/>
      <c r="IL194" s="27"/>
      <c r="IM194" s="27"/>
      <c r="IN194" s="27"/>
      <c r="IO194" s="27"/>
      <c r="IP194" s="28"/>
      <c r="IQ194" s="25"/>
      <c r="IR194" s="27"/>
      <c r="IS194" s="27"/>
      <c r="IT194" s="27"/>
      <c r="IU194" s="27"/>
      <c r="IV194" s="27"/>
      <c r="IW194" s="28"/>
      <c r="IX194" s="25"/>
      <c r="IY194" s="27"/>
      <c r="IZ194" s="27"/>
      <c r="JA194" s="27"/>
      <c r="JB194" s="27"/>
      <c r="JC194" s="27"/>
      <c r="JD194" s="28"/>
      <c r="JE194" s="25"/>
      <c r="JF194" s="27"/>
      <c r="JG194" s="27"/>
      <c r="JH194" s="27"/>
      <c r="JI194" s="27"/>
      <c r="JJ194" s="27"/>
      <c r="JK194" s="28"/>
      <c r="JL194" s="25"/>
      <c r="JM194" s="27"/>
      <c r="JN194" s="27"/>
      <c r="JO194" s="27"/>
      <c r="JP194" s="27"/>
      <c r="JQ194" s="27"/>
      <c r="JR194" s="28"/>
      <c r="JS194" s="25"/>
      <c r="JT194" s="27"/>
      <c r="JU194" s="27"/>
      <c r="JV194" s="27"/>
      <c r="JW194" s="27"/>
      <c r="JX194" s="27"/>
      <c r="JY194" s="28"/>
      <c r="JZ194" s="25"/>
      <c r="KA194" s="27"/>
      <c r="KB194" s="27"/>
      <c r="KC194" s="27"/>
      <c r="KD194" s="27"/>
      <c r="KE194" s="27"/>
      <c r="KF194" s="28"/>
      <c r="KG194" s="25"/>
      <c r="KH194" s="27"/>
      <c r="KI194" s="27"/>
      <c r="KJ194" s="27"/>
      <c r="KK194" s="27"/>
      <c r="KL194" s="27"/>
      <c r="KM194" s="28"/>
      <c r="KN194" s="25"/>
      <c r="KO194" s="27"/>
      <c r="KP194" s="27"/>
      <c r="KQ194" s="27"/>
      <c r="KR194" s="27"/>
      <c r="KS194" s="27"/>
      <c r="KT194" s="28"/>
      <c r="KU194" s="25"/>
      <c r="KV194" s="27"/>
      <c r="KW194" s="27"/>
      <c r="KX194" s="27"/>
      <c r="KY194" s="27"/>
      <c r="KZ194" s="27"/>
      <c r="LA194" s="28"/>
      <c r="LB194" s="25"/>
      <c r="LC194" s="27"/>
      <c r="LD194" s="27"/>
      <c r="LE194" s="27"/>
      <c r="LF194" s="27"/>
      <c r="LG194" s="27"/>
      <c r="LH194" s="28"/>
      <c r="LI194" s="25"/>
      <c r="LJ194" s="27"/>
      <c r="LK194" s="27"/>
      <c r="LL194" s="27"/>
      <c r="LM194" s="27"/>
      <c r="LN194" s="27"/>
      <c r="LO194" s="28"/>
      <c r="LP194" s="25"/>
      <c r="LQ194" s="27"/>
      <c r="LR194" s="27"/>
      <c r="LS194" s="27"/>
      <c r="LT194" s="27"/>
      <c r="LU194" s="27"/>
      <c r="LV194" s="28"/>
      <c r="LW194" s="25"/>
      <c r="LX194" s="27"/>
      <c r="LY194" s="27"/>
      <c r="LZ194" s="27"/>
      <c r="MA194" s="27"/>
      <c r="MB194" s="27"/>
      <c r="MC194" s="28"/>
      <c r="MD194" s="25"/>
      <c r="ME194" s="27"/>
      <c r="MF194" s="27"/>
      <c r="MG194" s="27"/>
      <c r="MH194" s="27"/>
      <c r="MI194" s="27"/>
      <c r="MJ194" s="28"/>
      <c r="MK194" s="25"/>
      <c r="ML194" s="27"/>
      <c r="MM194" s="27"/>
      <c r="MN194" s="27"/>
      <c r="MO194" s="27"/>
      <c r="MP194" s="27"/>
      <c r="MQ194" s="28"/>
      <c r="MR194" s="25"/>
      <c r="MS194" s="27"/>
      <c r="MT194" s="27"/>
      <c r="MU194" s="27"/>
      <c r="MV194" s="27"/>
      <c r="MW194" s="27"/>
      <c r="MX194" s="28"/>
      <c r="MY194" s="25"/>
      <c r="MZ194" s="27"/>
      <c r="NA194" s="27"/>
      <c r="NB194" s="27"/>
      <c r="NC194" s="27"/>
      <c r="ND194" s="27"/>
      <c r="NE194" s="28"/>
      <c r="NF194" s="25"/>
      <c r="NG194" s="27"/>
      <c r="NH194" s="27"/>
      <c r="NI194" s="27"/>
      <c r="NJ194" s="27"/>
      <c r="NK194" s="27"/>
      <c r="NL194" s="28"/>
      <c r="NM194" s="25"/>
      <c r="NN194" s="27"/>
      <c r="NO194" s="27"/>
      <c r="NP194" s="27"/>
      <c r="NQ194" s="27"/>
      <c r="NR194" s="27"/>
      <c r="NS194" s="28"/>
      <c r="NT194" s="25"/>
      <c r="NU194" s="27"/>
      <c r="NV194" s="27"/>
      <c r="NW194" s="27"/>
      <c r="NX194" s="27"/>
      <c r="NY194" s="27"/>
      <c r="NZ194" s="28"/>
      <c r="OA194" s="25"/>
      <c r="OB194" s="27"/>
      <c r="OC194" s="27"/>
      <c r="OD194" s="27"/>
      <c r="OE194" s="27"/>
      <c r="OF194" s="27"/>
      <c r="OG194" s="28"/>
      <c r="OH194" s="25"/>
      <c r="OI194" s="27"/>
      <c r="OJ194" s="27"/>
      <c r="OK194" s="27"/>
      <c r="OL194" s="27"/>
      <c r="OM194" s="27"/>
      <c r="ON194" s="28"/>
      <c r="OO194" s="25"/>
      <c r="OP194" s="27"/>
      <c r="OQ194" s="27"/>
      <c r="OR194" s="27"/>
      <c r="OS194" s="27"/>
      <c r="OT194" s="27"/>
      <c r="OU194" s="28"/>
      <c r="OV194" s="25"/>
      <c r="OW194" s="27"/>
      <c r="OX194" s="27"/>
      <c r="OY194" s="27"/>
      <c r="OZ194" s="27"/>
      <c r="PA194" s="27"/>
      <c r="PB194" s="28"/>
      <c r="PC194" s="25"/>
      <c r="PD194" s="27"/>
      <c r="PE194" s="27"/>
      <c r="PF194" s="27"/>
      <c r="PG194" s="27"/>
      <c r="PH194" s="27"/>
      <c r="PI194" s="28"/>
      <c r="PJ194" s="25"/>
      <c r="PK194" s="27"/>
      <c r="PL194" s="27"/>
      <c r="PM194" s="27"/>
      <c r="PN194" s="27"/>
      <c r="PO194" s="27"/>
      <c r="PP194" s="28"/>
      <c r="PQ194" s="25"/>
      <c r="PR194" s="27"/>
      <c r="PS194" s="27"/>
      <c r="PT194" s="27"/>
      <c r="PU194" s="27"/>
      <c r="PV194" s="27"/>
      <c r="PW194" s="28"/>
      <c r="PX194" s="25"/>
      <c r="PY194" s="27"/>
      <c r="PZ194" s="27"/>
      <c r="QA194" s="27"/>
      <c r="QB194" s="27"/>
      <c r="QC194" s="27"/>
      <c r="QD194" s="28"/>
      <c r="QE194" s="25"/>
      <c r="QF194" s="27"/>
      <c r="QG194" s="27"/>
      <c r="QH194" s="27"/>
      <c r="QI194" s="27"/>
      <c r="QJ194" s="27"/>
      <c r="QK194" s="28"/>
      <c r="QL194" s="25"/>
      <c r="QM194" s="27"/>
      <c r="QN194" s="27"/>
      <c r="QO194" s="27"/>
      <c r="QP194" s="27"/>
      <c r="QQ194" s="27"/>
      <c r="QR194" s="28"/>
      <c r="QS194" s="25"/>
      <c r="QT194" s="27"/>
      <c r="QU194" s="27"/>
      <c r="QV194" s="27"/>
      <c r="QW194" s="27"/>
      <c r="QX194" s="27"/>
      <c r="QY194" s="28"/>
      <c r="QZ194" s="25"/>
      <c r="RA194" s="27"/>
      <c r="RB194" s="27"/>
      <c r="RC194" s="27"/>
      <c r="RD194" s="27"/>
      <c r="RE194" s="27"/>
      <c r="RF194" s="28"/>
      <c r="RG194" s="25"/>
      <c r="RH194" s="27"/>
      <c r="RI194" s="27"/>
      <c r="RJ194" s="27"/>
      <c r="RK194" s="27"/>
      <c r="RL194" s="27"/>
      <c r="RM194" s="28"/>
      <c r="RN194" s="25"/>
      <c r="RO194" s="27"/>
      <c r="RP194" s="27"/>
      <c r="RQ194" s="27"/>
      <c r="RR194" s="27"/>
      <c r="RS194" s="27"/>
      <c r="RT194" s="28"/>
      <c r="RU194" s="25"/>
      <c r="RV194" s="27"/>
      <c r="RW194" s="27"/>
      <c r="RX194" s="27"/>
      <c r="RY194" s="27"/>
      <c r="RZ194" s="27"/>
      <c r="SA194" s="28"/>
      <c r="SB194" s="25"/>
      <c r="SC194" s="27"/>
      <c r="SD194" s="27"/>
      <c r="SE194" s="27"/>
      <c r="SF194" s="27"/>
      <c r="SG194" s="27"/>
      <c r="SH194" s="28"/>
      <c r="SI194" s="25"/>
      <c r="SJ194" s="27"/>
      <c r="SK194" s="27"/>
      <c r="SL194" s="27"/>
      <c r="SM194" s="27"/>
      <c r="SN194" s="27"/>
      <c r="SO194" s="28"/>
      <c r="SP194" s="25"/>
      <c r="SQ194" s="27"/>
      <c r="SR194" s="27"/>
    </row>
    <row r="195" spans="1:512" x14ac:dyDescent="0.15">
      <c r="A195" s="101">
        <f t="shared" ca="1" si="1562"/>
        <v>58</v>
      </c>
      <c r="B195" s="111">
        <v>58</v>
      </c>
      <c r="C195" s="71" t="str">
        <f t="shared" ca="1" si="1555"/>
        <v>Kere</v>
      </c>
      <c r="D195" s="112">
        <f t="shared" ca="1" si="1563"/>
        <v>197</v>
      </c>
      <c r="E195" s="25"/>
      <c r="F195" s="26"/>
      <c r="G195" s="27"/>
      <c r="H195" s="28"/>
      <c r="I195" s="25"/>
      <c r="J195" s="25"/>
      <c r="K195" s="26"/>
      <c r="L195" s="62"/>
      <c r="M195" s="62" t="s">
        <v>245</v>
      </c>
      <c r="N195" s="32" t="s">
        <v>126</v>
      </c>
      <c r="O195" s="32"/>
      <c r="P195" s="32">
        <f t="shared" ca="1" si="1566"/>
        <v>56</v>
      </c>
      <c r="Q195" s="32" t="str">
        <f t="shared" ca="1" si="1567"/>
        <v>Luise</v>
      </c>
      <c r="R195" s="113">
        <f t="shared" ca="1" si="1568"/>
        <v>204.7</v>
      </c>
      <c r="S195" s="73">
        <v>58</v>
      </c>
      <c r="T195" s="32">
        <f t="shared" ca="1" si="1572"/>
        <v>204.70058</v>
      </c>
      <c r="U195" s="32"/>
      <c r="V195" s="61"/>
      <c r="W195" s="62"/>
      <c r="X195" s="62"/>
      <c r="Y195" s="63"/>
      <c r="Z195" s="73"/>
      <c r="AA195" s="32"/>
      <c r="AB195" s="32"/>
      <c r="AC195" s="61"/>
      <c r="AD195" s="27"/>
      <c r="AE195" s="27"/>
      <c r="AF195" s="27"/>
      <c r="AG195" s="28"/>
      <c r="AH195" s="25"/>
      <c r="AI195" s="27"/>
      <c r="AJ195" s="27"/>
      <c r="AK195" s="27"/>
      <c r="AL195" s="27"/>
      <c r="AM195" s="27"/>
      <c r="AN195" s="28"/>
      <c r="AO195" s="25"/>
      <c r="AP195" s="27"/>
      <c r="AQ195" s="27"/>
      <c r="AR195" s="27"/>
      <c r="AS195" s="27"/>
      <c r="AT195" s="27"/>
      <c r="AU195" s="28"/>
      <c r="AV195" s="25"/>
      <c r="AW195" s="27"/>
      <c r="AX195" s="27"/>
      <c r="AY195" s="27"/>
      <c r="AZ195" s="27"/>
      <c r="BA195" s="27"/>
      <c r="BB195" s="28"/>
      <c r="BC195" s="25"/>
      <c r="BD195" s="27"/>
      <c r="BE195" s="27"/>
      <c r="BF195" s="27"/>
      <c r="BG195" s="27"/>
      <c r="BH195" s="27"/>
      <c r="BI195" s="28"/>
      <c r="BJ195" s="25"/>
      <c r="BK195" s="27"/>
      <c r="BL195" s="27"/>
      <c r="BM195" s="27"/>
      <c r="BN195" s="27"/>
      <c r="BO195" s="27"/>
      <c r="BP195" s="28"/>
      <c r="BQ195" s="25"/>
      <c r="BR195" s="27"/>
      <c r="BS195" s="27"/>
      <c r="BT195" s="27"/>
      <c r="BU195" s="27"/>
      <c r="BV195" s="27"/>
      <c r="BW195" s="28"/>
      <c r="BX195" s="25"/>
      <c r="BY195" s="27"/>
      <c r="BZ195" s="27"/>
      <c r="CA195" s="27"/>
      <c r="CB195" s="27"/>
      <c r="CC195" s="27"/>
      <c r="CD195" s="28"/>
      <c r="CE195" s="25"/>
      <c r="CF195" s="27"/>
      <c r="CG195" s="27"/>
      <c r="CH195" s="27"/>
      <c r="CI195" s="27"/>
      <c r="CJ195" s="27"/>
      <c r="CK195" s="28"/>
      <c r="CL195" s="25"/>
      <c r="CM195" s="27"/>
      <c r="CN195" s="27"/>
      <c r="CO195" s="27"/>
      <c r="CP195" s="27"/>
      <c r="CQ195" s="27"/>
      <c r="CR195" s="28"/>
      <c r="CS195" s="25"/>
      <c r="CT195" s="27"/>
      <c r="CU195" s="27"/>
      <c r="CV195" s="27"/>
      <c r="CW195" s="27"/>
      <c r="CX195" s="27"/>
      <c r="CY195" s="28"/>
      <c r="CZ195" s="25"/>
      <c r="DA195" s="27"/>
      <c r="DB195" s="27"/>
      <c r="DC195" s="27"/>
      <c r="DD195" s="27"/>
      <c r="DE195" s="27"/>
      <c r="DF195" s="28"/>
      <c r="DG195" s="25"/>
      <c r="DH195" s="27"/>
      <c r="DI195" s="27"/>
      <c r="DJ195" s="27"/>
      <c r="DK195" s="27"/>
      <c r="DL195" s="27"/>
      <c r="DM195" s="28"/>
      <c r="DN195" s="25"/>
      <c r="DO195" s="27"/>
      <c r="DP195" s="27"/>
      <c r="DQ195" s="27"/>
      <c r="DR195" s="27"/>
      <c r="DS195" s="27"/>
      <c r="DT195" s="28"/>
      <c r="DU195" s="25"/>
      <c r="DV195" s="27"/>
      <c r="DW195" s="27"/>
      <c r="DX195" s="27"/>
      <c r="DY195" s="27"/>
      <c r="DZ195" s="27"/>
      <c r="EA195" s="28"/>
      <c r="EB195" s="25"/>
      <c r="EC195" s="27"/>
      <c r="ED195" s="27"/>
      <c r="EE195" s="27"/>
      <c r="EF195" s="27"/>
      <c r="EG195" s="27"/>
      <c r="EH195" s="28"/>
      <c r="EI195" s="25"/>
      <c r="EJ195" s="27"/>
      <c r="EK195" s="27"/>
      <c r="EL195" s="27"/>
      <c r="EM195" s="27"/>
      <c r="EN195" s="27"/>
      <c r="EO195" s="28"/>
      <c r="EP195" s="25"/>
      <c r="EQ195" s="27"/>
      <c r="ER195" s="27"/>
      <c r="ES195" s="27"/>
      <c r="ET195" s="27"/>
      <c r="EU195" s="27"/>
      <c r="EV195" s="28"/>
      <c r="EW195" s="25"/>
      <c r="EX195" s="27"/>
      <c r="EY195" s="27"/>
      <c r="EZ195" s="27"/>
      <c r="FA195" s="27"/>
      <c r="FB195" s="27"/>
      <c r="FC195" s="28"/>
      <c r="FD195" s="25"/>
      <c r="FE195" s="27"/>
      <c r="FF195" s="27"/>
      <c r="FG195" s="27"/>
      <c r="FH195" s="27"/>
      <c r="FI195" s="27"/>
      <c r="FJ195" s="28"/>
      <c r="FK195" s="25"/>
      <c r="FL195" s="27"/>
      <c r="FM195" s="27"/>
      <c r="FN195" s="27"/>
      <c r="FO195" s="27"/>
      <c r="FP195" s="27"/>
      <c r="FQ195" s="28"/>
      <c r="FR195" s="25"/>
      <c r="FS195" s="27"/>
      <c r="FT195" s="27"/>
      <c r="FU195" s="27"/>
      <c r="FV195" s="27"/>
      <c r="FW195" s="27"/>
      <c r="FX195" s="28"/>
      <c r="FY195" s="25"/>
      <c r="FZ195" s="27"/>
      <c r="GA195" s="27"/>
      <c r="GB195" s="27"/>
      <c r="GC195" s="27"/>
      <c r="GD195" s="27"/>
      <c r="GE195" s="28"/>
      <c r="GF195" s="25"/>
      <c r="GG195" s="27"/>
      <c r="GH195" s="27"/>
      <c r="GI195" s="27"/>
      <c r="GJ195" s="27"/>
      <c r="GK195" s="27"/>
      <c r="GL195" s="28"/>
      <c r="GM195" s="25"/>
      <c r="GN195" s="27"/>
      <c r="GO195" s="27"/>
      <c r="GP195" s="27"/>
      <c r="GQ195" s="27"/>
      <c r="GR195" s="27"/>
      <c r="GS195" s="28"/>
      <c r="GT195" s="25"/>
      <c r="GU195" s="27"/>
      <c r="GV195" s="27"/>
      <c r="GW195" s="27"/>
      <c r="GX195" s="27"/>
      <c r="GY195" s="27"/>
      <c r="GZ195" s="28"/>
      <c r="HA195" s="25"/>
      <c r="HB195" s="27"/>
      <c r="HC195" s="27"/>
      <c r="HD195" s="27"/>
      <c r="HE195" s="27"/>
      <c r="HF195" s="27"/>
      <c r="HG195" s="28"/>
      <c r="HH195" s="25"/>
      <c r="HI195" s="27"/>
      <c r="HJ195" s="27"/>
      <c r="HK195" s="27"/>
      <c r="HL195" s="27"/>
      <c r="HM195" s="27"/>
      <c r="HN195" s="28"/>
      <c r="HO195" s="25"/>
      <c r="HP195" s="27"/>
      <c r="HQ195" s="27"/>
      <c r="HR195" s="27"/>
      <c r="HS195" s="27"/>
      <c r="HT195" s="27"/>
      <c r="HU195" s="28"/>
      <c r="HV195" s="25"/>
      <c r="HW195" s="27"/>
      <c r="HX195" s="27"/>
      <c r="HY195" s="27"/>
      <c r="HZ195" s="27"/>
      <c r="IA195" s="27"/>
      <c r="IB195" s="28"/>
      <c r="IC195" s="25"/>
      <c r="ID195" s="27"/>
      <c r="IE195" s="27"/>
      <c r="IF195" s="27"/>
      <c r="IG195" s="27"/>
      <c r="IH195" s="27"/>
      <c r="II195" s="28"/>
      <c r="IJ195" s="25"/>
      <c r="IK195" s="27"/>
      <c r="IL195" s="27"/>
      <c r="IM195" s="27"/>
      <c r="IN195" s="27"/>
      <c r="IO195" s="27"/>
      <c r="IP195" s="28"/>
      <c r="IQ195" s="25"/>
      <c r="IR195" s="27"/>
      <c r="IS195" s="27"/>
      <c r="IT195" s="27"/>
      <c r="IU195" s="27"/>
      <c r="IV195" s="27"/>
      <c r="IW195" s="28"/>
      <c r="IX195" s="25"/>
      <c r="IY195" s="27"/>
      <c r="IZ195" s="27"/>
      <c r="JA195" s="27"/>
      <c r="JB195" s="27"/>
      <c r="JC195" s="27"/>
      <c r="JD195" s="28"/>
      <c r="JE195" s="25"/>
      <c r="JF195" s="27"/>
      <c r="JG195" s="27"/>
      <c r="JH195" s="27"/>
      <c r="JI195" s="27"/>
      <c r="JJ195" s="27"/>
      <c r="JK195" s="28"/>
      <c r="JL195" s="25"/>
      <c r="JM195" s="27"/>
      <c r="JN195" s="27"/>
      <c r="JO195" s="27"/>
      <c r="JP195" s="27"/>
      <c r="JQ195" s="27"/>
      <c r="JR195" s="28"/>
      <c r="JS195" s="25"/>
      <c r="JT195" s="27"/>
      <c r="JU195" s="27"/>
      <c r="JV195" s="27"/>
      <c r="JW195" s="27"/>
      <c r="JX195" s="27"/>
      <c r="JY195" s="28"/>
      <c r="JZ195" s="25"/>
      <c r="KA195" s="27"/>
      <c r="KB195" s="27"/>
      <c r="KC195" s="27"/>
      <c r="KD195" s="27"/>
      <c r="KE195" s="27"/>
      <c r="KF195" s="28"/>
      <c r="KG195" s="25"/>
      <c r="KH195" s="27"/>
      <c r="KI195" s="27"/>
      <c r="KJ195" s="27"/>
      <c r="KK195" s="27"/>
      <c r="KL195" s="27"/>
      <c r="KM195" s="28"/>
      <c r="KN195" s="25"/>
      <c r="KO195" s="27"/>
      <c r="KP195" s="27"/>
      <c r="KQ195" s="27"/>
      <c r="KR195" s="27"/>
      <c r="KS195" s="27"/>
      <c r="KT195" s="28"/>
      <c r="KU195" s="25"/>
      <c r="KV195" s="27"/>
      <c r="KW195" s="27"/>
      <c r="KX195" s="27"/>
      <c r="KY195" s="27"/>
      <c r="KZ195" s="27"/>
      <c r="LA195" s="28"/>
      <c r="LB195" s="25"/>
      <c r="LC195" s="27"/>
      <c r="LD195" s="27"/>
      <c r="LE195" s="27"/>
      <c r="LF195" s="27"/>
      <c r="LG195" s="27"/>
      <c r="LH195" s="28"/>
      <c r="LI195" s="25"/>
      <c r="LJ195" s="27"/>
      <c r="LK195" s="27"/>
      <c r="LL195" s="27"/>
      <c r="LM195" s="27"/>
      <c r="LN195" s="27"/>
      <c r="LO195" s="28"/>
      <c r="LP195" s="25"/>
      <c r="LQ195" s="27"/>
      <c r="LR195" s="27"/>
      <c r="LS195" s="27"/>
      <c r="LT195" s="27"/>
      <c r="LU195" s="27"/>
      <c r="LV195" s="28"/>
      <c r="LW195" s="25"/>
      <c r="LX195" s="27"/>
      <c r="LY195" s="27"/>
      <c r="LZ195" s="27"/>
      <c r="MA195" s="27"/>
      <c r="MB195" s="27"/>
      <c r="MC195" s="28"/>
      <c r="MD195" s="25"/>
      <c r="ME195" s="27"/>
      <c r="MF195" s="27"/>
      <c r="MG195" s="27"/>
      <c r="MH195" s="27"/>
      <c r="MI195" s="27"/>
      <c r="MJ195" s="28"/>
      <c r="MK195" s="25"/>
      <c r="ML195" s="27"/>
      <c r="MM195" s="27"/>
      <c r="MN195" s="27"/>
      <c r="MO195" s="27"/>
      <c r="MP195" s="27"/>
      <c r="MQ195" s="28"/>
      <c r="MR195" s="25"/>
      <c r="MS195" s="27"/>
      <c r="MT195" s="27"/>
      <c r="MU195" s="27"/>
      <c r="MV195" s="27"/>
      <c r="MW195" s="27"/>
      <c r="MX195" s="28"/>
      <c r="MY195" s="25"/>
      <c r="MZ195" s="27"/>
      <c r="NA195" s="27"/>
      <c r="NB195" s="27"/>
      <c r="NC195" s="27"/>
      <c r="ND195" s="27"/>
      <c r="NE195" s="28"/>
      <c r="NF195" s="25"/>
      <c r="NG195" s="27"/>
      <c r="NH195" s="27"/>
      <c r="NI195" s="27"/>
      <c r="NJ195" s="27"/>
      <c r="NK195" s="27"/>
      <c r="NL195" s="28"/>
      <c r="NM195" s="25"/>
      <c r="NN195" s="27"/>
      <c r="NO195" s="27"/>
      <c r="NP195" s="27"/>
      <c r="NQ195" s="27"/>
      <c r="NR195" s="27"/>
      <c r="NS195" s="28"/>
      <c r="NT195" s="25"/>
      <c r="NU195" s="27"/>
      <c r="NV195" s="27"/>
      <c r="NW195" s="27"/>
      <c r="NX195" s="27"/>
      <c r="NY195" s="27"/>
      <c r="NZ195" s="28"/>
      <c r="OA195" s="25"/>
      <c r="OB195" s="27"/>
      <c r="OC195" s="27"/>
      <c r="OD195" s="27"/>
      <c r="OE195" s="27"/>
      <c r="OF195" s="27"/>
      <c r="OG195" s="28"/>
      <c r="OH195" s="25"/>
      <c r="OI195" s="27"/>
      <c r="OJ195" s="27"/>
      <c r="OK195" s="27"/>
      <c r="OL195" s="27"/>
      <c r="OM195" s="27"/>
      <c r="ON195" s="28"/>
      <c r="OO195" s="25"/>
      <c r="OP195" s="27"/>
      <c r="OQ195" s="27"/>
      <c r="OR195" s="27"/>
      <c r="OS195" s="27"/>
      <c r="OT195" s="27"/>
      <c r="OU195" s="28"/>
      <c r="OV195" s="25"/>
      <c r="OW195" s="27"/>
      <c r="OX195" s="27"/>
      <c r="OY195" s="27"/>
      <c r="OZ195" s="27"/>
      <c r="PA195" s="27"/>
      <c r="PB195" s="28"/>
      <c r="PC195" s="25"/>
      <c r="PD195" s="27"/>
      <c r="PE195" s="27"/>
      <c r="PF195" s="27"/>
      <c r="PG195" s="27"/>
      <c r="PH195" s="27"/>
      <c r="PI195" s="28"/>
      <c r="PJ195" s="25"/>
      <c r="PK195" s="27"/>
      <c r="PL195" s="27"/>
      <c r="PM195" s="27"/>
      <c r="PN195" s="27"/>
      <c r="PO195" s="27"/>
      <c r="PP195" s="28"/>
      <c r="PQ195" s="25"/>
      <c r="PR195" s="27"/>
      <c r="PS195" s="27"/>
      <c r="PT195" s="27"/>
      <c r="PU195" s="27"/>
      <c r="PV195" s="27"/>
      <c r="PW195" s="28"/>
      <c r="PX195" s="25"/>
      <c r="PY195" s="27"/>
      <c r="PZ195" s="27"/>
      <c r="QA195" s="27"/>
      <c r="QB195" s="27"/>
      <c r="QC195" s="27"/>
      <c r="QD195" s="28"/>
      <c r="QE195" s="25"/>
      <c r="QF195" s="27"/>
      <c r="QG195" s="27"/>
      <c r="QH195" s="27"/>
      <c r="QI195" s="27"/>
      <c r="QJ195" s="27"/>
      <c r="QK195" s="28"/>
      <c r="QL195" s="25"/>
      <c r="QM195" s="27"/>
      <c r="QN195" s="27"/>
      <c r="QO195" s="27"/>
      <c r="QP195" s="27"/>
      <c r="QQ195" s="27"/>
      <c r="QR195" s="28"/>
      <c r="QS195" s="25"/>
      <c r="QT195" s="27"/>
      <c r="QU195" s="27"/>
      <c r="QV195" s="27"/>
      <c r="QW195" s="27"/>
      <c r="QX195" s="27"/>
      <c r="QY195" s="28"/>
      <c r="QZ195" s="25"/>
      <c r="RA195" s="27"/>
      <c r="RB195" s="27"/>
      <c r="RC195" s="27"/>
      <c r="RD195" s="27"/>
      <c r="RE195" s="27"/>
      <c r="RF195" s="28"/>
      <c r="RG195" s="25"/>
      <c r="RH195" s="27"/>
      <c r="RI195" s="27"/>
      <c r="RJ195" s="27"/>
      <c r="RK195" s="27"/>
      <c r="RL195" s="27"/>
      <c r="RM195" s="28"/>
      <c r="RN195" s="25"/>
      <c r="RO195" s="27"/>
      <c r="RP195" s="27"/>
      <c r="RQ195" s="27"/>
      <c r="RR195" s="27"/>
      <c r="RS195" s="27"/>
      <c r="RT195" s="28"/>
      <c r="RU195" s="25"/>
      <c r="RV195" s="27"/>
      <c r="RW195" s="27"/>
      <c r="RX195" s="27"/>
      <c r="RY195" s="27"/>
      <c r="RZ195" s="27"/>
      <c r="SA195" s="28"/>
      <c r="SB195" s="25"/>
      <c r="SC195" s="27"/>
      <c r="SD195" s="27"/>
      <c r="SE195" s="27"/>
      <c r="SF195" s="27"/>
      <c r="SG195" s="27"/>
      <c r="SH195" s="28"/>
      <c r="SI195" s="25"/>
      <c r="SJ195" s="27"/>
      <c r="SK195" s="27"/>
      <c r="SL195" s="27"/>
      <c r="SM195" s="27"/>
      <c r="SN195" s="27"/>
      <c r="SO195" s="28"/>
      <c r="SP195" s="25"/>
      <c r="SQ195" s="27"/>
      <c r="SR195" s="27"/>
    </row>
    <row r="196" spans="1:512" x14ac:dyDescent="0.15">
      <c r="A196" s="101">
        <f t="shared" ca="1" si="1562"/>
        <v>59</v>
      </c>
      <c r="B196" s="111">
        <v>59</v>
      </c>
      <c r="C196" s="71" t="str">
        <f t="shared" ca="1" si="1555"/>
        <v>Rebecca</v>
      </c>
      <c r="D196" s="112">
        <f t="shared" ca="1" si="1563"/>
        <v>193.4</v>
      </c>
      <c r="E196" s="25"/>
      <c r="F196" s="26"/>
      <c r="G196" s="27"/>
      <c r="H196" s="28"/>
      <c r="I196" s="25"/>
      <c r="J196" s="25"/>
      <c r="K196" s="26"/>
      <c r="L196" s="62"/>
      <c r="M196" s="32" t="s">
        <v>246</v>
      </c>
      <c r="N196" s="62" t="s">
        <v>127</v>
      </c>
      <c r="O196" s="32"/>
      <c r="P196" s="32">
        <f t="shared" ca="1" si="1566"/>
        <v>22</v>
      </c>
      <c r="Q196" s="32" t="str">
        <f t="shared" ca="1" si="1567"/>
        <v>Frank</v>
      </c>
      <c r="R196" s="113">
        <f t="shared" ca="1" si="1568"/>
        <v>234.2</v>
      </c>
      <c r="S196" s="73">
        <v>59</v>
      </c>
      <c r="T196" s="32">
        <f t="shared" ca="1" si="1572"/>
        <v>234.20058999999998</v>
      </c>
      <c r="U196" s="32"/>
      <c r="V196" s="61"/>
      <c r="W196" s="62"/>
      <c r="X196" s="62"/>
      <c r="Y196" s="115"/>
      <c r="Z196" s="73"/>
      <c r="AA196" s="32"/>
      <c r="AB196" s="32"/>
      <c r="AC196" s="61"/>
      <c r="AD196" s="27"/>
      <c r="AE196" s="27"/>
      <c r="AF196" s="27"/>
      <c r="AG196" s="28"/>
      <c r="AH196" s="25"/>
      <c r="AI196" s="27"/>
      <c r="AJ196" s="27"/>
      <c r="AK196" s="27"/>
      <c r="AL196" s="27"/>
      <c r="AM196" s="27"/>
      <c r="AN196" s="28"/>
      <c r="AO196" s="25"/>
      <c r="AP196" s="27"/>
      <c r="AQ196" s="27"/>
      <c r="AR196" s="27"/>
      <c r="AS196" s="27"/>
      <c r="AT196" s="27"/>
      <c r="AU196" s="28"/>
      <c r="AV196" s="25"/>
      <c r="AW196" s="27"/>
      <c r="AX196" s="27"/>
      <c r="AY196" s="27"/>
      <c r="AZ196" s="27"/>
      <c r="BA196" s="27"/>
      <c r="BB196" s="28"/>
      <c r="BC196" s="25"/>
      <c r="BD196" s="27"/>
      <c r="BE196" s="27"/>
      <c r="BF196" s="27"/>
      <c r="BG196" s="27"/>
      <c r="BH196" s="27"/>
      <c r="BI196" s="28"/>
      <c r="BJ196" s="25"/>
      <c r="BK196" s="27"/>
      <c r="BL196" s="27"/>
      <c r="BM196" s="27"/>
      <c r="BN196" s="27"/>
      <c r="BO196" s="27"/>
      <c r="BP196" s="28"/>
      <c r="BQ196" s="25"/>
      <c r="BR196" s="27"/>
      <c r="BS196" s="27"/>
      <c r="BT196" s="27"/>
      <c r="BU196" s="27"/>
      <c r="BV196" s="27"/>
      <c r="BW196" s="28"/>
      <c r="BX196" s="25"/>
      <c r="BY196" s="27"/>
      <c r="BZ196" s="27"/>
      <c r="CA196" s="27"/>
      <c r="CB196" s="27"/>
      <c r="CC196" s="27"/>
      <c r="CD196" s="28"/>
      <c r="CE196" s="25"/>
      <c r="CF196" s="27"/>
      <c r="CG196" s="27"/>
      <c r="CH196" s="27"/>
      <c r="CI196" s="27"/>
      <c r="CJ196" s="27"/>
      <c r="CK196" s="28"/>
      <c r="CL196" s="25"/>
      <c r="CM196" s="27"/>
      <c r="CN196" s="27"/>
      <c r="CO196" s="27"/>
      <c r="CP196" s="27"/>
      <c r="CQ196" s="27"/>
      <c r="CR196" s="28"/>
      <c r="CS196" s="25"/>
      <c r="CT196" s="27"/>
      <c r="CU196" s="27"/>
      <c r="CV196" s="27"/>
      <c r="CW196" s="27"/>
      <c r="CX196" s="27"/>
      <c r="CY196" s="28"/>
      <c r="CZ196" s="25"/>
      <c r="DA196" s="27"/>
      <c r="DB196" s="27"/>
      <c r="DC196" s="27"/>
      <c r="DD196" s="27"/>
      <c r="DE196" s="27"/>
      <c r="DF196" s="28"/>
      <c r="DG196" s="25"/>
      <c r="DH196" s="27"/>
      <c r="DI196" s="27"/>
      <c r="DJ196" s="27"/>
      <c r="DK196" s="27"/>
      <c r="DL196" s="27"/>
      <c r="DM196" s="28"/>
      <c r="DN196" s="25"/>
      <c r="DO196" s="27"/>
      <c r="DP196" s="27"/>
      <c r="DQ196" s="27"/>
      <c r="DR196" s="27"/>
      <c r="DS196" s="27"/>
      <c r="DT196" s="28"/>
      <c r="DU196" s="25"/>
      <c r="DV196" s="27"/>
      <c r="DW196" s="27"/>
      <c r="DX196" s="27"/>
      <c r="DY196" s="27"/>
      <c r="DZ196" s="27"/>
      <c r="EA196" s="28"/>
      <c r="EB196" s="25"/>
      <c r="EC196" s="27"/>
      <c r="ED196" s="27"/>
      <c r="EE196" s="27"/>
      <c r="EF196" s="27"/>
      <c r="EG196" s="27"/>
      <c r="EH196" s="28"/>
      <c r="EI196" s="25"/>
      <c r="EJ196" s="27"/>
      <c r="EK196" s="27"/>
      <c r="EL196" s="27"/>
      <c r="EM196" s="27"/>
      <c r="EN196" s="27"/>
      <c r="EO196" s="28"/>
      <c r="EP196" s="25"/>
      <c r="EQ196" s="27"/>
      <c r="ER196" s="27"/>
      <c r="ES196" s="27"/>
      <c r="ET196" s="27"/>
      <c r="EU196" s="27"/>
      <c r="EV196" s="28"/>
      <c r="EW196" s="25"/>
      <c r="EX196" s="27"/>
      <c r="EY196" s="27"/>
      <c r="EZ196" s="27"/>
      <c r="FA196" s="27"/>
      <c r="FB196" s="27"/>
      <c r="FC196" s="28"/>
      <c r="FD196" s="25"/>
      <c r="FE196" s="27"/>
      <c r="FF196" s="27"/>
      <c r="FG196" s="27"/>
      <c r="FH196" s="27"/>
      <c r="FI196" s="27"/>
      <c r="FJ196" s="28"/>
      <c r="FK196" s="25"/>
      <c r="FL196" s="27"/>
      <c r="FM196" s="27"/>
      <c r="FN196" s="27"/>
      <c r="FO196" s="27"/>
      <c r="FP196" s="27"/>
      <c r="FQ196" s="28"/>
      <c r="FR196" s="25"/>
      <c r="FS196" s="27"/>
      <c r="FT196" s="27"/>
      <c r="FU196" s="27"/>
      <c r="FV196" s="27"/>
      <c r="FW196" s="27"/>
      <c r="FX196" s="28"/>
      <c r="FY196" s="25"/>
      <c r="FZ196" s="27"/>
      <c r="GA196" s="27"/>
      <c r="GB196" s="27"/>
      <c r="GC196" s="27"/>
      <c r="GD196" s="27"/>
      <c r="GE196" s="28"/>
      <c r="GF196" s="25"/>
      <c r="GG196" s="27"/>
      <c r="GH196" s="27"/>
      <c r="GI196" s="27"/>
      <c r="GJ196" s="27"/>
      <c r="GK196" s="27"/>
      <c r="GL196" s="28"/>
      <c r="GM196" s="25"/>
      <c r="GN196" s="27"/>
      <c r="GO196" s="27"/>
      <c r="GP196" s="27"/>
      <c r="GQ196" s="27"/>
      <c r="GR196" s="27"/>
      <c r="GS196" s="28"/>
      <c r="GT196" s="25"/>
      <c r="GU196" s="27"/>
      <c r="GV196" s="27"/>
      <c r="GW196" s="27"/>
      <c r="GX196" s="27"/>
      <c r="GY196" s="27"/>
      <c r="GZ196" s="28"/>
      <c r="HA196" s="25"/>
      <c r="HB196" s="27"/>
      <c r="HC196" s="27"/>
      <c r="HD196" s="27"/>
      <c r="HE196" s="27"/>
      <c r="HF196" s="27"/>
      <c r="HG196" s="28"/>
      <c r="HH196" s="25"/>
      <c r="HI196" s="27"/>
      <c r="HJ196" s="27"/>
      <c r="HK196" s="27"/>
      <c r="HL196" s="27"/>
      <c r="HM196" s="27"/>
      <c r="HN196" s="28"/>
      <c r="HO196" s="25"/>
      <c r="HP196" s="27"/>
      <c r="HQ196" s="27"/>
      <c r="HR196" s="27"/>
      <c r="HS196" s="27"/>
      <c r="HT196" s="27"/>
      <c r="HU196" s="28"/>
      <c r="HV196" s="25"/>
      <c r="HW196" s="27"/>
      <c r="HX196" s="27"/>
      <c r="HY196" s="27"/>
      <c r="HZ196" s="27"/>
      <c r="IA196" s="27"/>
      <c r="IB196" s="28"/>
      <c r="IC196" s="25"/>
      <c r="ID196" s="27"/>
      <c r="IE196" s="27"/>
      <c r="IF196" s="27"/>
      <c r="IG196" s="27"/>
      <c r="IH196" s="27"/>
      <c r="II196" s="28"/>
      <c r="IJ196" s="25"/>
      <c r="IK196" s="27"/>
      <c r="IL196" s="27"/>
      <c r="IM196" s="27"/>
      <c r="IN196" s="27"/>
      <c r="IO196" s="27"/>
      <c r="IP196" s="28"/>
      <c r="IQ196" s="25"/>
      <c r="IR196" s="27"/>
      <c r="IS196" s="27"/>
      <c r="IT196" s="27"/>
      <c r="IU196" s="27"/>
      <c r="IV196" s="27"/>
      <c r="IW196" s="28"/>
      <c r="IX196" s="25"/>
      <c r="IY196" s="27"/>
      <c r="IZ196" s="27"/>
      <c r="JA196" s="27"/>
      <c r="JB196" s="27"/>
      <c r="JC196" s="27"/>
      <c r="JD196" s="28"/>
      <c r="JE196" s="25"/>
      <c r="JF196" s="27"/>
      <c r="JG196" s="27"/>
      <c r="JH196" s="27"/>
      <c r="JI196" s="27"/>
      <c r="JJ196" s="27"/>
      <c r="JK196" s="28"/>
      <c r="JL196" s="25"/>
      <c r="JM196" s="27"/>
      <c r="JN196" s="27"/>
      <c r="JO196" s="27"/>
      <c r="JP196" s="27"/>
      <c r="JQ196" s="27"/>
      <c r="JR196" s="28"/>
      <c r="JS196" s="25"/>
      <c r="JT196" s="27"/>
      <c r="JU196" s="27"/>
      <c r="JV196" s="27"/>
      <c r="JW196" s="27"/>
      <c r="JX196" s="27"/>
      <c r="JY196" s="28"/>
      <c r="JZ196" s="25"/>
      <c r="KA196" s="27"/>
      <c r="KB196" s="27"/>
      <c r="KC196" s="27"/>
      <c r="KD196" s="27"/>
      <c r="KE196" s="27"/>
      <c r="KF196" s="28"/>
      <c r="KG196" s="25"/>
      <c r="KH196" s="27"/>
      <c r="KI196" s="27"/>
      <c r="KJ196" s="27"/>
      <c r="KK196" s="27"/>
      <c r="KL196" s="27"/>
      <c r="KM196" s="28"/>
      <c r="KN196" s="25"/>
      <c r="KO196" s="27"/>
      <c r="KP196" s="27"/>
      <c r="KQ196" s="27"/>
      <c r="KR196" s="27"/>
      <c r="KS196" s="27"/>
      <c r="KT196" s="28"/>
      <c r="KU196" s="25"/>
      <c r="KV196" s="27"/>
      <c r="KW196" s="27"/>
      <c r="KX196" s="27"/>
      <c r="KY196" s="27"/>
      <c r="KZ196" s="27"/>
      <c r="LA196" s="28"/>
      <c r="LB196" s="25"/>
      <c r="LC196" s="27"/>
      <c r="LD196" s="27"/>
      <c r="LE196" s="27"/>
      <c r="LF196" s="27"/>
      <c r="LG196" s="27"/>
      <c r="LH196" s="28"/>
      <c r="LI196" s="25"/>
      <c r="LJ196" s="27"/>
      <c r="LK196" s="27"/>
      <c r="LL196" s="27"/>
      <c r="LM196" s="27"/>
      <c r="LN196" s="27"/>
      <c r="LO196" s="28"/>
      <c r="LP196" s="25"/>
      <c r="LQ196" s="27"/>
      <c r="LR196" s="27"/>
      <c r="LS196" s="27"/>
      <c r="LT196" s="27"/>
      <c r="LU196" s="27"/>
      <c r="LV196" s="28"/>
      <c r="LW196" s="25"/>
      <c r="LX196" s="27"/>
      <c r="LY196" s="27"/>
      <c r="LZ196" s="27"/>
      <c r="MA196" s="27"/>
      <c r="MB196" s="27"/>
      <c r="MC196" s="28"/>
      <c r="MD196" s="25"/>
      <c r="ME196" s="27"/>
      <c r="MF196" s="27"/>
      <c r="MG196" s="27"/>
      <c r="MH196" s="27"/>
      <c r="MI196" s="27"/>
      <c r="MJ196" s="28"/>
      <c r="MK196" s="25"/>
      <c r="ML196" s="27"/>
      <c r="MM196" s="27"/>
      <c r="MN196" s="27"/>
      <c r="MO196" s="27"/>
      <c r="MP196" s="27"/>
      <c r="MQ196" s="28"/>
      <c r="MR196" s="25"/>
      <c r="MS196" s="27"/>
      <c r="MT196" s="27"/>
      <c r="MU196" s="27"/>
      <c r="MV196" s="27"/>
      <c r="MW196" s="27"/>
      <c r="MX196" s="28"/>
      <c r="MY196" s="25"/>
      <c r="MZ196" s="27"/>
      <c r="NA196" s="27"/>
      <c r="NB196" s="27"/>
      <c r="NC196" s="27"/>
      <c r="ND196" s="27"/>
      <c r="NE196" s="28"/>
      <c r="NF196" s="25"/>
      <c r="NG196" s="27"/>
      <c r="NH196" s="27"/>
      <c r="NI196" s="27"/>
      <c r="NJ196" s="27"/>
      <c r="NK196" s="27"/>
      <c r="NL196" s="28"/>
      <c r="NM196" s="25"/>
      <c r="NN196" s="27"/>
      <c r="NO196" s="27"/>
      <c r="NP196" s="27"/>
      <c r="NQ196" s="27"/>
      <c r="NR196" s="27"/>
      <c r="NS196" s="28"/>
      <c r="NT196" s="25"/>
      <c r="NU196" s="27"/>
      <c r="NV196" s="27"/>
      <c r="NW196" s="27"/>
      <c r="NX196" s="27"/>
      <c r="NY196" s="27"/>
      <c r="NZ196" s="28"/>
      <c r="OA196" s="25"/>
      <c r="OB196" s="27"/>
      <c r="OC196" s="27"/>
      <c r="OD196" s="27"/>
      <c r="OE196" s="27"/>
      <c r="OF196" s="27"/>
      <c r="OG196" s="28"/>
      <c r="OH196" s="25"/>
      <c r="OI196" s="27"/>
      <c r="OJ196" s="27"/>
      <c r="OK196" s="27"/>
      <c r="OL196" s="27"/>
      <c r="OM196" s="27"/>
      <c r="ON196" s="28"/>
      <c r="OO196" s="25"/>
      <c r="OP196" s="27"/>
      <c r="OQ196" s="27"/>
      <c r="OR196" s="27"/>
      <c r="OS196" s="27"/>
      <c r="OT196" s="27"/>
      <c r="OU196" s="28"/>
      <c r="OV196" s="25"/>
      <c r="OW196" s="27"/>
      <c r="OX196" s="27"/>
      <c r="OY196" s="27"/>
      <c r="OZ196" s="27"/>
      <c r="PA196" s="27"/>
      <c r="PB196" s="28"/>
      <c r="PC196" s="25"/>
      <c r="PD196" s="27"/>
      <c r="PE196" s="27"/>
      <c r="PF196" s="27"/>
      <c r="PG196" s="27"/>
      <c r="PH196" s="27"/>
      <c r="PI196" s="28"/>
      <c r="PJ196" s="25"/>
      <c r="PK196" s="27"/>
      <c r="PL196" s="27"/>
      <c r="PM196" s="27"/>
      <c r="PN196" s="27"/>
      <c r="PO196" s="27"/>
      <c r="PP196" s="28"/>
      <c r="PQ196" s="25"/>
      <c r="PR196" s="27"/>
      <c r="PS196" s="27"/>
      <c r="PT196" s="27"/>
      <c r="PU196" s="27"/>
      <c r="PV196" s="27"/>
      <c r="PW196" s="28"/>
      <c r="PX196" s="25"/>
      <c r="PY196" s="27"/>
      <c r="PZ196" s="27"/>
      <c r="QA196" s="27"/>
      <c r="QB196" s="27"/>
      <c r="QC196" s="27"/>
      <c r="QD196" s="28"/>
      <c r="QE196" s="25"/>
      <c r="QF196" s="27"/>
      <c r="QG196" s="27"/>
      <c r="QH196" s="27"/>
      <c r="QI196" s="27"/>
      <c r="QJ196" s="27"/>
      <c r="QK196" s="28"/>
      <c r="QL196" s="25"/>
      <c r="QM196" s="27"/>
      <c r="QN196" s="27"/>
      <c r="QO196" s="27"/>
      <c r="QP196" s="27"/>
      <c r="QQ196" s="27"/>
      <c r="QR196" s="28"/>
      <c r="QS196" s="25"/>
      <c r="QT196" s="27"/>
      <c r="QU196" s="27"/>
      <c r="QV196" s="27"/>
      <c r="QW196" s="27"/>
      <c r="QX196" s="27"/>
      <c r="QY196" s="28"/>
      <c r="QZ196" s="25"/>
      <c r="RA196" s="27"/>
      <c r="RB196" s="27"/>
      <c r="RC196" s="27"/>
      <c r="RD196" s="27"/>
      <c r="RE196" s="27"/>
      <c r="RF196" s="28"/>
      <c r="RG196" s="25"/>
      <c r="RH196" s="27"/>
      <c r="RI196" s="27"/>
      <c r="RJ196" s="27"/>
      <c r="RK196" s="27"/>
      <c r="RL196" s="27"/>
      <c r="RM196" s="28"/>
      <c r="RN196" s="25"/>
      <c r="RO196" s="27"/>
      <c r="RP196" s="27"/>
      <c r="RQ196" s="27"/>
      <c r="RR196" s="27"/>
      <c r="RS196" s="27"/>
      <c r="RT196" s="28"/>
      <c r="RU196" s="25"/>
      <c r="RV196" s="27"/>
      <c r="RW196" s="27"/>
      <c r="RX196" s="27"/>
      <c r="RY196" s="27"/>
      <c r="RZ196" s="27"/>
      <c r="SA196" s="28"/>
      <c r="SB196" s="25"/>
      <c r="SC196" s="27"/>
      <c r="SD196" s="27"/>
      <c r="SE196" s="27"/>
      <c r="SF196" s="27"/>
      <c r="SG196" s="27"/>
      <c r="SH196" s="28"/>
      <c r="SI196" s="25"/>
      <c r="SJ196" s="27"/>
      <c r="SK196" s="27"/>
      <c r="SL196" s="27"/>
      <c r="SM196" s="27"/>
      <c r="SN196" s="27"/>
      <c r="SO196" s="28"/>
      <c r="SP196" s="25"/>
      <c r="SQ196" s="27"/>
      <c r="SR196" s="27"/>
    </row>
    <row r="197" spans="1:512" x14ac:dyDescent="0.15">
      <c r="A197" s="101">
        <f t="shared" ca="1" si="1562"/>
        <v>60</v>
      </c>
      <c r="B197" s="111">
        <v>60</v>
      </c>
      <c r="C197" s="71" t="str">
        <f t="shared" ca="1" si="1555"/>
        <v>Daphne</v>
      </c>
      <c r="D197" s="112">
        <f t="shared" ca="1" si="1563"/>
        <v>191.70000000000002</v>
      </c>
      <c r="E197" s="25"/>
      <c r="F197" s="26"/>
      <c r="G197" s="27"/>
      <c r="H197" s="28"/>
      <c r="I197" s="25"/>
      <c r="J197" s="25"/>
      <c r="K197" s="26"/>
      <c r="L197" s="62"/>
      <c r="M197" s="61" t="s">
        <v>247</v>
      </c>
      <c r="N197" s="63" t="s">
        <v>128</v>
      </c>
      <c r="O197" s="32"/>
      <c r="P197" s="32">
        <f t="shared" ca="1" si="1566"/>
        <v>29</v>
      </c>
      <c r="Q197" s="32" t="str">
        <f t="shared" ca="1" si="1567"/>
        <v>Peter</v>
      </c>
      <c r="R197" s="113">
        <f t="shared" ca="1" si="1568"/>
        <v>225.9</v>
      </c>
      <c r="S197" s="73">
        <v>60</v>
      </c>
      <c r="T197" s="32">
        <f t="shared" ca="1" si="1572"/>
        <v>225.9006</v>
      </c>
      <c r="U197" s="32"/>
      <c r="V197" s="61"/>
      <c r="W197" s="62"/>
      <c r="X197" s="62"/>
      <c r="Y197" s="63"/>
      <c r="Z197" s="73"/>
      <c r="AA197" s="32"/>
      <c r="AB197" s="32"/>
      <c r="AC197" s="61"/>
      <c r="AD197" s="27"/>
      <c r="AE197" s="27"/>
      <c r="AF197" s="27"/>
      <c r="AG197" s="28"/>
      <c r="AH197" s="25"/>
      <c r="AI197" s="27"/>
      <c r="AJ197" s="27"/>
      <c r="AK197" s="27"/>
      <c r="AL197" s="27"/>
      <c r="AM197" s="27"/>
      <c r="AN197" s="28"/>
      <c r="AO197" s="25"/>
      <c r="AP197" s="27"/>
      <c r="AQ197" s="27"/>
      <c r="AR197" s="27"/>
      <c r="AS197" s="27"/>
      <c r="AT197" s="27"/>
      <c r="AU197" s="28"/>
      <c r="AV197" s="25"/>
      <c r="AW197" s="27"/>
      <c r="AX197" s="27"/>
      <c r="AY197" s="27"/>
      <c r="AZ197" s="27"/>
      <c r="BA197" s="27"/>
      <c r="BB197" s="28"/>
      <c r="BC197" s="25"/>
      <c r="BD197" s="27"/>
      <c r="BE197" s="27"/>
      <c r="BF197" s="27"/>
      <c r="BG197" s="27"/>
      <c r="BH197" s="27"/>
      <c r="BI197" s="28"/>
      <c r="BJ197" s="25"/>
      <c r="BK197" s="27"/>
      <c r="BL197" s="27"/>
      <c r="BM197" s="27"/>
      <c r="BN197" s="27"/>
      <c r="BO197" s="27"/>
      <c r="BP197" s="28"/>
      <c r="BQ197" s="25"/>
      <c r="BR197" s="27"/>
      <c r="BS197" s="27"/>
      <c r="BT197" s="27"/>
      <c r="BU197" s="27"/>
      <c r="BV197" s="27"/>
      <c r="BW197" s="28"/>
      <c r="BX197" s="25"/>
      <c r="BY197" s="27"/>
      <c r="BZ197" s="27"/>
      <c r="CA197" s="27"/>
      <c r="CB197" s="27"/>
      <c r="CC197" s="27"/>
      <c r="CD197" s="28"/>
      <c r="CE197" s="25"/>
      <c r="CF197" s="27"/>
      <c r="CG197" s="27"/>
      <c r="CH197" s="27"/>
      <c r="CI197" s="27"/>
      <c r="CJ197" s="27"/>
      <c r="CK197" s="28"/>
      <c r="CL197" s="25"/>
      <c r="CM197" s="27"/>
      <c r="CN197" s="27"/>
      <c r="CO197" s="27"/>
      <c r="CP197" s="27"/>
      <c r="CQ197" s="27"/>
      <c r="CR197" s="28"/>
      <c r="CS197" s="25"/>
      <c r="CT197" s="27"/>
      <c r="CU197" s="27"/>
      <c r="CV197" s="27"/>
      <c r="CW197" s="27"/>
      <c r="CX197" s="27"/>
      <c r="CY197" s="28"/>
      <c r="CZ197" s="25"/>
      <c r="DA197" s="27"/>
      <c r="DB197" s="27"/>
      <c r="DC197" s="27"/>
      <c r="DD197" s="27"/>
      <c r="DE197" s="27"/>
      <c r="DF197" s="28"/>
      <c r="DG197" s="25"/>
      <c r="DH197" s="27"/>
      <c r="DI197" s="27"/>
      <c r="DJ197" s="27"/>
      <c r="DK197" s="27"/>
      <c r="DL197" s="27"/>
      <c r="DM197" s="28"/>
      <c r="DN197" s="25"/>
      <c r="DO197" s="27"/>
      <c r="DP197" s="27"/>
      <c r="DQ197" s="27"/>
      <c r="DR197" s="27"/>
      <c r="DS197" s="27"/>
      <c r="DT197" s="28"/>
      <c r="DU197" s="25"/>
      <c r="DV197" s="27"/>
      <c r="DW197" s="27"/>
      <c r="DX197" s="27"/>
      <c r="DY197" s="27"/>
      <c r="DZ197" s="27"/>
      <c r="EA197" s="28"/>
      <c r="EB197" s="25"/>
      <c r="EC197" s="27"/>
      <c r="ED197" s="27"/>
      <c r="EE197" s="27"/>
      <c r="EF197" s="27"/>
      <c r="EG197" s="27"/>
      <c r="EH197" s="28"/>
      <c r="EI197" s="25"/>
      <c r="EJ197" s="27"/>
      <c r="EK197" s="27"/>
      <c r="EL197" s="27"/>
      <c r="EM197" s="27"/>
      <c r="EN197" s="27"/>
      <c r="EO197" s="28"/>
      <c r="EP197" s="25"/>
      <c r="EQ197" s="27"/>
      <c r="ER197" s="27"/>
      <c r="ES197" s="27"/>
      <c r="ET197" s="27"/>
      <c r="EU197" s="27"/>
      <c r="EV197" s="28"/>
      <c r="EW197" s="25"/>
      <c r="EX197" s="27"/>
      <c r="EY197" s="27"/>
      <c r="EZ197" s="27"/>
      <c r="FA197" s="27"/>
      <c r="FB197" s="27"/>
      <c r="FC197" s="28"/>
      <c r="FD197" s="25"/>
      <c r="FE197" s="27"/>
      <c r="FF197" s="27"/>
      <c r="FG197" s="27"/>
      <c r="FH197" s="27"/>
      <c r="FI197" s="27"/>
      <c r="FJ197" s="28"/>
      <c r="FK197" s="25"/>
      <c r="FL197" s="27"/>
      <c r="FM197" s="27"/>
      <c r="FN197" s="27"/>
      <c r="FO197" s="27"/>
      <c r="FP197" s="27"/>
      <c r="FQ197" s="28"/>
      <c r="FR197" s="25"/>
      <c r="FS197" s="27"/>
      <c r="FT197" s="27"/>
      <c r="FU197" s="27"/>
      <c r="FV197" s="27"/>
      <c r="FW197" s="27"/>
      <c r="FX197" s="28"/>
      <c r="FY197" s="25"/>
      <c r="FZ197" s="27"/>
      <c r="GA197" s="27"/>
      <c r="GB197" s="27"/>
      <c r="GC197" s="27"/>
      <c r="GD197" s="27"/>
      <c r="GE197" s="28"/>
      <c r="GF197" s="25"/>
      <c r="GG197" s="27"/>
      <c r="GH197" s="27"/>
      <c r="GI197" s="27"/>
      <c r="GJ197" s="27"/>
      <c r="GK197" s="27"/>
      <c r="GL197" s="28"/>
      <c r="GM197" s="25"/>
      <c r="GN197" s="27"/>
      <c r="GO197" s="27"/>
      <c r="GP197" s="27"/>
      <c r="GQ197" s="27"/>
      <c r="GR197" s="27"/>
      <c r="GS197" s="28"/>
      <c r="GT197" s="25"/>
      <c r="GU197" s="27"/>
      <c r="GV197" s="27"/>
      <c r="GW197" s="27"/>
      <c r="GX197" s="27"/>
      <c r="GY197" s="27"/>
      <c r="GZ197" s="28"/>
      <c r="HA197" s="25"/>
      <c r="HB197" s="27"/>
      <c r="HC197" s="27"/>
      <c r="HD197" s="27"/>
      <c r="HE197" s="27"/>
      <c r="HF197" s="27"/>
      <c r="HG197" s="28"/>
      <c r="HH197" s="25"/>
      <c r="HI197" s="27"/>
      <c r="HJ197" s="27"/>
      <c r="HK197" s="27"/>
      <c r="HL197" s="27"/>
      <c r="HM197" s="27"/>
      <c r="HN197" s="28"/>
      <c r="HO197" s="25"/>
      <c r="HP197" s="27"/>
      <c r="HQ197" s="27"/>
      <c r="HR197" s="27"/>
      <c r="HS197" s="27"/>
      <c r="HT197" s="27"/>
      <c r="HU197" s="28"/>
      <c r="HV197" s="25"/>
      <c r="HW197" s="27"/>
      <c r="HX197" s="27"/>
      <c r="HY197" s="27"/>
      <c r="HZ197" s="27"/>
      <c r="IA197" s="27"/>
      <c r="IB197" s="28"/>
      <c r="IC197" s="25"/>
      <c r="ID197" s="27"/>
      <c r="IE197" s="27"/>
      <c r="IF197" s="27"/>
      <c r="IG197" s="27"/>
      <c r="IH197" s="27"/>
      <c r="II197" s="28"/>
      <c r="IJ197" s="25"/>
      <c r="IK197" s="27"/>
      <c r="IL197" s="27"/>
      <c r="IM197" s="27"/>
      <c r="IN197" s="27"/>
      <c r="IO197" s="27"/>
      <c r="IP197" s="28"/>
      <c r="IQ197" s="25"/>
      <c r="IR197" s="27"/>
      <c r="IS197" s="27"/>
      <c r="IT197" s="27"/>
      <c r="IU197" s="27"/>
      <c r="IV197" s="27"/>
      <c r="IW197" s="28"/>
      <c r="IX197" s="25"/>
      <c r="IY197" s="27"/>
      <c r="IZ197" s="27"/>
      <c r="JA197" s="27"/>
      <c r="JB197" s="27"/>
      <c r="JC197" s="27"/>
      <c r="JD197" s="28"/>
      <c r="JE197" s="25"/>
      <c r="JF197" s="27"/>
      <c r="JG197" s="27"/>
      <c r="JH197" s="27"/>
      <c r="JI197" s="27"/>
      <c r="JJ197" s="27"/>
      <c r="JK197" s="28"/>
      <c r="JL197" s="25"/>
      <c r="JM197" s="27"/>
      <c r="JN197" s="27"/>
      <c r="JO197" s="27"/>
      <c r="JP197" s="27"/>
      <c r="JQ197" s="27"/>
      <c r="JR197" s="28"/>
      <c r="JS197" s="25"/>
      <c r="JT197" s="27"/>
      <c r="JU197" s="27"/>
      <c r="JV197" s="27"/>
      <c r="JW197" s="27"/>
      <c r="JX197" s="27"/>
      <c r="JY197" s="28"/>
      <c r="JZ197" s="25"/>
      <c r="KA197" s="27"/>
      <c r="KB197" s="27"/>
      <c r="KC197" s="27"/>
      <c r="KD197" s="27"/>
      <c r="KE197" s="27"/>
      <c r="KF197" s="28"/>
      <c r="KG197" s="25"/>
      <c r="KH197" s="27"/>
      <c r="KI197" s="27"/>
      <c r="KJ197" s="27"/>
      <c r="KK197" s="27"/>
      <c r="KL197" s="27"/>
      <c r="KM197" s="28"/>
      <c r="KN197" s="25"/>
      <c r="KO197" s="27"/>
      <c r="KP197" s="27"/>
      <c r="KQ197" s="27"/>
      <c r="KR197" s="27"/>
      <c r="KS197" s="27"/>
      <c r="KT197" s="28"/>
      <c r="KU197" s="25"/>
      <c r="KV197" s="27"/>
      <c r="KW197" s="27"/>
      <c r="KX197" s="27"/>
      <c r="KY197" s="27"/>
      <c r="KZ197" s="27"/>
      <c r="LA197" s="28"/>
      <c r="LB197" s="25"/>
      <c r="LC197" s="27"/>
      <c r="LD197" s="27"/>
      <c r="LE197" s="27"/>
      <c r="LF197" s="27"/>
      <c r="LG197" s="27"/>
      <c r="LH197" s="28"/>
      <c r="LI197" s="25"/>
      <c r="LJ197" s="27"/>
      <c r="LK197" s="27"/>
      <c r="LL197" s="27"/>
      <c r="LM197" s="27"/>
      <c r="LN197" s="27"/>
      <c r="LO197" s="28"/>
      <c r="LP197" s="25"/>
      <c r="LQ197" s="27"/>
      <c r="LR197" s="27"/>
      <c r="LS197" s="27"/>
      <c r="LT197" s="27"/>
      <c r="LU197" s="27"/>
      <c r="LV197" s="28"/>
      <c r="LW197" s="25"/>
      <c r="LX197" s="27"/>
      <c r="LY197" s="27"/>
      <c r="LZ197" s="27"/>
      <c r="MA197" s="27"/>
      <c r="MB197" s="27"/>
      <c r="MC197" s="28"/>
      <c r="MD197" s="25"/>
      <c r="ME197" s="27"/>
      <c r="MF197" s="27"/>
      <c r="MG197" s="27"/>
      <c r="MH197" s="27"/>
      <c r="MI197" s="27"/>
      <c r="MJ197" s="28"/>
      <c r="MK197" s="25"/>
      <c r="ML197" s="27"/>
      <c r="MM197" s="27"/>
      <c r="MN197" s="27"/>
      <c r="MO197" s="27"/>
      <c r="MP197" s="27"/>
      <c r="MQ197" s="28"/>
      <c r="MR197" s="25"/>
      <c r="MS197" s="27"/>
      <c r="MT197" s="27"/>
      <c r="MU197" s="27"/>
      <c r="MV197" s="27"/>
      <c r="MW197" s="27"/>
      <c r="MX197" s="28"/>
      <c r="MY197" s="25"/>
      <c r="MZ197" s="27"/>
      <c r="NA197" s="27"/>
      <c r="NB197" s="27"/>
      <c r="NC197" s="27"/>
      <c r="ND197" s="27"/>
      <c r="NE197" s="28"/>
      <c r="NF197" s="25"/>
      <c r="NG197" s="27"/>
      <c r="NH197" s="27"/>
      <c r="NI197" s="27"/>
      <c r="NJ197" s="27"/>
      <c r="NK197" s="27"/>
      <c r="NL197" s="28"/>
      <c r="NM197" s="25"/>
      <c r="NN197" s="27"/>
      <c r="NO197" s="27"/>
      <c r="NP197" s="27"/>
      <c r="NQ197" s="27"/>
      <c r="NR197" s="27"/>
      <c r="NS197" s="28"/>
      <c r="NT197" s="25"/>
      <c r="NU197" s="27"/>
      <c r="NV197" s="27"/>
      <c r="NW197" s="27"/>
      <c r="NX197" s="27"/>
      <c r="NY197" s="27"/>
      <c r="NZ197" s="28"/>
      <c r="OA197" s="25"/>
      <c r="OB197" s="27"/>
      <c r="OC197" s="27"/>
      <c r="OD197" s="27"/>
      <c r="OE197" s="27"/>
      <c r="OF197" s="27"/>
      <c r="OG197" s="28"/>
      <c r="OH197" s="25"/>
      <c r="OI197" s="27"/>
      <c r="OJ197" s="27"/>
      <c r="OK197" s="27"/>
      <c r="OL197" s="27"/>
      <c r="OM197" s="27"/>
      <c r="ON197" s="28"/>
      <c r="OO197" s="25"/>
      <c r="OP197" s="27"/>
      <c r="OQ197" s="27"/>
      <c r="OR197" s="27"/>
      <c r="OS197" s="27"/>
      <c r="OT197" s="27"/>
      <c r="OU197" s="28"/>
      <c r="OV197" s="25"/>
      <c r="OW197" s="27"/>
      <c r="OX197" s="27"/>
      <c r="OY197" s="27"/>
      <c r="OZ197" s="27"/>
      <c r="PA197" s="27"/>
      <c r="PB197" s="28"/>
      <c r="PC197" s="25"/>
      <c r="PD197" s="27"/>
      <c r="PE197" s="27"/>
      <c r="PF197" s="27"/>
      <c r="PG197" s="27"/>
      <c r="PH197" s="27"/>
      <c r="PI197" s="28"/>
      <c r="PJ197" s="25"/>
      <c r="PK197" s="27"/>
      <c r="PL197" s="27"/>
      <c r="PM197" s="27"/>
      <c r="PN197" s="27"/>
      <c r="PO197" s="27"/>
      <c r="PP197" s="28"/>
      <c r="PQ197" s="25"/>
      <c r="PR197" s="27"/>
      <c r="PS197" s="27"/>
      <c r="PT197" s="27"/>
      <c r="PU197" s="27"/>
      <c r="PV197" s="27"/>
      <c r="PW197" s="28"/>
      <c r="PX197" s="25"/>
      <c r="PY197" s="27"/>
      <c r="PZ197" s="27"/>
      <c r="QA197" s="27"/>
      <c r="QB197" s="27"/>
      <c r="QC197" s="27"/>
      <c r="QD197" s="28"/>
      <c r="QE197" s="25"/>
      <c r="QF197" s="27"/>
      <c r="QG197" s="27"/>
      <c r="QH197" s="27"/>
      <c r="QI197" s="27"/>
      <c r="QJ197" s="27"/>
      <c r="QK197" s="28"/>
      <c r="QL197" s="25"/>
      <c r="QM197" s="27"/>
      <c r="QN197" s="27"/>
      <c r="QO197" s="27"/>
      <c r="QP197" s="27"/>
      <c r="QQ197" s="27"/>
      <c r="QR197" s="28"/>
      <c r="QS197" s="25"/>
      <c r="QT197" s="27"/>
      <c r="QU197" s="27"/>
      <c r="QV197" s="27"/>
      <c r="QW197" s="27"/>
      <c r="QX197" s="27"/>
      <c r="QY197" s="28"/>
      <c r="QZ197" s="25"/>
      <c r="RA197" s="27"/>
      <c r="RB197" s="27"/>
      <c r="RC197" s="27"/>
      <c r="RD197" s="27"/>
      <c r="RE197" s="27"/>
      <c r="RF197" s="28"/>
      <c r="RG197" s="25"/>
      <c r="RH197" s="27"/>
      <c r="RI197" s="27"/>
      <c r="RJ197" s="27"/>
      <c r="RK197" s="27"/>
      <c r="RL197" s="27"/>
      <c r="RM197" s="28"/>
      <c r="RN197" s="25"/>
      <c r="RO197" s="27"/>
      <c r="RP197" s="27"/>
      <c r="RQ197" s="27"/>
      <c r="RR197" s="27"/>
      <c r="RS197" s="27"/>
      <c r="RT197" s="28"/>
      <c r="RU197" s="25"/>
      <c r="RV197" s="27"/>
      <c r="RW197" s="27"/>
      <c r="RX197" s="27"/>
      <c r="RY197" s="27"/>
      <c r="RZ197" s="27"/>
      <c r="SA197" s="28"/>
      <c r="SB197" s="25"/>
      <c r="SC197" s="27"/>
      <c r="SD197" s="27"/>
      <c r="SE197" s="27"/>
      <c r="SF197" s="27"/>
      <c r="SG197" s="27"/>
      <c r="SH197" s="28"/>
      <c r="SI197" s="25"/>
      <c r="SJ197" s="27"/>
      <c r="SK197" s="27"/>
      <c r="SL197" s="27"/>
      <c r="SM197" s="27"/>
      <c r="SN197" s="27"/>
      <c r="SO197" s="28"/>
      <c r="SP197" s="25"/>
      <c r="SQ197" s="27"/>
      <c r="SR197" s="27"/>
    </row>
    <row r="198" spans="1:512" x14ac:dyDescent="0.15">
      <c r="A198" s="101">
        <f t="shared" ca="1" si="1562"/>
        <v>61</v>
      </c>
      <c r="B198" s="111">
        <v>61</v>
      </c>
      <c r="C198" s="71" t="str">
        <f t="shared" ca="1" si="1555"/>
        <v>Tina</v>
      </c>
      <c r="D198" s="112">
        <f t="shared" ca="1" si="1563"/>
        <v>191.39999999999995</v>
      </c>
      <c r="E198" s="25"/>
      <c r="F198" s="26"/>
      <c r="G198" s="27"/>
      <c r="H198" s="28"/>
      <c r="I198" s="25"/>
      <c r="J198" s="25"/>
      <c r="K198" s="26"/>
      <c r="L198" s="62"/>
      <c r="M198" s="62" t="s">
        <v>248</v>
      </c>
      <c r="N198" s="32" t="s">
        <v>129</v>
      </c>
      <c r="O198" s="32"/>
      <c r="P198" s="32">
        <f t="shared" ca="1" si="1566"/>
        <v>7</v>
      </c>
      <c r="Q198" s="32" t="str">
        <f t="shared" ca="1" si="1567"/>
        <v>Tanja</v>
      </c>
      <c r="R198" s="113">
        <f t="shared" ca="1" si="1568"/>
        <v>248.79999999999995</v>
      </c>
      <c r="S198" s="73">
        <v>61</v>
      </c>
      <c r="T198" s="32">
        <f t="shared" ca="1" si="1572"/>
        <v>248.80060999999995</v>
      </c>
      <c r="U198" s="32"/>
      <c r="V198" s="61"/>
      <c r="W198" s="62"/>
      <c r="X198" s="62"/>
      <c r="Y198" s="63"/>
      <c r="Z198" s="73"/>
      <c r="AA198" s="32"/>
      <c r="AB198" s="32"/>
      <c r="AC198" s="61"/>
      <c r="AD198" s="27"/>
      <c r="AE198" s="27"/>
      <c r="AF198" s="27"/>
      <c r="AG198" s="28"/>
      <c r="AH198" s="25"/>
      <c r="AI198" s="27"/>
      <c r="AJ198" s="27"/>
      <c r="AK198" s="27"/>
      <c r="AL198" s="27"/>
      <c r="AM198" s="27"/>
      <c r="AN198" s="28"/>
      <c r="AO198" s="25"/>
      <c r="AP198" s="27"/>
      <c r="AQ198" s="27"/>
      <c r="AR198" s="27"/>
      <c r="AS198" s="27"/>
      <c r="AT198" s="27"/>
      <c r="AU198" s="28"/>
      <c r="AV198" s="25"/>
      <c r="AW198" s="27"/>
      <c r="AX198" s="27"/>
      <c r="AY198" s="27"/>
      <c r="AZ198" s="27"/>
      <c r="BA198" s="27"/>
      <c r="BB198" s="28"/>
      <c r="BC198" s="25"/>
      <c r="BD198" s="27"/>
      <c r="BE198" s="27"/>
      <c r="BF198" s="27"/>
      <c r="BG198" s="27"/>
      <c r="BH198" s="27"/>
      <c r="BI198" s="28"/>
      <c r="BJ198" s="25"/>
      <c r="BK198" s="27"/>
      <c r="BL198" s="27"/>
      <c r="BM198" s="27"/>
      <c r="BN198" s="27"/>
      <c r="BO198" s="27"/>
      <c r="BP198" s="28"/>
      <c r="BQ198" s="25"/>
      <c r="BR198" s="27"/>
      <c r="BS198" s="27"/>
      <c r="BT198" s="27"/>
      <c r="BU198" s="27"/>
      <c r="BV198" s="27"/>
      <c r="BW198" s="28"/>
      <c r="BX198" s="25"/>
      <c r="BY198" s="27"/>
      <c r="BZ198" s="27"/>
      <c r="CA198" s="27"/>
      <c r="CB198" s="27"/>
      <c r="CC198" s="27"/>
      <c r="CD198" s="28"/>
      <c r="CE198" s="25"/>
      <c r="CF198" s="27"/>
      <c r="CG198" s="27"/>
      <c r="CH198" s="27"/>
      <c r="CI198" s="27"/>
      <c r="CJ198" s="27"/>
      <c r="CK198" s="28"/>
      <c r="CL198" s="25"/>
      <c r="CM198" s="27"/>
      <c r="CN198" s="27"/>
      <c r="CO198" s="27"/>
      <c r="CP198" s="27"/>
      <c r="CQ198" s="27"/>
      <c r="CR198" s="28"/>
      <c r="CS198" s="25"/>
      <c r="CT198" s="27"/>
      <c r="CU198" s="27"/>
      <c r="CV198" s="27"/>
      <c r="CW198" s="27"/>
      <c r="CX198" s="27"/>
      <c r="CY198" s="28"/>
      <c r="CZ198" s="25"/>
      <c r="DA198" s="27"/>
      <c r="DB198" s="27"/>
      <c r="DC198" s="27"/>
      <c r="DD198" s="27"/>
      <c r="DE198" s="27"/>
      <c r="DF198" s="28"/>
      <c r="DG198" s="25"/>
      <c r="DH198" s="27"/>
      <c r="DI198" s="27"/>
      <c r="DJ198" s="27"/>
      <c r="DK198" s="27"/>
      <c r="DL198" s="27"/>
      <c r="DM198" s="28"/>
      <c r="DN198" s="25"/>
      <c r="DO198" s="27"/>
      <c r="DP198" s="27"/>
      <c r="DQ198" s="27"/>
      <c r="DR198" s="27"/>
      <c r="DS198" s="27"/>
      <c r="DT198" s="28"/>
      <c r="DU198" s="25"/>
      <c r="DV198" s="27"/>
      <c r="DW198" s="27"/>
      <c r="DX198" s="27"/>
      <c r="DY198" s="27"/>
      <c r="DZ198" s="27"/>
      <c r="EA198" s="28"/>
      <c r="EB198" s="25"/>
      <c r="EC198" s="27"/>
      <c r="ED198" s="27"/>
      <c r="EE198" s="27"/>
      <c r="EF198" s="27"/>
      <c r="EG198" s="27"/>
      <c r="EH198" s="28"/>
      <c r="EI198" s="25"/>
      <c r="EJ198" s="27"/>
      <c r="EK198" s="27"/>
      <c r="EL198" s="27"/>
      <c r="EM198" s="27"/>
      <c r="EN198" s="27"/>
      <c r="EO198" s="28"/>
      <c r="EP198" s="25"/>
      <c r="EQ198" s="27"/>
      <c r="ER198" s="27"/>
      <c r="ES198" s="27"/>
      <c r="ET198" s="27"/>
      <c r="EU198" s="27"/>
      <c r="EV198" s="28"/>
      <c r="EW198" s="25"/>
      <c r="EX198" s="27"/>
      <c r="EY198" s="27"/>
      <c r="EZ198" s="27"/>
      <c r="FA198" s="27"/>
      <c r="FB198" s="27"/>
      <c r="FC198" s="28"/>
      <c r="FD198" s="25"/>
      <c r="FE198" s="27"/>
      <c r="FF198" s="27"/>
      <c r="FG198" s="27"/>
      <c r="FH198" s="27"/>
      <c r="FI198" s="27"/>
      <c r="FJ198" s="28"/>
      <c r="FK198" s="25"/>
      <c r="FL198" s="27"/>
      <c r="FM198" s="27"/>
      <c r="FN198" s="27"/>
      <c r="FO198" s="27"/>
      <c r="FP198" s="27"/>
      <c r="FQ198" s="28"/>
      <c r="FR198" s="25"/>
      <c r="FS198" s="27"/>
      <c r="FT198" s="27"/>
      <c r="FU198" s="27"/>
      <c r="FV198" s="27"/>
      <c r="FW198" s="27"/>
      <c r="FX198" s="28"/>
      <c r="FY198" s="25"/>
      <c r="FZ198" s="27"/>
      <c r="GA198" s="27"/>
      <c r="GB198" s="27"/>
      <c r="GC198" s="27"/>
      <c r="GD198" s="27"/>
      <c r="GE198" s="28"/>
      <c r="GF198" s="25"/>
      <c r="GG198" s="27"/>
      <c r="GH198" s="27"/>
      <c r="GI198" s="27"/>
      <c r="GJ198" s="27"/>
      <c r="GK198" s="27"/>
      <c r="GL198" s="28"/>
      <c r="GM198" s="25"/>
      <c r="GN198" s="27"/>
      <c r="GO198" s="27"/>
      <c r="GP198" s="27"/>
      <c r="GQ198" s="27"/>
      <c r="GR198" s="27"/>
      <c r="GS198" s="28"/>
      <c r="GT198" s="25"/>
      <c r="GU198" s="27"/>
      <c r="GV198" s="27"/>
      <c r="GW198" s="27"/>
      <c r="GX198" s="27"/>
      <c r="GY198" s="27"/>
      <c r="GZ198" s="28"/>
      <c r="HA198" s="25"/>
      <c r="HB198" s="27"/>
      <c r="HC198" s="27"/>
      <c r="HD198" s="27"/>
      <c r="HE198" s="27"/>
      <c r="HF198" s="27"/>
      <c r="HG198" s="28"/>
      <c r="HH198" s="25"/>
      <c r="HI198" s="27"/>
      <c r="HJ198" s="27"/>
      <c r="HK198" s="27"/>
      <c r="HL198" s="27"/>
      <c r="HM198" s="27"/>
      <c r="HN198" s="28"/>
      <c r="HO198" s="25"/>
      <c r="HP198" s="27"/>
      <c r="HQ198" s="27"/>
      <c r="HR198" s="27"/>
      <c r="HS198" s="27"/>
      <c r="HT198" s="27"/>
      <c r="HU198" s="28"/>
      <c r="HV198" s="25"/>
      <c r="HW198" s="27"/>
      <c r="HX198" s="27"/>
      <c r="HY198" s="27"/>
      <c r="HZ198" s="27"/>
      <c r="IA198" s="27"/>
      <c r="IB198" s="28"/>
      <c r="IC198" s="25"/>
      <c r="ID198" s="27"/>
      <c r="IE198" s="27"/>
      <c r="IF198" s="27"/>
      <c r="IG198" s="27"/>
      <c r="IH198" s="27"/>
      <c r="II198" s="28"/>
      <c r="IJ198" s="25"/>
      <c r="IK198" s="27"/>
      <c r="IL198" s="27"/>
      <c r="IM198" s="27"/>
      <c r="IN198" s="27"/>
      <c r="IO198" s="27"/>
      <c r="IP198" s="28"/>
      <c r="IQ198" s="25"/>
      <c r="IR198" s="27"/>
      <c r="IS198" s="27"/>
      <c r="IT198" s="27"/>
      <c r="IU198" s="27"/>
      <c r="IV198" s="27"/>
      <c r="IW198" s="28"/>
      <c r="IX198" s="25"/>
      <c r="IY198" s="27"/>
      <c r="IZ198" s="27"/>
      <c r="JA198" s="27"/>
      <c r="JB198" s="27"/>
      <c r="JC198" s="27"/>
      <c r="JD198" s="28"/>
      <c r="JE198" s="25"/>
      <c r="JF198" s="27"/>
      <c r="JG198" s="27"/>
      <c r="JH198" s="27"/>
      <c r="JI198" s="27"/>
      <c r="JJ198" s="27"/>
      <c r="JK198" s="28"/>
      <c r="JL198" s="25"/>
      <c r="JM198" s="27"/>
      <c r="JN198" s="27"/>
      <c r="JO198" s="27"/>
      <c r="JP198" s="27"/>
      <c r="JQ198" s="27"/>
      <c r="JR198" s="28"/>
      <c r="JS198" s="25"/>
      <c r="JT198" s="27"/>
      <c r="JU198" s="27"/>
      <c r="JV198" s="27"/>
      <c r="JW198" s="27"/>
      <c r="JX198" s="27"/>
      <c r="JY198" s="28"/>
      <c r="JZ198" s="25"/>
      <c r="KA198" s="27"/>
      <c r="KB198" s="27"/>
      <c r="KC198" s="27"/>
      <c r="KD198" s="27"/>
      <c r="KE198" s="27"/>
      <c r="KF198" s="28"/>
      <c r="KG198" s="25"/>
      <c r="KH198" s="27"/>
      <c r="KI198" s="27"/>
      <c r="KJ198" s="27"/>
      <c r="KK198" s="27"/>
      <c r="KL198" s="27"/>
      <c r="KM198" s="28"/>
      <c r="KN198" s="25"/>
      <c r="KO198" s="27"/>
      <c r="KP198" s="27"/>
      <c r="KQ198" s="27"/>
      <c r="KR198" s="27"/>
      <c r="KS198" s="27"/>
      <c r="KT198" s="28"/>
      <c r="KU198" s="25"/>
      <c r="KV198" s="27"/>
      <c r="KW198" s="27"/>
      <c r="KX198" s="27"/>
      <c r="KY198" s="27"/>
      <c r="KZ198" s="27"/>
      <c r="LA198" s="28"/>
      <c r="LB198" s="25"/>
      <c r="LC198" s="27"/>
      <c r="LD198" s="27"/>
      <c r="LE198" s="27"/>
      <c r="LF198" s="27"/>
      <c r="LG198" s="27"/>
      <c r="LH198" s="28"/>
      <c r="LI198" s="25"/>
      <c r="LJ198" s="27"/>
      <c r="LK198" s="27"/>
      <c r="LL198" s="27"/>
      <c r="LM198" s="27"/>
      <c r="LN198" s="27"/>
      <c r="LO198" s="28"/>
      <c r="LP198" s="25"/>
      <c r="LQ198" s="27"/>
      <c r="LR198" s="27"/>
      <c r="LS198" s="27"/>
      <c r="LT198" s="27"/>
      <c r="LU198" s="27"/>
      <c r="LV198" s="28"/>
      <c r="LW198" s="25"/>
      <c r="LX198" s="27"/>
      <c r="LY198" s="27"/>
      <c r="LZ198" s="27"/>
      <c r="MA198" s="27"/>
      <c r="MB198" s="27"/>
      <c r="MC198" s="28"/>
      <c r="MD198" s="25"/>
      <c r="ME198" s="27"/>
      <c r="MF198" s="27"/>
      <c r="MG198" s="27"/>
      <c r="MH198" s="27"/>
      <c r="MI198" s="27"/>
      <c r="MJ198" s="28"/>
      <c r="MK198" s="25"/>
      <c r="ML198" s="27"/>
      <c r="MM198" s="27"/>
      <c r="MN198" s="27"/>
      <c r="MO198" s="27"/>
      <c r="MP198" s="27"/>
      <c r="MQ198" s="28"/>
      <c r="MR198" s="25"/>
      <c r="MS198" s="27"/>
      <c r="MT198" s="27"/>
      <c r="MU198" s="27"/>
      <c r="MV198" s="27"/>
      <c r="MW198" s="27"/>
      <c r="MX198" s="28"/>
      <c r="MY198" s="25"/>
      <c r="MZ198" s="27"/>
      <c r="NA198" s="27"/>
      <c r="NB198" s="27"/>
      <c r="NC198" s="27"/>
      <c r="ND198" s="27"/>
      <c r="NE198" s="28"/>
      <c r="NF198" s="25"/>
      <c r="NG198" s="27"/>
      <c r="NH198" s="27"/>
      <c r="NI198" s="27"/>
      <c r="NJ198" s="27"/>
      <c r="NK198" s="27"/>
      <c r="NL198" s="28"/>
      <c r="NM198" s="25"/>
      <c r="NN198" s="27"/>
      <c r="NO198" s="27"/>
      <c r="NP198" s="27"/>
      <c r="NQ198" s="27"/>
      <c r="NR198" s="27"/>
      <c r="NS198" s="28"/>
      <c r="NT198" s="25"/>
      <c r="NU198" s="27"/>
      <c r="NV198" s="27"/>
      <c r="NW198" s="27"/>
      <c r="NX198" s="27"/>
      <c r="NY198" s="27"/>
      <c r="NZ198" s="28"/>
      <c r="OA198" s="25"/>
      <c r="OB198" s="27"/>
      <c r="OC198" s="27"/>
      <c r="OD198" s="27"/>
      <c r="OE198" s="27"/>
      <c r="OF198" s="27"/>
      <c r="OG198" s="28"/>
      <c r="OH198" s="25"/>
      <c r="OI198" s="27"/>
      <c r="OJ198" s="27"/>
      <c r="OK198" s="27"/>
      <c r="OL198" s="27"/>
      <c r="OM198" s="27"/>
      <c r="ON198" s="28"/>
      <c r="OO198" s="25"/>
      <c r="OP198" s="27"/>
      <c r="OQ198" s="27"/>
      <c r="OR198" s="27"/>
      <c r="OS198" s="27"/>
      <c r="OT198" s="27"/>
      <c r="OU198" s="28"/>
      <c r="OV198" s="25"/>
      <c r="OW198" s="27"/>
      <c r="OX198" s="27"/>
      <c r="OY198" s="27"/>
      <c r="OZ198" s="27"/>
      <c r="PA198" s="27"/>
      <c r="PB198" s="28"/>
      <c r="PC198" s="25"/>
      <c r="PD198" s="27"/>
      <c r="PE198" s="27"/>
      <c r="PF198" s="27"/>
      <c r="PG198" s="27"/>
      <c r="PH198" s="27"/>
      <c r="PI198" s="28"/>
      <c r="PJ198" s="25"/>
      <c r="PK198" s="27"/>
      <c r="PL198" s="27"/>
      <c r="PM198" s="27"/>
      <c r="PN198" s="27"/>
      <c r="PO198" s="27"/>
      <c r="PP198" s="28"/>
      <c r="PQ198" s="25"/>
      <c r="PR198" s="27"/>
      <c r="PS198" s="27"/>
      <c r="PT198" s="27"/>
      <c r="PU198" s="27"/>
      <c r="PV198" s="27"/>
      <c r="PW198" s="28"/>
      <c r="PX198" s="25"/>
      <c r="PY198" s="27"/>
      <c r="PZ198" s="27"/>
      <c r="QA198" s="27"/>
      <c r="QB198" s="27"/>
      <c r="QC198" s="27"/>
      <c r="QD198" s="28"/>
      <c r="QE198" s="25"/>
      <c r="QF198" s="27"/>
      <c r="QG198" s="27"/>
      <c r="QH198" s="27"/>
      <c r="QI198" s="27"/>
      <c r="QJ198" s="27"/>
      <c r="QK198" s="28"/>
      <c r="QL198" s="25"/>
      <c r="QM198" s="27"/>
      <c r="QN198" s="27"/>
      <c r="QO198" s="27"/>
      <c r="QP198" s="27"/>
      <c r="QQ198" s="27"/>
      <c r="QR198" s="28"/>
      <c r="QS198" s="25"/>
      <c r="QT198" s="27"/>
      <c r="QU198" s="27"/>
      <c r="QV198" s="27"/>
      <c r="QW198" s="27"/>
      <c r="QX198" s="27"/>
      <c r="QY198" s="28"/>
      <c r="QZ198" s="25"/>
      <c r="RA198" s="27"/>
      <c r="RB198" s="27"/>
      <c r="RC198" s="27"/>
      <c r="RD198" s="27"/>
      <c r="RE198" s="27"/>
      <c r="RF198" s="28"/>
      <c r="RG198" s="25"/>
      <c r="RH198" s="27"/>
      <c r="RI198" s="27"/>
      <c r="RJ198" s="27"/>
      <c r="RK198" s="27"/>
      <c r="RL198" s="27"/>
      <c r="RM198" s="28"/>
      <c r="RN198" s="25"/>
      <c r="RO198" s="27"/>
      <c r="RP198" s="27"/>
      <c r="RQ198" s="27"/>
      <c r="RR198" s="27"/>
      <c r="RS198" s="27"/>
      <c r="RT198" s="28"/>
      <c r="RU198" s="25"/>
      <c r="RV198" s="27"/>
      <c r="RW198" s="27"/>
      <c r="RX198" s="27"/>
      <c r="RY198" s="27"/>
      <c r="RZ198" s="27"/>
      <c r="SA198" s="28"/>
      <c r="SB198" s="25"/>
      <c r="SC198" s="27"/>
      <c r="SD198" s="27"/>
      <c r="SE198" s="27"/>
      <c r="SF198" s="27"/>
      <c r="SG198" s="27"/>
      <c r="SH198" s="28"/>
      <c r="SI198" s="25"/>
      <c r="SJ198" s="27"/>
      <c r="SK198" s="27"/>
      <c r="SL198" s="27"/>
      <c r="SM198" s="27"/>
      <c r="SN198" s="27"/>
      <c r="SO198" s="28"/>
      <c r="SP198" s="25"/>
      <c r="SQ198" s="27"/>
      <c r="SR198" s="27"/>
    </row>
    <row r="199" spans="1:512" x14ac:dyDescent="0.15">
      <c r="A199" s="101">
        <f t="shared" ca="1" si="1562"/>
        <v>62</v>
      </c>
      <c r="B199" s="111">
        <v>62</v>
      </c>
      <c r="C199" s="71" t="str">
        <f t="shared" ca="1" si="1555"/>
        <v>Rosa</v>
      </c>
      <c r="D199" s="112">
        <f t="shared" ca="1" si="1563"/>
        <v>184.79999999999998</v>
      </c>
      <c r="E199" s="25"/>
      <c r="F199" s="26"/>
      <c r="G199" s="27"/>
      <c r="H199" s="28"/>
      <c r="I199" s="25"/>
      <c r="J199" s="25"/>
      <c r="K199" s="26"/>
      <c r="L199" s="62"/>
      <c r="M199" s="62" t="s">
        <v>249</v>
      </c>
      <c r="N199" s="62" t="s">
        <v>130</v>
      </c>
      <c r="O199" s="32"/>
      <c r="P199" s="32">
        <f t="shared" ca="1" si="1566"/>
        <v>63</v>
      </c>
      <c r="Q199" s="32" t="str">
        <f t="shared" ca="1" si="1567"/>
        <v>Martina</v>
      </c>
      <c r="R199" s="113">
        <f t="shared" ca="1" si="1568"/>
        <v>179.99999999999997</v>
      </c>
      <c r="S199" s="73">
        <v>62</v>
      </c>
      <c r="T199" s="32">
        <f t="shared" ca="1" si="1572"/>
        <v>180.00061999999997</v>
      </c>
      <c r="U199" s="32"/>
      <c r="V199" s="61"/>
      <c r="W199" s="62"/>
      <c r="X199" s="62"/>
      <c r="Y199" s="63"/>
      <c r="Z199" s="73"/>
      <c r="AA199" s="32"/>
      <c r="AB199" s="32"/>
      <c r="AC199" s="61"/>
      <c r="AD199" s="27"/>
      <c r="AE199" s="27"/>
      <c r="AF199" s="27"/>
      <c r="AG199" s="28"/>
      <c r="AH199" s="25"/>
      <c r="AI199" s="27"/>
      <c r="AJ199" s="27"/>
      <c r="AK199" s="27"/>
      <c r="AL199" s="27"/>
      <c r="AM199" s="27"/>
      <c r="AN199" s="28"/>
      <c r="AO199" s="25"/>
      <c r="AP199" s="27"/>
      <c r="AQ199" s="27"/>
      <c r="AR199" s="27"/>
      <c r="AS199" s="27"/>
      <c r="AT199" s="27"/>
      <c r="AU199" s="28"/>
      <c r="AV199" s="25"/>
      <c r="AW199" s="27"/>
      <c r="AX199" s="27"/>
      <c r="AY199" s="27"/>
      <c r="AZ199" s="27"/>
      <c r="BA199" s="27"/>
      <c r="BB199" s="28"/>
      <c r="BC199" s="25"/>
      <c r="BD199" s="27"/>
      <c r="BE199" s="27"/>
      <c r="BF199" s="27"/>
      <c r="BG199" s="27"/>
      <c r="BH199" s="27"/>
      <c r="BI199" s="28"/>
      <c r="BJ199" s="25"/>
      <c r="BK199" s="27"/>
      <c r="BL199" s="27"/>
      <c r="BM199" s="27"/>
      <c r="BN199" s="27"/>
      <c r="BO199" s="27"/>
      <c r="BP199" s="28"/>
      <c r="BQ199" s="25"/>
      <c r="BR199" s="27"/>
      <c r="BS199" s="27"/>
      <c r="BT199" s="27"/>
      <c r="BU199" s="27"/>
      <c r="BV199" s="27"/>
      <c r="BW199" s="28"/>
      <c r="BX199" s="25"/>
      <c r="BY199" s="27"/>
      <c r="BZ199" s="27"/>
      <c r="CA199" s="27"/>
      <c r="CB199" s="27"/>
      <c r="CC199" s="27"/>
      <c r="CD199" s="28"/>
      <c r="CE199" s="25"/>
      <c r="CF199" s="27"/>
      <c r="CG199" s="27"/>
      <c r="CH199" s="27"/>
      <c r="CI199" s="27"/>
      <c r="CJ199" s="27"/>
      <c r="CK199" s="28"/>
      <c r="CL199" s="25"/>
      <c r="CM199" s="27"/>
      <c r="CN199" s="27"/>
      <c r="CO199" s="27"/>
      <c r="CP199" s="27"/>
      <c r="CQ199" s="27"/>
      <c r="CR199" s="28"/>
      <c r="CS199" s="25"/>
      <c r="CT199" s="27"/>
      <c r="CU199" s="27"/>
      <c r="CV199" s="27"/>
      <c r="CW199" s="27"/>
      <c r="CX199" s="27"/>
      <c r="CY199" s="28"/>
      <c r="CZ199" s="25"/>
      <c r="DA199" s="27"/>
      <c r="DB199" s="27"/>
      <c r="DC199" s="27"/>
      <c r="DD199" s="27"/>
      <c r="DE199" s="27"/>
      <c r="DF199" s="28"/>
      <c r="DG199" s="25"/>
      <c r="DH199" s="27"/>
      <c r="DI199" s="27"/>
      <c r="DJ199" s="27"/>
      <c r="DK199" s="27"/>
      <c r="DL199" s="27"/>
      <c r="DM199" s="28"/>
      <c r="DN199" s="25"/>
      <c r="DO199" s="27"/>
      <c r="DP199" s="27"/>
      <c r="DQ199" s="27"/>
      <c r="DR199" s="27"/>
      <c r="DS199" s="27"/>
      <c r="DT199" s="28"/>
      <c r="DU199" s="25"/>
      <c r="DV199" s="27"/>
      <c r="DW199" s="27"/>
      <c r="DX199" s="27"/>
      <c r="DY199" s="27"/>
      <c r="DZ199" s="27"/>
      <c r="EA199" s="28"/>
      <c r="EB199" s="25"/>
      <c r="EC199" s="27"/>
      <c r="ED199" s="27"/>
      <c r="EE199" s="27"/>
      <c r="EF199" s="27"/>
      <c r="EG199" s="27"/>
      <c r="EH199" s="28"/>
      <c r="EI199" s="25"/>
      <c r="EJ199" s="27"/>
      <c r="EK199" s="27"/>
      <c r="EL199" s="27"/>
      <c r="EM199" s="27"/>
      <c r="EN199" s="27"/>
      <c r="EO199" s="28"/>
      <c r="EP199" s="25"/>
      <c r="EQ199" s="27"/>
      <c r="ER199" s="27"/>
      <c r="ES199" s="27"/>
      <c r="ET199" s="27"/>
      <c r="EU199" s="27"/>
      <c r="EV199" s="28"/>
      <c r="EW199" s="25"/>
      <c r="EX199" s="27"/>
      <c r="EY199" s="27"/>
      <c r="EZ199" s="27"/>
      <c r="FA199" s="27"/>
      <c r="FB199" s="27"/>
      <c r="FC199" s="28"/>
      <c r="FD199" s="25"/>
      <c r="FE199" s="27"/>
      <c r="FF199" s="27"/>
      <c r="FG199" s="27"/>
      <c r="FH199" s="27"/>
      <c r="FI199" s="27"/>
      <c r="FJ199" s="28"/>
      <c r="FK199" s="25"/>
      <c r="FL199" s="27"/>
      <c r="FM199" s="27"/>
      <c r="FN199" s="27"/>
      <c r="FO199" s="27"/>
      <c r="FP199" s="27"/>
      <c r="FQ199" s="28"/>
      <c r="FR199" s="25"/>
      <c r="FS199" s="27"/>
      <c r="FT199" s="27"/>
      <c r="FU199" s="27"/>
      <c r="FV199" s="27"/>
      <c r="FW199" s="27"/>
      <c r="FX199" s="28"/>
      <c r="FY199" s="25"/>
      <c r="FZ199" s="27"/>
      <c r="GA199" s="27"/>
      <c r="GB199" s="27"/>
      <c r="GC199" s="27"/>
      <c r="GD199" s="27"/>
      <c r="GE199" s="28"/>
      <c r="GF199" s="25"/>
      <c r="GG199" s="27"/>
      <c r="GH199" s="27"/>
      <c r="GI199" s="27"/>
      <c r="GJ199" s="27"/>
      <c r="GK199" s="27"/>
      <c r="GL199" s="28"/>
      <c r="GM199" s="25"/>
      <c r="GN199" s="27"/>
      <c r="GO199" s="27"/>
      <c r="GP199" s="27"/>
      <c r="GQ199" s="27"/>
      <c r="GR199" s="27"/>
      <c r="GS199" s="28"/>
      <c r="GT199" s="25"/>
      <c r="GU199" s="27"/>
      <c r="GV199" s="27"/>
      <c r="GW199" s="27"/>
      <c r="GX199" s="27"/>
      <c r="GY199" s="27"/>
      <c r="GZ199" s="28"/>
      <c r="HA199" s="25"/>
      <c r="HB199" s="27"/>
      <c r="HC199" s="27"/>
      <c r="HD199" s="27"/>
      <c r="HE199" s="27"/>
      <c r="HF199" s="27"/>
      <c r="HG199" s="28"/>
      <c r="HH199" s="25"/>
      <c r="HI199" s="27"/>
      <c r="HJ199" s="27"/>
      <c r="HK199" s="27"/>
      <c r="HL199" s="27"/>
      <c r="HM199" s="27"/>
      <c r="HN199" s="28"/>
      <c r="HO199" s="25"/>
      <c r="HP199" s="27"/>
      <c r="HQ199" s="27"/>
      <c r="HR199" s="27"/>
      <c r="HS199" s="27"/>
      <c r="HT199" s="27"/>
      <c r="HU199" s="28"/>
      <c r="HV199" s="25"/>
      <c r="HW199" s="27"/>
      <c r="HX199" s="27"/>
      <c r="HY199" s="27"/>
      <c r="HZ199" s="27"/>
      <c r="IA199" s="27"/>
      <c r="IB199" s="28"/>
      <c r="IC199" s="25"/>
      <c r="ID199" s="27"/>
      <c r="IE199" s="27"/>
      <c r="IF199" s="27"/>
      <c r="IG199" s="27"/>
      <c r="IH199" s="27"/>
      <c r="II199" s="28"/>
      <c r="IJ199" s="25"/>
      <c r="IK199" s="27"/>
      <c r="IL199" s="27"/>
      <c r="IM199" s="27"/>
      <c r="IN199" s="27"/>
      <c r="IO199" s="27"/>
      <c r="IP199" s="28"/>
      <c r="IQ199" s="25"/>
      <c r="IR199" s="27"/>
      <c r="IS199" s="27"/>
      <c r="IT199" s="27"/>
      <c r="IU199" s="27"/>
      <c r="IV199" s="27"/>
      <c r="IW199" s="28"/>
      <c r="IX199" s="25"/>
      <c r="IY199" s="27"/>
      <c r="IZ199" s="27"/>
      <c r="JA199" s="27"/>
      <c r="JB199" s="27"/>
      <c r="JC199" s="27"/>
      <c r="JD199" s="28"/>
      <c r="JE199" s="25"/>
      <c r="JF199" s="27"/>
      <c r="JG199" s="27"/>
      <c r="JH199" s="27"/>
      <c r="JI199" s="27"/>
      <c r="JJ199" s="27"/>
      <c r="JK199" s="28"/>
      <c r="JL199" s="25"/>
      <c r="JM199" s="27"/>
      <c r="JN199" s="27"/>
      <c r="JO199" s="27"/>
      <c r="JP199" s="27"/>
      <c r="JQ199" s="27"/>
      <c r="JR199" s="28"/>
      <c r="JS199" s="25"/>
      <c r="JT199" s="27"/>
      <c r="JU199" s="27"/>
      <c r="JV199" s="27"/>
      <c r="JW199" s="27"/>
      <c r="JX199" s="27"/>
      <c r="JY199" s="28"/>
      <c r="JZ199" s="25"/>
      <c r="KA199" s="27"/>
      <c r="KB199" s="27"/>
      <c r="KC199" s="27"/>
      <c r="KD199" s="27"/>
      <c r="KE199" s="27"/>
      <c r="KF199" s="28"/>
      <c r="KG199" s="25"/>
      <c r="KH199" s="27"/>
      <c r="KI199" s="27"/>
      <c r="KJ199" s="27"/>
      <c r="KK199" s="27"/>
      <c r="KL199" s="27"/>
      <c r="KM199" s="28"/>
      <c r="KN199" s="25"/>
      <c r="KO199" s="27"/>
      <c r="KP199" s="27"/>
      <c r="KQ199" s="27"/>
      <c r="KR199" s="27"/>
      <c r="KS199" s="27"/>
      <c r="KT199" s="28"/>
      <c r="KU199" s="25"/>
      <c r="KV199" s="27"/>
      <c r="KW199" s="27"/>
      <c r="KX199" s="27"/>
      <c r="KY199" s="27"/>
      <c r="KZ199" s="27"/>
      <c r="LA199" s="28"/>
      <c r="LB199" s="25"/>
      <c r="LC199" s="27"/>
      <c r="LD199" s="27"/>
      <c r="LE199" s="27"/>
      <c r="LF199" s="27"/>
      <c r="LG199" s="27"/>
      <c r="LH199" s="28"/>
      <c r="LI199" s="25"/>
      <c r="LJ199" s="27"/>
      <c r="LK199" s="27"/>
      <c r="LL199" s="27"/>
      <c r="LM199" s="27"/>
      <c r="LN199" s="27"/>
      <c r="LO199" s="28"/>
      <c r="LP199" s="25"/>
      <c r="LQ199" s="27"/>
      <c r="LR199" s="27"/>
      <c r="LS199" s="27"/>
      <c r="LT199" s="27"/>
      <c r="LU199" s="27"/>
      <c r="LV199" s="28"/>
      <c r="LW199" s="25"/>
      <c r="LX199" s="27"/>
      <c r="LY199" s="27"/>
      <c r="LZ199" s="27"/>
      <c r="MA199" s="27"/>
      <c r="MB199" s="27"/>
      <c r="MC199" s="28"/>
      <c r="MD199" s="25"/>
      <c r="ME199" s="27"/>
      <c r="MF199" s="27"/>
      <c r="MG199" s="27"/>
      <c r="MH199" s="27"/>
      <c r="MI199" s="27"/>
      <c r="MJ199" s="28"/>
      <c r="MK199" s="25"/>
      <c r="ML199" s="27"/>
      <c r="MM199" s="27"/>
      <c r="MN199" s="27"/>
      <c r="MO199" s="27"/>
      <c r="MP199" s="27"/>
      <c r="MQ199" s="28"/>
      <c r="MR199" s="25"/>
      <c r="MS199" s="27"/>
      <c r="MT199" s="27"/>
      <c r="MU199" s="27"/>
      <c r="MV199" s="27"/>
      <c r="MW199" s="27"/>
      <c r="MX199" s="28"/>
      <c r="MY199" s="25"/>
      <c r="MZ199" s="27"/>
      <c r="NA199" s="27"/>
      <c r="NB199" s="27"/>
      <c r="NC199" s="27"/>
      <c r="ND199" s="27"/>
      <c r="NE199" s="28"/>
      <c r="NF199" s="25"/>
      <c r="NG199" s="27"/>
      <c r="NH199" s="27"/>
      <c r="NI199" s="27"/>
      <c r="NJ199" s="27"/>
      <c r="NK199" s="27"/>
      <c r="NL199" s="28"/>
      <c r="NM199" s="25"/>
      <c r="NN199" s="27"/>
      <c r="NO199" s="27"/>
      <c r="NP199" s="27"/>
      <c r="NQ199" s="27"/>
      <c r="NR199" s="27"/>
      <c r="NS199" s="28"/>
      <c r="NT199" s="25"/>
      <c r="NU199" s="27"/>
      <c r="NV199" s="27"/>
      <c r="NW199" s="27"/>
      <c r="NX199" s="27"/>
      <c r="NY199" s="27"/>
      <c r="NZ199" s="28"/>
      <c r="OA199" s="25"/>
      <c r="OB199" s="27"/>
      <c r="OC199" s="27"/>
      <c r="OD199" s="27"/>
      <c r="OE199" s="27"/>
      <c r="OF199" s="27"/>
      <c r="OG199" s="28"/>
      <c r="OH199" s="25"/>
      <c r="OI199" s="27"/>
      <c r="OJ199" s="27"/>
      <c r="OK199" s="27"/>
      <c r="OL199" s="27"/>
      <c r="OM199" s="27"/>
      <c r="ON199" s="28"/>
      <c r="OO199" s="25"/>
      <c r="OP199" s="27"/>
      <c r="OQ199" s="27"/>
      <c r="OR199" s="27"/>
      <c r="OS199" s="27"/>
      <c r="OT199" s="27"/>
      <c r="OU199" s="28"/>
      <c r="OV199" s="25"/>
      <c r="OW199" s="27"/>
      <c r="OX199" s="27"/>
      <c r="OY199" s="27"/>
      <c r="OZ199" s="27"/>
      <c r="PA199" s="27"/>
      <c r="PB199" s="28"/>
      <c r="PC199" s="25"/>
      <c r="PD199" s="27"/>
      <c r="PE199" s="27"/>
      <c r="PF199" s="27"/>
      <c r="PG199" s="27"/>
      <c r="PH199" s="27"/>
      <c r="PI199" s="28"/>
      <c r="PJ199" s="25"/>
      <c r="PK199" s="27"/>
      <c r="PL199" s="27"/>
      <c r="PM199" s="27"/>
      <c r="PN199" s="27"/>
      <c r="PO199" s="27"/>
      <c r="PP199" s="28"/>
      <c r="PQ199" s="25"/>
      <c r="PR199" s="27"/>
      <c r="PS199" s="27"/>
      <c r="PT199" s="27"/>
      <c r="PU199" s="27"/>
      <c r="PV199" s="27"/>
      <c r="PW199" s="28"/>
      <c r="PX199" s="25"/>
      <c r="PY199" s="27"/>
      <c r="PZ199" s="27"/>
      <c r="QA199" s="27"/>
      <c r="QB199" s="27"/>
      <c r="QC199" s="27"/>
      <c r="QD199" s="28"/>
      <c r="QE199" s="25"/>
      <c r="QF199" s="27"/>
      <c r="QG199" s="27"/>
      <c r="QH199" s="27"/>
      <c r="QI199" s="27"/>
      <c r="QJ199" s="27"/>
      <c r="QK199" s="28"/>
      <c r="QL199" s="25"/>
      <c r="QM199" s="27"/>
      <c r="QN199" s="27"/>
      <c r="QO199" s="27"/>
      <c r="QP199" s="27"/>
      <c r="QQ199" s="27"/>
      <c r="QR199" s="28"/>
      <c r="QS199" s="25"/>
      <c r="QT199" s="27"/>
      <c r="QU199" s="27"/>
      <c r="QV199" s="27"/>
      <c r="QW199" s="27"/>
      <c r="QX199" s="27"/>
      <c r="QY199" s="28"/>
      <c r="QZ199" s="25"/>
      <c r="RA199" s="27"/>
      <c r="RB199" s="27"/>
      <c r="RC199" s="27"/>
      <c r="RD199" s="27"/>
      <c r="RE199" s="27"/>
      <c r="RF199" s="28"/>
      <c r="RG199" s="25"/>
      <c r="RH199" s="27"/>
      <c r="RI199" s="27"/>
      <c r="RJ199" s="27"/>
      <c r="RK199" s="27"/>
      <c r="RL199" s="27"/>
      <c r="RM199" s="28"/>
      <c r="RN199" s="25"/>
      <c r="RO199" s="27"/>
      <c r="RP199" s="27"/>
      <c r="RQ199" s="27"/>
      <c r="RR199" s="27"/>
      <c r="RS199" s="27"/>
      <c r="RT199" s="28"/>
      <c r="RU199" s="25"/>
      <c r="RV199" s="27"/>
      <c r="RW199" s="27"/>
      <c r="RX199" s="27"/>
      <c r="RY199" s="27"/>
      <c r="RZ199" s="27"/>
      <c r="SA199" s="28"/>
      <c r="SB199" s="25"/>
      <c r="SC199" s="27"/>
      <c r="SD199" s="27"/>
      <c r="SE199" s="27"/>
      <c r="SF199" s="27"/>
      <c r="SG199" s="27"/>
      <c r="SH199" s="28"/>
      <c r="SI199" s="25"/>
      <c r="SJ199" s="27"/>
      <c r="SK199" s="27"/>
      <c r="SL199" s="27"/>
      <c r="SM199" s="27"/>
      <c r="SN199" s="27"/>
      <c r="SO199" s="28"/>
      <c r="SP199" s="25"/>
      <c r="SQ199" s="27"/>
      <c r="SR199" s="27"/>
    </row>
    <row r="200" spans="1:512" x14ac:dyDescent="0.15">
      <c r="A200" s="101">
        <f t="shared" ca="1" si="1562"/>
        <v>63</v>
      </c>
      <c r="B200" s="111">
        <v>63</v>
      </c>
      <c r="C200" s="71" t="str">
        <f t="shared" ca="1" si="1555"/>
        <v>Martina</v>
      </c>
      <c r="D200" s="112">
        <f t="shared" ca="1" si="1563"/>
        <v>179.99999999999997</v>
      </c>
      <c r="E200" s="25"/>
      <c r="F200" s="26"/>
      <c r="G200" s="27"/>
      <c r="H200" s="28"/>
      <c r="I200" s="25"/>
      <c r="J200" s="25"/>
      <c r="K200" s="26"/>
      <c r="L200" s="62"/>
      <c r="M200" s="63" t="s">
        <v>250</v>
      </c>
      <c r="N200" s="62" t="s">
        <v>131</v>
      </c>
      <c r="O200" s="32"/>
      <c r="P200" s="32">
        <f t="shared" ca="1" si="1566"/>
        <v>53</v>
      </c>
      <c r="Q200" s="32" t="str">
        <f t="shared" ca="1" si="1567"/>
        <v>Mimi</v>
      </c>
      <c r="R200" s="113">
        <f t="shared" ca="1" si="1568"/>
        <v>207.7</v>
      </c>
      <c r="S200" s="73">
        <v>63</v>
      </c>
      <c r="T200" s="32">
        <f t="shared" ca="1" si="1572"/>
        <v>207.70062999999999</v>
      </c>
      <c r="U200" s="32"/>
      <c r="V200" s="61"/>
      <c r="W200" s="62"/>
      <c r="X200" s="62"/>
      <c r="Y200" s="63"/>
      <c r="Z200" s="73"/>
      <c r="AA200" s="32"/>
      <c r="AB200" s="32"/>
      <c r="AC200" s="61"/>
      <c r="AD200" s="27"/>
      <c r="AE200" s="27"/>
      <c r="AF200" s="27"/>
      <c r="AG200" s="28"/>
      <c r="AH200" s="25"/>
      <c r="AI200" s="27"/>
      <c r="AJ200" s="27"/>
      <c r="AK200" s="27"/>
      <c r="AL200" s="27"/>
      <c r="AM200" s="27"/>
      <c r="AN200" s="28"/>
      <c r="AO200" s="25"/>
      <c r="AP200" s="27"/>
      <c r="AQ200" s="27"/>
      <c r="AR200" s="27"/>
      <c r="AS200" s="27"/>
      <c r="AT200" s="27"/>
      <c r="AU200" s="28"/>
      <c r="AV200" s="25"/>
      <c r="AW200" s="27"/>
      <c r="AX200" s="27"/>
      <c r="AY200" s="27"/>
      <c r="AZ200" s="27"/>
      <c r="BA200" s="27"/>
      <c r="BB200" s="28"/>
      <c r="BC200" s="25"/>
      <c r="BD200" s="27"/>
      <c r="BE200" s="27"/>
      <c r="BF200" s="27"/>
      <c r="BG200" s="27"/>
      <c r="BH200" s="27"/>
      <c r="BI200" s="28"/>
      <c r="BJ200" s="25"/>
      <c r="BK200" s="27"/>
      <c r="BL200" s="27"/>
      <c r="BM200" s="27"/>
      <c r="BN200" s="27"/>
      <c r="BO200" s="27"/>
      <c r="BP200" s="28"/>
      <c r="BQ200" s="25"/>
      <c r="BR200" s="27"/>
      <c r="BS200" s="27"/>
      <c r="BT200" s="27"/>
      <c r="BU200" s="27"/>
      <c r="BV200" s="27"/>
      <c r="BW200" s="28"/>
      <c r="BX200" s="25"/>
      <c r="BY200" s="27"/>
      <c r="BZ200" s="27"/>
      <c r="CA200" s="27"/>
      <c r="CB200" s="27"/>
      <c r="CC200" s="27"/>
      <c r="CD200" s="28"/>
      <c r="CE200" s="25"/>
      <c r="CF200" s="27"/>
      <c r="CG200" s="27"/>
      <c r="CH200" s="27"/>
      <c r="CI200" s="27"/>
      <c r="CJ200" s="27"/>
      <c r="CK200" s="28"/>
      <c r="CL200" s="25"/>
      <c r="CM200" s="27"/>
      <c r="CN200" s="27"/>
      <c r="CO200" s="27"/>
      <c r="CP200" s="27"/>
      <c r="CQ200" s="27"/>
      <c r="CR200" s="28"/>
      <c r="CS200" s="25"/>
      <c r="CT200" s="27"/>
      <c r="CU200" s="27"/>
      <c r="CV200" s="27"/>
      <c r="CW200" s="27"/>
      <c r="CX200" s="27"/>
      <c r="CY200" s="28"/>
      <c r="CZ200" s="25"/>
      <c r="DA200" s="27"/>
      <c r="DB200" s="27"/>
      <c r="DC200" s="27"/>
      <c r="DD200" s="27"/>
      <c r="DE200" s="27"/>
      <c r="DF200" s="28"/>
      <c r="DG200" s="25"/>
      <c r="DH200" s="27"/>
      <c r="DI200" s="27"/>
      <c r="DJ200" s="27"/>
      <c r="DK200" s="27"/>
      <c r="DL200" s="27"/>
      <c r="DM200" s="28"/>
      <c r="DN200" s="25"/>
      <c r="DO200" s="27"/>
      <c r="DP200" s="27"/>
      <c r="DQ200" s="27"/>
      <c r="DR200" s="27"/>
      <c r="DS200" s="27"/>
      <c r="DT200" s="28"/>
      <c r="DU200" s="25"/>
      <c r="DV200" s="27"/>
      <c r="DW200" s="27"/>
      <c r="DX200" s="27"/>
      <c r="DY200" s="27"/>
      <c r="DZ200" s="27"/>
      <c r="EA200" s="28"/>
      <c r="EB200" s="25"/>
      <c r="EC200" s="27"/>
      <c r="ED200" s="27"/>
      <c r="EE200" s="27"/>
      <c r="EF200" s="27"/>
      <c r="EG200" s="27"/>
      <c r="EH200" s="28"/>
      <c r="EI200" s="25"/>
      <c r="EJ200" s="27"/>
      <c r="EK200" s="27"/>
      <c r="EL200" s="27"/>
      <c r="EM200" s="27"/>
      <c r="EN200" s="27"/>
      <c r="EO200" s="28"/>
      <c r="EP200" s="25"/>
      <c r="EQ200" s="27"/>
      <c r="ER200" s="27"/>
      <c r="ES200" s="27"/>
      <c r="ET200" s="27"/>
      <c r="EU200" s="27"/>
      <c r="EV200" s="28"/>
      <c r="EW200" s="25"/>
      <c r="EX200" s="27"/>
      <c r="EY200" s="27"/>
      <c r="EZ200" s="27"/>
      <c r="FA200" s="27"/>
      <c r="FB200" s="27"/>
      <c r="FC200" s="28"/>
      <c r="FD200" s="25"/>
      <c r="FE200" s="27"/>
      <c r="FF200" s="27"/>
      <c r="FG200" s="27"/>
      <c r="FH200" s="27"/>
      <c r="FI200" s="27"/>
      <c r="FJ200" s="28"/>
      <c r="FK200" s="25"/>
      <c r="FL200" s="27"/>
      <c r="FM200" s="27"/>
      <c r="FN200" s="27"/>
      <c r="FO200" s="27"/>
      <c r="FP200" s="27"/>
      <c r="FQ200" s="28"/>
      <c r="FR200" s="25"/>
      <c r="FS200" s="27"/>
      <c r="FT200" s="27"/>
      <c r="FU200" s="27"/>
      <c r="FV200" s="27"/>
      <c r="FW200" s="27"/>
      <c r="FX200" s="28"/>
      <c r="FY200" s="25"/>
      <c r="FZ200" s="27"/>
      <c r="GA200" s="27"/>
      <c r="GB200" s="27"/>
      <c r="GC200" s="27"/>
      <c r="GD200" s="27"/>
      <c r="GE200" s="28"/>
      <c r="GF200" s="25"/>
      <c r="GG200" s="27"/>
      <c r="GH200" s="27"/>
      <c r="GI200" s="27"/>
      <c r="GJ200" s="27"/>
      <c r="GK200" s="27"/>
      <c r="GL200" s="28"/>
      <c r="GM200" s="25"/>
      <c r="GN200" s="27"/>
      <c r="GO200" s="27"/>
      <c r="GP200" s="27"/>
      <c r="GQ200" s="27"/>
      <c r="GR200" s="27"/>
      <c r="GS200" s="28"/>
      <c r="GT200" s="25"/>
      <c r="GU200" s="27"/>
      <c r="GV200" s="27"/>
      <c r="GW200" s="27"/>
      <c r="GX200" s="27"/>
      <c r="GY200" s="27"/>
      <c r="GZ200" s="28"/>
      <c r="HA200" s="25"/>
      <c r="HB200" s="27"/>
      <c r="HC200" s="27"/>
      <c r="HD200" s="27"/>
      <c r="HE200" s="27"/>
      <c r="HF200" s="27"/>
      <c r="HG200" s="28"/>
      <c r="HH200" s="25"/>
      <c r="HI200" s="27"/>
      <c r="HJ200" s="27"/>
      <c r="HK200" s="27"/>
      <c r="HL200" s="27"/>
      <c r="HM200" s="27"/>
      <c r="HN200" s="28"/>
      <c r="HO200" s="25"/>
      <c r="HP200" s="27"/>
      <c r="HQ200" s="27"/>
      <c r="HR200" s="27"/>
      <c r="HS200" s="27"/>
      <c r="HT200" s="27"/>
      <c r="HU200" s="28"/>
      <c r="HV200" s="25"/>
      <c r="HW200" s="27"/>
      <c r="HX200" s="27"/>
      <c r="HY200" s="27"/>
      <c r="HZ200" s="27"/>
      <c r="IA200" s="27"/>
      <c r="IB200" s="28"/>
      <c r="IC200" s="25"/>
      <c r="ID200" s="27"/>
      <c r="IE200" s="27"/>
      <c r="IF200" s="27"/>
      <c r="IG200" s="27"/>
      <c r="IH200" s="27"/>
      <c r="II200" s="28"/>
      <c r="IJ200" s="25"/>
      <c r="IK200" s="27"/>
      <c r="IL200" s="27"/>
      <c r="IM200" s="27"/>
      <c r="IN200" s="27"/>
      <c r="IO200" s="27"/>
      <c r="IP200" s="28"/>
      <c r="IQ200" s="25"/>
      <c r="IR200" s="27"/>
      <c r="IS200" s="27"/>
      <c r="IT200" s="27"/>
      <c r="IU200" s="27"/>
      <c r="IV200" s="27"/>
      <c r="IW200" s="28"/>
      <c r="IX200" s="25"/>
      <c r="IY200" s="27"/>
      <c r="IZ200" s="27"/>
      <c r="JA200" s="27"/>
      <c r="JB200" s="27"/>
      <c r="JC200" s="27"/>
      <c r="JD200" s="28"/>
      <c r="JE200" s="25"/>
      <c r="JF200" s="27"/>
      <c r="JG200" s="27"/>
      <c r="JH200" s="27"/>
      <c r="JI200" s="27"/>
      <c r="JJ200" s="27"/>
      <c r="JK200" s="28"/>
      <c r="JL200" s="25"/>
      <c r="JM200" s="27"/>
      <c r="JN200" s="27"/>
      <c r="JO200" s="27"/>
      <c r="JP200" s="27"/>
      <c r="JQ200" s="27"/>
      <c r="JR200" s="28"/>
      <c r="JS200" s="25"/>
      <c r="JT200" s="27"/>
      <c r="JU200" s="27"/>
      <c r="JV200" s="27"/>
      <c r="JW200" s="27"/>
      <c r="JX200" s="27"/>
      <c r="JY200" s="28"/>
      <c r="JZ200" s="25"/>
      <c r="KA200" s="27"/>
      <c r="KB200" s="27"/>
      <c r="KC200" s="27"/>
      <c r="KD200" s="27"/>
      <c r="KE200" s="27"/>
      <c r="KF200" s="28"/>
      <c r="KG200" s="25"/>
      <c r="KH200" s="27"/>
      <c r="KI200" s="27"/>
      <c r="KJ200" s="27"/>
      <c r="KK200" s="27"/>
      <c r="KL200" s="27"/>
      <c r="KM200" s="28"/>
      <c r="KN200" s="25"/>
      <c r="KO200" s="27"/>
      <c r="KP200" s="27"/>
      <c r="KQ200" s="27"/>
      <c r="KR200" s="27"/>
      <c r="KS200" s="27"/>
      <c r="KT200" s="28"/>
      <c r="KU200" s="25"/>
      <c r="KV200" s="27"/>
      <c r="KW200" s="27"/>
      <c r="KX200" s="27"/>
      <c r="KY200" s="27"/>
      <c r="KZ200" s="27"/>
      <c r="LA200" s="28"/>
      <c r="LB200" s="25"/>
      <c r="LC200" s="27"/>
      <c r="LD200" s="27"/>
      <c r="LE200" s="27"/>
      <c r="LF200" s="27"/>
      <c r="LG200" s="27"/>
      <c r="LH200" s="28"/>
      <c r="LI200" s="25"/>
      <c r="LJ200" s="27"/>
      <c r="LK200" s="27"/>
      <c r="LL200" s="27"/>
      <c r="LM200" s="27"/>
      <c r="LN200" s="27"/>
      <c r="LO200" s="28"/>
      <c r="LP200" s="25"/>
      <c r="LQ200" s="27"/>
      <c r="LR200" s="27"/>
      <c r="LS200" s="27"/>
      <c r="LT200" s="27"/>
      <c r="LU200" s="27"/>
      <c r="LV200" s="28"/>
      <c r="LW200" s="25"/>
      <c r="LX200" s="27"/>
      <c r="LY200" s="27"/>
      <c r="LZ200" s="27"/>
      <c r="MA200" s="27"/>
      <c r="MB200" s="27"/>
      <c r="MC200" s="28"/>
      <c r="MD200" s="25"/>
      <c r="ME200" s="27"/>
      <c r="MF200" s="27"/>
      <c r="MG200" s="27"/>
      <c r="MH200" s="27"/>
      <c r="MI200" s="27"/>
      <c r="MJ200" s="28"/>
      <c r="MK200" s="25"/>
      <c r="ML200" s="27"/>
      <c r="MM200" s="27"/>
      <c r="MN200" s="27"/>
      <c r="MO200" s="27"/>
      <c r="MP200" s="27"/>
      <c r="MQ200" s="28"/>
      <c r="MR200" s="25"/>
      <c r="MS200" s="27"/>
      <c r="MT200" s="27"/>
      <c r="MU200" s="27"/>
      <c r="MV200" s="27"/>
      <c r="MW200" s="27"/>
      <c r="MX200" s="28"/>
      <c r="MY200" s="25"/>
      <c r="MZ200" s="27"/>
      <c r="NA200" s="27"/>
      <c r="NB200" s="27"/>
      <c r="NC200" s="27"/>
      <c r="ND200" s="27"/>
      <c r="NE200" s="28"/>
      <c r="NF200" s="25"/>
      <c r="NG200" s="27"/>
      <c r="NH200" s="27"/>
      <c r="NI200" s="27"/>
      <c r="NJ200" s="27"/>
      <c r="NK200" s="27"/>
      <c r="NL200" s="28"/>
      <c r="NM200" s="25"/>
      <c r="NN200" s="27"/>
      <c r="NO200" s="27"/>
      <c r="NP200" s="27"/>
      <c r="NQ200" s="27"/>
      <c r="NR200" s="27"/>
      <c r="NS200" s="28"/>
      <c r="NT200" s="25"/>
      <c r="NU200" s="27"/>
      <c r="NV200" s="27"/>
      <c r="NW200" s="27"/>
      <c r="NX200" s="27"/>
      <c r="NY200" s="27"/>
      <c r="NZ200" s="28"/>
      <c r="OA200" s="25"/>
      <c r="OB200" s="27"/>
      <c r="OC200" s="27"/>
      <c r="OD200" s="27"/>
      <c r="OE200" s="27"/>
      <c r="OF200" s="27"/>
      <c r="OG200" s="28"/>
      <c r="OH200" s="25"/>
      <c r="OI200" s="27"/>
      <c r="OJ200" s="27"/>
      <c r="OK200" s="27"/>
      <c r="OL200" s="27"/>
      <c r="OM200" s="27"/>
      <c r="ON200" s="28"/>
      <c r="OO200" s="25"/>
      <c r="OP200" s="27"/>
      <c r="OQ200" s="27"/>
      <c r="OR200" s="27"/>
      <c r="OS200" s="27"/>
      <c r="OT200" s="27"/>
      <c r="OU200" s="28"/>
      <c r="OV200" s="25"/>
      <c r="OW200" s="27"/>
      <c r="OX200" s="27"/>
      <c r="OY200" s="27"/>
      <c r="OZ200" s="27"/>
      <c r="PA200" s="27"/>
      <c r="PB200" s="28"/>
      <c r="PC200" s="25"/>
      <c r="PD200" s="27"/>
      <c r="PE200" s="27"/>
      <c r="PF200" s="27"/>
      <c r="PG200" s="27"/>
      <c r="PH200" s="27"/>
      <c r="PI200" s="28"/>
      <c r="PJ200" s="25"/>
      <c r="PK200" s="27"/>
      <c r="PL200" s="27"/>
      <c r="PM200" s="27"/>
      <c r="PN200" s="27"/>
      <c r="PO200" s="27"/>
      <c r="PP200" s="28"/>
      <c r="PQ200" s="25"/>
      <c r="PR200" s="27"/>
      <c r="PS200" s="27"/>
      <c r="PT200" s="27"/>
      <c r="PU200" s="27"/>
      <c r="PV200" s="27"/>
      <c r="PW200" s="28"/>
      <c r="PX200" s="25"/>
      <c r="PY200" s="27"/>
      <c r="PZ200" s="27"/>
      <c r="QA200" s="27"/>
      <c r="QB200" s="27"/>
      <c r="QC200" s="27"/>
      <c r="QD200" s="28"/>
      <c r="QE200" s="25"/>
      <c r="QF200" s="27"/>
      <c r="QG200" s="27"/>
      <c r="QH200" s="27"/>
      <c r="QI200" s="27"/>
      <c r="QJ200" s="27"/>
      <c r="QK200" s="28"/>
      <c r="QL200" s="25"/>
      <c r="QM200" s="27"/>
      <c r="QN200" s="27"/>
      <c r="QO200" s="27"/>
      <c r="QP200" s="27"/>
      <c r="QQ200" s="27"/>
      <c r="QR200" s="28"/>
      <c r="QS200" s="25"/>
      <c r="QT200" s="27"/>
      <c r="QU200" s="27"/>
      <c r="QV200" s="27"/>
      <c r="QW200" s="27"/>
      <c r="QX200" s="27"/>
      <c r="QY200" s="28"/>
      <c r="QZ200" s="25"/>
      <c r="RA200" s="27"/>
      <c r="RB200" s="27"/>
      <c r="RC200" s="27"/>
      <c r="RD200" s="27"/>
      <c r="RE200" s="27"/>
      <c r="RF200" s="28"/>
      <c r="RG200" s="25"/>
      <c r="RH200" s="27"/>
      <c r="RI200" s="27"/>
      <c r="RJ200" s="27"/>
      <c r="RK200" s="27"/>
      <c r="RL200" s="27"/>
      <c r="RM200" s="28"/>
      <c r="RN200" s="25"/>
      <c r="RO200" s="27"/>
      <c r="RP200" s="27"/>
      <c r="RQ200" s="27"/>
      <c r="RR200" s="27"/>
      <c r="RS200" s="27"/>
      <c r="RT200" s="28"/>
      <c r="RU200" s="25"/>
      <c r="RV200" s="27"/>
      <c r="RW200" s="27"/>
      <c r="RX200" s="27"/>
      <c r="RY200" s="27"/>
      <c r="RZ200" s="27"/>
      <c r="SA200" s="28"/>
      <c r="SB200" s="25"/>
      <c r="SC200" s="27"/>
      <c r="SD200" s="27"/>
      <c r="SE200" s="27"/>
      <c r="SF200" s="27"/>
      <c r="SG200" s="27"/>
      <c r="SH200" s="28"/>
      <c r="SI200" s="25"/>
      <c r="SJ200" s="27"/>
      <c r="SK200" s="27"/>
      <c r="SL200" s="27"/>
      <c r="SM200" s="27"/>
      <c r="SN200" s="27"/>
      <c r="SO200" s="28"/>
      <c r="SP200" s="25"/>
      <c r="SQ200" s="27"/>
      <c r="SR200" s="27"/>
    </row>
    <row r="201" spans="1:512" x14ac:dyDescent="0.15">
      <c r="A201" s="101">
        <f t="shared" ca="1" si="1562"/>
        <v>64</v>
      </c>
      <c r="B201" s="111">
        <v>64</v>
      </c>
      <c r="C201" s="71" t="str">
        <f t="shared" ca="1" si="1555"/>
        <v>Frieda</v>
      </c>
      <c r="D201" s="112">
        <f t="shared" ca="1" si="1563"/>
        <v>176.69999999999996</v>
      </c>
      <c r="E201" s="25"/>
      <c r="F201" s="26"/>
      <c r="G201" s="27"/>
      <c r="H201" s="28"/>
      <c r="I201" s="25"/>
      <c r="J201" s="25"/>
      <c r="K201" s="26"/>
      <c r="L201" s="62"/>
      <c r="M201" s="32" t="s">
        <v>251</v>
      </c>
      <c r="N201" s="62" t="s">
        <v>132</v>
      </c>
      <c r="O201" s="32"/>
      <c r="P201" s="32">
        <f t="shared" ca="1" si="1566"/>
        <v>12</v>
      </c>
      <c r="Q201" s="32" t="str">
        <f t="shared" ca="1" si="1567"/>
        <v>Ben W</v>
      </c>
      <c r="R201" s="113">
        <f t="shared" ca="1" si="1568"/>
        <v>246.29999999999993</v>
      </c>
      <c r="S201" s="73">
        <v>64</v>
      </c>
      <c r="T201" s="32">
        <f t="shared" ca="1" si="1572"/>
        <v>246.30063999999993</v>
      </c>
      <c r="U201" s="32"/>
      <c r="V201" s="61"/>
      <c r="W201" s="62"/>
      <c r="X201" s="62"/>
      <c r="Y201" s="63"/>
      <c r="Z201" s="73"/>
      <c r="AA201" s="32"/>
      <c r="AB201" s="32"/>
      <c r="AC201" s="61"/>
      <c r="AD201" s="27"/>
      <c r="AE201" s="27"/>
      <c r="AF201" s="27"/>
      <c r="AG201" s="28"/>
      <c r="AH201" s="25"/>
      <c r="AI201" s="27"/>
      <c r="AJ201" s="27"/>
      <c r="AK201" s="27"/>
      <c r="AL201" s="27"/>
      <c r="AM201" s="27"/>
      <c r="AN201" s="28"/>
      <c r="AO201" s="25"/>
      <c r="AP201" s="27"/>
      <c r="AQ201" s="27"/>
      <c r="AR201" s="27"/>
      <c r="AS201" s="27"/>
      <c r="AT201" s="27"/>
      <c r="AU201" s="28"/>
      <c r="AV201" s="25"/>
      <c r="AW201" s="27"/>
      <c r="AX201" s="27"/>
      <c r="AY201" s="27"/>
      <c r="AZ201" s="27"/>
      <c r="BA201" s="27"/>
      <c r="BB201" s="28"/>
      <c r="BC201" s="25"/>
      <c r="BD201" s="27"/>
      <c r="BE201" s="27"/>
      <c r="BF201" s="27"/>
      <c r="BG201" s="27"/>
      <c r="BH201" s="27"/>
      <c r="BI201" s="28"/>
      <c r="BJ201" s="25"/>
      <c r="BK201" s="27"/>
      <c r="BL201" s="27"/>
      <c r="BM201" s="27"/>
      <c r="BN201" s="27"/>
      <c r="BO201" s="27"/>
      <c r="BP201" s="28"/>
      <c r="BQ201" s="25"/>
      <c r="BR201" s="27"/>
      <c r="BS201" s="27"/>
      <c r="BT201" s="27"/>
      <c r="BU201" s="27"/>
      <c r="BV201" s="27"/>
      <c r="BW201" s="28"/>
      <c r="BX201" s="25"/>
      <c r="BY201" s="27"/>
      <c r="BZ201" s="27"/>
      <c r="CA201" s="27"/>
      <c r="CB201" s="27"/>
      <c r="CC201" s="27"/>
      <c r="CD201" s="28"/>
      <c r="CE201" s="25"/>
      <c r="CF201" s="27"/>
      <c r="CG201" s="27"/>
      <c r="CH201" s="27"/>
      <c r="CI201" s="27"/>
      <c r="CJ201" s="27"/>
      <c r="CK201" s="28"/>
      <c r="CL201" s="25"/>
      <c r="CM201" s="27"/>
      <c r="CN201" s="27"/>
      <c r="CO201" s="27"/>
      <c r="CP201" s="27"/>
      <c r="CQ201" s="27"/>
      <c r="CR201" s="28"/>
      <c r="CS201" s="25"/>
      <c r="CT201" s="27"/>
      <c r="CU201" s="27"/>
      <c r="CV201" s="27"/>
      <c r="CW201" s="27"/>
      <c r="CX201" s="27"/>
      <c r="CY201" s="28"/>
      <c r="CZ201" s="25"/>
      <c r="DA201" s="27"/>
      <c r="DB201" s="27"/>
      <c r="DC201" s="27"/>
      <c r="DD201" s="27"/>
      <c r="DE201" s="27"/>
      <c r="DF201" s="28"/>
      <c r="DG201" s="25"/>
      <c r="DH201" s="27"/>
      <c r="DI201" s="27"/>
      <c r="DJ201" s="27"/>
      <c r="DK201" s="27"/>
      <c r="DL201" s="27"/>
      <c r="DM201" s="28"/>
      <c r="DN201" s="25"/>
      <c r="DO201" s="27"/>
      <c r="DP201" s="27"/>
      <c r="DQ201" s="27"/>
      <c r="DR201" s="27"/>
      <c r="DS201" s="27"/>
      <c r="DT201" s="28"/>
      <c r="DU201" s="25"/>
      <c r="DV201" s="27"/>
      <c r="DW201" s="27"/>
      <c r="DX201" s="27"/>
      <c r="DY201" s="27"/>
      <c r="DZ201" s="27"/>
      <c r="EA201" s="28"/>
      <c r="EB201" s="25"/>
      <c r="EC201" s="27"/>
      <c r="ED201" s="27"/>
      <c r="EE201" s="27"/>
      <c r="EF201" s="27"/>
      <c r="EG201" s="27"/>
      <c r="EH201" s="28"/>
      <c r="EI201" s="25"/>
      <c r="EJ201" s="27"/>
      <c r="EK201" s="27"/>
      <c r="EL201" s="27"/>
      <c r="EM201" s="27"/>
      <c r="EN201" s="27"/>
      <c r="EO201" s="28"/>
      <c r="EP201" s="25"/>
      <c r="EQ201" s="27"/>
      <c r="ER201" s="27"/>
      <c r="ES201" s="27"/>
      <c r="ET201" s="27"/>
      <c r="EU201" s="27"/>
      <c r="EV201" s="28"/>
      <c r="EW201" s="25"/>
      <c r="EX201" s="27"/>
      <c r="EY201" s="27"/>
      <c r="EZ201" s="27"/>
      <c r="FA201" s="27"/>
      <c r="FB201" s="27"/>
      <c r="FC201" s="28"/>
      <c r="FD201" s="25"/>
      <c r="FE201" s="27"/>
      <c r="FF201" s="27"/>
      <c r="FG201" s="27"/>
      <c r="FH201" s="27"/>
      <c r="FI201" s="27"/>
      <c r="FJ201" s="28"/>
      <c r="FK201" s="25"/>
      <c r="FL201" s="27"/>
      <c r="FM201" s="27"/>
      <c r="FN201" s="27"/>
      <c r="FO201" s="27"/>
      <c r="FP201" s="27"/>
      <c r="FQ201" s="28"/>
      <c r="FR201" s="25"/>
      <c r="FS201" s="27"/>
      <c r="FT201" s="27"/>
      <c r="FU201" s="27"/>
      <c r="FV201" s="27"/>
      <c r="FW201" s="27"/>
      <c r="FX201" s="28"/>
      <c r="FY201" s="25"/>
      <c r="FZ201" s="27"/>
      <c r="GA201" s="27"/>
      <c r="GB201" s="27"/>
      <c r="GC201" s="27"/>
      <c r="GD201" s="27"/>
      <c r="GE201" s="28"/>
      <c r="GF201" s="25"/>
      <c r="GG201" s="27"/>
      <c r="GH201" s="27"/>
      <c r="GI201" s="27"/>
      <c r="GJ201" s="27"/>
      <c r="GK201" s="27"/>
      <c r="GL201" s="28"/>
      <c r="GM201" s="25"/>
      <c r="GN201" s="27"/>
      <c r="GO201" s="27"/>
      <c r="GP201" s="27"/>
      <c r="GQ201" s="27"/>
      <c r="GR201" s="27"/>
      <c r="GS201" s="28"/>
      <c r="GT201" s="25"/>
      <c r="GU201" s="27"/>
      <c r="GV201" s="27"/>
      <c r="GW201" s="27"/>
      <c r="GX201" s="27"/>
      <c r="GY201" s="27"/>
      <c r="GZ201" s="28"/>
      <c r="HA201" s="25"/>
      <c r="HB201" s="27"/>
      <c r="HC201" s="27"/>
      <c r="HD201" s="27"/>
      <c r="HE201" s="27"/>
      <c r="HF201" s="27"/>
      <c r="HG201" s="28"/>
      <c r="HH201" s="25"/>
      <c r="HI201" s="27"/>
      <c r="HJ201" s="27"/>
      <c r="HK201" s="27"/>
      <c r="HL201" s="27"/>
      <c r="HM201" s="27"/>
      <c r="HN201" s="28"/>
      <c r="HO201" s="25"/>
      <c r="HP201" s="27"/>
      <c r="HQ201" s="27"/>
      <c r="HR201" s="27"/>
      <c r="HS201" s="27"/>
      <c r="HT201" s="27"/>
      <c r="HU201" s="28"/>
      <c r="HV201" s="25"/>
      <c r="HW201" s="27"/>
      <c r="HX201" s="27"/>
      <c r="HY201" s="27"/>
      <c r="HZ201" s="27"/>
      <c r="IA201" s="27"/>
      <c r="IB201" s="28"/>
      <c r="IC201" s="25"/>
      <c r="ID201" s="27"/>
      <c r="IE201" s="27"/>
      <c r="IF201" s="27"/>
      <c r="IG201" s="27"/>
      <c r="IH201" s="27"/>
      <c r="II201" s="28"/>
      <c r="IJ201" s="25"/>
      <c r="IK201" s="27"/>
      <c r="IL201" s="27"/>
      <c r="IM201" s="27"/>
      <c r="IN201" s="27"/>
      <c r="IO201" s="27"/>
      <c r="IP201" s="28"/>
      <c r="IQ201" s="25"/>
      <c r="IR201" s="27"/>
      <c r="IS201" s="27"/>
      <c r="IT201" s="27"/>
      <c r="IU201" s="27"/>
      <c r="IV201" s="27"/>
      <c r="IW201" s="28"/>
      <c r="IX201" s="25"/>
      <c r="IY201" s="27"/>
      <c r="IZ201" s="27"/>
      <c r="JA201" s="27"/>
      <c r="JB201" s="27"/>
      <c r="JC201" s="27"/>
      <c r="JD201" s="28"/>
      <c r="JE201" s="25"/>
      <c r="JF201" s="27"/>
      <c r="JG201" s="27"/>
      <c r="JH201" s="27"/>
      <c r="JI201" s="27"/>
      <c r="JJ201" s="27"/>
      <c r="JK201" s="28"/>
      <c r="JL201" s="25"/>
      <c r="JM201" s="27"/>
      <c r="JN201" s="27"/>
      <c r="JO201" s="27"/>
      <c r="JP201" s="27"/>
      <c r="JQ201" s="27"/>
      <c r="JR201" s="28"/>
      <c r="JS201" s="25"/>
      <c r="JT201" s="27"/>
      <c r="JU201" s="27"/>
      <c r="JV201" s="27"/>
      <c r="JW201" s="27"/>
      <c r="JX201" s="27"/>
      <c r="JY201" s="28"/>
      <c r="JZ201" s="25"/>
      <c r="KA201" s="27"/>
      <c r="KB201" s="27"/>
      <c r="KC201" s="27"/>
      <c r="KD201" s="27"/>
      <c r="KE201" s="27"/>
      <c r="KF201" s="28"/>
      <c r="KG201" s="25"/>
      <c r="KH201" s="27"/>
      <c r="KI201" s="27"/>
      <c r="KJ201" s="27"/>
      <c r="KK201" s="27"/>
      <c r="KL201" s="27"/>
      <c r="KM201" s="28"/>
      <c r="KN201" s="25"/>
      <c r="KO201" s="27"/>
      <c r="KP201" s="27"/>
      <c r="KQ201" s="27"/>
      <c r="KR201" s="27"/>
      <c r="KS201" s="27"/>
      <c r="KT201" s="28"/>
      <c r="KU201" s="25"/>
      <c r="KV201" s="27"/>
      <c r="KW201" s="27"/>
      <c r="KX201" s="27"/>
      <c r="KY201" s="27"/>
      <c r="KZ201" s="27"/>
      <c r="LA201" s="28"/>
      <c r="LB201" s="25"/>
      <c r="LC201" s="27"/>
      <c r="LD201" s="27"/>
      <c r="LE201" s="27"/>
      <c r="LF201" s="27"/>
      <c r="LG201" s="27"/>
      <c r="LH201" s="28"/>
      <c r="LI201" s="25"/>
      <c r="LJ201" s="27"/>
      <c r="LK201" s="27"/>
      <c r="LL201" s="27"/>
      <c r="LM201" s="27"/>
      <c r="LN201" s="27"/>
      <c r="LO201" s="28"/>
      <c r="LP201" s="25"/>
      <c r="LQ201" s="27"/>
      <c r="LR201" s="27"/>
      <c r="LS201" s="27"/>
      <c r="LT201" s="27"/>
      <c r="LU201" s="27"/>
      <c r="LV201" s="28"/>
      <c r="LW201" s="25"/>
      <c r="LX201" s="27"/>
      <c r="LY201" s="27"/>
      <c r="LZ201" s="27"/>
      <c r="MA201" s="27"/>
      <c r="MB201" s="27"/>
      <c r="MC201" s="28"/>
      <c r="MD201" s="25"/>
      <c r="ME201" s="27"/>
      <c r="MF201" s="27"/>
      <c r="MG201" s="27"/>
      <c r="MH201" s="27"/>
      <c r="MI201" s="27"/>
      <c r="MJ201" s="28"/>
      <c r="MK201" s="25"/>
      <c r="ML201" s="27"/>
      <c r="MM201" s="27"/>
      <c r="MN201" s="27"/>
      <c r="MO201" s="27"/>
      <c r="MP201" s="27"/>
      <c r="MQ201" s="28"/>
      <c r="MR201" s="25"/>
      <c r="MS201" s="27"/>
      <c r="MT201" s="27"/>
      <c r="MU201" s="27"/>
      <c r="MV201" s="27"/>
      <c r="MW201" s="27"/>
      <c r="MX201" s="28"/>
      <c r="MY201" s="25"/>
      <c r="MZ201" s="27"/>
      <c r="NA201" s="27"/>
      <c r="NB201" s="27"/>
      <c r="NC201" s="27"/>
      <c r="ND201" s="27"/>
      <c r="NE201" s="28"/>
      <c r="NF201" s="25"/>
      <c r="NG201" s="27"/>
      <c r="NH201" s="27"/>
      <c r="NI201" s="27"/>
      <c r="NJ201" s="27"/>
      <c r="NK201" s="27"/>
      <c r="NL201" s="28"/>
      <c r="NM201" s="25"/>
      <c r="NN201" s="27"/>
      <c r="NO201" s="27"/>
      <c r="NP201" s="27"/>
      <c r="NQ201" s="27"/>
      <c r="NR201" s="27"/>
      <c r="NS201" s="28"/>
      <c r="NT201" s="25"/>
      <c r="NU201" s="27"/>
      <c r="NV201" s="27"/>
      <c r="NW201" s="27"/>
      <c r="NX201" s="27"/>
      <c r="NY201" s="27"/>
      <c r="NZ201" s="28"/>
      <c r="OA201" s="25"/>
      <c r="OB201" s="27"/>
      <c r="OC201" s="27"/>
      <c r="OD201" s="27"/>
      <c r="OE201" s="27"/>
      <c r="OF201" s="27"/>
      <c r="OG201" s="28"/>
      <c r="OH201" s="25"/>
      <c r="OI201" s="27"/>
      <c r="OJ201" s="27"/>
      <c r="OK201" s="27"/>
      <c r="OL201" s="27"/>
      <c r="OM201" s="27"/>
      <c r="ON201" s="28"/>
      <c r="OO201" s="25"/>
      <c r="OP201" s="27"/>
      <c r="OQ201" s="27"/>
      <c r="OR201" s="27"/>
      <c r="OS201" s="27"/>
      <c r="OT201" s="27"/>
      <c r="OU201" s="28"/>
      <c r="OV201" s="25"/>
      <c r="OW201" s="27"/>
      <c r="OX201" s="27"/>
      <c r="OY201" s="27"/>
      <c r="OZ201" s="27"/>
      <c r="PA201" s="27"/>
      <c r="PB201" s="28"/>
      <c r="PC201" s="25"/>
      <c r="PD201" s="27"/>
      <c r="PE201" s="27"/>
      <c r="PF201" s="27"/>
      <c r="PG201" s="27"/>
      <c r="PH201" s="27"/>
      <c r="PI201" s="28"/>
      <c r="PJ201" s="25"/>
      <c r="PK201" s="27"/>
      <c r="PL201" s="27"/>
      <c r="PM201" s="27"/>
      <c r="PN201" s="27"/>
      <c r="PO201" s="27"/>
      <c r="PP201" s="28"/>
      <c r="PQ201" s="25"/>
      <c r="PR201" s="27"/>
      <c r="PS201" s="27"/>
      <c r="PT201" s="27"/>
      <c r="PU201" s="27"/>
      <c r="PV201" s="27"/>
      <c r="PW201" s="28"/>
      <c r="PX201" s="25"/>
      <c r="PY201" s="27"/>
      <c r="PZ201" s="27"/>
      <c r="QA201" s="27"/>
      <c r="QB201" s="27"/>
      <c r="QC201" s="27"/>
      <c r="QD201" s="28"/>
      <c r="QE201" s="25"/>
      <c r="QF201" s="27"/>
      <c r="QG201" s="27"/>
      <c r="QH201" s="27"/>
      <c r="QI201" s="27"/>
      <c r="QJ201" s="27"/>
      <c r="QK201" s="28"/>
      <c r="QL201" s="25"/>
      <c r="QM201" s="27"/>
      <c r="QN201" s="27"/>
      <c r="QO201" s="27"/>
      <c r="QP201" s="27"/>
      <c r="QQ201" s="27"/>
      <c r="QR201" s="28"/>
      <c r="QS201" s="25"/>
      <c r="QT201" s="27"/>
      <c r="QU201" s="27"/>
      <c r="QV201" s="27"/>
      <c r="QW201" s="27"/>
      <c r="QX201" s="27"/>
      <c r="QY201" s="28"/>
      <c r="QZ201" s="25"/>
      <c r="RA201" s="27"/>
      <c r="RB201" s="27"/>
      <c r="RC201" s="27"/>
      <c r="RD201" s="27"/>
      <c r="RE201" s="27"/>
      <c r="RF201" s="28"/>
      <c r="RG201" s="25"/>
      <c r="RH201" s="27"/>
      <c r="RI201" s="27"/>
      <c r="RJ201" s="27"/>
      <c r="RK201" s="27"/>
      <c r="RL201" s="27"/>
      <c r="RM201" s="28"/>
      <c r="RN201" s="25"/>
      <c r="RO201" s="27"/>
      <c r="RP201" s="27"/>
      <c r="RQ201" s="27"/>
      <c r="RR201" s="27"/>
      <c r="RS201" s="27"/>
      <c r="RT201" s="28"/>
      <c r="RU201" s="25"/>
      <c r="RV201" s="27"/>
      <c r="RW201" s="27"/>
      <c r="RX201" s="27"/>
      <c r="RY201" s="27"/>
      <c r="RZ201" s="27"/>
      <c r="SA201" s="28"/>
      <c r="SB201" s="25"/>
      <c r="SC201" s="27"/>
      <c r="SD201" s="27"/>
      <c r="SE201" s="27"/>
      <c r="SF201" s="27"/>
      <c r="SG201" s="27"/>
      <c r="SH201" s="28"/>
      <c r="SI201" s="25"/>
      <c r="SJ201" s="27"/>
      <c r="SK201" s="27"/>
      <c r="SL201" s="27"/>
      <c r="SM201" s="27"/>
      <c r="SN201" s="27"/>
      <c r="SO201" s="28"/>
      <c r="SP201" s="25"/>
      <c r="SQ201" s="27"/>
      <c r="SR201" s="27"/>
    </row>
    <row r="202" spans="1:512" x14ac:dyDescent="0.15">
      <c r="A202" s="101">
        <f t="shared" ca="1" si="1562"/>
        <v>65</v>
      </c>
      <c r="B202" s="111">
        <v>65</v>
      </c>
      <c r="C202" s="71" t="str">
        <f t="shared" ref="C202:C209" ca="1" si="1573">VLOOKUP(B202,$P$138:$R$214,2,0)</f>
        <v>Avinash</v>
      </c>
      <c r="D202" s="112">
        <f t="shared" ca="1" si="1563"/>
        <v>174.3</v>
      </c>
      <c r="E202" s="25"/>
      <c r="F202" s="26"/>
      <c r="G202" s="27"/>
      <c r="H202" s="28"/>
      <c r="I202" s="25"/>
      <c r="J202" s="25"/>
      <c r="K202" s="26"/>
      <c r="L202" s="62"/>
      <c r="M202" s="62" t="s">
        <v>252</v>
      </c>
      <c r="N202" s="62" t="s">
        <v>133</v>
      </c>
      <c r="O202" s="32"/>
      <c r="P202" s="32">
        <f t="shared" ca="1" si="1566"/>
        <v>58</v>
      </c>
      <c r="Q202" s="32" t="str">
        <f t="shared" ref="Q202:Q204" ca="1" si="1574">INDIRECT(N202)</f>
        <v>Kere</v>
      </c>
      <c r="R202" s="113">
        <f t="shared" ref="R202:R204" ca="1" si="1575">INDIRECT(M203)</f>
        <v>197</v>
      </c>
      <c r="S202" s="73">
        <v>65</v>
      </c>
      <c r="T202" s="32">
        <f t="shared" ca="1" si="1572"/>
        <v>197.00065000000001</v>
      </c>
      <c r="U202" s="32"/>
      <c r="V202" s="61"/>
      <c r="W202" s="62"/>
      <c r="X202" s="62"/>
      <c r="Y202" s="63"/>
      <c r="Z202" s="73"/>
      <c r="AA202" s="32"/>
      <c r="AB202" s="32"/>
      <c r="AC202" s="61"/>
      <c r="AD202" s="27"/>
      <c r="AE202" s="27"/>
      <c r="AF202" s="27"/>
      <c r="AG202" s="28"/>
      <c r="AH202" s="25"/>
      <c r="AI202" s="27"/>
      <c r="AJ202" s="27"/>
      <c r="AK202" s="27"/>
      <c r="AL202" s="27"/>
      <c r="AM202" s="27"/>
      <c r="AN202" s="28"/>
      <c r="AO202" s="25"/>
      <c r="AP202" s="27"/>
      <c r="AQ202" s="27"/>
      <c r="AR202" s="27"/>
      <c r="AS202" s="27"/>
      <c r="AT202" s="27"/>
      <c r="AU202" s="28"/>
      <c r="AV202" s="25"/>
      <c r="AW202" s="27"/>
      <c r="AX202" s="27"/>
      <c r="AY202" s="27"/>
      <c r="AZ202" s="27"/>
      <c r="BA202" s="27"/>
      <c r="BB202" s="28"/>
      <c r="BC202" s="25"/>
      <c r="BD202" s="27"/>
      <c r="BE202" s="27"/>
      <c r="BF202" s="27"/>
      <c r="BG202" s="27"/>
      <c r="BH202" s="27"/>
      <c r="BI202" s="28"/>
      <c r="BJ202" s="25"/>
      <c r="BK202" s="27"/>
      <c r="BL202" s="27"/>
      <c r="BM202" s="27"/>
      <c r="BN202" s="27"/>
      <c r="BO202" s="27"/>
      <c r="BP202" s="28"/>
      <c r="BQ202" s="25"/>
      <c r="BR202" s="27"/>
      <c r="BS202" s="27"/>
      <c r="BT202" s="27"/>
      <c r="BU202" s="27"/>
      <c r="BV202" s="27"/>
      <c r="BW202" s="28"/>
      <c r="BX202" s="25"/>
      <c r="BY202" s="27"/>
      <c r="BZ202" s="27"/>
      <c r="CA202" s="27"/>
      <c r="CB202" s="27"/>
      <c r="CC202" s="27"/>
      <c r="CD202" s="28"/>
      <c r="CE202" s="25"/>
      <c r="CF202" s="27"/>
      <c r="CG202" s="27"/>
      <c r="CH202" s="27"/>
      <c r="CI202" s="27"/>
      <c r="CJ202" s="27"/>
      <c r="CK202" s="28"/>
      <c r="CL202" s="25"/>
      <c r="CM202" s="27"/>
      <c r="CN202" s="27"/>
      <c r="CO202" s="27"/>
      <c r="CP202" s="27"/>
      <c r="CQ202" s="27"/>
      <c r="CR202" s="28"/>
      <c r="CS202" s="25"/>
      <c r="CT202" s="27"/>
      <c r="CU202" s="27"/>
      <c r="CV202" s="27"/>
      <c r="CW202" s="27"/>
      <c r="CX202" s="27"/>
      <c r="CY202" s="28"/>
      <c r="CZ202" s="25"/>
      <c r="DA202" s="27"/>
      <c r="DB202" s="27"/>
      <c r="DC202" s="27"/>
      <c r="DD202" s="27"/>
      <c r="DE202" s="27"/>
      <c r="DF202" s="28"/>
      <c r="DG202" s="25"/>
      <c r="DH202" s="27"/>
      <c r="DI202" s="27"/>
      <c r="DJ202" s="27"/>
      <c r="DK202" s="27"/>
      <c r="DL202" s="27"/>
      <c r="DM202" s="28"/>
      <c r="DN202" s="25"/>
      <c r="DO202" s="27"/>
      <c r="DP202" s="27"/>
      <c r="DQ202" s="27"/>
      <c r="DR202" s="27"/>
      <c r="DS202" s="27"/>
      <c r="DT202" s="28"/>
      <c r="DU202" s="25"/>
      <c r="DV202" s="27"/>
      <c r="DW202" s="27"/>
      <c r="DX202" s="27"/>
      <c r="DY202" s="27"/>
      <c r="DZ202" s="27"/>
      <c r="EA202" s="28"/>
      <c r="EB202" s="25"/>
      <c r="EC202" s="27"/>
      <c r="ED202" s="27"/>
      <c r="EE202" s="27"/>
      <c r="EF202" s="27"/>
      <c r="EG202" s="27"/>
      <c r="EH202" s="28"/>
      <c r="EI202" s="25"/>
      <c r="EJ202" s="27"/>
      <c r="EK202" s="27"/>
      <c r="EL202" s="27"/>
      <c r="EM202" s="27"/>
      <c r="EN202" s="27"/>
      <c r="EO202" s="28"/>
      <c r="EP202" s="25"/>
      <c r="EQ202" s="27"/>
      <c r="ER202" s="27"/>
      <c r="ES202" s="27"/>
      <c r="ET202" s="27"/>
      <c r="EU202" s="27"/>
      <c r="EV202" s="28"/>
      <c r="EW202" s="25"/>
      <c r="EX202" s="27"/>
      <c r="EY202" s="27"/>
      <c r="EZ202" s="27"/>
      <c r="FA202" s="27"/>
      <c r="FB202" s="27"/>
      <c r="FC202" s="28"/>
      <c r="FD202" s="25"/>
      <c r="FE202" s="27"/>
      <c r="FF202" s="27"/>
      <c r="FG202" s="27"/>
      <c r="FH202" s="27"/>
      <c r="FI202" s="27"/>
      <c r="FJ202" s="28"/>
      <c r="FK202" s="25"/>
      <c r="FL202" s="27"/>
      <c r="FM202" s="27"/>
      <c r="FN202" s="27"/>
      <c r="FO202" s="27"/>
      <c r="FP202" s="27"/>
      <c r="FQ202" s="28"/>
      <c r="FR202" s="25"/>
      <c r="FS202" s="27"/>
      <c r="FT202" s="27"/>
      <c r="FU202" s="27"/>
      <c r="FV202" s="27"/>
      <c r="FW202" s="27"/>
      <c r="FX202" s="28"/>
      <c r="FY202" s="25"/>
      <c r="FZ202" s="27"/>
      <c r="GA202" s="27"/>
      <c r="GB202" s="27"/>
      <c r="GC202" s="27"/>
      <c r="GD202" s="27"/>
      <c r="GE202" s="28"/>
      <c r="GF202" s="25"/>
      <c r="GG202" s="27"/>
      <c r="GH202" s="27"/>
      <c r="GI202" s="27"/>
      <c r="GJ202" s="27"/>
      <c r="GK202" s="27"/>
      <c r="GL202" s="28"/>
      <c r="GM202" s="25"/>
      <c r="GN202" s="27"/>
      <c r="GO202" s="27"/>
      <c r="GP202" s="27"/>
      <c r="GQ202" s="27"/>
      <c r="GR202" s="27"/>
      <c r="GS202" s="28"/>
      <c r="GT202" s="25"/>
      <c r="GU202" s="27"/>
      <c r="GV202" s="27"/>
      <c r="GW202" s="27"/>
      <c r="GX202" s="27"/>
      <c r="GY202" s="27"/>
      <c r="GZ202" s="28"/>
      <c r="HA202" s="25"/>
      <c r="HB202" s="27"/>
      <c r="HC202" s="27"/>
      <c r="HD202" s="27"/>
      <c r="HE202" s="27"/>
      <c r="HF202" s="27"/>
      <c r="HG202" s="28"/>
      <c r="HH202" s="25"/>
      <c r="HI202" s="27"/>
      <c r="HJ202" s="27"/>
      <c r="HK202" s="27"/>
      <c r="HL202" s="27"/>
      <c r="HM202" s="27"/>
      <c r="HN202" s="28"/>
      <c r="HO202" s="25"/>
      <c r="HP202" s="27"/>
      <c r="HQ202" s="27"/>
      <c r="HR202" s="27"/>
      <c r="HS202" s="27"/>
      <c r="HT202" s="27"/>
      <c r="HU202" s="28"/>
      <c r="HV202" s="25"/>
      <c r="HW202" s="27"/>
      <c r="HX202" s="27"/>
      <c r="HY202" s="27"/>
      <c r="HZ202" s="27"/>
      <c r="IA202" s="27"/>
      <c r="IB202" s="28"/>
      <c r="IC202" s="25"/>
      <c r="ID202" s="27"/>
      <c r="IE202" s="27"/>
      <c r="IF202" s="27"/>
      <c r="IG202" s="27"/>
      <c r="IH202" s="27"/>
      <c r="II202" s="28"/>
      <c r="IJ202" s="25"/>
      <c r="IK202" s="27"/>
      <c r="IL202" s="27"/>
      <c r="IM202" s="27"/>
      <c r="IN202" s="27"/>
      <c r="IO202" s="27"/>
      <c r="IP202" s="28"/>
      <c r="IQ202" s="25"/>
      <c r="IR202" s="27"/>
      <c r="IS202" s="27"/>
      <c r="IT202" s="27"/>
      <c r="IU202" s="27"/>
      <c r="IV202" s="27"/>
      <c r="IW202" s="28"/>
      <c r="IX202" s="25"/>
      <c r="IY202" s="27"/>
      <c r="IZ202" s="27"/>
      <c r="JA202" s="27"/>
      <c r="JB202" s="27"/>
      <c r="JC202" s="27"/>
      <c r="JD202" s="28"/>
      <c r="JE202" s="25"/>
      <c r="JF202" s="27"/>
      <c r="JG202" s="27"/>
      <c r="JH202" s="27"/>
      <c r="JI202" s="27"/>
      <c r="JJ202" s="27"/>
      <c r="JK202" s="28"/>
      <c r="JL202" s="25"/>
      <c r="JM202" s="27"/>
      <c r="JN202" s="27"/>
      <c r="JO202" s="27"/>
      <c r="JP202" s="27"/>
      <c r="JQ202" s="27"/>
      <c r="JR202" s="28"/>
      <c r="JS202" s="25"/>
      <c r="JT202" s="27"/>
      <c r="JU202" s="27"/>
      <c r="JV202" s="27"/>
      <c r="JW202" s="27"/>
      <c r="JX202" s="27"/>
      <c r="JY202" s="28"/>
      <c r="JZ202" s="25"/>
      <c r="KA202" s="27"/>
      <c r="KB202" s="27"/>
      <c r="KC202" s="27"/>
      <c r="KD202" s="27"/>
      <c r="KE202" s="27"/>
      <c r="KF202" s="28"/>
      <c r="KG202" s="25"/>
      <c r="KH202" s="27"/>
      <c r="KI202" s="27"/>
      <c r="KJ202" s="27"/>
      <c r="KK202" s="27"/>
      <c r="KL202" s="27"/>
      <c r="KM202" s="28"/>
      <c r="KN202" s="25"/>
      <c r="KO202" s="27"/>
      <c r="KP202" s="27"/>
      <c r="KQ202" s="27"/>
      <c r="KR202" s="27"/>
      <c r="KS202" s="27"/>
      <c r="KT202" s="28"/>
      <c r="KU202" s="25"/>
      <c r="KV202" s="27"/>
      <c r="KW202" s="27"/>
      <c r="KX202" s="27"/>
      <c r="KY202" s="27"/>
      <c r="KZ202" s="27"/>
      <c r="LA202" s="28"/>
      <c r="LB202" s="25"/>
      <c r="LC202" s="27"/>
      <c r="LD202" s="27"/>
      <c r="LE202" s="27"/>
      <c r="LF202" s="27"/>
      <c r="LG202" s="27"/>
      <c r="LH202" s="28"/>
      <c r="LI202" s="25"/>
      <c r="LJ202" s="27"/>
      <c r="LK202" s="27"/>
      <c r="LL202" s="27"/>
      <c r="LM202" s="27"/>
      <c r="LN202" s="27"/>
      <c r="LO202" s="28"/>
      <c r="LP202" s="25"/>
      <c r="LQ202" s="27"/>
      <c r="LR202" s="27"/>
      <c r="LS202" s="27"/>
      <c r="LT202" s="27"/>
      <c r="LU202" s="27"/>
      <c r="LV202" s="28"/>
      <c r="LW202" s="25"/>
      <c r="LX202" s="27"/>
      <c r="LY202" s="27"/>
      <c r="LZ202" s="27"/>
      <c r="MA202" s="27"/>
      <c r="MB202" s="27"/>
      <c r="MC202" s="28"/>
      <c r="MD202" s="25"/>
      <c r="ME202" s="27"/>
      <c r="MF202" s="27"/>
      <c r="MG202" s="27"/>
      <c r="MH202" s="27"/>
      <c r="MI202" s="27"/>
      <c r="MJ202" s="28"/>
      <c r="MK202" s="25"/>
      <c r="ML202" s="27"/>
      <c r="MM202" s="27"/>
      <c r="MN202" s="27"/>
      <c r="MO202" s="27"/>
      <c r="MP202" s="27"/>
      <c r="MQ202" s="28"/>
      <c r="MR202" s="25"/>
      <c r="MS202" s="27"/>
      <c r="MT202" s="27"/>
      <c r="MU202" s="27"/>
      <c r="MV202" s="27"/>
      <c r="MW202" s="27"/>
      <c r="MX202" s="28"/>
      <c r="MY202" s="25"/>
      <c r="MZ202" s="27"/>
      <c r="NA202" s="27"/>
      <c r="NB202" s="27"/>
      <c r="NC202" s="27"/>
      <c r="ND202" s="27"/>
      <c r="NE202" s="28"/>
      <c r="NF202" s="25"/>
      <c r="NG202" s="27"/>
      <c r="NH202" s="27"/>
      <c r="NI202" s="27"/>
      <c r="NJ202" s="27"/>
      <c r="NK202" s="27"/>
      <c r="NL202" s="28"/>
      <c r="NM202" s="25"/>
      <c r="NN202" s="27"/>
      <c r="NO202" s="27"/>
      <c r="NP202" s="27"/>
      <c r="NQ202" s="27"/>
      <c r="NR202" s="27"/>
      <c r="NS202" s="28"/>
      <c r="NT202" s="25"/>
      <c r="NU202" s="27"/>
      <c r="NV202" s="27"/>
      <c r="NW202" s="27"/>
      <c r="NX202" s="27"/>
      <c r="NY202" s="27"/>
      <c r="NZ202" s="28"/>
      <c r="OA202" s="25"/>
      <c r="OB202" s="27"/>
      <c r="OC202" s="27"/>
      <c r="OD202" s="27"/>
      <c r="OE202" s="27"/>
      <c r="OF202" s="27"/>
      <c r="OG202" s="28"/>
      <c r="OH202" s="25"/>
      <c r="OI202" s="27"/>
      <c r="OJ202" s="27"/>
      <c r="OK202" s="27"/>
      <c r="OL202" s="27"/>
      <c r="OM202" s="27"/>
      <c r="ON202" s="28"/>
      <c r="OO202" s="25"/>
      <c r="OP202" s="27"/>
      <c r="OQ202" s="27"/>
      <c r="OR202" s="27"/>
      <c r="OS202" s="27"/>
      <c r="OT202" s="27"/>
      <c r="OU202" s="28"/>
      <c r="OV202" s="25"/>
      <c r="OW202" s="27"/>
      <c r="OX202" s="27"/>
      <c r="OY202" s="27"/>
      <c r="OZ202" s="27"/>
      <c r="PA202" s="27"/>
      <c r="PB202" s="28"/>
      <c r="PC202" s="25"/>
      <c r="PD202" s="27"/>
      <c r="PE202" s="27"/>
      <c r="PF202" s="27"/>
      <c r="PG202" s="27"/>
      <c r="PH202" s="27"/>
      <c r="PI202" s="28"/>
      <c r="PJ202" s="25"/>
      <c r="PK202" s="27"/>
      <c r="PL202" s="27"/>
      <c r="PM202" s="27"/>
      <c r="PN202" s="27"/>
      <c r="PO202" s="27"/>
      <c r="PP202" s="28"/>
      <c r="PQ202" s="25"/>
      <c r="PR202" s="27"/>
      <c r="PS202" s="27"/>
      <c r="PT202" s="27"/>
      <c r="PU202" s="27"/>
      <c r="PV202" s="27"/>
      <c r="PW202" s="28"/>
      <c r="PX202" s="25"/>
      <c r="PY202" s="27"/>
      <c r="PZ202" s="27"/>
      <c r="QA202" s="27"/>
      <c r="QB202" s="27"/>
      <c r="QC202" s="27"/>
      <c r="QD202" s="28"/>
      <c r="QE202" s="25"/>
      <c r="QF202" s="27"/>
      <c r="QG202" s="27"/>
      <c r="QH202" s="27"/>
      <c r="QI202" s="27"/>
      <c r="QJ202" s="27"/>
      <c r="QK202" s="28"/>
      <c r="QL202" s="25"/>
      <c r="QM202" s="27"/>
      <c r="QN202" s="27"/>
      <c r="QO202" s="27"/>
      <c r="QP202" s="27"/>
      <c r="QQ202" s="27"/>
      <c r="QR202" s="28"/>
      <c r="QS202" s="25"/>
      <c r="QT202" s="27"/>
      <c r="QU202" s="27"/>
      <c r="QV202" s="27"/>
      <c r="QW202" s="27"/>
      <c r="QX202" s="27"/>
      <c r="QY202" s="28"/>
      <c r="QZ202" s="25"/>
      <c r="RA202" s="27"/>
      <c r="RB202" s="27"/>
      <c r="RC202" s="27"/>
      <c r="RD202" s="27"/>
      <c r="RE202" s="27"/>
      <c r="RF202" s="28"/>
      <c r="RG202" s="25"/>
      <c r="RH202" s="27"/>
      <c r="RI202" s="27"/>
      <c r="RJ202" s="27"/>
      <c r="RK202" s="27"/>
      <c r="RL202" s="27"/>
      <c r="RM202" s="28"/>
      <c r="RN202" s="25"/>
      <c r="RO202" s="27"/>
      <c r="RP202" s="27"/>
      <c r="RQ202" s="27"/>
      <c r="RR202" s="27"/>
      <c r="RS202" s="27"/>
      <c r="RT202" s="28"/>
      <c r="RU202" s="25"/>
      <c r="RV202" s="27"/>
      <c r="RW202" s="27"/>
      <c r="RX202" s="27"/>
      <c r="RY202" s="27"/>
      <c r="RZ202" s="27"/>
      <c r="SA202" s="28"/>
      <c r="SB202" s="25"/>
      <c r="SC202" s="27"/>
      <c r="SD202" s="27"/>
      <c r="SE202" s="27"/>
      <c r="SF202" s="27"/>
      <c r="SG202" s="27"/>
      <c r="SH202" s="28"/>
      <c r="SI202" s="25"/>
      <c r="SJ202" s="27"/>
      <c r="SK202" s="27"/>
      <c r="SL202" s="27"/>
      <c r="SM202" s="27"/>
      <c r="SN202" s="27"/>
      <c r="SO202" s="28"/>
      <c r="SP202" s="25"/>
      <c r="SQ202" s="27"/>
      <c r="SR202" s="27"/>
    </row>
    <row r="203" spans="1:512" x14ac:dyDescent="0.15">
      <c r="A203" s="101">
        <f t="shared" ca="1" si="1562"/>
        <v>66</v>
      </c>
      <c r="B203" s="111">
        <v>66</v>
      </c>
      <c r="C203" s="71" t="str">
        <f t="shared" ca="1" si="1573"/>
        <v>Lucian</v>
      </c>
      <c r="D203" s="112">
        <f t="shared" ca="1" si="1563"/>
        <v>159.29999999999995</v>
      </c>
      <c r="E203" s="25"/>
      <c r="F203" s="26"/>
      <c r="G203" s="27"/>
      <c r="H203" s="28"/>
      <c r="I203" s="25"/>
      <c r="J203" s="25"/>
      <c r="K203" s="26"/>
      <c r="L203" s="62"/>
      <c r="M203" s="32" t="s">
        <v>253</v>
      </c>
      <c r="N203" s="62" t="s">
        <v>134</v>
      </c>
      <c r="O203" s="32"/>
      <c r="P203" s="32">
        <f t="shared" ca="1" si="1566"/>
        <v>64</v>
      </c>
      <c r="Q203" s="32" t="str">
        <f t="shared" ca="1" si="1574"/>
        <v>Frieda</v>
      </c>
      <c r="R203" s="113">
        <f t="shared" ca="1" si="1575"/>
        <v>176.69999999999996</v>
      </c>
      <c r="S203" s="73">
        <v>66</v>
      </c>
      <c r="T203" s="32">
        <f t="shared" ca="1" si="1572"/>
        <v>176.70065999999997</v>
      </c>
      <c r="U203" s="32"/>
      <c r="V203" s="61"/>
      <c r="W203" s="62"/>
      <c r="X203" s="62"/>
      <c r="Y203" s="63"/>
      <c r="Z203" s="73"/>
      <c r="AA203" s="32"/>
      <c r="AB203" s="32"/>
      <c r="AC203" s="61"/>
      <c r="AD203" s="27"/>
      <c r="AE203" s="27"/>
      <c r="AF203" s="27"/>
      <c r="AG203" s="28"/>
      <c r="AH203" s="25"/>
      <c r="AI203" s="27"/>
      <c r="AJ203" s="27"/>
      <c r="AK203" s="27"/>
      <c r="AL203" s="27"/>
      <c r="AM203" s="27"/>
      <c r="AN203" s="28"/>
      <c r="AO203" s="25"/>
      <c r="AP203" s="27"/>
      <c r="AQ203" s="27"/>
      <c r="AR203" s="27"/>
      <c r="AS203" s="27"/>
      <c r="AT203" s="27"/>
      <c r="AU203" s="28"/>
      <c r="AV203" s="25"/>
      <c r="AW203" s="27"/>
      <c r="AX203" s="27"/>
      <c r="AY203" s="27"/>
      <c r="AZ203" s="27"/>
      <c r="BA203" s="27"/>
      <c r="BB203" s="28"/>
      <c r="BC203" s="25"/>
      <c r="BD203" s="27"/>
      <c r="BE203" s="27"/>
      <c r="BF203" s="27"/>
      <c r="BG203" s="27"/>
      <c r="BH203" s="27"/>
      <c r="BI203" s="28"/>
      <c r="BJ203" s="25"/>
      <c r="BK203" s="27"/>
      <c r="BL203" s="27"/>
      <c r="BM203" s="27"/>
      <c r="BN203" s="27"/>
      <c r="BO203" s="27"/>
      <c r="BP203" s="28"/>
      <c r="BQ203" s="25"/>
      <c r="BR203" s="27"/>
      <c r="BS203" s="27"/>
      <c r="BT203" s="27"/>
      <c r="BU203" s="27"/>
      <c r="BV203" s="27"/>
      <c r="BW203" s="28"/>
      <c r="BX203" s="25"/>
      <c r="BY203" s="27"/>
      <c r="BZ203" s="27"/>
      <c r="CA203" s="27"/>
      <c r="CB203" s="27"/>
      <c r="CC203" s="27"/>
      <c r="CD203" s="28"/>
      <c r="CE203" s="25"/>
      <c r="CF203" s="27"/>
      <c r="CG203" s="27"/>
      <c r="CH203" s="27"/>
      <c r="CI203" s="27"/>
      <c r="CJ203" s="27"/>
      <c r="CK203" s="28"/>
      <c r="CL203" s="25"/>
      <c r="CM203" s="27"/>
      <c r="CN203" s="27"/>
      <c r="CO203" s="27"/>
      <c r="CP203" s="27"/>
      <c r="CQ203" s="27"/>
      <c r="CR203" s="28"/>
      <c r="CS203" s="25"/>
      <c r="CT203" s="27"/>
      <c r="CU203" s="27"/>
      <c r="CV203" s="27"/>
      <c r="CW203" s="27"/>
      <c r="CX203" s="27"/>
      <c r="CY203" s="28"/>
      <c r="CZ203" s="25"/>
      <c r="DA203" s="27"/>
      <c r="DB203" s="27"/>
      <c r="DC203" s="27"/>
      <c r="DD203" s="27"/>
      <c r="DE203" s="27"/>
      <c r="DF203" s="28"/>
      <c r="DG203" s="25"/>
      <c r="DH203" s="27"/>
      <c r="DI203" s="27"/>
      <c r="DJ203" s="27"/>
      <c r="DK203" s="27"/>
      <c r="DL203" s="27"/>
      <c r="DM203" s="28"/>
      <c r="DN203" s="25"/>
      <c r="DO203" s="27"/>
      <c r="DP203" s="27"/>
      <c r="DQ203" s="27"/>
      <c r="DR203" s="27"/>
      <c r="DS203" s="27"/>
      <c r="DT203" s="28"/>
      <c r="DU203" s="25"/>
      <c r="DV203" s="27"/>
      <c r="DW203" s="27"/>
      <c r="DX203" s="27"/>
      <c r="DY203" s="27"/>
      <c r="DZ203" s="27"/>
      <c r="EA203" s="28"/>
      <c r="EB203" s="25"/>
      <c r="EC203" s="27"/>
      <c r="ED203" s="27"/>
      <c r="EE203" s="27"/>
      <c r="EF203" s="27"/>
      <c r="EG203" s="27"/>
      <c r="EH203" s="28"/>
      <c r="EI203" s="25"/>
      <c r="EJ203" s="27"/>
      <c r="EK203" s="27"/>
      <c r="EL203" s="27"/>
      <c r="EM203" s="27"/>
      <c r="EN203" s="27"/>
      <c r="EO203" s="28"/>
      <c r="EP203" s="25"/>
      <c r="EQ203" s="27"/>
      <c r="ER203" s="27"/>
      <c r="ES203" s="27"/>
      <c r="ET203" s="27"/>
      <c r="EU203" s="27"/>
      <c r="EV203" s="28"/>
      <c r="EW203" s="25"/>
      <c r="EX203" s="27"/>
      <c r="EY203" s="27"/>
      <c r="EZ203" s="27"/>
      <c r="FA203" s="27"/>
      <c r="FB203" s="27"/>
      <c r="FC203" s="28"/>
      <c r="FD203" s="25"/>
      <c r="FE203" s="27"/>
      <c r="FF203" s="27"/>
      <c r="FG203" s="27"/>
      <c r="FH203" s="27"/>
      <c r="FI203" s="27"/>
      <c r="FJ203" s="28"/>
      <c r="FK203" s="25"/>
      <c r="FL203" s="27"/>
      <c r="FM203" s="27"/>
      <c r="FN203" s="27"/>
      <c r="FO203" s="27"/>
      <c r="FP203" s="27"/>
      <c r="FQ203" s="28"/>
      <c r="FR203" s="25"/>
      <c r="FS203" s="27"/>
      <c r="FT203" s="27"/>
      <c r="FU203" s="27"/>
      <c r="FV203" s="27"/>
      <c r="FW203" s="27"/>
      <c r="FX203" s="28"/>
      <c r="FY203" s="25"/>
      <c r="FZ203" s="27"/>
      <c r="GA203" s="27"/>
      <c r="GB203" s="27"/>
      <c r="GC203" s="27"/>
      <c r="GD203" s="27"/>
      <c r="GE203" s="28"/>
      <c r="GF203" s="25"/>
      <c r="GG203" s="27"/>
      <c r="GH203" s="27"/>
      <c r="GI203" s="27"/>
      <c r="GJ203" s="27"/>
      <c r="GK203" s="27"/>
      <c r="GL203" s="28"/>
      <c r="GM203" s="25"/>
      <c r="GN203" s="27"/>
      <c r="GO203" s="27"/>
      <c r="GP203" s="27"/>
      <c r="GQ203" s="27"/>
      <c r="GR203" s="27"/>
      <c r="GS203" s="28"/>
      <c r="GT203" s="25"/>
      <c r="GU203" s="27"/>
      <c r="GV203" s="27"/>
      <c r="GW203" s="27"/>
      <c r="GX203" s="27"/>
      <c r="GY203" s="27"/>
      <c r="GZ203" s="28"/>
      <c r="HA203" s="25"/>
      <c r="HB203" s="27"/>
      <c r="HC203" s="27"/>
      <c r="HD203" s="27"/>
      <c r="HE203" s="27"/>
      <c r="HF203" s="27"/>
      <c r="HG203" s="28"/>
      <c r="HH203" s="25"/>
      <c r="HI203" s="27"/>
      <c r="HJ203" s="27"/>
      <c r="HK203" s="27"/>
      <c r="HL203" s="27"/>
      <c r="HM203" s="27"/>
      <c r="HN203" s="28"/>
      <c r="HO203" s="25"/>
      <c r="HP203" s="27"/>
      <c r="HQ203" s="27"/>
      <c r="HR203" s="27"/>
      <c r="HS203" s="27"/>
      <c r="HT203" s="27"/>
      <c r="HU203" s="28"/>
      <c r="HV203" s="25"/>
      <c r="HW203" s="27"/>
      <c r="HX203" s="27"/>
      <c r="HY203" s="27"/>
      <c r="HZ203" s="27"/>
      <c r="IA203" s="27"/>
      <c r="IB203" s="28"/>
      <c r="IC203" s="25"/>
      <c r="ID203" s="27"/>
      <c r="IE203" s="27"/>
      <c r="IF203" s="27"/>
      <c r="IG203" s="27"/>
      <c r="IH203" s="27"/>
      <c r="II203" s="28"/>
      <c r="IJ203" s="25"/>
      <c r="IK203" s="27"/>
      <c r="IL203" s="27"/>
      <c r="IM203" s="27"/>
      <c r="IN203" s="27"/>
      <c r="IO203" s="27"/>
      <c r="IP203" s="28"/>
      <c r="IQ203" s="25"/>
      <c r="IR203" s="27"/>
      <c r="IS203" s="27"/>
      <c r="IT203" s="27"/>
      <c r="IU203" s="27"/>
      <c r="IV203" s="27"/>
      <c r="IW203" s="28"/>
      <c r="IX203" s="25"/>
      <c r="IY203" s="27"/>
      <c r="IZ203" s="27"/>
      <c r="JA203" s="27"/>
      <c r="JB203" s="27"/>
      <c r="JC203" s="27"/>
      <c r="JD203" s="28"/>
      <c r="JE203" s="25"/>
      <c r="JF203" s="27"/>
      <c r="JG203" s="27"/>
      <c r="JH203" s="27"/>
      <c r="JI203" s="27"/>
      <c r="JJ203" s="27"/>
      <c r="JK203" s="28"/>
      <c r="JL203" s="25"/>
      <c r="JM203" s="27"/>
      <c r="JN203" s="27"/>
      <c r="JO203" s="27"/>
      <c r="JP203" s="27"/>
      <c r="JQ203" s="27"/>
      <c r="JR203" s="28"/>
      <c r="JS203" s="25"/>
      <c r="JT203" s="27"/>
      <c r="JU203" s="27"/>
      <c r="JV203" s="27"/>
      <c r="JW203" s="27"/>
      <c r="JX203" s="27"/>
      <c r="JY203" s="28"/>
      <c r="JZ203" s="25"/>
      <c r="KA203" s="27"/>
      <c r="KB203" s="27"/>
      <c r="KC203" s="27"/>
      <c r="KD203" s="27"/>
      <c r="KE203" s="27"/>
      <c r="KF203" s="28"/>
      <c r="KG203" s="25"/>
      <c r="KH203" s="27"/>
      <c r="KI203" s="27"/>
      <c r="KJ203" s="27"/>
      <c r="KK203" s="27"/>
      <c r="KL203" s="27"/>
      <c r="KM203" s="28"/>
      <c r="KN203" s="25"/>
      <c r="KO203" s="27"/>
      <c r="KP203" s="27"/>
      <c r="KQ203" s="27"/>
      <c r="KR203" s="27"/>
      <c r="KS203" s="27"/>
      <c r="KT203" s="28"/>
      <c r="KU203" s="25"/>
      <c r="KV203" s="27"/>
      <c r="KW203" s="27"/>
      <c r="KX203" s="27"/>
      <c r="KY203" s="27"/>
      <c r="KZ203" s="27"/>
      <c r="LA203" s="28"/>
      <c r="LB203" s="25"/>
      <c r="LC203" s="27"/>
      <c r="LD203" s="27"/>
      <c r="LE203" s="27"/>
      <c r="LF203" s="27"/>
      <c r="LG203" s="27"/>
      <c r="LH203" s="28"/>
      <c r="LI203" s="25"/>
      <c r="LJ203" s="27"/>
      <c r="LK203" s="27"/>
      <c r="LL203" s="27"/>
      <c r="LM203" s="27"/>
      <c r="LN203" s="27"/>
      <c r="LO203" s="28"/>
      <c r="LP203" s="25"/>
      <c r="LQ203" s="27"/>
      <c r="LR203" s="27"/>
      <c r="LS203" s="27"/>
      <c r="LT203" s="27"/>
      <c r="LU203" s="27"/>
      <c r="LV203" s="28"/>
      <c r="LW203" s="25"/>
      <c r="LX203" s="27"/>
      <c r="LY203" s="27"/>
      <c r="LZ203" s="27"/>
      <c r="MA203" s="27"/>
      <c r="MB203" s="27"/>
      <c r="MC203" s="28"/>
      <c r="MD203" s="25"/>
      <c r="ME203" s="27"/>
      <c r="MF203" s="27"/>
      <c r="MG203" s="27"/>
      <c r="MH203" s="27"/>
      <c r="MI203" s="27"/>
      <c r="MJ203" s="28"/>
      <c r="MK203" s="25"/>
      <c r="ML203" s="27"/>
      <c r="MM203" s="27"/>
      <c r="MN203" s="27"/>
      <c r="MO203" s="27"/>
      <c r="MP203" s="27"/>
      <c r="MQ203" s="28"/>
      <c r="MR203" s="25"/>
      <c r="MS203" s="27"/>
      <c r="MT203" s="27"/>
      <c r="MU203" s="27"/>
      <c r="MV203" s="27"/>
      <c r="MW203" s="27"/>
      <c r="MX203" s="28"/>
      <c r="MY203" s="25"/>
      <c r="MZ203" s="27"/>
      <c r="NA203" s="27"/>
      <c r="NB203" s="27"/>
      <c r="NC203" s="27"/>
      <c r="ND203" s="27"/>
      <c r="NE203" s="28"/>
      <c r="NF203" s="25"/>
      <c r="NG203" s="27"/>
      <c r="NH203" s="27"/>
      <c r="NI203" s="27"/>
      <c r="NJ203" s="27"/>
      <c r="NK203" s="27"/>
      <c r="NL203" s="28"/>
      <c r="NM203" s="25"/>
      <c r="NN203" s="27"/>
      <c r="NO203" s="27"/>
      <c r="NP203" s="27"/>
      <c r="NQ203" s="27"/>
      <c r="NR203" s="27"/>
      <c r="NS203" s="28"/>
      <c r="NT203" s="25"/>
      <c r="NU203" s="27"/>
      <c r="NV203" s="27"/>
      <c r="NW203" s="27"/>
      <c r="NX203" s="27"/>
      <c r="NY203" s="27"/>
      <c r="NZ203" s="28"/>
      <c r="OA203" s="25"/>
      <c r="OB203" s="27"/>
      <c r="OC203" s="27"/>
      <c r="OD203" s="27"/>
      <c r="OE203" s="27"/>
      <c r="OF203" s="27"/>
      <c r="OG203" s="28"/>
      <c r="OH203" s="25"/>
      <c r="OI203" s="27"/>
      <c r="OJ203" s="27"/>
      <c r="OK203" s="27"/>
      <c r="OL203" s="27"/>
      <c r="OM203" s="27"/>
      <c r="ON203" s="28"/>
      <c r="OO203" s="25"/>
      <c r="OP203" s="27"/>
      <c r="OQ203" s="27"/>
      <c r="OR203" s="27"/>
      <c r="OS203" s="27"/>
      <c r="OT203" s="27"/>
      <c r="OU203" s="28"/>
      <c r="OV203" s="25"/>
      <c r="OW203" s="27"/>
      <c r="OX203" s="27"/>
      <c r="OY203" s="27"/>
      <c r="OZ203" s="27"/>
      <c r="PA203" s="27"/>
      <c r="PB203" s="28"/>
      <c r="PC203" s="25"/>
      <c r="PD203" s="27"/>
      <c r="PE203" s="27"/>
      <c r="PF203" s="27"/>
      <c r="PG203" s="27"/>
      <c r="PH203" s="27"/>
      <c r="PI203" s="28"/>
      <c r="PJ203" s="25"/>
      <c r="PK203" s="27"/>
      <c r="PL203" s="27"/>
      <c r="PM203" s="27"/>
      <c r="PN203" s="27"/>
      <c r="PO203" s="27"/>
      <c r="PP203" s="28"/>
      <c r="PQ203" s="25"/>
      <c r="PR203" s="27"/>
      <c r="PS203" s="27"/>
      <c r="PT203" s="27"/>
      <c r="PU203" s="27"/>
      <c r="PV203" s="27"/>
      <c r="PW203" s="28"/>
      <c r="PX203" s="25"/>
      <c r="PY203" s="27"/>
      <c r="PZ203" s="27"/>
      <c r="QA203" s="27"/>
      <c r="QB203" s="27"/>
      <c r="QC203" s="27"/>
      <c r="QD203" s="28"/>
      <c r="QE203" s="25"/>
      <c r="QF203" s="27"/>
      <c r="QG203" s="27"/>
      <c r="QH203" s="27"/>
      <c r="QI203" s="27"/>
      <c r="QJ203" s="27"/>
      <c r="QK203" s="28"/>
      <c r="QL203" s="25"/>
      <c r="QM203" s="27"/>
      <c r="QN203" s="27"/>
      <c r="QO203" s="27"/>
      <c r="QP203" s="27"/>
      <c r="QQ203" s="27"/>
      <c r="QR203" s="28"/>
      <c r="QS203" s="25"/>
      <c r="QT203" s="27"/>
      <c r="QU203" s="27"/>
      <c r="QV203" s="27"/>
      <c r="QW203" s="27"/>
      <c r="QX203" s="27"/>
      <c r="QY203" s="28"/>
      <c r="QZ203" s="25"/>
      <c r="RA203" s="27"/>
      <c r="RB203" s="27"/>
      <c r="RC203" s="27"/>
      <c r="RD203" s="27"/>
      <c r="RE203" s="27"/>
      <c r="RF203" s="28"/>
      <c r="RG203" s="25"/>
      <c r="RH203" s="27"/>
      <c r="RI203" s="27"/>
      <c r="RJ203" s="27"/>
      <c r="RK203" s="27"/>
      <c r="RL203" s="27"/>
      <c r="RM203" s="28"/>
      <c r="RN203" s="25"/>
      <c r="RO203" s="27"/>
      <c r="RP203" s="27"/>
      <c r="RQ203" s="27"/>
      <c r="RR203" s="27"/>
      <c r="RS203" s="27"/>
      <c r="RT203" s="28"/>
      <c r="RU203" s="25"/>
      <c r="RV203" s="27"/>
      <c r="RW203" s="27"/>
      <c r="RX203" s="27"/>
      <c r="RY203" s="27"/>
      <c r="RZ203" s="27"/>
      <c r="SA203" s="28"/>
      <c r="SB203" s="25"/>
      <c r="SC203" s="27"/>
      <c r="SD203" s="27"/>
      <c r="SE203" s="27"/>
      <c r="SF203" s="27"/>
      <c r="SG203" s="27"/>
      <c r="SH203" s="28"/>
      <c r="SI203" s="25"/>
      <c r="SJ203" s="27"/>
      <c r="SK203" s="27"/>
      <c r="SL203" s="27"/>
      <c r="SM203" s="27"/>
      <c r="SN203" s="27"/>
      <c r="SO203" s="28"/>
      <c r="SP203" s="25"/>
      <c r="SQ203" s="27"/>
      <c r="SR203" s="27"/>
    </row>
    <row r="204" spans="1:512" x14ac:dyDescent="0.15">
      <c r="A204" s="101">
        <f ca="1">IF(D204=D203,A203,B204)</f>
        <v>67</v>
      </c>
      <c r="B204" s="111">
        <v>67</v>
      </c>
      <c r="C204" s="71" t="str">
        <f t="shared" ca="1" si="1573"/>
        <v>Alma</v>
      </c>
      <c r="D204" s="112">
        <f ca="1">VLOOKUP(B204,$P$138:$R$209,3,0)</f>
        <v>149.5</v>
      </c>
      <c r="E204" s="25"/>
      <c r="F204" s="26"/>
      <c r="G204" s="27"/>
      <c r="H204" s="28"/>
      <c r="I204" s="25"/>
      <c r="J204" s="25"/>
      <c r="K204" s="26"/>
      <c r="L204" s="62"/>
      <c r="M204" s="61" t="s">
        <v>254</v>
      </c>
      <c r="N204" s="63" t="s">
        <v>135</v>
      </c>
      <c r="O204" s="32"/>
      <c r="P204" s="32">
        <f t="shared" ca="1" si="1566"/>
        <v>72</v>
      </c>
      <c r="Q204" s="32" t="str">
        <f t="shared" ca="1" si="1574"/>
        <v>Konrad</v>
      </c>
      <c r="R204" s="113">
        <f t="shared" ca="1" si="1575"/>
        <v>26.499999999999996</v>
      </c>
      <c r="S204" s="73">
        <v>67</v>
      </c>
      <c r="T204" s="32">
        <f t="shared" ca="1" si="1572"/>
        <v>26.500669999999996</v>
      </c>
      <c r="U204" s="32"/>
      <c r="V204" s="61"/>
      <c r="W204" s="62"/>
      <c r="X204" s="62"/>
      <c r="Y204" s="63"/>
      <c r="Z204" s="73"/>
      <c r="AA204" s="32"/>
      <c r="AB204" s="32"/>
      <c r="AC204" s="61"/>
      <c r="AD204" s="27"/>
      <c r="AE204" s="27"/>
      <c r="AF204" s="27"/>
      <c r="AG204" s="28"/>
      <c r="AH204" s="25"/>
      <c r="AI204" s="27"/>
      <c r="AJ204" s="27"/>
      <c r="AK204" s="27"/>
      <c r="AL204" s="27"/>
      <c r="AM204" s="27"/>
      <c r="AN204" s="28"/>
      <c r="AO204" s="25"/>
      <c r="AP204" s="27"/>
      <c r="AQ204" s="27"/>
      <c r="AR204" s="27"/>
      <c r="AS204" s="27"/>
      <c r="AT204" s="27"/>
      <c r="AU204" s="28"/>
      <c r="AV204" s="25"/>
      <c r="AW204" s="27"/>
      <c r="AX204" s="27"/>
      <c r="AY204" s="27"/>
      <c r="AZ204" s="27"/>
      <c r="BA204" s="27"/>
      <c r="BB204" s="28"/>
      <c r="BC204" s="25"/>
      <c r="BD204" s="27"/>
      <c r="BE204" s="27"/>
      <c r="BF204" s="27"/>
      <c r="BG204" s="27"/>
      <c r="BH204" s="27"/>
      <c r="BI204" s="28"/>
      <c r="BJ204" s="25"/>
      <c r="BK204" s="27"/>
      <c r="BL204" s="27"/>
      <c r="BM204" s="27"/>
      <c r="BN204" s="27"/>
      <c r="BO204" s="27"/>
      <c r="BP204" s="28"/>
      <c r="BQ204" s="25"/>
      <c r="BR204" s="27"/>
      <c r="BS204" s="27"/>
      <c r="BT204" s="27"/>
      <c r="BU204" s="27"/>
      <c r="BV204" s="27"/>
      <c r="BW204" s="28"/>
      <c r="BX204" s="25"/>
      <c r="BY204" s="27"/>
      <c r="BZ204" s="27"/>
      <c r="CA204" s="27"/>
      <c r="CB204" s="27"/>
      <c r="CC204" s="27"/>
      <c r="CD204" s="28"/>
      <c r="CE204" s="25"/>
      <c r="CF204" s="27"/>
      <c r="CG204" s="27"/>
      <c r="CH204" s="27"/>
      <c r="CI204" s="27"/>
      <c r="CJ204" s="27"/>
      <c r="CK204" s="28"/>
      <c r="CL204" s="25"/>
      <c r="CM204" s="27"/>
      <c r="CN204" s="27"/>
      <c r="CO204" s="27"/>
      <c r="CP204" s="27"/>
      <c r="CQ204" s="27"/>
      <c r="CR204" s="28"/>
      <c r="CS204" s="25"/>
      <c r="CT204" s="27"/>
      <c r="CU204" s="27"/>
      <c r="CV204" s="27"/>
      <c r="CW204" s="27"/>
      <c r="CX204" s="27"/>
      <c r="CY204" s="28"/>
      <c r="CZ204" s="25"/>
      <c r="DA204" s="27"/>
      <c r="DB204" s="27"/>
      <c r="DC204" s="27"/>
      <c r="DD204" s="27"/>
      <c r="DE204" s="27"/>
      <c r="DF204" s="28"/>
      <c r="DG204" s="25"/>
      <c r="DH204" s="27"/>
      <c r="DI204" s="27"/>
      <c r="DJ204" s="27"/>
      <c r="DK204" s="27"/>
      <c r="DL204" s="27"/>
      <c r="DM204" s="28"/>
      <c r="DN204" s="25"/>
      <c r="DO204" s="27"/>
      <c r="DP204" s="27"/>
      <c r="DQ204" s="27"/>
      <c r="DR204" s="27"/>
      <c r="DS204" s="27"/>
      <c r="DT204" s="28"/>
      <c r="DU204" s="25"/>
      <c r="DV204" s="27"/>
      <c r="DW204" s="27"/>
      <c r="DX204" s="27"/>
      <c r="DY204" s="27"/>
      <c r="DZ204" s="27"/>
      <c r="EA204" s="28"/>
      <c r="EB204" s="25"/>
      <c r="EC204" s="27"/>
      <c r="ED204" s="27"/>
      <c r="EE204" s="27"/>
      <c r="EF204" s="27"/>
      <c r="EG204" s="27"/>
      <c r="EH204" s="28"/>
      <c r="EI204" s="25"/>
      <c r="EJ204" s="27"/>
      <c r="EK204" s="27"/>
      <c r="EL204" s="27"/>
      <c r="EM204" s="27"/>
      <c r="EN204" s="27"/>
      <c r="EO204" s="28"/>
      <c r="EP204" s="25"/>
      <c r="EQ204" s="27"/>
      <c r="ER204" s="27"/>
      <c r="ES204" s="27"/>
      <c r="ET204" s="27"/>
      <c r="EU204" s="27"/>
      <c r="EV204" s="28"/>
      <c r="EW204" s="25"/>
      <c r="EX204" s="27"/>
      <c r="EY204" s="27"/>
      <c r="EZ204" s="27"/>
      <c r="FA204" s="27"/>
      <c r="FB204" s="27"/>
      <c r="FC204" s="28"/>
      <c r="FD204" s="25"/>
      <c r="FE204" s="27"/>
      <c r="FF204" s="27"/>
      <c r="FG204" s="27"/>
      <c r="FH204" s="27"/>
      <c r="FI204" s="27"/>
      <c r="FJ204" s="28"/>
      <c r="FK204" s="25"/>
      <c r="FL204" s="27"/>
      <c r="FM204" s="27"/>
      <c r="FN204" s="27"/>
      <c r="FO204" s="27"/>
      <c r="FP204" s="27"/>
      <c r="FQ204" s="28"/>
      <c r="FR204" s="25"/>
      <c r="FS204" s="27"/>
      <c r="FT204" s="27"/>
      <c r="FU204" s="27"/>
      <c r="FV204" s="27"/>
      <c r="FW204" s="27"/>
      <c r="FX204" s="28"/>
      <c r="FY204" s="25"/>
      <c r="FZ204" s="27"/>
      <c r="GA204" s="27"/>
      <c r="GB204" s="27"/>
      <c r="GC204" s="27"/>
      <c r="GD204" s="27"/>
      <c r="GE204" s="28"/>
      <c r="GF204" s="25"/>
      <c r="GG204" s="27"/>
      <c r="GH204" s="27"/>
      <c r="GI204" s="27"/>
      <c r="GJ204" s="27"/>
      <c r="GK204" s="27"/>
      <c r="GL204" s="28"/>
      <c r="GM204" s="25"/>
      <c r="GN204" s="27"/>
      <c r="GO204" s="27"/>
      <c r="GP204" s="27"/>
      <c r="GQ204" s="27"/>
      <c r="GR204" s="27"/>
      <c r="GS204" s="28"/>
      <c r="GT204" s="25"/>
      <c r="GU204" s="27"/>
      <c r="GV204" s="27"/>
      <c r="GW204" s="27"/>
      <c r="GX204" s="27"/>
      <c r="GY204" s="27"/>
      <c r="GZ204" s="28"/>
      <c r="HA204" s="25"/>
      <c r="HB204" s="27"/>
      <c r="HC204" s="27"/>
      <c r="HD204" s="27"/>
      <c r="HE204" s="27"/>
      <c r="HF204" s="27"/>
      <c r="HG204" s="28"/>
      <c r="HH204" s="25"/>
      <c r="HI204" s="27"/>
      <c r="HJ204" s="27"/>
      <c r="HK204" s="27"/>
      <c r="HL204" s="27"/>
      <c r="HM204" s="27"/>
      <c r="HN204" s="28"/>
      <c r="HO204" s="25"/>
      <c r="HP204" s="27"/>
      <c r="HQ204" s="27"/>
      <c r="HR204" s="27"/>
      <c r="HS204" s="27"/>
      <c r="HT204" s="27"/>
      <c r="HU204" s="28"/>
      <c r="HV204" s="25"/>
      <c r="HW204" s="27"/>
      <c r="HX204" s="27"/>
      <c r="HY204" s="27"/>
      <c r="HZ204" s="27"/>
      <c r="IA204" s="27"/>
      <c r="IB204" s="28"/>
      <c r="IC204" s="25"/>
      <c r="ID204" s="27"/>
      <c r="IE204" s="27"/>
      <c r="IF204" s="27"/>
      <c r="IG204" s="27"/>
      <c r="IH204" s="27"/>
      <c r="II204" s="28"/>
      <c r="IJ204" s="25"/>
      <c r="IK204" s="27"/>
      <c r="IL204" s="27"/>
      <c r="IM204" s="27"/>
      <c r="IN204" s="27"/>
      <c r="IO204" s="27"/>
      <c r="IP204" s="28"/>
      <c r="IQ204" s="25"/>
      <c r="IR204" s="27"/>
      <c r="IS204" s="27"/>
      <c r="IT204" s="27"/>
      <c r="IU204" s="27"/>
      <c r="IV204" s="27"/>
      <c r="IW204" s="28"/>
      <c r="IX204" s="25"/>
      <c r="IY204" s="27"/>
      <c r="IZ204" s="27"/>
      <c r="JA204" s="27"/>
      <c r="JB204" s="27"/>
      <c r="JC204" s="27"/>
      <c r="JD204" s="28"/>
      <c r="JE204" s="25"/>
      <c r="JF204" s="27"/>
      <c r="JG204" s="27"/>
      <c r="JH204" s="27"/>
      <c r="JI204" s="27"/>
      <c r="JJ204" s="27"/>
      <c r="JK204" s="28"/>
      <c r="JL204" s="25"/>
      <c r="JM204" s="27"/>
      <c r="JN204" s="27"/>
      <c r="JO204" s="27"/>
      <c r="JP204" s="27"/>
      <c r="JQ204" s="27"/>
      <c r="JR204" s="28"/>
      <c r="JS204" s="25"/>
      <c r="JT204" s="27"/>
      <c r="JU204" s="27"/>
      <c r="JV204" s="27"/>
      <c r="JW204" s="27"/>
      <c r="JX204" s="27"/>
      <c r="JY204" s="28"/>
      <c r="JZ204" s="25"/>
      <c r="KA204" s="27"/>
      <c r="KB204" s="27"/>
      <c r="KC204" s="27"/>
      <c r="KD204" s="27"/>
      <c r="KE204" s="27"/>
      <c r="KF204" s="28"/>
      <c r="KG204" s="25"/>
      <c r="KH204" s="27"/>
      <c r="KI204" s="27"/>
      <c r="KJ204" s="27"/>
      <c r="KK204" s="27"/>
      <c r="KL204" s="27"/>
      <c r="KM204" s="28"/>
      <c r="KN204" s="25"/>
      <c r="KO204" s="27"/>
      <c r="KP204" s="27"/>
      <c r="KQ204" s="27"/>
      <c r="KR204" s="27"/>
      <c r="KS204" s="27"/>
      <c r="KT204" s="28"/>
      <c r="KU204" s="25"/>
      <c r="KV204" s="27"/>
      <c r="KW204" s="27"/>
      <c r="KX204" s="27"/>
      <c r="KY204" s="27"/>
      <c r="KZ204" s="27"/>
      <c r="LA204" s="28"/>
      <c r="LB204" s="25"/>
      <c r="LC204" s="27"/>
      <c r="LD204" s="27"/>
      <c r="LE204" s="27"/>
      <c r="LF204" s="27"/>
      <c r="LG204" s="27"/>
      <c r="LH204" s="28"/>
      <c r="LI204" s="25"/>
      <c r="LJ204" s="27"/>
      <c r="LK204" s="27"/>
      <c r="LL204" s="27"/>
      <c r="LM204" s="27"/>
      <c r="LN204" s="27"/>
      <c r="LO204" s="28"/>
      <c r="LP204" s="25"/>
      <c r="LQ204" s="27"/>
      <c r="LR204" s="27"/>
      <c r="LS204" s="27"/>
      <c r="LT204" s="27"/>
      <c r="LU204" s="27"/>
      <c r="LV204" s="28"/>
      <c r="LW204" s="25"/>
      <c r="LX204" s="27"/>
      <c r="LY204" s="27"/>
      <c r="LZ204" s="27"/>
      <c r="MA204" s="27"/>
      <c r="MB204" s="27"/>
      <c r="MC204" s="28"/>
      <c r="MD204" s="25"/>
      <c r="ME204" s="27"/>
      <c r="MF204" s="27"/>
      <c r="MG204" s="27"/>
      <c r="MH204" s="27"/>
      <c r="MI204" s="27"/>
      <c r="MJ204" s="28"/>
      <c r="MK204" s="25"/>
      <c r="ML204" s="27"/>
      <c r="MM204" s="27"/>
      <c r="MN204" s="27"/>
      <c r="MO204" s="27"/>
      <c r="MP204" s="27"/>
      <c r="MQ204" s="28"/>
      <c r="MR204" s="25"/>
      <c r="MS204" s="27"/>
      <c r="MT204" s="27"/>
      <c r="MU204" s="27"/>
      <c r="MV204" s="27"/>
      <c r="MW204" s="27"/>
      <c r="MX204" s="28"/>
      <c r="MY204" s="25"/>
      <c r="MZ204" s="27"/>
      <c r="NA204" s="27"/>
      <c r="NB204" s="27"/>
      <c r="NC204" s="27"/>
      <c r="ND204" s="27"/>
      <c r="NE204" s="28"/>
      <c r="NF204" s="25"/>
      <c r="NG204" s="27"/>
      <c r="NH204" s="27"/>
      <c r="NI204" s="27"/>
      <c r="NJ204" s="27"/>
      <c r="NK204" s="27"/>
      <c r="NL204" s="28"/>
      <c r="NM204" s="25"/>
      <c r="NN204" s="27"/>
      <c r="NO204" s="27"/>
      <c r="NP204" s="27"/>
      <c r="NQ204" s="27"/>
      <c r="NR204" s="27"/>
      <c r="NS204" s="28"/>
      <c r="NT204" s="25"/>
      <c r="NU204" s="27"/>
      <c r="NV204" s="27"/>
      <c r="NW204" s="27"/>
      <c r="NX204" s="27"/>
      <c r="NY204" s="27"/>
      <c r="NZ204" s="28"/>
      <c r="OA204" s="25"/>
      <c r="OB204" s="27"/>
      <c r="OC204" s="27"/>
      <c r="OD204" s="27"/>
      <c r="OE204" s="27"/>
      <c r="OF204" s="27"/>
      <c r="OG204" s="28"/>
      <c r="OH204" s="25"/>
      <c r="OI204" s="27"/>
      <c r="OJ204" s="27"/>
      <c r="OK204" s="27"/>
      <c r="OL204" s="27"/>
      <c r="OM204" s="27"/>
      <c r="ON204" s="28"/>
      <c r="OO204" s="25"/>
      <c r="OP204" s="27"/>
      <c r="OQ204" s="27"/>
      <c r="OR204" s="27"/>
      <c r="OS204" s="27"/>
      <c r="OT204" s="27"/>
      <c r="OU204" s="28"/>
      <c r="OV204" s="25"/>
      <c r="OW204" s="27"/>
      <c r="OX204" s="27"/>
      <c r="OY204" s="27"/>
      <c r="OZ204" s="27"/>
      <c r="PA204" s="27"/>
      <c r="PB204" s="28"/>
      <c r="PC204" s="25"/>
      <c r="PD204" s="27"/>
      <c r="PE204" s="27"/>
      <c r="PF204" s="27"/>
      <c r="PG204" s="27"/>
      <c r="PH204" s="27"/>
      <c r="PI204" s="28"/>
      <c r="PJ204" s="25"/>
      <c r="PK204" s="27"/>
      <c r="PL204" s="27"/>
      <c r="PM204" s="27"/>
      <c r="PN204" s="27"/>
      <c r="PO204" s="27"/>
      <c r="PP204" s="28"/>
      <c r="PQ204" s="25"/>
      <c r="PR204" s="27"/>
      <c r="PS204" s="27"/>
      <c r="PT204" s="27"/>
      <c r="PU204" s="27"/>
      <c r="PV204" s="27"/>
      <c r="PW204" s="28"/>
      <c r="PX204" s="25"/>
      <c r="PY204" s="27"/>
      <c r="PZ204" s="27"/>
      <c r="QA204" s="27"/>
      <c r="QB204" s="27"/>
      <c r="QC204" s="27"/>
      <c r="QD204" s="28"/>
      <c r="QE204" s="25"/>
      <c r="QF204" s="27"/>
      <c r="QG204" s="27"/>
      <c r="QH204" s="27"/>
      <c r="QI204" s="27"/>
      <c r="QJ204" s="27"/>
      <c r="QK204" s="28"/>
      <c r="QL204" s="25"/>
      <c r="QM204" s="27"/>
      <c r="QN204" s="27"/>
      <c r="QO204" s="27"/>
      <c r="QP204" s="27"/>
      <c r="QQ204" s="27"/>
      <c r="QR204" s="28"/>
      <c r="QS204" s="25"/>
      <c r="QT204" s="27"/>
      <c r="QU204" s="27"/>
      <c r="QV204" s="27"/>
      <c r="QW204" s="27"/>
      <c r="QX204" s="27"/>
      <c r="QY204" s="28"/>
      <c r="QZ204" s="25"/>
      <c r="RA204" s="27"/>
      <c r="RB204" s="27"/>
      <c r="RC204" s="27"/>
      <c r="RD204" s="27"/>
      <c r="RE204" s="27"/>
      <c r="RF204" s="28"/>
      <c r="RG204" s="25"/>
      <c r="RH204" s="27"/>
      <c r="RI204" s="27"/>
      <c r="RJ204" s="27"/>
      <c r="RK204" s="27"/>
      <c r="RL204" s="27"/>
      <c r="RM204" s="28"/>
      <c r="RN204" s="25"/>
      <c r="RO204" s="27"/>
      <c r="RP204" s="27"/>
      <c r="RQ204" s="27"/>
      <c r="RR204" s="27"/>
      <c r="RS204" s="27"/>
      <c r="RT204" s="28"/>
      <c r="RU204" s="25"/>
      <c r="RV204" s="27"/>
      <c r="RW204" s="27"/>
      <c r="RX204" s="27"/>
      <c r="RY204" s="27"/>
      <c r="RZ204" s="27"/>
      <c r="SA204" s="28"/>
      <c r="SB204" s="25"/>
      <c r="SC204" s="27"/>
      <c r="SD204" s="27"/>
      <c r="SE204" s="27"/>
      <c r="SF204" s="27"/>
      <c r="SG204" s="27"/>
      <c r="SH204" s="28"/>
      <c r="SI204" s="25"/>
      <c r="SJ204" s="27"/>
      <c r="SK204" s="27"/>
      <c r="SL204" s="27"/>
      <c r="SM204" s="27"/>
      <c r="SN204" s="27"/>
      <c r="SO204" s="28"/>
      <c r="SP204" s="25"/>
      <c r="SQ204" s="27"/>
      <c r="SR204" s="27"/>
    </row>
    <row r="205" spans="1:512" x14ac:dyDescent="0.15">
      <c r="A205" s="101">
        <f t="shared" ref="A205:A209" ca="1" si="1576">IF(D205=D204,A204,B205)</f>
        <v>68</v>
      </c>
      <c r="B205" s="111">
        <v>68</v>
      </c>
      <c r="C205" s="71" t="str">
        <f t="shared" ca="1" si="1573"/>
        <v>Lou</v>
      </c>
      <c r="D205" s="112">
        <f t="shared" ref="D205:D208" ca="1" si="1577">VLOOKUP(B205,$P$138:$R$209,3,0)</f>
        <v>147.99999999999997</v>
      </c>
      <c r="E205" s="25"/>
      <c r="F205" s="26"/>
      <c r="G205" s="27"/>
      <c r="H205" s="28"/>
      <c r="I205" s="25"/>
      <c r="J205" s="25"/>
      <c r="K205" s="26"/>
      <c r="L205" s="62"/>
      <c r="M205" s="62" t="s">
        <v>255</v>
      </c>
      <c r="N205" s="32" t="s">
        <v>136</v>
      </c>
      <c r="O205" s="32"/>
      <c r="P205" s="32">
        <f t="shared" ref="P205:P209" ca="1" si="1578">RANK(T205,$T$138:$T$214)</f>
        <v>60</v>
      </c>
      <c r="Q205" s="32" t="str">
        <f t="shared" ref="Q205:Q209" ca="1" si="1579">INDIRECT(N205)</f>
        <v>Daphne</v>
      </c>
      <c r="R205" s="113">
        <f t="shared" ref="R205:R209" ca="1" si="1580">INDIRECT(M206)</f>
        <v>191.70000000000002</v>
      </c>
      <c r="S205" s="73">
        <v>68</v>
      </c>
      <c r="T205" s="32">
        <f t="shared" ref="T205:T209" ca="1" si="1581">R205+S205/100000</f>
        <v>191.70068000000001</v>
      </c>
      <c r="U205" s="32"/>
      <c r="V205" s="61"/>
      <c r="W205" s="62"/>
      <c r="X205" s="62"/>
      <c r="Y205" s="63"/>
      <c r="Z205" s="73"/>
      <c r="AA205" s="32"/>
      <c r="AB205" s="32"/>
      <c r="AC205" s="61"/>
      <c r="AD205" s="27"/>
      <c r="AE205" s="27"/>
      <c r="AF205" s="27"/>
      <c r="AG205" s="28"/>
      <c r="AH205" s="25"/>
      <c r="AI205" s="27"/>
      <c r="AJ205" s="27"/>
      <c r="AK205" s="27"/>
      <c r="AL205" s="27"/>
      <c r="AM205" s="27"/>
      <c r="AN205" s="28"/>
      <c r="AO205" s="25"/>
      <c r="AP205" s="27"/>
      <c r="AQ205" s="27"/>
      <c r="AR205" s="27"/>
      <c r="AS205" s="27"/>
      <c r="AT205" s="27"/>
      <c r="AU205" s="28"/>
      <c r="AV205" s="25"/>
      <c r="AW205" s="27"/>
      <c r="AX205" s="27"/>
      <c r="AY205" s="27"/>
      <c r="AZ205" s="27"/>
      <c r="BA205" s="27"/>
      <c r="BB205" s="28"/>
      <c r="BC205" s="25"/>
      <c r="BD205" s="27"/>
      <c r="BE205" s="27"/>
      <c r="BF205" s="27"/>
      <c r="BG205" s="27"/>
      <c r="BH205" s="27"/>
      <c r="BI205" s="28"/>
      <c r="BJ205" s="25"/>
      <c r="BK205" s="27"/>
      <c r="BL205" s="27"/>
      <c r="BM205" s="27"/>
      <c r="BN205" s="27"/>
      <c r="BO205" s="27"/>
      <c r="BP205" s="28"/>
      <c r="BQ205" s="25"/>
      <c r="BR205" s="27"/>
      <c r="BS205" s="27"/>
      <c r="BT205" s="27"/>
      <c r="BU205" s="27"/>
      <c r="BV205" s="27"/>
      <c r="BW205" s="28"/>
      <c r="BX205" s="25"/>
      <c r="BY205" s="27"/>
      <c r="BZ205" s="27"/>
      <c r="CA205" s="27"/>
      <c r="CB205" s="27"/>
      <c r="CC205" s="27"/>
      <c r="CD205" s="28"/>
      <c r="CE205" s="25"/>
      <c r="CF205" s="27"/>
      <c r="CG205" s="27"/>
      <c r="CH205" s="27"/>
      <c r="CI205" s="27"/>
      <c r="CJ205" s="27"/>
      <c r="CK205" s="28"/>
      <c r="CL205" s="25"/>
      <c r="CM205" s="27"/>
      <c r="CN205" s="27"/>
      <c r="CO205" s="27"/>
      <c r="CP205" s="27"/>
      <c r="CQ205" s="27"/>
      <c r="CR205" s="28"/>
      <c r="CS205" s="25"/>
      <c r="CT205" s="27"/>
      <c r="CU205" s="27"/>
      <c r="CV205" s="27"/>
      <c r="CW205" s="27"/>
      <c r="CX205" s="27"/>
      <c r="CY205" s="28"/>
      <c r="CZ205" s="25"/>
      <c r="DA205" s="27"/>
      <c r="DB205" s="27"/>
      <c r="DC205" s="27"/>
      <c r="DD205" s="27"/>
      <c r="DE205" s="27"/>
      <c r="DF205" s="28"/>
      <c r="DG205" s="25"/>
      <c r="DH205" s="27"/>
      <c r="DI205" s="27"/>
      <c r="DJ205" s="27"/>
      <c r="DK205" s="27"/>
      <c r="DL205" s="27"/>
      <c r="DM205" s="28"/>
      <c r="DN205" s="25"/>
      <c r="DO205" s="27"/>
      <c r="DP205" s="27"/>
      <c r="DQ205" s="27"/>
      <c r="DR205" s="27"/>
      <c r="DS205" s="27"/>
      <c r="DT205" s="28"/>
      <c r="DU205" s="25"/>
      <c r="DV205" s="27"/>
      <c r="DW205" s="27"/>
      <c r="DX205" s="27"/>
      <c r="DY205" s="27"/>
      <c r="DZ205" s="27"/>
      <c r="EA205" s="28"/>
      <c r="EB205" s="25"/>
      <c r="EC205" s="27"/>
      <c r="ED205" s="27"/>
      <c r="EE205" s="27"/>
      <c r="EF205" s="27"/>
      <c r="EG205" s="27"/>
      <c r="EH205" s="28"/>
      <c r="EI205" s="25"/>
      <c r="EJ205" s="27"/>
      <c r="EK205" s="27"/>
      <c r="EL205" s="27"/>
      <c r="EM205" s="27"/>
      <c r="EN205" s="27"/>
      <c r="EO205" s="28"/>
      <c r="EP205" s="25"/>
      <c r="EQ205" s="27"/>
      <c r="ER205" s="27"/>
      <c r="ES205" s="27"/>
      <c r="ET205" s="27"/>
      <c r="EU205" s="27"/>
      <c r="EV205" s="28"/>
      <c r="EW205" s="25"/>
      <c r="EX205" s="27"/>
      <c r="EY205" s="27"/>
      <c r="EZ205" s="27"/>
      <c r="FA205" s="27"/>
      <c r="FB205" s="27"/>
      <c r="FC205" s="28"/>
      <c r="FD205" s="25"/>
      <c r="FE205" s="27"/>
      <c r="FF205" s="27"/>
      <c r="FG205" s="27"/>
      <c r="FH205" s="27"/>
      <c r="FI205" s="27"/>
      <c r="FJ205" s="28"/>
      <c r="FK205" s="25"/>
      <c r="FL205" s="27"/>
      <c r="FM205" s="27"/>
      <c r="FN205" s="27"/>
      <c r="FO205" s="27"/>
      <c r="FP205" s="27"/>
      <c r="FQ205" s="28"/>
      <c r="FR205" s="25"/>
      <c r="FS205" s="27"/>
      <c r="FT205" s="27"/>
      <c r="FU205" s="27"/>
      <c r="FV205" s="27"/>
      <c r="FW205" s="27"/>
      <c r="FX205" s="28"/>
      <c r="FY205" s="25"/>
      <c r="FZ205" s="27"/>
      <c r="GA205" s="27"/>
      <c r="GB205" s="27"/>
      <c r="GC205" s="27"/>
      <c r="GD205" s="27"/>
      <c r="GE205" s="28"/>
      <c r="GF205" s="25"/>
      <c r="GG205" s="27"/>
      <c r="GH205" s="27"/>
      <c r="GI205" s="27"/>
      <c r="GJ205" s="27"/>
      <c r="GK205" s="27"/>
      <c r="GL205" s="28"/>
      <c r="GM205" s="25"/>
      <c r="GN205" s="27"/>
      <c r="GO205" s="27"/>
      <c r="GP205" s="27"/>
      <c r="GQ205" s="27"/>
      <c r="GR205" s="27"/>
      <c r="GS205" s="28"/>
      <c r="GT205" s="25"/>
      <c r="GU205" s="27"/>
      <c r="GV205" s="27"/>
      <c r="GW205" s="27"/>
      <c r="GX205" s="27"/>
      <c r="GY205" s="27"/>
      <c r="GZ205" s="28"/>
      <c r="HA205" s="25"/>
      <c r="HB205" s="27"/>
      <c r="HC205" s="27"/>
      <c r="HD205" s="27"/>
      <c r="HE205" s="27"/>
      <c r="HF205" s="27"/>
      <c r="HG205" s="28"/>
      <c r="HH205" s="25"/>
      <c r="HI205" s="27"/>
      <c r="HJ205" s="27"/>
      <c r="HK205" s="27"/>
      <c r="HL205" s="27"/>
      <c r="HM205" s="27"/>
      <c r="HN205" s="28"/>
      <c r="HO205" s="25"/>
      <c r="HP205" s="27"/>
      <c r="HQ205" s="27"/>
      <c r="HR205" s="27"/>
      <c r="HS205" s="27"/>
      <c r="HT205" s="27"/>
      <c r="HU205" s="28"/>
      <c r="HV205" s="25"/>
      <c r="HW205" s="27"/>
      <c r="HX205" s="27"/>
      <c r="HY205" s="27"/>
      <c r="HZ205" s="27"/>
      <c r="IA205" s="27"/>
      <c r="IB205" s="28"/>
      <c r="IC205" s="25"/>
      <c r="ID205" s="27"/>
      <c r="IE205" s="27"/>
      <c r="IF205" s="27"/>
      <c r="IG205" s="27"/>
      <c r="IH205" s="27"/>
      <c r="II205" s="28"/>
      <c r="IJ205" s="25"/>
      <c r="IK205" s="27"/>
      <c r="IL205" s="27"/>
      <c r="IM205" s="27"/>
      <c r="IN205" s="27"/>
      <c r="IO205" s="27"/>
      <c r="IP205" s="28"/>
      <c r="IQ205" s="25"/>
      <c r="IR205" s="27"/>
      <c r="IS205" s="27"/>
      <c r="IT205" s="27"/>
      <c r="IU205" s="27"/>
      <c r="IV205" s="27"/>
      <c r="IW205" s="28"/>
      <c r="IX205" s="25"/>
      <c r="IY205" s="27"/>
      <c r="IZ205" s="27"/>
      <c r="JA205" s="27"/>
      <c r="JB205" s="27"/>
      <c r="JC205" s="27"/>
      <c r="JD205" s="28"/>
      <c r="JE205" s="25"/>
      <c r="JF205" s="27"/>
      <c r="JG205" s="27"/>
      <c r="JH205" s="27"/>
      <c r="JI205" s="27"/>
      <c r="JJ205" s="27"/>
      <c r="JK205" s="28"/>
      <c r="JL205" s="25"/>
      <c r="JM205" s="27"/>
      <c r="JN205" s="27"/>
      <c r="JO205" s="27"/>
      <c r="JP205" s="27"/>
      <c r="JQ205" s="27"/>
      <c r="JR205" s="28"/>
      <c r="JS205" s="25"/>
      <c r="JT205" s="27"/>
      <c r="JU205" s="27"/>
      <c r="JV205" s="27"/>
      <c r="JW205" s="27"/>
      <c r="JX205" s="27"/>
      <c r="JY205" s="28"/>
      <c r="JZ205" s="25"/>
      <c r="KA205" s="27"/>
      <c r="KB205" s="27"/>
      <c r="KC205" s="27"/>
      <c r="KD205" s="27"/>
      <c r="KE205" s="27"/>
      <c r="KF205" s="28"/>
      <c r="KG205" s="25"/>
      <c r="KH205" s="27"/>
      <c r="KI205" s="27"/>
      <c r="KJ205" s="27"/>
      <c r="KK205" s="27"/>
      <c r="KL205" s="27"/>
      <c r="KM205" s="28"/>
      <c r="KN205" s="25"/>
      <c r="KO205" s="27"/>
      <c r="KP205" s="27"/>
      <c r="KQ205" s="27"/>
      <c r="KR205" s="27"/>
      <c r="KS205" s="27"/>
      <c r="KT205" s="28"/>
      <c r="KU205" s="25"/>
      <c r="KV205" s="27"/>
      <c r="KW205" s="27"/>
      <c r="KX205" s="27"/>
      <c r="KY205" s="27"/>
      <c r="KZ205" s="27"/>
      <c r="LA205" s="28"/>
      <c r="LB205" s="25"/>
      <c r="LC205" s="27"/>
      <c r="LD205" s="27"/>
      <c r="LE205" s="27"/>
      <c r="LF205" s="27"/>
      <c r="LG205" s="27"/>
      <c r="LH205" s="28"/>
      <c r="LI205" s="25"/>
      <c r="LJ205" s="27"/>
      <c r="LK205" s="27"/>
      <c r="LL205" s="27"/>
      <c r="LM205" s="27"/>
      <c r="LN205" s="27"/>
      <c r="LO205" s="28"/>
      <c r="LP205" s="25"/>
      <c r="LQ205" s="27"/>
      <c r="LR205" s="27"/>
      <c r="LS205" s="27"/>
      <c r="LT205" s="27"/>
      <c r="LU205" s="27"/>
      <c r="LV205" s="28"/>
      <c r="LW205" s="25"/>
      <c r="LX205" s="27"/>
      <c r="LY205" s="27"/>
      <c r="LZ205" s="27"/>
      <c r="MA205" s="27"/>
      <c r="MB205" s="27"/>
      <c r="MC205" s="28"/>
      <c r="MD205" s="25"/>
      <c r="ME205" s="27"/>
      <c r="MF205" s="27"/>
      <c r="MG205" s="27"/>
      <c r="MH205" s="27"/>
      <c r="MI205" s="27"/>
      <c r="MJ205" s="28"/>
      <c r="MK205" s="25"/>
      <c r="ML205" s="27"/>
      <c r="MM205" s="27"/>
      <c r="MN205" s="27"/>
      <c r="MO205" s="27"/>
      <c r="MP205" s="27"/>
      <c r="MQ205" s="28"/>
      <c r="MR205" s="25"/>
      <c r="MS205" s="27"/>
      <c r="MT205" s="27"/>
      <c r="MU205" s="27"/>
      <c r="MV205" s="27"/>
      <c r="MW205" s="27"/>
      <c r="MX205" s="28"/>
      <c r="MY205" s="25"/>
      <c r="MZ205" s="27"/>
      <c r="NA205" s="27"/>
      <c r="NB205" s="27"/>
      <c r="NC205" s="27"/>
      <c r="ND205" s="27"/>
      <c r="NE205" s="28"/>
      <c r="NF205" s="25"/>
      <c r="NG205" s="27"/>
      <c r="NH205" s="27"/>
      <c r="NI205" s="27"/>
      <c r="NJ205" s="27"/>
      <c r="NK205" s="27"/>
      <c r="NL205" s="28"/>
      <c r="NM205" s="25"/>
      <c r="NN205" s="27"/>
      <c r="NO205" s="27"/>
      <c r="NP205" s="27"/>
      <c r="NQ205" s="27"/>
      <c r="NR205" s="27"/>
      <c r="NS205" s="28"/>
      <c r="NT205" s="25"/>
      <c r="NU205" s="27"/>
      <c r="NV205" s="27"/>
      <c r="NW205" s="27"/>
      <c r="NX205" s="27"/>
      <c r="NY205" s="27"/>
      <c r="NZ205" s="28"/>
      <c r="OA205" s="25"/>
      <c r="OB205" s="27"/>
      <c r="OC205" s="27"/>
      <c r="OD205" s="27"/>
      <c r="OE205" s="27"/>
      <c r="OF205" s="27"/>
      <c r="OG205" s="28"/>
      <c r="OH205" s="25"/>
      <c r="OI205" s="27"/>
      <c r="OJ205" s="27"/>
      <c r="OK205" s="27"/>
      <c r="OL205" s="27"/>
      <c r="OM205" s="27"/>
      <c r="ON205" s="28"/>
      <c r="OO205" s="25"/>
      <c r="OP205" s="27"/>
      <c r="OQ205" s="27"/>
      <c r="OR205" s="27"/>
      <c r="OS205" s="27"/>
      <c r="OT205" s="27"/>
      <c r="OU205" s="28"/>
      <c r="OV205" s="25"/>
      <c r="OW205" s="27"/>
      <c r="OX205" s="27"/>
      <c r="OY205" s="27"/>
      <c r="OZ205" s="27"/>
      <c r="PA205" s="27"/>
      <c r="PB205" s="28"/>
      <c r="PC205" s="25"/>
      <c r="PD205" s="27"/>
      <c r="PE205" s="27"/>
      <c r="PF205" s="27"/>
      <c r="PG205" s="27"/>
      <c r="PH205" s="27"/>
      <c r="PI205" s="28"/>
      <c r="PJ205" s="25"/>
      <c r="PK205" s="27"/>
      <c r="PL205" s="27"/>
      <c r="PM205" s="27"/>
      <c r="PN205" s="27"/>
      <c r="PO205" s="27"/>
      <c r="PP205" s="28"/>
      <c r="PQ205" s="25"/>
      <c r="PR205" s="27"/>
      <c r="PS205" s="27"/>
      <c r="PT205" s="27"/>
      <c r="PU205" s="27"/>
      <c r="PV205" s="27"/>
      <c r="PW205" s="28"/>
      <c r="PX205" s="25"/>
      <c r="PY205" s="27"/>
      <c r="PZ205" s="27"/>
      <c r="QA205" s="27"/>
      <c r="QB205" s="27"/>
      <c r="QC205" s="27"/>
      <c r="QD205" s="28"/>
      <c r="QE205" s="25"/>
      <c r="QF205" s="27"/>
      <c r="QG205" s="27"/>
      <c r="QH205" s="27"/>
      <c r="QI205" s="27"/>
      <c r="QJ205" s="27"/>
      <c r="QK205" s="28"/>
      <c r="QL205" s="25"/>
      <c r="QM205" s="27"/>
      <c r="QN205" s="27"/>
      <c r="QO205" s="27"/>
      <c r="QP205" s="27"/>
      <c r="QQ205" s="27"/>
      <c r="QR205" s="28"/>
      <c r="QS205" s="25"/>
      <c r="QT205" s="27"/>
      <c r="QU205" s="27"/>
      <c r="QV205" s="27"/>
      <c r="QW205" s="27"/>
      <c r="QX205" s="27"/>
      <c r="QY205" s="28"/>
      <c r="QZ205" s="25"/>
      <c r="RA205" s="27"/>
      <c r="RB205" s="27"/>
      <c r="RC205" s="27"/>
      <c r="RD205" s="27"/>
      <c r="RE205" s="27"/>
      <c r="RF205" s="28"/>
      <c r="RG205" s="25"/>
      <c r="RH205" s="27"/>
      <c r="RI205" s="27"/>
      <c r="RJ205" s="27"/>
      <c r="RK205" s="27"/>
      <c r="RL205" s="27"/>
      <c r="RM205" s="28"/>
      <c r="RN205" s="25"/>
      <c r="RO205" s="27"/>
      <c r="RP205" s="27"/>
      <c r="RQ205" s="27"/>
      <c r="RR205" s="27"/>
      <c r="RS205" s="27"/>
      <c r="RT205" s="28"/>
      <c r="RU205" s="25"/>
      <c r="RV205" s="27"/>
      <c r="RW205" s="27"/>
      <c r="RX205" s="27"/>
      <c r="RY205" s="27"/>
      <c r="RZ205" s="27"/>
      <c r="SA205" s="28"/>
      <c r="SB205" s="25"/>
      <c r="SC205" s="27"/>
      <c r="SD205" s="27"/>
      <c r="SE205" s="27"/>
      <c r="SF205" s="27"/>
      <c r="SG205" s="27"/>
      <c r="SH205" s="28"/>
      <c r="SI205" s="25"/>
      <c r="SJ205" s="27"/>
      <c r="SK205" s="27"/>
      <c r="SL205" s="27"/>
      <c r="SM205" s="27"/>
      <c r="SN205" s="27"/>
      <c r="SO205" s="28"/>
      <c r="SP205" s="25"/>
      <c r="SQ205" s="27"/>
      <c r="SR205" s="27"/>
    </row>
    <row r="206" spans="1:512" x14ac:dyDescent="0.15">
      <c r="A206" s="101">
        <f t="shared" ca="1" si="1576"/>
        <v>69</v>
      </c>
      <c r="B206" s="111">
        <v>69</v>
      </c>
      <c r="C206" s="71" t="str">
        <f t="shared" ca="1" si="1573"/>
        <v>Börn</v>
      </c>
      <c r="D206" s="112">
        <f t="shared" ca="1" si="1577"/>
        <v>144.6</v>
      </c>
      <c r="E206" s="25"/>
      <c r="F206" s="26"/>
      <c r="G206" s="27"/>
      <c r="H206" s="28"/>
      <c r="I206" s="25"/>
      <c r="J206" s="25"/>
      <c r="K206" s="26"/>
      <c r="L206" s="62"/>
      <c r="M206" s="62" t="s">
        <v>256</v>
      </c>
      <c r="N206" s="62" t="s">
        <v>137</v>
      </c>
      <c r="O206" s="32"/>
      <c r="P206" s="32">
        <f t="shared" ca="1" si="1578"/>
        <v>38</v>
      </c>
      <c r="Q206" s="32" t="str">
        <f t="shared" ca="1" si="1579"/>
        <v>Pascal</v>
      </c>
      <c r="R206" s="113">
        <f t="shared" ca="1" si="1580"/>
        <v>219.4</v>
      </c>
      <c r="S206" s="73">
        <v>69</v>
      </c>
      <c r="T206" s="32">
        <f t="shared" ca="1" si="1581"/>
        <v>219.40069</v>
      </c>
      <c r="U206" s="32"/>
      <c r="V206" s="61"/>
      <c r="W206" s="62"/>
      <c r="X206" s="62"/>
      <c r="Y206" s="63"/>
      <c r="Z206" s="73"/>
      <c r="AA206" s="32"/>
      <c r="AB206" s="32"/>
      <c r="AC206" s="61"/>
      <c r="AD206" s="27"/>
      <c r="AE206" s="27"/>
      <c r="AF206" s="27"/>
      <c r="AG206" s="28"/>
      <c r="AH206" s="25"/>
      <c r="AI206" s="27"/>
      <c r="AJ206" s="27"/>
      <c r="AK206" s="27"/>
      <c r="AL206" s="27"/>
      <c r="AM206" s="27"/>
      <c r="AN206" s="28"/>
      <c r="AO206" s="25"/>
      <c r="AP206" s="27"/>
      <c r="AQ206" s="27"/>
      <c r="AR206" s="27"/>
      <c r="AS206" s="27"/>
      <c r="AT206" s="27"/>
      <c r="AU206" s="28"/>
      <c r="AV206" s="25"/>
      <c r="AW206" s="27"/>
      <c r="AX206" s="27"/>
      <c r="AY206" s="27"/>
      <c r="AZ206" s="27"/>
      <c r="BA206" s="27"/>
      <c r="BB206" s="28"/>
      <c r="BC206" s="25"/>
      <c r="BD206" s="27"/>
      <c r="BE206" s="27"/>
      <c r="BF206" s="27"/>
      <c r="BG206" s="27"/>
      <c r="BH206" s="27"/>
      <c r="BI206" s="28"/>
      <c r="BJ206" s="25"/>
      <c r="BK206" s="27"/>
      <c r="BL206" s="27"/>
      <c r="BM206" s="27"/>
      <c r="BN206" s="27"/>
      <c r="BO206" s="27"/>
      <c r="BP206" s="28"/>
      <c r="BQ206" s="25"/>
      <c r="BR206" s="27"/>
      <c r="BS206" s="27"/>
      <c r="BT206" s="27"/>
      <c r="BU206" s="27"/>
      <c r="BV206" s="27"/>
      <c r="BW206" s="28"/>
      <c r="BX206" s="25"/>
      <c r="BY206" s="27"/>
      <c r="BZ206" s="27"/>
      <c r="CA206" s="27"/>
      <c r="CB206" s="27"/>
      <c r="CC206" s="27"/>
      <c r="CD206" s="28"/>
      <c r="CE206" s="25"/>
      <c r="CF206" s="27"/>
      <c r="CG206" s="27"/>
      <c r="CH206" s="27"/>
      <c r="CI206" s="27"/>
      <c r="CJ206" s="27"/>
      <c r="CK206" s="28"/>
      <c r="CL206" s="25"/>
      <c r="CM206" s="27"/>
      <c r="CN206" s="27"/>
      <c r="CO206" s="27"/>
      <c r="CP206" s="27"/>
      <c r="CQ206" s="27"/>
      <c r="CR206" s="28"/>
      <c r="CS206" s="25"/>
      <c r="CT206" s="27"/>
      <c r="CU206" s="27"/>
      <c r="CV206" s="27"/>
      <c r="CW206" s="27"/>
      <c r="CX206" s="27"/>
      <c r="CY206" s="28"/>
      <c r="CZ206" s="25"/>
      <c r="DA206" s="27"/>
      <c r="DB206" s="27"/>
      <c r="DC206" s="27"/>
      <c r="DD206" s="27"/>
      <c r="DE206" s="27"/>
      <c r="DF206" s="28"/>
      <c r="DG206" s="25"/>
      <c r="DH206" s="27"/>
      <c r="DI206" s="27"/>
      <c r="DJ206" s="27"/>
      <c r="DK206" s="27"/>
      <c r="DL206" s="27"/>
      <c r="DM206" s="28"/>
      <c r="DN206" s="25"/>
      <c r="DO206" s="27"/>
      <c r="DP206" s="27"/>
      <c r="DQ206" s="27"/>
      <c r="DR206" s="27"/>
      <c r="DS206" s="27"/>
      <c r="DT206" s="28"/>
      <c r="DU206" s="25"/>
      <c r="DV206" s="27"/>
      <c r="DW206" s="27"/>
      <c r="DX206" s="27"/>
      <c r="DY206" s="27"/>
      <c r="DZ206" s="27"/>
      <c r="EA206" s="28"/>
      <c r="EB206" s="25"/>
      <c r="EC206" s="27"/>
      <c r="ED206" s="27"/>
      <c r="EE206" s="27"/>
      <c r="EF206" s="27"/>
      <c r="EG206" s="27"/>
      <c r="EH206" s="28"/>
      <c r="EI206" s="25"/>
      <c r="EJ206" s="27"/>
      <c r="EK206" s="27"/>
      <c r="EL206" s="27"/>
      <c r="EM206" s="27"/>
      <c r="EN206" s="27"/>
      <c r="EO206" s="28"/>
      <c r="EP206" s="25"/>
      <c r="EQ206" s="27"/>
      <c r="ER206" s="27"/>
      <c r="ES206" s="27"/>
      <c r="ET206" s="27"/>
      <c r="EU206" s="27"/>
      <c r="EV206" s="28"/>
      <c r="EW206" s="25"/>
      <c r="EX206" s="27"/>
      <c r="EY206" s="27"/>
      <c r="EZ206" s="27"/>
      <c r="FA206" s="27"/>
      <c r="FB206" s="27"/>
      <c r="FC206" s="28"/>
      <c r="FD206" s="25"/>
      <c r="FE206" s="27"/>
      <c r="FF206" s="27"/>
      <c r="FG206" s="27"/>
      <c r="FH206" s="27"/>
      <c r="FI206" s="27"/>
      <c r="FJ206" s="28"/>
      <c r="FK206" s="25"/>
      <c r="FL206" s="27"/>
      <c r="FM206" s="27"/>
      <c r="FN206" s="27"/>
      <c r="FO206" s="27"/>
      <c r="FP206" s="27"/>
      <c r="FQ206" s="28"/>
      <c r="FR206" s="25"/>
      <c r="FS206" s="27"/>
      <c r="FT206" s="27"/>
      <c r="FU206" s="27"/>
      <c r="FV206" s="27"/>
      <c r="FW206" s="27"/>
      <c r="FX206" s="28"/>
      <c r="FY206" s="25"/>
      <c r="FZ206" s="27"/>
      <c r="GA206" s="27"/>
      <c r="GB206" s="27"/>
      <c r="GC206" s="27"/>
      <c r="GD206" s="27"/>
      <c r="GE206" s="28"/>
      <c r="GF206" s="25"/>
      <c r="GG206" s="27"/>
      <c r="GH206" s="27"/>
      <c r="GI206" s="27"/>
      <c r="GJ206" s="27"/>
      <c r="GK206" s="27"/>
      <c r="GL206" s="28"/>
      <c r="GM206" s="25"/>
      <c r="GN206" s="27"/>
      <c r="GO206" s="27"/>
      <c r="GP206" s="27"/>
      <c r="GQ206" s="27"/>
      <c r="GR206" s="27"/>
      <c r="GS206" s="28"/>
      <c r="GT206" s="25"/>
      <c r="GU206" s="27"/>
      <c r="GV206" s="27"/>
      <c r="GW206" s="27"/>
      <c r="GX206" s="27"/>
      <c r="GY206" s="27"/>
      <c r="GZ206" s="28"/>
      <c r="HA206" s="25"/>
      <c r="HB206" s="27"/>
      <c r="HC206" s="27"/>
      <c r="HD206" s="27"/>
      <c r="HE206" s="27"/>
      <c r="HF206" s="27"/>
      <c r="HG206" s="28"/>
      <c r="HH206" s="25"/>
      <c r="HI206" s="27"/>
      <c r="HJ206" s="27"/>
      <c r="HK206" s="27"/>
      <c r="HL206" s="27"/>
      <c r="HM206" s="27"/>
      <c r="HN206" s="28"/>
      <c r="HO206" s="25"/>
      <c r="HP206" s="27"/>
      <c r="HQ206" s="27"/>
      <c r="HR206" s="27"/>
      <c r="HS206" s="27"/>
      <c r="HT206" s="27"/>
      <c r="HU206" s="28"/>
      <c r="HV206" s="25"/>
      <c r="HW206" s="27"/>
      <c r="HX206" s="27"/>
      <c r="HY206" s="27"/>
      <c r="HZ206" s="27"/>
      <c r="IA206" s="27"/>
      <c r="IB206" s="28"/>
      <c r="IC206" s="25"/>
      <c r="ID206" s="27"/>
      <c r="IE206" s="27"/>
      <c r="IF206" s="27"/>
      <c r="IG206" s="27"/>
      <c r="IH206" s="27"/>
      <c r="II206" s="28"/>
      <c r="IJ206" s="25"/>
      <c r="IK206" s="27"/>
      <c r="IL206" s="27"/>
      <c r="IM206" s="27"/>
      <c r="IN206" s="27"/>
      <c r="IO206" s="27"/>
      <c r="IP206" s="28"/>
      <c r="IQ206" s="25"/>
      <c r="IR206" s="27"/>
      <c r="IS206" s="27"/>
      <c r="IT206" s="27"/>
      <c r="IU206" s="27"/>
      <c r="IV206" s="27"/>
      <c r="IW206" s="28"/>
      <c r="IX206" s="25"/>
      <c r="IY206" s="27"/>
      <c r="IZ206" s="27"/>
      <c r="JA206" s="27"/>
      <c r="JB206" s="27"/>
      <c r="JC206" s="27"/>
      <c r="JD206" s="28"/>
      <c r="JE206" s="25"/>
      <c r="JF206" s="27"/>
      <c r="JG206" s="27"/>
      <c r="JH206" s="27"/>
      <c r="JI206" s="27"/>
      <c r="JJ206" s="27"/>
      <c r="JK206" s="28"/>
      <c r="JL206" s="25"/>
      <c r="JM206" s="27"/>
      <c r="JN206" s="27"/>
      <c r="JO206" s="27"/>
      <c r="JP206" s="27"/>
      <c r="JQ206" s="27"/>
      <c r="JR206" s="28"/>
      <c r="JS206" s="25"/>
      <c r="JT206" s="27"/>
      <c r="JU206" s="27"/>
      <c r="JV206" s="27"/>
      <c r="JW206" s="27"/>
      <c r="JX206" s="27"/>
      <c r="JY206" s="28"/>
      <c r="JZ206" s="25"/>
      <c r="KA206" s="27"/>
      <c r="KB206" s="27"/>
      <c r="KC206" s="27"/>
      <c r="KD206" s="27"/>
      <c r="KE206" s="27"/>
      <c r="KF206" s="28"/>
      <c r="KG206" s="25"/>
      <c r="KH206" s="27"/>
      <c r="KI206" s="27"/>
      <c r="KJ206" s="27"/>
      <c r="KK206" s="27"/>
      <c r="KL206" s="27"/>
      <c r="KM206" s="28"/>
      <c r="KN206" s="25"/>
      <c r="KO206" s="27"/>
      <c r="KP206" s="27"/>
      <c r="KQ206" s="27"/>
      <c r="KR206" s="27"/>
      <c r="KS206" s="27"/>
      <c r="KT206" s="28"/>
      <c r="KU206" s="25"/>
      <c r="KV206" s="27"/>
      <c r="KW206" s="27"/>
      <c r="KX206" s="27"/>
      <c r="KY206" s="27"/>
      <c r="KZ206" s="27"/>
      <c r="LA206" s="28"/>
      <c r="LB206" s="25"/>
      <c r="LC206" s="27"/>
      <c r="LD206" s="27"/>
      <c r="LE206" s="27"/>
      <c r="LF206" s="27"/>
      <c r="LG206" s="27"/>
      <c r="LH206" s="28"/>
      <c r="LI206" s="25"/>
      <c r="LJ206" s="27"/>
      <c r="LK206" s="27"/>
      <c r="LL206" s="27"/>
      <c r="LM206" s="27"/>
      <c r="LN206" s="27"/>
      <c r="LO206" s="28"/>
      <c r="LP206" s="25"/>
      <c r="LQ206" s="27"/>
      <c r="LR206" s="27"/>
      <c r="LS206" s="27"/>
      <c r="LT206" s="27"/>
      <c r="LU206" s="27"/>
      <c r="LV206" s="28"/>
      <c r="LW206" s="25"/>
      <c r="LX206" s="27"/>
      <c r="LY206" s="27"/>
      <c r="LZ206" s="27"/>
      <c r="MA206" s="27"/>
      <c r="MB206" s="27"/>
      <c r="MC206" s="28"/>
      <c r="MD206" s="25"/>
      <c r="ME206" s="27"/>
      <c r="MF206" s="27"/>
      <c r="MG206" s="27"/>
      <c r="MH206" s="27"/>
      <c r="MI206" s="27"/>
      <c r="MJ206" s="28"/>
      <c r="MK206" s="25"/>
      <c r="ML206" s="27"/>
      <c r="MM206" s="27"/>
      <c r="MN206" s="27"/>
      <c r="MO206" s="27"/>
      <c r="MP206" s="27"/>
      <c r="MQ206" s="28"/>
      <c r="MR206" s="25"/>
      <c r="MS206" s="27"/>
      <c r="MT206" s="27"/>
      <c r="MU206" s="27"/>
      <c r="MV206" s="27"/>
      <c r="MW206" s="27"/>
      <c r="MX206" s="28"/>
      <c r="MY206" s="25"/>
      <c r="MZ206" s="27"/>
      <c r="NA206" s="27"/>
      <c r="NB206" s="27"/>
      <c r="NC206" s="27"/>
      <c r="ND206" s="27"/>
      <c r="NE206" s="28"/>
      <c r="NF206" s="25"/>
      <c r="NG206" s="27"/>
      <c r="NH206" s="27"/>
      <c r="NI206" s="27"/>
      <c r="NJ206" s="27"/>
      <c r="NK206" s="27"/>
      <c r="NL206" s="28"/>
      <c r="NM206" s="25"/>
      <c r="NN206" s="27"/>
      <c r="NO206" s="27"/>
      <c r="NP206" s="27"/>
      <c r="NQ206" s="27"/>
      <c r="NR206" s="27"/>
      <c r="NS206" s="28"/>
      <c r="NT206" s="25"/>
      <c r="NU206" s="27"/>
      <c r="NV206" s="27"/>
      <c r="NW206" s="27"/>
      <c r="NX206" s="27"/>
      <c r="NY206" s="27"/>
      <c r="NZ206" s="28"/>
      <c r="OA206" s="25"/>
      <c r="OB206" s="27"/>
      <c r="OC206" s="27"/>
      <c r="OD206" s="27"/>
      <c r="OE206" s="27"/>
      <c r="OF206" s="27"/>
      <c r="OG206" s="28"/>
      <c r="OH206" s="25"/>
      <c r="OI206" s="27"/>
      <c r="OJ206" s="27"/>
      <c r="OK206" s="27"/>
      <c r="OL206" s="27"/>
      <c r="OM206" s="27"/>
      <c r="ON206" s="28"/>
      <c r="OO206" s="25"/>
      <c r="OP206" s="27"/>
      <c r="OQ206" s="27"/>
      <c r="OR206" s="27"/>
      <c r="OS206" s="27"/>
      <c r="OT206" s="27"/>
      <c r="OU206" s="28"/>
      <c r="OV206" s="25"/>
      <c r="OW206" s="27"/>
      <c r="OX206" s="27"/>
      <c r="OY206" s="27"/>
      <c r="OZ206" s="27"/>
      <c r="PA206" s="27"/>
      <c r="PB206" s="28"/>
      <c r="PC206" s="25"/>
      <c r="PD206" s="27"/>
      <c r="PE206" s="27"/>
      <c r="PF206" s="27"/>
      <c r="PG206" s="27"/>
      <c r="PH206" s="27"/>
      <c r="PI206" s="28"/>
      <c r="PJ206" s="25"/>
      <c r="PK206" s="27"/>
      <c r="PL206" s="27"/>
      <c r="PM206" s="27"/>
      <c r="PN206" s="27"/>
      <c r="PO206" s="27"/>
      <c r="PP206" s="28"/>
      <c r="PQ206" s="25"/>
      <c r="PR206" s="27"/>
      <c r="PS206" s="27"/>
      <c r="PT206" s="27"/>
      <c r="PU206" s="27"/>
      <c r="PV206" s="27"/>
      <c r="PW206" s="28"/>
      <c r="PX206" s="25"/>
      <c r="PY206" s="27"/>
      <c r="PZ206" s="27"/>
      <c r="QA206" s="27"/>
      <c r="QB206" s="27"/>
      <c r="QC206" s="27"/>
      <c r="QD206" s="28"/>
      <c r="QE206" s="25"/>
      <c r="QF206" s="27"/>
      <c r="QG206" s="27"/>
      <c r="QH206" s="27"/>
      <c r="QI206" s="27"/>
      <c r="QJ206" s="27"/>
      <c r="QK206" s="28"/>
      <c r="QL206" s="25"/>
      <c r="QM206" s="27"/>
      <c r="QN206" s="27"/>
      <c r="QO206" s="27"/>
      <c r="QP206" s="27"/>
      <c r="QQ206" s="27"/>
      <c r="QR206" s="28"/>
      <c r="QS206" s="25"/>
      <c r="QT206" s="27"/>
      <c r="QU206" s="27"/>
      <c r="QV206" s="27"/>
      <c r="QW206" s="27"/>
      <c r="QX206" s="27"/>
      <c r="QY206" s="28"/>
      <c r="QZ206" s="25"/>
      <c r="RA206" s="27"/>
      <c r="RB206" s="27"/>
      <c r="RC206" s="27"/>
      <c r="RD206" s="27"/>
      <c r="RE206" s="27"/>
      <c r="RF206" s="28"/>
      <c r="RG206" s="25"/>
      <c r="RH206" s="27"/>
      <c r="RI206" s="27"/>
      <c r="RJ206" s="27"/>
      <c r="RK206" s="27"/>
      <c r="RL206" s="27"/>
      <c r="RM206" s="28"/>
      <c r="RN206" s="25"/>
      <c r="RO206" s="27"/>
      <c r="RP206" s="27"/>
      <c r="RQ206" s="27"/>
      <c r="RR206" s="27"/>
      <c r="RS206" s="27"/>
      <c r="RT206" s="28"/>
      <c r="RU206" s="25"/>
      <c r="RV206" s="27"/>
      <c r="RW206" s="27"/>
      <c r="RX206" s="27"/>
      <c r="RY206" s="27"/>
      <c r="RZ206" s="27"/>
      <c r="SA206" s="28"/>
      <c r="SB206" s="25"/>
      <c r="SC206" s="27"/>
      <c r="SD206" s="27"/>
      <c r="SE206" s="27"/>
      <c r="SF206" s="27"/>
      <c r="SG206" s="27"/>
      <c r="SH206" s="28"/>
      <c r="SI206" s="25"/>
      <c r="SJ206" s="27"/>
      <c r="SK206" s="27"/>
      <c r="SL206" s="27"/>
      <c r="SM206" s="27"/>
      <c r="SN206" s="27"/>
      <c r="SO206" s="28"/>
      <c r="SP206" s="25"/>
      <c r="SQ206" s="27"/>
      <c r="SR206" s="27"/>
    </row>
    <row r="207" spans="1:512" x14ac:dyDescent="0.15">
      <c r="A207" s="101">
        <f t="shared" ca="1" si="1576"/>
        <v>70</v>
      </c>
      <c r="B207" s="111">
        <v>70</v>
      </c>
      <c r="C207" s="71" t="str">
        <f t="shared" ca="1" si="1573"/>
        <v>Kohls</v>
      </c>
      <c r="D207" s="112">
        <f t="shared" ca="1" si="1577"/>
        <v>144</v>
      </c>
      <c r="E207" s="25"/>
      <c r="F207" s="26"/>
      <c r="G207" s="27"/>
      <c r="H207" s="28"/>
      <c r="I207" s="25"/>
      <c r="J207" s="25"/>
      <c r="K207" s="26"/>
      <c r="L207" s="62"/>
      <c r="M207" s="63" t="s">
        <v>257</v>
      </c>
      <c r="N207" s="62" t="s">
        <v>138</v>
      </c>
      <c r="O207" s="32"/>
      <c r="P207" s="32">
        <f t="shared" ca="1" si="1578"/>
        <v>62</v>
      </c>
      <c r="Q207" s="32" t="str">
        <f t="shared" ca="1" si="1579"/>
        <v>Rosa</v>
      </c>
      <c r="R207" s="113">
        <f t="shared" ca="1" si="1580"/>
        <v>184.79999999999998</v>
      </c>
      <c r="S207" s="73">
        <v>70</v>
      </c>
      <c r="T207" s="32">
        <f t="shared" ca="1" si="1581"/>
        <v>184.80069999999998</v>
      </c>
      <c r="U207" s="32"/>
      <c r="V207" s="61"/>
      <c r="W207" s="62"/>
      <c r="X207" s="62"/>
      <c r="Y207" s="63"/>
      <c r="Z207" s="73"/>
      <c r="AA207" s="32"/>
      <c r="AB207" s="32"/>
      <c r="AC207" s="61"/>
      <c r="AD207" s="27"/>
      <c r="AE207" s="27"/>
      <c r="AF207" s="27"/>
      <c r="AG207" s="28"/>
      <c r="AH207" s="25"/>
      <c r="AI207" s="27"/>
      <c r="AJ207" s="27"/>
      <c r="AK207" s="27"/>
      <c r="AL207" s="27"/>
      <c r="AM207" s="27"/>
      <c r="AN207" s="28"/>
      <c r="AO207" s="25"/>
      <c r="AP207" s="27"/>
      <c r="AQ207" s="27"/>
      <c r="AR207" s="27"/>
      <c r="AS207" s="27"/>
      <c r="AT207" s="27"/>
      <c r="AU207" s="28"/>
      <c r="AV207" s="25"/>
      <c r="AW207" s="27"/>
      <c r="AX207" s="27"/>
      <c r="AY207" s="27"/>
      <c r="AZ207" s="27"/>
      <c r="BA207" s="27"/>
      <c r="BB207" s="28"/>
      <c r="BC207" s="25"/>
      <c r="BD207" s="27"/>
      <c r="BE207" s="27"/>
      <c r="BF207" s="27"/>
      <c r="BG207" s="27"/>
      <c r="BH207" s="27"/>
      <c r="BI207" s="28"/>
      <c r="BJ207" s="25"/>
      <c r="BK207" s="27"/>
      <c r="BL207" s="27"/>
      <c r="BM207" s="27"/>
      <c r="BN207" s="27"/>
      <c r="BO207" s="27"/>
      <c r="BP207" s="28"/>
      <c r="BQ207" s="25"/>
      <c r="BR207" s="27"/>
      <c r="BS207" s="27"/>
      <c r="BT207" s="27"/>
      <c r="BU207" s="27"/>
      <c r="BV207" s="27"/>
      <c r="BW207" s="28"/>
      <c r="BX207" s="25"/>
      <c r="BY207" s="27"/>
      <c r="BZ207" s="27"/>
      <c r="CA207" s="27"/>
      <c r="CB207" s="27"/>
      <c r="CC207" s="27"/>
      <c r="CD207" s="28"/>
      <c r="CE207" s="25"/>
      <c r="CF207" s="27"/>
      <c r="CG207" s="27"/>
      <c r="CH207" s="27"/>
      <c r="CI207" s="27"/>
      <c r="CJ207" s="27"/>
      <c r="CK207" s="28"/>
      <c r="CL207" s="25"/>
      <c r="CM207" s="27"/>
      <c r="CN207" s="27"/>
      <c r="CO207" s="27"/>
      <c r="CP207" s="27"/>
      <c r="CQ207" s="27"/>
      <c r="CR207" s="28"/>
      <c r="CS207" s="25"/>
      <c r="CT207" s="27"/>
      <c r="CU207" s="27"/>
      <c r="CV207" s="27"/>
      <c r="CW207" s="27"/>
      <c r="CX207" s="27"/>
      <c r="CY207" s="28"/>
      <c r="CZ207" s="25"/>
      <c r="DA207" s="27"/>
      <c r="DB207" s="27"/>
      <c r="DC207" s="27"/>
      <c r="DD207" s="27"/>
      <c r="DE207" s="27"/>
      <c r="DF207" s="28"/>
      <c r="DG207" s="25"/>
      <c r="DH207" s="27"/>
      <c r="DI207" s="27"/>
      <c r="DJ207" s="27"/>
      <c r="DK207" s="27"/>
      <c r="DL207" s="27"/>
      <c r="DM207" s="28"/>
      <c r="DN207" s="25"/>
      <c r="DO207" s="27"/>
      <c r="DP207" s="27"/>
      <c r="DQ207" s="27"/>
      <c r="DR207" s="27"/>
      <c r="DS207" s="27"/>
      <c r="DT207" s="28"/>
      <c r="DU207" s="25"/>
      <c r="DV207" s="27"/>
      <c r="DW207" s="27"/>
      <c r="DX207" s="27"/>
      <c r="DY207" s="27"/>
      <c r="DZ207" s="27"/>
      <c r="EA207" s="28"/>
      <c r="EB207" s="25"/>
      <c r="EC207" s="27"/>
      <c r="ED207" s="27"/>
      <c r="EE207" s="27"/>
      <c r="EF207" s="27"/>
      <c r="EG207" s="27"/>
      <c r="EH207" s="28"/>
      <c r="EI207" s="25"/>
      <c r="EJ207" s="27"/>
      <c r="EK207" s="27"/>
      <c r="EL207" s="27"/>
      <c r="EM207" s="27"/>
      <c r="EN207" s="27"/>
      <c r="EO207" s="28"/>
      <c r="EP207" s="25"/>
      <c r="EQ207" s="27"/>
      <c r="ER207" s="27"/>
      <c r="ES207" s="27"/>
      <c r="ET207" s="27"/>
      <c r="EU207" s="27"/>
      <c r="EV207" s="28"/>
      <c r="EW207" s="25"/>
      <c r="EX207" s="27"/>
      <c r="EY207" s="27"/>
      <c r="EZ207" s="27"/>
      <c r="FA207" s="27"/>
      <c r="FB207" s="27"/>
      <c r="FC207" s="28"/>
      <c r="FD207" s="25"/>
      <c r="FE207" s="27"/>
      <c r="FF207" s="27"/>
      <c r="FG207" s="27"/>
      <c r="FH207" s="27"/>
      <c r="FI207" s="27"/>
      <c r="FJ207" s="28"/>
      <c r="FK207" s="25"/>
      <c r="FL207" s="27"/>
      <c r="FM207" s="27"/>
      <c r="FN207" s="27"/>
      <c r="FO207" s="27"/>
      <c r="FP207" s="27"/>
      <c r="FQ207" s="28"/>
      <c r="FR207" s="25"/>
      <c r="FS207" s="27"/>
      <c r="FT207" s="27"/>
      <c r="FU207" s="27"/>
      <c r="FV207" s="27"/>
      <c r="FW207" s="27"/>
      <c r="FX207" s="28"/>
      <c r="FY207" s="25"/>
      <c r="FZ207" s="27"/>
      <c r="GA207" s="27"/>
      <c r="GB207" s="27"/>
      <c r="GC207" s="27"/>
      <c r="GD207" s="27"/>
      <c r="GE207" s="28"/>
      <c r="GF207" s="25"/>
      <c r="GG207" s="27"/>
      <c r="GH207" s="27"/>
      <c r="GI207" s="27"/>
      <c r="GJ207" s="27"/>
      <c r="GK207" s="27"/>
      <c r="GL207" s="28"/>
      <c r="GM207" s="25"/>
      <c r="GN207" s="27"/>
      <c r="GO207" s="27"/>
      <c r="GP207" s="27"/>
      <c r="GQ207" s="27"/>
      <c r="GR207" s="27"/>
      <c r="GS207" s="28"/>
      <c r="GT207" s="25"/>
      <c r="GU207" s="27"/>
      <c r="GV207" s="27"/>
      <c r="GW207" s="27"/>
      <c r="GX207" s="27"/>
      <c r="GY207" s="27"/>
      <c r="GZ207" s="28"/>
      <c r="HA207" s="25"/>
      <c r="HB207" s="27"/>
      <c r="HC207" s="27"/>
      <c r="HD207" s="27"/>
      <c r="HE207" s="27"/>
      <c r="HF207" s="27"/>
      <c r="HG207" s="28"/>
      <c r="HH207" s="25"/>
      <c r="HI207" s="27"/>
      <c r="HJ207" s="27"/>
      <c r="HK207" s="27"/>
      <c r="HL207" s="27"/>
      <c r="HM207" s="27"/>
      <c r="HN207" s="28"/>
      <c r="HO207" s="25"/>
      <c r="HP207" s="27"/>
      <c r="HQ207" s="27"/>
      <c r="HR207" s="27"/>
      <c r="HS207" s="27"/>
      <c r="HT207" s="27"/>
      <c r="HU207" s="28"/>
      <c r="HV207" s="25"/>
      <c r="HW207" s="27"/>
      <c r="HX207" s="27"/>
      <c r="HY207" s="27"/>
      <c r="HZ207" s="27"/>
      <c r="IA207" s="27"/>
      <c r="IB207" s="28"/>
      <c r="IC207" s="25"/>
      <c r="ID207" s="27"/>
      <c r="IE207" s="27"/>
      <c r="IF207" s="27"/>
      <c r="IG207" s="27"/>
      <c r="IH207" s="27"/>
      <c r="II207" s="28"/>
      <c r="IJ207" s="25"/>
      <c r="IK207" s="27"/>
      <c r="IL207" s="27"/>
      <c r="IM207" s="27"/>
      <c r="IN207" s="27"/>
      <c r="IO207" s="27"/>
      <c r="IP207" s="28"/>
      <c r="IQ207" s="25"/>
      <c r="IR207" s="27"/>
      <c r="IS207" s="27"/>
      <c r="IT207" s="27"/>
      <c r="IU207" s="27"/>
      <c r="IV207" s="27"/>
      <c r="IW207" s="28"/>
      <c r="IX207" s="25"/>
      <c r="IY207" s="27"/>
      <c r="IZ207" s="27"/>
      <c r="JA207" s="27"/>
      <c r="JB207" s="27"/>
      <c r="JC207" s="27"/>
      <c r="JD207" s="28"/>
      <c r="JE207" s="25"/>
      <c r="JF207" s="27"/>
      <c r="JG207" s="27"/>
      <c r="JH207" s="27"/>
      <c r="JI207" s="27"/>
      <c r="JJ207" s="27"/>
      <c r="JK207" s="28"/>
      <c r="JL207" s="25"/>
      <c r="JM207" s="27"/>
      <c r="JN207" s="27"/>
      <c r="JO207" s="27"/>
      <c r="JP207" s="27"/>
      <c r="JQ207" s="27"/>
      <c r="JR207" s="28"/>
      <c r="JS207" s="25"/>
      <c r="JT207" s="27"/>
      <c r="JU207" s="27"/>
      <c r="JV207" s="27"/>
      <c r="JW207" s="27"/>
      <c r="JX207" s="27"/>
      <c r="JY207" s="28"/>
      <c r="JZ207" s="25"/>
      <c r="KA207" s="27"/>
      <c r="KB207" s="27"/>
      <c r="KC207" s="27"/>
      <c r="KD207" s="27"/>
      <c r="KE207" s="27"/>
      <c r="KF207" s="28"/>
      <c r="KG207" s="25"/>
      <c r="KH207" s="27"/>
      <c r="KI207" s="27"/>
      <c r="KJ207" s="27"/>
      <c r="KK207" s="27"/>
      <c r="KL207" s="27"/>
      <c r="KM207" s="28"/>
      <c r="KN207" s="25"/>
      <c r="KO207" s="27"/>
      <c r="KP207" s="27"/>
      <c r="KQ207" s="27"/>
      <c r="KR207" s="27"/>
      <c r="KS207" s="27"/>
      <c r="KT207" s="28"/>
      <c r="KU207" s="25"/>
      <c r="KV207" s="27"/>
      <c r="KW207" s="27"/>
      <c r="KX207" s="27"/>
      <c r="KY207" s="27"/>
      <c r="KZ207" s="27"/>
      <c r="LA207" s="28"/>
      <c r="LB207" s="25"/>
      <c r="LC207" s="27"/>
      <c r="LD207" s="27"/>
      <c r="LE207" s="27"/>
      <c r="LF207" s="27"/>
      <c r="LG207" s="27"/>
      <c r="LH207" s="28"/>
      <c r="LI207" s="25"/>
      <c r="LJ207" s="27"/>
      <c r="LK207" s="27"/>
      <c r="LL207" s="27"/>
      <c r="LM207" s="27"/>
      <c r="LN207" s="27"/>
      <c r="LO207" s="28"/>
      <c r="LP207" s="25"/>
      <c r="LQ207" s="27"/>
      <c r="LR207" s="27"/>
      <c r="LS207" s="27"/>
      <c r="LT207" s="27"/>
      <c r="LU207" s="27"/>
      <c r="LV207" s="28"/>
      <c r="LW207" s="25"/>
      <c r="LX207" s="27"/>
      <c r="LY207" s="27"/>
      <c r="LZ207" s="27"/>
      <c r="MA207" s="27"/>
      <c r="MB207" s="27"/>
      <c r="MC207" s="28"/>
      <c r="MD207" s="25"/>
      <c r="ME207" s="27"/>
      <c r="MF207" s="27"/>
      <c r="MG207" s="27"/>
      <c r="MH207" s="27"/>
      <c r="MI207" s="27"/>
      <c r="MJ207" s="28"/>
      <c r="MK207" s="25"/>
      <c r="ML207" s="27"/>
      <c r="MM207" s="27"/>
      <c r="MN207" s="27"/>
      <c r="MO207" s="27"/>
      <c r="MP207" s="27"/>
      <c r="MQ207" s="28"/>
      <c r="MR207" s="25"/>
      <c r="MS207" s="27"/>
      <c r="MT207" s="27"/>
      <c r="MU207" s="27"/>
      <c r="MV207" s="27"/>
      <c r="MW207" s="27"/>
      <c r="MX207" s="28"/>
      <c r="MY207" s="25"/>
      <c r="MZ207" s="27"/>
      <c r="NA207" s="27"/>
      <c r="NB207" s="27"/>
      <c r="NC207" s="27"/>
      <c r="ND207" s="27"/>
      <c r="NE207" s="28"/>
      <c r="NF207" s="25"/>
      <c r="NG207" s="27"/>
      <c r="NH207" s="27"/>
      <c r="NI207" s="27"/>
      <c r="NJ207" s="27"/>
      <c r="NK207" s="27"/>
      <c r="NL207" s="28"/>
      <c r="NM207" s="25"/>
      <c r="NN207" s="27"/>
      <c r="NO207" s="27"/>
      <c r="NP207" s="27"/>
      <c r="NQ207" s="27"/>
      <c r="NR207" s="27"/>
      <c r="NS207" s="28"/>
      <c r="NT207" s="25"/>
      <c r="NU207" s="27"/>
      <c r="NV207" s="27"/>
      <c r="NW207" s="27"/>
      <c r="NX207" s="27"/>
      <c r="NY207" s="27"/>
      <c r="NZ207" s="28"/>
      <c r="OA207" s="25"/>
      <c r="OB207" s="27"/>
      <c r="OC207" s="27"/>
      <c r="OD207" s="27"/>
      <c r="OE207" s="27"/>
      <c r="OF207" s="27"/>
      <c r="OG207" s="28"/>
      <c r="OH207" s="25"/>
      <c r="OI207" s="27"/>
      <c r="OJ207" s="27"/>
      <c r="OK207" s="27"/>
      <c r="OL207" s="27"/>
      <c r="OM207" s="27"/>
      <c r="ON207" s="28"/>
      <c r="OO207" s="25"/>
      <c r="OP207" s="27"/>
      <c r="OQ207" s="27"/>
      <c r="OR207" s="27"/>
      <c r="OS207" s="27"/>
      <c r="OT207" s="27"/>
      <c r="OU207" s="28"/>
      <c r="OV207" s="25"/>
      <c r="OW207" s="27"/>
      <c r="OX207" s="27"/>
      <c r="OY207" s="27"/>
      <c r="OZ207" s="27"/>
      <c r="PA207" s="27"/>
      <c r="PB207" s="28"/>
      <c r="PC207" s="25"/>
      <c r="PD207" s="27"/>
      <c r="PE207" s="27"/>
      <c r="PF207" s="27"/>
      <c r="PG207" s="27"/>
      <c r="PH207" s="27"/>
      <c r="PI207" s="28"/>
      <c r="PJ207" s="25"/>
      <c r="PK207" s="27"/>
      <c r="PL207" s="27"/>
      <c r="PM207" s="27"/>
      <c r="PN207" s="27"/>
      <c r="PO207" s="27"/>
      <c r="PP207" s="28"/>
      <c r="PQ207" s="25"/>
      <c r="PR207" s="27"/>
      <c r="PS207" s="27"/>
      <c r="PT207" s="27"/>
      <c r="PU207" s="27"/>
      <c r="PV207" s="27"/>
      <c r="PW207" s="28"/>
      <c r="PX207" s="25"/>
      <c r="PY207" s="27"/>
      <c r="PZ207" s="27"/>
      <c r="QA207" s="27"/>
      <c r="QB207" s="27"/>
      <c r="QC207" s="27"/>
      <c r="QD207" s="28"/>
      <c r="QE207" s="25"/>
      <c r="QF207" s="27"/>
      <c r="QG207" s="27"/>
      <c r="QH207" s="27"/>
      <c r="QI207" s="27"/>
      <c r="QJ207" s="27"/>
      <c r="QK207" s="28"/>
      <c r="QL207" s="25"/>
      <c r="QM207" s="27"/>
      <c r="QN207" s="27"/>
      <c r="QO207" s="27"/>
      <c r="QP207" s="27"/>
      <c r="QQ207" s="27"/>
      <c r="QR207" s="28"/>
      <c r="QS207" s="25"/>
      <c r="QT207" s="27"/>
      <c r="QU207" s="27"/>
      <c r="QV207" s="27"/>
      <c r="QW207" s="27"/>
      <c r="QX207" s="27"/>
      <c r="QY207" s="28"/>
      <c r="QZ207" s="25"/>
      <c r="RA207" s="27"/>
      <c r="RB207" s="27"/>
      <c r="RC207" s="27"/>
      <c r="RD207" s="27"/>
      <c r="RE207" s="27"/>
      <c r="RF207" s="28"/>
      <c r="RG207" s="25"/>
      <c r="RH207" s="27"/>
      <c r="RI207" s="27"/>
      <c r="RJ207" s="27"/>
      <c r="RK207" s="27"/>
      <c r="RL207" s="27"/>
      <c r="RM207" s="28"/>
      <c r="RN207" s="25"/>
      <c r="RO207" s="27"/>
      <c r="RP207" s="27"/>
      <c r="RQ207" s="27"/>
      <c r="RR207" s="27"/>
      <c r="RS207" s="27"/>
      <c r="RT207" s="28"/>
      <c r="RU207" s="25"/>
      <c r="RV207" s="27"/>
      <c r="RW207" s="27"/>
      <c r="RX207" s="27"/>
      <c r="RY207" s="27"/>
      <c r="RZ207" s="27"/>
      <c r="SA207" s="28"/>
      <c r="SB207" s="25"/>
      <c r="SC207" s="27"/>
      <c r="SD207" s="27"/>
      <c r="SE207" s="27"/>
      <c r="SF207" s="27"/>
      <c r="SG207" s="27"/>
      <c r="SH207" s="28"/>
      <c r="SI207" s="25"/>
      <c r="SJ207" s="27"/>
      <c r="SK207" s="27"/>
      <c r="SL207" s="27"/>
      <c r="SM207" s="27"/>
      <c r="SN207" s="27"/>
      <c r="SO207" s="28"/>
      <c r="SP207" s="25"/>
      <c r="SQ207" s="27"/>
      <c r="SR207" s="27"/>
    </row>
    <row r="208" spans="1:512" x14ac:dyDescent="0.15">
      <c r="A208" s="101">
        <f t="shared" ca="1" si="1576"/>
        <v>71</v>
      </c>
      <c r="B208" s="111">
        <v>71</v>
      </c>
      <c r="C208" s="71" t="str">
        <f t="shared" ca="1" si="1573"/>
        <v>Albert</v>
      </c>
      <c r="D208" s="112">
        <f t="shared" ca="1" si="1577"/>
        <v>128.60000000000002</v>
      </c>
      <c r="E208" s="25"/>
      <c r="F208" s="26"/>
      <c r="G208" s="27"/>
      <c r="H208" s="28"/>
      <c r="I208" s="25"/>
      <c r="J208" s="25"/>
      <c r="K208" s="26"/>
      <c r="L208" s="62"/>
      <c r="M208" s="32" t="s">
        <v>258</v>
      </c>
      <c r="N208" s="32" t="s">
        <v>139</v>
      </c>
      <c r="O208" s="32"/>
      <c r="P208" s="32">
        <f t="shared" ca="1" si="1578"/>
        <v>67</v>
      </c>
      <c r="Q208" s="32" t="str">
        <f t="shared" ca="1" si="1579"/>
        <v>Alma</v>
      </c>
      <c r="R208" s="113">
        <f t="shared" ca="1" si="1580"/>
        <v>149.5</v>
      </c>
      <c r="S208" s="73">
        <v>71</v>
      </c>
      <c r="T208" s="32">
        <f t="shared" ca="1" si="1581"/>
        <v>149.50071</v>
      </c>
      <c r="U208" s="63"/>
      <c r="V208" s="73"/>
      <c r="W208" s="32"/>
      <c r="X208" s="62"/>
      <c r="Y208" s="63"/>
      <c r="Z208" s="73"/>
      <c r="AA208" s="32"/>
      <c r="AB208" s="63"/>
      <c r="AC208" s="73"/>
      <c r="AD208" s="32"/>
      <c r="AE208" s="63"/>
      <c r="AF208" s="73"/>
      <c r="AG208" s="32"/>
      <c r="AH208" s="32"/>
      <c r="AI208" s="5"/>
      <c r="AJ208" s="5"/>
      <c r="AL208" s="63"/>
      <c r="AM208" s="73"/>
      <c r="AN208" s="32"/>
      <c r="AO208" s="32"/>
      <c r="AP208" s="5"/>
      <c r="AQ208" s="5"/>
      <c r="AS208" s="63"/>
      <c r="AT208" s="73"/>
      <c r="AU208" s="32"/>
      <c r="AV208" s="32"/>
      <c r="AW208" s="5"/>
      <c r="AX208" s="5"/>
      <c r="AZ208" s="63"/>
      <c r="BA208" s="73"/>
      <c r="BB208" s="32"/>
      <c r="BC208" s="32"/>
      <c r="BD208" s="5"/>
      <c r="BE208" s="5"/>
      <c r="BF208" s="32"/>
      <c r="BG208" s="63"/>
      <c r="BH208" s="73"/>
      <c r="BI208" s="32"/>
      <c r="BJ208" s="32"/>
      <c r="BK208" s="5"/>
      <c r="BL208" s="5"/>
      <c r="BN208" s="63"/>
      <c r="BO208" s="73"/>
      <c r="BP208" s="32"/>
      <c r="BQ208" s="32"/>
      <c r="BR208" s="5"/>
      <c r="BS208" s="5"/>
      <c r="BU208" s="63"/>
      <c r="BV208" s="73"/>
      <c r="BW208" s="32"/>
      <c r="BX208" s="32"/>
      <c r="BY208" s="5"/>
      <c r="BZ208" s="5"/>
      <c r="CB208" s="63"/>
      <c r="CC208" s="73"/>
      <c r="CD208" s="32"/>
      <c r="CE208" s="32"/>
      <c r="CF208" s="5"/>
      <c r="CG208" s="5"/>
      <c r="CH208" s="32"/>
      <c r="CI208" s="63"/>
      <c r="CJ208" s="73"/>
      <c r="CK208" s="32"/>
      <c r="CL208" s="32"/>
      <c r="CM208" s="5"/>
      <c r="CN208" s="5"/>
      <c r="CP208" s="63"/>
      <c r="CQ208" s="73"/>
      <c r="CR208" s="32"/>
      <c r="CS208" s="32"/>
      <c r="CT208" s="5"/>
      <c r="CU208" s="5"/>
      <c r="CW208" s="63"/>
      <c r="CX208" s="73"/>
      <c r="CY208" s="32"/>
      <c r="CZ208" s="32"/>
      <c r="DA208" s="5"/>
      <c r="DB208" s="5"/>
      <c r="DD208" s="63"/>
      <c r="DE208" s="73"/>
      <c r="DF208" s="32"/>
      <c r="DG208" s="32"/>
      <c r="DH208" s="5"/>
      <c r="DI208" s="5"/>
      <c r="DJ208" s="32"/>
      <c r="DK208" s="63"/>
      <c r="DL208" s="73"/>
      <c r="DM208" s="32"/>
      <c r="DN208" s="32"/>
      <c r="DO208" s="5"/>
      <c r="DP208" s="5"/>
      <c r="DR208" s="63"/>
      <c r="DS208" s="73"/>
      <c r="DT208" s="32"/>
      <c r="DU208" s="32"/>
      <c r="DV208" s="5"/>
      <c r="DW208" s="5"/>
      <c r="DY208" s="63"/>
      <c r="DZ208" s="73"/>
      <c r="EA208" s="32"/>
      <c r="EB208" s="32"/>
      <c r="EC208" s="5"/>
      <c r="ED208" s="5"/>
      <c r="EF208" s="63"/>
      <c r="EG208" s="73"/>
      <c r="EH208" s="32"/>
      <c r="EI208" s="32"/>
      <c r="EJ208" s="5"/>
      <c r="EK208" s="5"/>
      <c r="EL208" s="32"/>
      <c r="EM208" s="63"/>
      <c r="EN208" s="73"/>
      <c r="EO208" s="32"/>
      <c r="EP208" s="32"/>
      <c r="EQ208" s="5"/>
      <c r="ER208" s="5"/>
      <c r="ET208" s="63"/>
      <c r="EU208" s="73"/>
      <c r="EV208" s="32"/>
      <c r="EW208" s="32"/>
      <c r="EX208" s="5"/>
      <c r="EY208" s="5"/>
      <c r="FA208" s="63"/>
      <c r="FB208" s="73"/>
      <c r="FC208" s="32"/>
      <c r="FD208" s="32"/>
      <c r="FE208" s="5"/>
      <c r="FF208" s="5"/>
      <c r="FH208" s="63"/>
      <c r="FI208" s="73"/>
      <c r="FJ208" s="32"/>
      <c r="FK208" s="32"/>
      <c r="FL208" s="5"/>
      <c r="FM208" s="5"/>
      <c r="FN208" s="32"/>
      <c r="FO208" s="63"/>
      <c r="FP208" s="73"/>
      <c r="FQ208" s="32"/>
      <c r="FR208" s="32"/>
      <c r="FS208" s="5"/>
      <c r="FT208" s="5"/>
      <c r="FV208" s="63"/>
      <c r="FW208" s="73"/>
      <c r="FX208" s="32"/>
      <c r="FY208" s="32"/>
      <c r="FZ208" s="5"/>
      <c r="GA208" s="5"/>
      <c r="GC208" s="63"/>
      <c r="GD208" s="73"/>
      <c r="GE208" s="32"/>
      <c r="GF208" s="32"/>
      <c r="GG208" s="5"/>
      <c r="GH208" s="5"/>
      <c r="GJ208" s="63"/>
      <c r="GK208" s="73"/>
      <c r="GL208" s="32"/>
      <c r="GM208" s="32"/>
      <c r="GN208" s="5"/>
      <c r="GO208" s="5"/>
      <c r="GP208" s="32"/>
      <c r="GQ208" s="63"/>
      <c r="GR208" s="73"/>
      <c r="GS208" s="32"/>
      <c r="GT208" s="32"/>
      <c r="GU208" s="5"/>
      <c r="GV208" s="5"/>
      <c r="GX208" s="63"/>
      <c r="GY208" s="73"/>
      <c r="GZ208" s="32"/>
      <c r="HA208" s="32"/>
      <c r="HB208" s="5"/>
      <c r="HC208" s="5"/>
      <c r="HE208" s="63"/>
      <c r="HF208" s="73"/>
      <c r="HG208" s="32"/>
      <c r="HH208" s="32"/>
      <c r="HI208" s="5"/>
      <c r="HJ208" s="5"/>
      <c r="HL208" s="63"/>
      <c r="HM208" s="73"/>
      <c r="HN208" s="32"/>
      <c r="HO208" s="32"/>
      <c r="HP208" s="5"/>
      <c r="HQ208" s="5"/>
      <c r="HR208" s="32"/>
      <c r="HS208" s="63"/>
      <c r="HT208" s="73"/>
      <c r="HU208" s="32"/>
      <c r="HV208" s="32"/>
      <c r="HW208" s="5"/>
      <c r="HX208" s="5"/>
      <c r="HZ208" s="63"/>
      <c r="IA208" s="73"/>
      <c r="IB208" s="32"/>
      <c r="IC208" s="32"/>
      <c r="ID208" s="5"/>
      <c r="IE208" s="5"/>
      <c r="IG208" s="63"/>
      <c r="IH208" s="73"/>
      <c r="II208" s="32"/>
      <c r="IJ208" s="32"/>
      <c r="IK208" s="5"/>
      <c r="IL208" s="5"/>
      <c r="IN208" s="63"/>
      <c r="IO208" s="73"/>
      <c r="IP208" s="32"/>
      <c r="IQ208" s="32"/>
      <c r="IR208" s="5"/>
      <c r="IS208" s="5"/>
      <c r="IT208" s="32"/>
      <c r="IU208" s="63"/>
      <c r="IV208" s="73"/>
      <c r="IW208" s="32"/>
      <c r="IX208" s="32"/>
      <c r="IY208" s="5"/>
      <c r="IZ208" s="5"/>
      <c r="JB208" s="63"/>
      <c r="JC208" s="73"/>
      <c r="JD208" s="32"/>
      <c r="JE208" s="32"/>
      <c r="JF208" s="5"/>
      <c r="JG208" s="5"/>
      <c r="JI208" s="63"/>
      <c r="JJ208" s="73"/>
      <c r="JK208" s="32"/>
      <c r="JL208" s="32"/>
      <c r="JM208" s="5"/>
      <c r="JN208" s="5"/>
      <c r="JP208" s="63"/>
      <c r="JQ208" s="73"/>
      <c r="JR208" s="32"/>
      <c r="JS208" s="32"/>
      <c r="JT208" s="5"/>
      <c r="JU208" s="5"/>
      <c r="JV208" s="32"/>
      <c r="JW208" s="63"/>
      <c r="JX208" s="73"/>
      <c r="JY208" s="32"/>
      <c r="JZ208" s="32"/>
      <c r="KA208" s="5"/>
      <c r="KB208" s="5"/>
      <c r="KD208" s="63"/>
      <c r="KE208" s="73"/>
      <c r="KF208" s="32"/>
      <c r="KG208" s="32"/>
      <c r="KH208" s="5"/>
      <c r="KI208" s="5"/>
      <c r="KK208" s="63"/>
      <c r="KL208" s="73"/>
      <c r="KM208" s="32"/>
      <c r="KN208" s="32"/>
      <c r="KO208" s="5"/>
      <c r="KP208" s="5"/>
      <c r="KR208" s="63"/>
      <c r="KS208" s="73"/>
      <c r="KT208" s="32"/>
      <c r="KU208" s="32"/>
      <c r="KV208" s="5"/>
      <c r="KW208" s="5"/>
      <c r="KY208" s="63"/>
      <c r="KZ208" s="73"/>
      <c r="LA208" s="32"/>
      <c r="LB208" s="32"/>
      <c r="LC208" s="5"/>
      <c r="LD208" s="5"/>
      <c r="LF208" s="63"/>
      <c r="LG208" s="73"/>
      <c r="LH208" s="32"/>
      <c r="LI208" s="32"/>
      <c r="LJ208" s="5"/>
      <c r="LK208" s="5"/>
      <c r="LM208" s="63"/>
      <c r="LN208" s="73"/>
      <c r="LO208" s="32"/>
      <c r="LP208" s="32"/>
      <c r="LQ208" s="5"/>
      <c r="LR208" s="5"/>
      <c r="LT208" s="63"/>
      <c r="LU208" s="73"/>
      <c r="LV208" s="32"/>
      <c r="LW208" s="32"/>
      <c r="LX208" s="5"/>
      <c r="LY208" s="5"/>
      <c r="MA208" s="63"/>
      <c r="MB208" s="73"/>
      <c r="MC208" s="32"/>
      <c r="MD208" s="32"/>
      <c r="ME208" s="5"/>
      <c r="MF208" s="5"/>
      <c r="MH208" s="63"/>
      <c r="MI208" s="73"/>
      <c r="MJ208" s="32"/>
      <c r="MK208" s="32"/>
      <c r="ML208" s="5"/>
      <c r="MM208" s="5"/>
      <c r="MO208" s="63"/>
      <c r="MP208" s="73"/>
      <c r="MQ208" s="32"/>
      <c r="MR208" s="32"/>
      <c r="MS208" s="5"/>
      <c r="MT208" s="5"/>
      <c r="MV208" s="63"/>
      <c r="MW208" s="73"/>
      <c r="MX208" s="32"/>
      <c r="MY208" s="32"/>
      <c r="MZ208" s="5"/>
      <c r="NA208" s="5"/>
      <c r="NC208" s="63"/>
      <c r="ND208" s="73"/>
      <c r="NE208" s="32"/>
      <c r="NF208" s="32"/>
      <c r="NG208" s="5"/>
      <c r="NH208" s="5"/>
      <c r="NJ208" s="63"/>
      <c r="NK208" s="73"/>
      <c r="NL208" s="32"/>
      <c r="NM208" s="32"/>
      <c r="NN208" s="5"/>
      <c r="NO208" s="5"/>
      <c r="NQ208" s="63"/>
      <c r="NR208" s="73"/>
      <c r="NS208" s="32"/>
      <c r="NT208" s="32"/>
      <c r="NU208" s="5"/>
      <c r="NV208" s="5"/>
      <c r="NX208" s="63"/>
      <c r="NY208" s="73"/>
      <c r="NZ208" s="32"/>
      <c r="OA208" s="32"/>
      <c r="OB208" s="5"/>
      <c r="OC208" s="5"/>
      <c r="OE208" s="63"/>
      <c r="OF208" s="73"/>
      <c r="OG208" s="32"/>
      <c r="OH208" s="32"/>
      <c r="OI208" s="5"/>
      <c r="OJ208" s="5"/>
      <c r="OL208" s="63"/>
      <c r="OM208" s="73"/>
      <c r="ON208" s="32"/>
      <c r="OO208" s="32"/>
      <c r="OP208" s="5"/>
      <c r="OQ208" s="5"/>
      <c r="OS208" s="63"/>
      <c r="OT208" s="73"/>
      <c r="OU208" s="32"/>
      <c r="OV208" s="32"/>
      <c r="OW208" s="5"/>
      <c r="OX208" s="5"/>
      <c r="OZ208" s="63"/>
      <c r="PA208" s="73"/>
      <c r="PB208" s="32"/>
      <c r="PC208" s="32"/>
      <c r="PD208" s="5"/>
      <c r="PE208" s="5"/>
      <c r="PG208" s="63"/>
      <c r="PH208" s="73"/>
      <c r="PI208" s="32"/>
      <c r="PJ208" s="32"/>
      <c r="PK208" s="5"/>
      <c r="PL208" s="5"/>
      <c r="PN208" s="63"/>
      <c r="PO208" s="73"/>
      <c r="PP208" s="32"/>
      <c r="PQ208" s="32"/>
      <c r="PR208" s="5"/>
      <c r="PS208" s="5"/>
      <c r="PU208" s="63"/>
      <c r="PV208" s="73"/>
      <c r="PW208" s="32"/>
      <c r="PX208" s="32"/>
      <c r="PY208" s="5"/>
      <c r="PZ208" s="5"/>
      <c r="QB208" s="63"/>
      <c r="QC208" s="73"/>
      <c r="QD208" s="32"/>
      <c r="QE208" s="32"/>
      <c r="QF208" s="5"/>
      <c r="QG208" s="5"/>
      <c r="QI208" s="63"/>
      <c r="QJ208" s="73"/>
      <c r="QK208" s="32"/>
      <c r="QL208" s="32"/>
      <c r="QM208" s="5"/>
      <c r="QN208" s="5"/>
      <c r="QP208" s="63"/>
      <c r="QQ208" s="73"/>
      <c r="QR208" s="32"/>
      <c r="QS208" s="32"/>
      <c r="QT208" s="5"/>
      <c r="QU208" s="5"/>
      <c r="QW208" s="63"/>
      <c r="QX208" s="73"/>
      <c r="QY208" s="32"/>
      <c r="QZ208" s="32"/>
      <c r="RA208" s="5"/>
      <c r="RB208" s="5"/>
      <c r="RD208" s="63"/>
      <c r="RE208" s="73"/>
      <c r="RF208" s="32"/>
      <c r="RG208" s="32"/>
      <c r="RH208" s="5"/>
      <c r="RI208" s="5"/>
      <c r="RK208" s="63"/>
      <c r="RL208" s="73"/>
      <c r="RM208" s="32"/>
      <c r="RN208" s="32"/>
      <c r="RO208" s="5"/>
      <c r="RP208" s="5"/>
      <c r="RR208" s="63"/>
      <c r="RS208" s="73"/>
      <c r="RT208" s="32"/>
      <c r="RU208" s="32"/>
      <c r="RV208" s="5"/>
      <c r="RW208" s="5"/>
      <c r="RY208" s="63"/>
      <c r="RZ208" s="73"/>
      <c r="SA208" s="32"/>
      <c r="SB208" s="32"/>
      <c r="SC208" s="5"/>
      <c r="SD208" s="5"/>
      <c r="SF208" s="63"/>
      <c r="SG208" s="73"/>
      <c r="SH208" s="32"/>
      <c r="SI208" s="32"/>
      <c r="SJ208" s="5"/>
      <c r="SK208" s="5"/>
      <c r="SM208" s="63"/>
      <c r="SN208" s="73"/>
      <c r="SO208" s="32"/>
      <c r="SP208" s="32"/>
      <c r="SQ208" s="5"/>
      <c r="SR208" s="5"/>
    </row>
    <row r="209" spans="1:512" x14ac:dyDescent="0.15">
      <c r="A209" s="120">
        <f t="shared" ca="1" si="1576"/>
        <v>72</v>
      </c>
      <c r="B209" s="121">
        <v>72</v>
      </c>
      <c r="C209" s="122" t="str">
        <f t="shared" ca="1" si="1573"/>
        <v>Konrad</v>
      </c>
      <c r="D209" s="123">
        <f ca="1">VLOOKUP(B209,$P$138:$R$209,3,0)</f>
        <v>26.499999999999996</v>
      </c>
      <c r="E209" s="25"/>
      <c r="F209" s="26"/>
      <c r="G209" s="27"/>
      <c r="H209" s="28"/>
      <c r="I209" s="25"/>
      <c r="J209" s="25"/>
      <c r="K209" s="26"/>
      <c r="L209" s="62"/>
      <c r="M209" s="32" t="s">
        <v>259</v>
      </c>
      <c r="N209" s="62" t="s">
        <v>140</v>
      </c>
      <c r="O209" s="32"/>
      <c r="P209" s="32">
        <f t="shared" ca="1" si="1578"/>
        <v>65</v>
      </c>
      <c r="Q209" s="32" t="str">
        <f t="shared" ca="1" si="1579"/>
        <v>Avinash</v>
      </c>
      <c r="R209" s="113">
        <f t="shared" ca="1" si="1580"/>
        <v>174.3</v>
      </c>
      <c r="S209" s="73">
        <v>72</v>
      </c>
      <c r="T209" s="32">
        <f t="shared" ca="1" si="1581"/>
        <v>174.30072000000001</v>
      </c>
      <c r="U209" s="32"/>
      <c r="V209" s="61"/>
      <c r="W209" s="62"/>
      <c r="X209" s="62"/>
      <c r="Y209" s="63"/>
      <c r="Z209" s="73"/>
      <c r="AA209" s="32"/>
      <c r="AB209" s="32"/>
      <c r="AC209" s="61"/>
      <c r="AD209" s="62"/>
      <c r="AE209" s="62"/>
      <c r="AF209" s="62"/>
      <c r="AG209" s="63"/>
      <c r="AH209" s="32"/>
      <c r="AI209" s="5"/>
      <c r="AJ209" s="5"/>
      <c r="AL209" s="62"/>
      <c r="AM209" s="62"/>
      <c r="AN209" s="63"/>
      <c r="AO209" s="32"/>
      <c r="AP209" s="5"/>
      <c r="AQ209" s="5"/>
      <c r="AS209" s="62"/>
      <c r="AT209" s="62"/>
      <c r="AU209" s="63"/>
      <c r="AV209" s="32"/>
      <c r="AW209" s="5"/>
      <c r="AX209" s="5"/>
      <c r="AZ209" s="62"/>
      <c r="BA209" s="62"/>
      <c r="BB209" s="63"/>
      <c r="BC209" s="32"/>
      <c r="BD209" s="5"/>
      <c r="BE209" s="5"/>
      <c r="BF209" s="62"/>
      <c r="BG209" s="62"/>
      <c r="BH209" s="62"/>
      <c r="BI209" s="63"/>
      <c r="BJ209" s="32"/>
      <c r="BK209" s="5"/>
      <c r="BL209" s="5"/>
      <c r="BN209" s="62"/>
      <c r="BO209" s="62"/>
      <c r="BP209" s="63"/>
      <c r="BQ209" s="32"/>
      <c r="BR209" s="5"/>
      <c r="BS209" s="5"/>
      <c r="BU209" s="62"/>
      <c r="BV209" s="62"/>
      <c r="BW209" s="63"/>
      <c r="BX209" s="32"/>
      <c r="BY209" s="5"/>
      <c r="BZ209" s="5"/>
      <c r="CB209" s="62"/>
      <c r="CC209" s="62"/>
      <c r="CD209" s="63"/>
      <c r="CE209" s="32"/>
      <c r="CF209" s="5"/>
      <c r="CG209" s="5"/>
      <c r="CH209" s="62"/>
      <c r="CI209" s="62"/>
      <c r="CJ209" s="62"/>
      <c r="CK209" s="63"/>
      <c r="CL209" s="32"/>
      <c r="CM209" s="5"/>
      <c r="CN209" s="5"/>
      <c r="CP209" s="62"/>
      <c r="CQ209" s="62"/>
      <c r="CR209" s="63"/>
      <c r="CS209" s="32"/>
      <c r="CT209" s="5"/>
      <c r="CU209" s="5"/>
      <c r="CW209" s="62"/>
      <c r="CX209" s="62"/>
      <c r="CY209" s="63"/>
      <c r="CZ209" s="32"/>
      <c r="DA209" s="5"/>
      <c r="DB209" s="5"/>
      <c r="DD209" s="62"/>
      <c r="DE209" s="62"/>
      <c r="DF209" s="63"/>
      <c r="DG209" s="32"/>
      <c r="DH209" s="5"/>
      <c r="DI209" s="5"/>
      <c r="DJ209" s="62"/>
      <c r="DK209" s="62"/>
      <c r="DL209" s="62"/>
      <c r="DM209" s="63"/>
      <c r="DN209" s="32"/>
      <c r="DO209" s="5"/>
      <c r="DP209" s="5"/>
      <c r="DR209" s="62"/>
      <c r="DS209" s="62"/>
      <c r="DT209" s="63"/>
      <c r="DU209" s="32"/>
      <c r="DV209" s="5"/>
      <c r="DW209" s="5"/>
      <c r="DY209" s="62"/>
      <c r="DZ209" s="62"/>
      <c r="EA209" s="63"/>
      <c r="EB209" s="32"/>
      <c r="EC209" s="5"/>
      <c r="ED209" s="5"/>
      <c r="EF209" s="62"/>
      <c r="EG209" s="62"/>
      <c r="EH209" s="63"/>
      <c r="EI209" s="32"/>
      <c r="EJ209" s="5"/>
      <c r="EK209" s="5"/>
      <c r="EL209" s="62"/>
      <c r="EM209" s="62"/>
      <c r="EN209" s="62"/>
      <c r="EO209" s="63"/>
      <c r="EP209" s="32"/>
      <c r="EQ209" s="5"/>
      <c r="ER209" s="5"/>
      <c r="ET209" s="62"/>
      <c r="EU209" s="62"/>
      <c r="EV209" s="63"/>
      <c r="EW209" s="32"/>
      <c r="EX209" s="5"/>
      <c r="EY209" s="5"/>
      <c r="FA209" s="62"/>
      <c r="FB209" s="62"/>
      <c r="FC209" s="63"/>
      <c r="FD209" s="32"/>
      <c r="FE209" s="5"/>
      <c r="FF209" s="5"/>
      <c r="FH209" s="62"/>
      <c r="FI209" s="62"/>
      <c r="FJ209" s="63"/>
      <c r="FK209" s="32"/>
      <c r="FL209" s="5"/>
      <c r="FM209" s="5"/>
      <c r="FN209" s="62"/>
      <c r="FO209" s="62"/>
      <c r="FP209" s="62"/>
      <c r="FQ209" s="63"/>
      <c r="FR209" s="32"/>
      <c r="FS209" s="5"/>
      <c r="FT209" s="5"/>
      <c r="FV209" s="62"/>
      <c r="FW209" s="62"/>
      <c r="FX209" s="63"/>
      <c r="FY209" s="32"/>
      <c r="FZ209" s="5"/>
      <c r="GA209" s="5"/>
      <c r="GC209" s="62"/>
      <c r="GD209" s="62"/>
      <c r="GE209" s="63"/>
      <c r="GF209" s="32"/>
      <c r="GG209" s="5"/>
      <c r="GH209" s="5"/>
      <c r="GJ209" s="62"/>
      <c r="GK209" s="62"/>
      <c r="GL209" s="63"/>
      <c r="GM209" s="32"/>
      <c r="GN209" s="5"/>
      <c r="GO209" s="5"/>
      <c r="GP209" s="62"/>
      <c r="GQ209" s="62"/>
      <c r="GR209" s="62"/>
      <c r="GS209" s="63"/>
      <c r="GT209" s="32"/>
      <c r="GU209" s="5"/>
      <c r="GV209" s="5"/>
      <c r="GX209" s="62"/>
      <c r="GY209" s="62"/>
      <c r="GZ209" s="63"/>
      <c r="HA209" s="32"/>
      <c r="HB209" s="5"/>
      <c r="HC209" s="5"/>
      <c r="HE209" s="62"/>
      <c r="HF209" s="62"/>
      <c r="HG209" s="63"/>
      <c r="HH209" s="32"/>
      <c r="HI209" s="5"/>
      <c r="HJ209" s="5"/>
      <c r="HL209" s="62"/>
      <c r="HM209" s="62"/>
      <c r="HN209" s="63"/>
      <c r="HO209" s="32"/>
      <c r="HP209" s="5"/>
      <c r="HQ209" s="5"/>
      <c r="HR209" s="62"/>
      <c r="HS209" s="62"/>
      <c r="HT209" s="62"/>
      <c r="HU209" s="63"/>
      <c r="HV209" s="32"/>
      <c r="HW209" s="5"/>
      <c r="HX209" s="5"/>
      <c r="HZ209" s="62"/>
      <c r="IA209" s="62"/>
      <c r="IB209" s="63"/>
      <c r="IC209" s="32"/>
      <c r="ID209" s="5"/>
      <c r="IE209" s="5"/>
      <c r="IG209" s="62"/>
      <c r="IH209" s="62"/>
      <c r="II209" s="63"/>
      <c r="IJ209" s="32"/>
      <c r="IK209" s="5"/>
      <c r="IL209" s="5"/>
      <c r="IN209" s="62"/>
      <c r="IO209" s="62"/>
      <c r="IP209" s="63"/>
      <c r="IQ209" s="32"/>
      <c r="IR209" s="5"/>
      <c r="IS209" s="5"/>
      <c r="IT209" s="62"/>
      <c r="IU209" s="62"/>
      <c r="IV209" s="62"/>
      <c r="IW209" s="63"/>
      <c r="IX209" s="32"/>
      <c r="IY209" s="5"/>
      <c r="IZ209" s="5"/>
      <c r="JB209" s="62"/>
      <c r="JC209" s="62"/>
      <c r="JD209" s="63"/>
      <c r="JE209" s="32"/>
      <c r="JF209" s="5"/>
      <c r="JG209" s="5"/>
      <c r="JI209" s="62"/>
      <c r="JJ209" s="62"/>
      <c r="JK209" s="63"/>
      <c r="JL209" s="32"/>
      <c r="JM209" s="5"/>
      <c r="JN209" s="5"/>
      <c r="JP209" s="62"/>
      <c r="JQ209" s="62"/>
      <c r="JR209" s="63"/>
      <c r="JS209" s="32"/>
      <c r="JT209" s="5"/>
      <c r="JU209" s="5"/>
      <c r="JV209" s="62"/>
      <c r="JW209" s="62"/>
      <c r="JX209" s="62"/>
      <c r="JY209" s="63"/>
      <c r="JZ209" s="32"/>
      <c r="KA209" s="5"/>
      <c r="KB209" s="5"/>
      <c r="KD209" s="62"/>
      <c r="KE209" s="62"/>
      <c r="KF209" s="63"/>
      <c r="KG209" s="32"/>
      <c r="KH209" s="5"/>
      <c r="KI209" s="5"/>
      <c r="KK209" s="62"/>
      <c r="KL209" s="62"/>
      <c r="KM209" s="63"/>
      <c r="KN209" s="32"/>
      <c r="KO209" s="5"/>
      <c r="KP209" s="5"/>
      <c r="KR209" s="62"/>
      <c r="KS209" s="62"/>
      <c r="KT209" s="63"/>
      <c r="KU209" s="32"/>
      <c r="KV209" s="5"/>
      <c r="KW209" s="5"/>
      <c r="KY209" s="62"/>
      <c r="KZ209" s="62"/>
      <c r="LA209" s="63"/>
      <c r="LB209" s="32"/>
      <c r="LC209" s="5"/>
      <c r="LD209" s="5"/>
      <c r="LF209" s="62"/>
      <c r="LG209" s="62"/>
      <c r="LH209" s="63"/>
      <c r="LI209" s="32"/>
      <c r="LJ209" s="5"/>
      <c r="LK209" s="5"/>
      <c r="LM209" s="62"/>
      <c r="LN209" s="62"/>
      <c r="LO209" s="63"/>
      <c r="LP209" s="32"/>
      <c r="LQ209" s="5"/>
      <c r="LR209" s="5"/>
      <c r="LT209" s="62"/>
      <c r="LU209" s="62"/>
      <c r="LV209" s="63"/>
      <c r="LW209" s="32"/>
      <c r="LX209" s="5"/>
      <c r="LY209" s="5"/>
      <c r="MA209" s="62"/>
      <c r="MB209" s="62"/>
      <c r="MC209" s="63"/>
      <c r="MD209" s="32"/>
      <c r="ME209" s="5"/>
      <c r="MF209" s="5"/>
      <c r="MH209" s="62"/>
      <c r="MI209" s="62"/>
      <c r="MJ209" s="63"/>
      <c r="MK209" s="32"/>
      <c r="ML209" s="5"/>
      <c r="MM209" s="5"/>
      <c r="MO209" s="62"/>
      <c r="MP209" s="62"/>
      <c r="MQ209" s="63"/>
      <c r="MR209" s="32"/>
      <c r="MS209" s="5"/>
      <c r="MT209" s="5"/>
      <c r="MV209" s="62"/>
      <c r="MW209" s="62"/>
      <c r="MX209" s="63"/>
      <c r="MY209" s="32"/>
      <c r="MZ209" s="5"/>
      <c r="NA209" s="5"/>
      <c r="NC209" s="62"/>
      <c r="ND209" s="62"/>
      <c r="NE209" s="63"/>
      <c r="NF209" s="32"/>
      <c r="NG209" s="5"/>
      <c r="NH209" s="5"/>
      <c r="NJ209" s="62"/>
      <c r="NK209" s="62"/>
      <c r="NL209" s="63"/>
      <c r="NM209" s="32"/>
      <c r="NN209" s="5"/>
      <c r="NO209" s="5"/>
      <c r="NQ209" s="62"/>
      <c r="NR209" s="62"/>
      <c r="NS209" s="63"/>
      <c r="NT209" s="32"/>
      <c r="NU209" s="5"/>
      <c r="NV209" s="5"/>
      <c r="NX209" s="62"/>
      <c r="NY209" s="62"/>
      <c r="NZ209" s="63"/>
      <c r="OA209" s="32"/>
      <c r="OB209" s="5"/>
      <c r="OC209" s="5"/>
      <c r="OE209" s="62"/>
      <c r="OF209" s="62"/>
      <c r="OG209" s="63"/>
      <c r="OH209" s="32"/>
      <c r="OI209" s="5"/>
      <c r="OJ209" s="5"/>
      <c r="OL209" s="62"/>
      <c r="OM209" s="62"/>
      <c r="ON209" s="63"/>
      <c r="OO209" s="32"/>
      <c r="OP209" s="5"/>
      <c r="OQ209" s="5"/>
      <c r="OS209" s="62"/>
      <c r="OT209" s="62"/>
      <c r="OU209" s="63"/>
      <c r="OV209" s="32"/>
      <c r="OW209" s="5"/>
      <c r="OX209" s="5"/>
      <c r="OZ209" s="62"/>
      <c r="PA209" s="62"/>
      <c r="PB209" s="63"/>
      <c r="PC209" s="32"/>
      <c r="PD209" s="5"/>
      <c r="PE209" s="5"/>
      <c r="PG209" s="62"/>
      <c r="PH209" s="62"/>
      <c r="PI209" s="63"/>
      <c r="PJ209" s="32"/>
      <c r="PK209" s="5"/>
      <c r="PL209" s="5"/>
      <c r="PN209" s="62"/>
      <c r="PO209" s="62"/>
      <c r="PP209" s="63"/>
      <c r="PQ209" s="32"/>
      <c r="PR209" s="5"/>
      <c r="PS209" s="5"/>
      <c r="PU209" s="62"/>
      <c r="PV209" s="62"/>
      <c r="PW209" s="63"/>
      <c r="PX209" s="32"/>
      <c r="PY209" s="5"/>
      <c r="PZ209" s="5"/>
      <c r="QB209" s="62"/>
      <c r="QC209" s="62"/>
      <c r="QD209" s="63"/>
      <c r="QE209" s="32"/>
      <c r="QF209" s="5"/>
      <c r="QG209" s="5"/>
      <c r="QI209" s="62"/>
      <c r="QJ209" s="62"/>
      <c r="QK209" s="63"/>
      <c r="QL209" s="32"/>
      <c r="QM209" s="5"/>
      <c r="QN209" s="5"/>
      <c r="QP209" s="62"/>
      <c r="QQ209" s="62"/>
      <c r="QR209" s="63"/>
      <c r="QS209" s="32"/>
      <c r="QT209" s="5"/>
      <c r="QU209" s="5"/>
      <c r="QW209" s="62"/>
      <c r="QX209" s="62"/>
      <c r="QY209" s="63"/>
      <c r="QZ209" s="32"/>
      <c r="RA209" s="5"/>
      <c r="RB209" s="5"/>
      <c r="RD209" s="62"/>
      <c r="RE209" s="62"/>
      <c r="RF209" s="63"/>
      <c r="RG209" s="32"/>
      <c r="RH209" s="5"/>
      <c r="RI209" s="5"/>
      <c r="RK209" s="62"/>
      <c r="RL209" s="62"/>
      <c r="RM209" s="63"/>
      <c r="RN209" s="32"/>
      <c r="RO209" s="5"/>
      <c r="RP209" s="5"/>
      <c r="RR209" s="62"/>
      <c r="RS209" s="62"/>
      <c r="RT209" s="63"/>
      <c r="RU209" s="32"/>
      <c r="RV209" s="5"/>
      <c r="RW209" s="5"/>
      <c r="RY209" s="62"/>
      <c r="RZ209" s="62"/>
      <c r="SA209" s="63"/>
      <c r="SB209" s="32"/>
      <c r="SC209" s="5"/>
      <c r="SD209" s="5"/>
      <c r="SF209" s="62"/>
      <c r="SG209" s="62"/>
      <c r="SH209" s="63"/>
      <c r="SI209" s="32"/>
      <c r="SJ209" s="5"/>
      <c r="SK209" s="5"/>
      <c r="SM209" s="62"/>
      <c r="SN209" s="62"/>
      <c r="SO209" s="63"/>
      <c r="SP209" s="32"/>
      <c r="SQ209" s="5"/>
      <c r="SR209" s="5"/>
    </row>
    <row r="210" spans="1:512" ht="14" thickBot="1" x14ac:dyDescent="0.2">
      <c r="E210" s="25"/>
      <c r="F210" s="26"/>
      <c r="G210" s="27"/>
      <c r="H210" s="28"/>
      <c r="I210" s="25"/>
      <c r="J210" s="25"/>
      <c r="K210" s="26"/>
      <c r="L210" s="62"/>
      <c r="M210" s="32" t="s">
        <v>260</v>
      </c>
      <c r="N210" s="62" t="s">
        <v>141</v>
      </c>
      <c r="O210" s="32"/>
      <c r="P210" s="32"/>
      <c r="Q210" s="32"/>
      <c r="R210" s="113"/>
      <c r="S210" s="73"/>
      <c r="T210" s="32"/>
      <c r="U210" s="32"/>
      <c r="V210" s="61"/>
      <c r="W210" s="62"/>
      <c r="X210" s="62"/>
      <c r="Y210" s="63"/>
      <c r="Z210" s="73"/>
      <c r="AA210" s="32"/>
      <c r="AB210" s="32"/>
      <c r="AC210" s="61"/>
      <c r="AD210" s="62"/>
      <c r="AE210" s="62"/>
      <c r="AF210" s="62"/>
      <c r="AG210" s="63"/>
      <c r="AH210" s="32"/>
      <c r="AI210" s="5"/>
      <c r="AJ210" s="5"/>
      <c r="AL210" s="62"/>
      <c r="AM210" s="62"/>
      <c r="AN210" s="63"/>
      <c r="AO210" s="32"/>
      <c r="AP210" s="5"/>
      <c r="AQ210" s="5"/>
      <c r="AS210" s="62"/>
      <c r="AT210" s="62"/>
      <c r="AU210" s="63"/>
      <c r="AV210" s="32"/>
      <c r="AW210" s="5"/>
      <c r="AX210" s="5"/>
      <c r="AZ210" s="62"/>
      <c r="BA210" s="62"/>
      <c r="BB210" s="63"/>
      <c r="BC210" s="32"/>
      <c r="BD210" s="5"/>
      <c r="BE210" s="5"/>
      <c r="BF210" s="62"/>
      <c r="BG210" s="62"/>
      <c r="BH210" s="62"/>
      <c r="BI210" s="63"/>
      <c r="BJ210" s="32"/>
      <c r="BK210" s="5"/>
      <c r="BL210" s="5"/>
      <c r="BN210" s="62"/>
      <c r="BO210" s="62"/>
      <c r="BP210" s="63"/>
      <c r="BQ210" s="32"/>
      <c r="BR210" s="5"/>
      <c r="BS210" s="5"/>
      <c r="BU210" s="62"/>
      <c r="BV210" s="62"/>
      <c r="BW210" s="63"/>
      <c r="BX210" s="32"/>
      <c r="BY210" s="5"/>
      <c r="BZ210" s="5"/>
      <c r="CB210" s="62"/>
      <c r="CC210" s="62"/>
      <c r="CD210" s="63"/>
      <c r="CE210" s="32"/>
      <c r="CF210" s="5"/>
      <c r="CG210" s="5"/>
      <c r="CH210" s="62"/>
      <c r="CI210" s="62"/>
      <c r="CJ210" s="62"/>
      <c r="CK210" s="63"/>
      <c r="CL210" s="32"/>
      <c r="CM210" s="5"/>
      <c r="CN210" s="5"/>
      <c r="CP210" s="62"/>
      <c r="CQ210" s="62"/>
      <c r="CR210" s="63"/>
      <c r="CS210" s="32"/>
      <c r="CT210" s="5"/>
      <c r="CU210" s="5"/>
      <c r="CW210" s="62"/>
      <c r="CX210" s="62"/>
      <c r="CY210" s="63"/>
      <c r="CZ210" s="32"/>
      <c r="DA210" s="5"/>
      <c r="DB210" s="5"/>
      <c r="DD210" s="62"/>
      <c r="DE210" s="62"/>
      <c r="DF210" s="63"/>
      <c r="DG210" s="32"/>
      <c r="DH210" s="5"/>
      <c r="DI210" s="5"/>
      <c r="DJ210" s="62"/>
      <c r="DK210" s="62"/>
      <c r="DL210" s="62"/>
      <c r="DM210" s="63"/>
      <c r="DN210" s="32"/>
      <c r="DO210" s="5"/>
      <c r="DP210" s="5"/>
      <c r="DR210" s="62"/>
      <c r="DS210" s="62"/>
      <c r="DT210" s="63"/>
      <c r="DU210" s="32"/>
      <c r="DV210" s="5"/>
      <c r="DW210" s="5"/>
      <c r="DY210" s="62"/>
      <c r="DZ210" s="62"/>
      <c r="EA210" s="63"/>
      <c r="EB210" s="32"/>
      <c r="EC210" s="5"/>
      <c r="ED210" s="5"/>
      <c r="EF210" s="62"/>
      <c r="EG210" s="62"/>
      <c r="EH210" s="63"/>
      <c r="EI210" s="32"/>
      <c r="EJ210" s="5"/>
      <c r="EK210" s="5"/>
      <c r="EL210" s="62"/>
      <c r="EM210" s="62"/>
      <c r="EN210" s="62"/>
      <c r="EO210" s="63"/>
      <c r="EP210" s="32"/>
      <c r="EQ210" s="5"/>
      <c r="ER210" s="5"/>
      <c r="ET210" s="62"/>
      <c r="EU210" s="62"/>
      <c r="EV210" s="63"/>
      <c r="EW210" s="32"/>
      <c r="EX210" s="5"/>
      <c r="EY210" s="5"/>
      <c r="FA210" s="62"/>
      <c r="FB210" s="62"/>
      <c r="FC210" s="63"/>
      <c r="FD210" s="32"/>
      <c r="FE210" s="5"/>
      <c r="FF210" s="5"/>
      <c r="FH210" s="62"/>
      <c r="FI210" s="62"/>
      <c r="FJ210" s="63"/>
      <c r="FK210" s="32"/>
      <c r="FL210" s="5"/>
      <c r="FM210" s="5"/>
      <c r="FN210" s="62"/>
      <c r="FO210" s="62"/>
      <c r="FP210" s="62"/>
      <c r="FQ210" s="63"/>
      <c r="FR210" s="32"/>
      <c r="FS210" s="5"/>
      <c r="FT210" s="5"/>
      <c r="FV210" s="62"/>
      <c r="FW210" s="62"/>
      <c r="FX210" s="63"/>
      <c r="FY210" s="32"/>
      <c r="FZ210" s="5"/>
      <c r="GA210" s="5"/>
      <c r="GC210" s="62"/>
      <c r="GD210" s="62"/>
      <c r="GE210" s="63"/>
      <c r="GF210" s="32"/>
      <c r="GG210" s="5"/>
      <c r="GH210" s="5"/>
      <c r="GJ210" s="62"/>
      <c r="GK210" s="62"/>
      <c r="GL210" s="63"/>
      <c r="GM210" s="32"/>
      <c r="GN210" s="5"/>
      <c r="GO210" s="5"/>
      <c r="GP210" s="62"/>
      <c r="GQ210" s="62"/>
      <c r="GR210" s="62"/>
      <c r="GS210" s="63"/>
      <c r="GT210" s="32"/>
      <c r="GU210" s="5"/>
      <c r="GV210" s="5"/>
      <c r="GX210" s="62"/>
      <c r="GY210" s="62"/>
      <c r="GZ210" s="63"/>
      <c r="HA210" s="32"/>
      <c r="HB210" s="5"/>
      <c r="HC210" s="5"/>
      <c r="HE210" s="62"/>
      <c r="HF210" s="62"/>
      <c r="HG210" s="63"/>
      <c r="HH210" s="32"/>
      <c r="HI210" s="5"/>
      <c r="HJ210" s="5"/>
      <c r="HL210" s="62"/>
      <c r="HM210" s="62"/>
      <c r="HN210" s="63"/>
      <c r="HO210" s="32"/>
      <c r="HP210" s="5"/>
      <c r="HQ210" s="5"/>
      <c r="HR210" s="62"/>
      <c r="HS210" s="62"/>
      <c r="HT210" s="62"/>
      <c r="HU210" s="63"/>
      <c r="HV210" s="32"/>
      <c r="HW210" s="5"/>
      <c r="HX210" s="5"/>
      <c r="HZ210" s="62"/>
      <c r="IA210" s="62"/>
      <c r="IB210" s="63"/>
      <c r="IC210" s="32"/>
      <c r="ID210" s="5"/>
      <c r="IE210" s="5"/>
      <c r="IG210" s="62"/>
      <c r="IH210" s="62"/>
      <c r="II210" s="63"/>
      <c r="IJ210" s="32"/>
      <c r="IK210" s="5"/>
      <c r="IL210" s="5"/>
      <c r="IN210" s="62"/>
      <c r="IO210" s="62"/>
      <c r="IP210" s="63"/>
      <c r="IQ210" s="32"/>
      <c r="IR210" s="5"/>
      <c r="IS210" s="5"/>
      <c r="IT210" s="62"/>
      <c r="IU210" s="62"/>
      <c r="IV210" s="62"/>
      <c r="IW210" s="63"/>
      <c r="IX210" s="32"/>
      <c r="IY210" s="5"/>
      <c r="IZ210" s="5"/>
      <c r="JB210" s="62"/>
      <c r="JC210" s="62"/>
      <c r="JD210" s="63"/>
      <c r="JE210" s="32"/>
      <c r="JF210" s="5"/>
      <c r="JG210" s="5"/>
      <c r="JI210" s="62"/>
      <c r="JJ210" s="62"/>
      <c r="JK210" s="63"/>
      <c r="JL210" s="32"/>
      <c r="JM210" s="5"/>
      <c r="JN210" s="5"/>
      <c r="JP210" s="62"/>
      <c r="JQ210" s="62"/>
      <c r="JR210" s="63"/>
      <c r="JS210" s="32"/>
      <c r="JT210" s="5"/>
      <c r="JU210" s="5"/>
      <c r="JV210" s="62"/>
      <c r="JW210" s="62"/>
      <c r="JX210" s="62"/>
      <c r="JY210" s="63"/>
      <c r="JZ210" s="32"/>
      <c r="KA210" s="5"/>
      <c r="KB210" s="5"/>
      <c r="KD210" s="62"/>
      <c r="KE210" s="62"/>
      <c r="KF210" s="63"/>
      <c r="KG210" s="32"/>
      <c r="KH210" s="5"/>
      <c r="KI210" s="5"/>
      <c r="KK210" s="62"/>
      <c r="KL210" s="62"/>
      <c r="KM210" s="63"/>
      <c r="KN210" s="32"/>
      <c r="KO210" s="5"/>
      <c r="KP210" s="5"/>
      <c r="KR210" s="62"/>
      <c r="KS210" s="62"/>
      <c r="KT210" s="63"/>
      <c r="KU210" s="32"/>
      <c r="KV210" s="5"/>
      <c r="KW210" s="5"/>
      <c r="KY210" s="62"/>
      <c r="KZ210" s="62"/>
      <c r="LA210" s="63"/>
      <c r="LB210" s="32"/>
      <c r="LC210" s="5"/>
      <c r="LD210" s="5"/>
      <c r="LF210" s="62"/>
      <c r="LG210" s="62"/>
      <c r="LH210" s="63"/>
      <c r="LI210" s="32"/>
      <c r="LJ210" s="5"/>
      <c r="LK210" s="5"/>
      <c r="LM210" s="62"/>
      <c r="LN210" s="62"/>
      <c r="LO210" s="63"/>
      <c r="LP210" s="32"/>
      <c r="LQ210" s="5"/>
      <c r="LR210" s="5"/>
      <c r="LT210" s="62"/>
      <c r="LU210" s="62"/>
      <c r="LV210" s="63"/>
      <c r="LW210" s="32"/>
      <c r="LX210" s="5"/>
      <c r="LY210" s="5"/>
      <c r="MA210" s="62"/>
      <c r="MB210" s="62"/>
      <c r="MC210" s="63"/>
      <c r="MD210" s="32"/>
      <c r="ME210" s="5"/>
      <c r="MF210" s="5"/>
      <c r="MH210" s="62"/>
      <c r="MI210" s="62"/>
      <c r="MJ210" s="63"/>
      <c r="MK210" s="32"/>
      <c r="ML210" s="5"/>
      <c r="MM210" s="5"/>
      <c r="MO210" s="62"/>
      <c r="MP210" s="62"/>
      <c r="MQ210" s="63"/>
      <c r="MR210" s="32"/>
      <c r="MS210" s="5"/>
      <c r="MT210" s="5"/>
      <c r="MV210" s="62"/>
      <c r="MW210" s="62"/>
      <c r="MX210" s="63"/>
      <c r="MY210" s="32"/>
      <c r="MZ210" s="5"/>
      <c r="NA210" s="5"/>
      <c r="NC210" s="62"/>
      <c r="ND210" s="62"/>
      <c r="NE210" s="63"/>
      <c r="NF210" s="32"/>
      <c r="NG210" s="5"/>
      <c r="NH210" s="5"/>
      <c r="NJ210" s="62"/>
      <c r="NK210" s="62"/>
      <c r="NL210" s="63"/>
      <c r="NM210" s="32"/>
      <c r="NN210" s="5"/>
      <c r="NO210" s="5"/>
      <c r="NQ210" s="62"/>
      <c r="NR210" s="62"/>
      <c r="NS210" s="63"/>
      <c r="NT210" s="32"/>
      <c r="NU210" s="5"/>
      <c r="NV210" s="5"/>
      <c r="NX210" s="62"/>
      <c r="NY210" s="62"/>
      <c r="NZ210" s="63"/>
      <c r="OA210" s="32"/>
      <c r="OB210" s="5"/>
      <c r="OC210" s="5"/>
      <c r="OE210" s="62"/>
      <c r="OF210" s="62"/>
      <c r="OG210" s="63"/>
      <c r="OH210" s="32"/>
      <c r="OI210" s="5"/>
      <c r="OJ210" s="5"/>
      <c r="OL210" s="62"/>
      <c r="OM210" s="62"/>
      <c r="ON210" s="63"/>
      <c r="OO210" s="32"/>
      <c r="OP210" s="5"/>
      <c r="OQ210" s="5"/>
      <c r="OS210" s="62"/>
      <c r="OT210" s="62"/>
      <c r="OU210" s="63"/>
      <c r="OV210" s="32"/>
      <c r="OW210" s="5"/>
      <c r="OX210" s="5"/>
      <c r="OZ210" s="62"/>
      <c r="PA210" s="62"/>
      <c r="PB210" s="63"/>
      <c r="PC210" s="32"/>
      <c r="PD210" s="5"/>
      <c r="PE210" s="5"/>
      <c r="PG210" s="62"/>
      <c r="PH210" s="62"/>
      <c r="PI210" s="63"/>
      <c r="PJ210" s="32"/>
      <c r="PK210" s="5"/>
      <c r="PL210" s="5"/>
      <c r="PN210" s="62"/>
      <c r="PO210" s="62"/>
      <c r="PP210" s="63"/>
      <c r="PQ210" s="32"/>
      <c r="PR210" s="5"/>
      <c r="PS210" s="5"/>
      <c r="PU210" s="62"/>
      <c r="PV210" s="62"/>
      <c r="PW210" s="63"/>
      <c r="PX210" s="32"/>
      <c r="PY210" s="5"/>
      <c r="PZ210" s="5"/>
      <c r="QB210" s="62"/>
      <c r="QC210" s="62"/>
      <c r="QD210" s="63"/>
      <c r="QE210" s="32"/>
      <c r="QF210" s="5"/>
      <c r="QG210" s="5"/>
      <c r="QI210" s="62"/>
      <c r="QJ210" s="62"/>
      <c r="QK210" s="63"/>
      <c r="QL210" s="32"/>
      <c r="QM210" s="5"/>
      <c r="QN210" s="5"/>
      <c r="QP210" s="62"/>
      <c r="QQ210" s="62"/>
      <c r="QR210" s="63"/>
      <c r="QS210" s="32"/>
      <c r="QT210" s="5"/>
      <c r="QU210" s="5"/>
      <c r="QW210" s="62"/>
      <c r="QX210" s="62"/>
      <c r="QY210" s="63"/>
      <c r="QZ210" s="32"/>
      <c r="RA210" s="5"/>
      <c r="RB210" s="5"/>
      <c r="RD210" s="62"/>
      <c r="RE210" s="62"/>
      <c r="RF210" s="63"/>
      <c r="RG210" s="32"/>
      <c r="RH210" s="5"/>
      <c r="RI210" s="5"/>
      <c r="RK210" s="62"/>
      <c r="RL210" s="62"/>
      <c r="RM210" s="63"/>
      <c r="RN210" s="32"/>
      <c r="RO210" s="5"/>
      <c r="RP210" s="5"/>
      <c r="RR210" s="62"/>
      <c r="RS210" s="62"/>
      <c r="RT210" s="63"/>
      <c r="RU210" s="32"/>
      <c r="RV210" s="5"/>
      <c r="RW210" s="5"/>
      <c r="RY210" s="62"/>
      <c r="RZ210" s="62"/>
      <c r="SA210" s="63"/>
      <c r="SB210" s="32"/>
      <c r="SC210" s="5"/>
      <c r="SD210" s="5"/>
      <c r="SF210" s="62"/>
      <c r="SG210" s="62"/>
      <c r="SH210" s="63"/>
      <c r="SI210" s="32"/>
      <c r="SJ210" s="5"/>
      <c r="SK210" s="5"/>
      <c r="SM210" s="62"/>
      <c r="SN210" s="62"/>
      <c r="SO210" s="63"/>
      <c r="SP210" s="32"/>
      <c r="SQ210" s="5"/>
      <c r="SR210" s="5"/>
    </row>
    <row r="211" spans="1:512" x14ac:dyDescent="0.15">
      <c r="A211" s="129" t="s">
        <v>16</v>
      </c>
      <c r="B211" s="130"/>
      <c r="C211" s="130"/>
      <c r="D211" s="131"/>
      <c r="E211" s="25"/>
      <c r="F211" s="26"/>
      <c r="G211" s="27"/>
      <c r="H211" s="28"/>
      <c r="I211" s="25"/>
      <c r="J211" s="25"/>
      <c r="K211" s="26"/>
      <c r="L211" s="62"/>
      <c r="M211" s="61" t="s">
        <v>261</v>
      </c>
      <c r="N211" s="63" t="s">
        <v>142</v>
      </c>
      <c r="O211" s="32"/>
      <c r="P211" s="32"/>
      <c r="Q211" s="32"/>
      <c r="R211" s="113"/>
      <c r="S211" s="73"/>
      <c r="T211" s="32"/>
      <c r="U211" s="32"/>
      <c r="V211" s="61"/>
      <c r="W211" s="62"/>
      <c r="X211" s="62"/>
      <c r="Y211" s="63"/>
      <c r="Z211" s="73"/>
      <c r="AA211" s="32"/>
      <c r="AB211" s="32"/>
      <c r="AC211" s="61"/>
      <c r="AD211" s="62"/>
      <c r="AE211" s="62"/>
      <c r="AF211" s="62"/>
      <c r="AG211" s="63"/>
      <c r="AH211" s="32"/>
      <c r="AI211" s="5"/>
      <c r="AJ211" s="5"/>
      <c r="AL211" s="62"/>
      <c r="AM211" s="62"/>
      <c r="AN211" s="63"/>
      <c r="AO211" s="32"/>
      <c r="AP211" s="5"/>
      <c r="AQ211" s="5"/>
      <c r="AS211" s="62"/>
      <c r="AT211" s="62"/>
      <c r="AU211" s="63"/>
      <c r="AV211" s="32"/>
      <c r="AW211" s="5"/>
      <c r="AX211" s="5"/>
      <c r="AZ211" s="62"/>
      <c r="BA211" s="62"/>
      <c r="BB211" s="63"/>
      <c r="BC211" s="32"/>
      <c r="BD211" s="5"/>
      <c r="BE211" s="5"/>
      <c r="BF211" s="62"/>
      <c r="BG211" s="62"/>
      <c r="BH211" s="62"/>
      <c r="BI211" s="63"/>
      <c r="BJ211" s="32"/>
      <c r="BK211" s="5"/>
      <c r="BL211" s="5"/>
      <c r="BN211" s="62"/>
      <c r="BO211" s="62"/>
      <c r="BP211" s="63"/>
      <c r="BQ211" s="32"/>
      <c r="BR211" s="5"/>
      <c r="BS211" s="5"/>
      <c r="BU211" s="62"/>
      <c r="BV211" s="62"/>
      <c r="BW211" s="63"/>
      <c r="BX211" s="32"/>
      <c r="BY211" s="5"/>
      <c r="BZ211" s="5"/>
      <c r="CB211" s="62"/>
      <c r="CC211" s="62"/>
      <c r="CD211" s="63"/>
      <c r="CE211" s="32"/>
      <c r="CF211" s="5"/>
      <c r="CG211" s="5"/>
      <c r="CH211" s="62"/>
      <c r="CI211" s="62"/>
      <c r="CJ211" s="62"/>
      <c r="CK211" s="63"/>
      <c r="CL211" s="32"/>
      <c r="CM211" s="5"/>
      <c r="CN211" s="5"/>
      <c r="CP211" s="62"/>
      <c r="CQ211" s="62"/>
      <c r="CR211" s="63"/>
      <c r="CS211" s="32"/>
      <c r="CT211" s="5"/>
      <c r="CU211" s="5"/>
      <c r="CW211" s="62"/>
      <c r="CX211" s="62"/>
      <c r="CY211" s="63"/>
      <c r="CZ211" s="32"/>
      <c r="DA211" s="5"/>
      <c r="DB211" s="5"/>
      <c r="DD211" s="62"/>
      <c r="DE211" s="62"/>
      <c r="DF211" s="63"/>
      <c r="DG211" s="32"/>
      <c r="DH211" s="5"/>
      <c r="DI211" s="5"/>
      <c r="DJ211" s="62"/>
      <c r="DK211" s="62"/>
      <c r="DL211" s="62"/>
      <c r="DM211" s="63"/>
      <c r="DN211" s="32"/>
      <c r="DO211" s="5"/>
      <c r="DP211" s="5"/>
      <c r="DR211" s="62"/>
      <c r="DS211" s="62"/>
      <c r="DT211" s="63"/>
      <c r="DU211" s="32"/>
      <c r="DV211" s="5"/>
      <c r="DW211" s="5"/>
      <c r="DY211" s="62"/>
      <c r="DZ211" s="62"/>
      <c r="EA211" s="63"/>
      <c r="EB211" s="32"/>
      <c r="EC211" s="5"/>
      <c r="ED211" s="5"/>
      <c r="EF211" s="62"/>
      <c r="EG211" s="62"/>
      <c r="EH211" s="63"/>
      <c r="EI211" s="32"/>
      <c r="EJ211" s="5"/>
      <c r="EK211" s="5"/>
      <c r="EL211" s="62"/>
      <c r="EM211" s="62"/>
      <c r="EN211" s="62"/>
      <c r="EO211" s="63"/>
      <c r="EP211" s="32"/>
      <c r="EQ211" s="5"/>
      <c r="ER211" s="5"/>
      <c r="ET211" s="62"/>
      <c r="EU211" s="62"/>
      <c r="EV211" s="63"/>
      <c r="EW211" s="32"/>
      <c r="EX211" s="5"/>
      <c r="EY211" s="5"/>
      <c r="FA211" s="62"/>
      <c r="FB211" s="62"/>
      <c r="FC211" s="63"/>
      <c r="FD211" s="32"/>
      <c r="FE211" s="5"/>
      <c r="FF211" s="5"/>
      <c r="FH211" s="62"/>
      <c r="FI211" s="62"/>
      <c r="FJ211" s="63"/>
      <c r="FK211" s="32"/>
      <c r="FL211" s="5"/>
      <c r="FM211" s="5"/>
      <c r="FN211" s="62"/>
      <c r="FO211" s="62"/>
      <c r="FP211" s="62"/>
      <c r="FQ211" s="63"/>
      <c r="FR211" s="32"/>
      <c r="FS211" s="5"/>
      <c r="FT211" s="5"/>
      <c r="FV211" s="62"/>
      <c r="FW211" s="62"/>
      <c r="FX211" s="63"/>
      <c r="FY211" s="32"/>
      <c r="FZ211" s="5"/>
      <c r="GA211" s="5"/>
      <c r="GC211" s="62"/>
      <c r="GD211" s="62"/>
      <c r="GE211" s="63"/>
      <c r="GF211" s="32"/>
      <c r="GG211" s="5"/>
      <c r="GH211" s="5"/>
      <c r="GJ211" s="62"/>
      <c r="GK211" s="62"/>
      <c r="GL211" s="63"/>
      <c r="GM211" s="32"/>
      <c r="GN211" s="5"/>
      <c r="GO211" s="5"/>
      <c r="GP211" s="62"/>
      <c r="GQ211" s="62"/>
      <c r="GR211" s="62"/>
      <c r="GS211" s="63"/>
      <c r="GT211" s="32"/>
      <c r="GU211" s="5"/>
      <c r="GV211" s="5"/>
      <c r="GX211" s="62"/>
      <c r="GY211" s="62"/>
      <c r="GZ211" s="63"/>
      <c r="HA211" s="32"/>
      <c r="HB211" s="5"/>
      <c r="HC211" s="5"/>
      <c r="HE211" s="62"/>
      <c r="HF211" s="62"/>
      <c r="HG211" s="63"/>
      <c r="HH211" s="32"/>
      <c r="HI211" s="5"/>
      <c r="HJ211" s="5"/>
      <c r="HL211" s="62"/>
      <c r="HM211" s="62"/>
      <c r="HN211" s="63"/>
      <c r="HO211" s="32"/>
      <c r="HP211" s="5"/>
      <c r="HQ211" s="5"/>
      <c r="HR211" s="62"/>
      <c r="HS211" s="62"/>
      <c r="HT211" s="62"/>
      <c r="HU211" s="63"/>
      <c r="HV211" s="32"/>
      <c r="HW211" s="5"/>
      <c r="HX211" s="5"/>
      <c r="HZ211" s="62"/>
      <c r="IA211" s="62"/>
      <c r="IB211" s="63"/>
      <c r="IC211" s="32"/>
      <c r="ID211" s="5"/>
      <c r="IE211" s="5"/>
      <c r="IG211" s="62"/>
      <c r="IH211" s="62"/>
      <c r="II211" s="63"/>
      <c r="IJ211" s="32"/>
      <c r="IK211" s="5"/>
      <c r="IL211" s="5"/>
      <c r="IN211" s="62"/>
      <c r="IO211" s="62"/>
      <c r="IP211" s="63"/>
      <c r="IQ211" s="32"/>
      <c r="IR211" s="5"/>
      <c r="IS211" s="5"/>
      <c r="IT211" s="62"/>
      <c r="IU211" s="62"/>
      <c r="IV211" s="62"/>
      <c r="IW211" s="63"/>
      <c r="IX211" s="32"/>
      <c r="IY211" s="5"/>
      <c r="IZ211" s="5"/>
      <c r="JB211" s="62"/>
      <c r="JC211" s="62"/>
      <c r="JD211" s="63"/>
      <c r="JE211" s="32"/>
      <c r="JF211" s="5"/>
      <c r="JG211" s="5"/>
      <c r="JI211" s="62"/>
      <c r="JJ211" s="62"/>
      <c r="JK211" s="63"/>
      <c r="JL211" s="32"/>
      <c r="JM211" s="5"/>
      <c r="JN211" s="5"/>
      <c r="JP211" s="62"/>
      <c r="JQ211" s="62"/>
      <c r="JR211" s="63"/>
      <c r="JS211" s="32"/>
      <c r="JT211" s="5"/>
      <c r="JU211" s="5"/>
      <c r="JV211" s="62"/>
      <c r="JW211" s="62"/>
      <c r="JX211" s="62"/>
      <c r="JY211" s="63"/>
      <c r="JZ211" s="32"/>
      <c r="KA211" s="5"/>
      <c r="KB211" s="5"/>
      <c r="KD211" s="62"/>
      <c r="KE211" s="62"/>
      <c r="KF211" s="63"/>
      <c r="KG211" s="32"/>
      <c r="KH211" s="5"/>
      <c r="KI211" s="5"/>
      <c r="KK211" s="62"/>
      <c r="KL211" s="62"/>
      <c r="KM211" s="63"/>
      <c r="KN211" s="32"/>
      <c r="KO211" s="5"/>
      <c r="KP211" s="5"/>
      <c r="KR211" s="62"/>
      <c r="KS211" s="62"/>
      <c r="KT211" s="63"/>
      <c r="KU211" s="32"/>
      <c r="KV211" s="5"/>
      <c r="KW211" s="5"/>
      <c r="KY211" s="62"/>
      <c r="KZ211" s="62"/>
      <c r="LA211" s="63"/>
      <c r="LB211" s="32"/>
      <c r="LC211" s="5"/>
      <c r="LD211" s="5"/>
      <c r="LF211" s="62"/>
      <c r="LG211" s="62"/>
      <c r="LH211" s="63"/>
      <c r="LI211" s="32"/>
      <c r="LJ211" s="5"/>
      <c r="LK211" s="5"/>
      <c r="LM211" s="62"/>
      <c r="LN211" s="62"/>
      <c r="LO211" s="63"/>
      <c r="LP211" s="32"/>
      <c r="LQ211" s="5"/>
      <c r="LR211" s="5"/>
      <c r="LT211" s="62"/>
      <c r="LU211" s="62"/>
      <c r="LV211" s="63"/>
      <c r="LW211" s="32"/>
      <c r="LX211" s="5"/>
      <c r="LY211" s="5"/>
      <c r="MA211" s="62"/>
      <c r="MB211" s="62"/>
      <c r="MC211" s="63"/>
      <c r="MD211" s="32"/>
      <c r="ME211" s="5"/>
      <c r="MF211" s="5"/>
      <c r="MH211" s="62"/>
      <c r="MI211" s="62"/>
      <c r="MJ211" s="63"/>
      <c r="MK211" s="32"/>
      <c r="ML211" s="5"/>
      <c r="MM211" s="5"/>
      <c r="MO211" s="62"/>
      <c r="MP211" s="62"/>
      <c r="MQ211" s="63"/>
      <c r="MR211" s="32"/>
      <c r="MS211" s="5"/>
      <c r="MT211" s="5"/>
      <c r="MV211" s="62"/>
      <c r="MW211" s="62"/>
      <c r="MX211" s="63"/>
      <c r="MY211" s="32"/>
      <c r="MZ211" s="5"/>
      <c r="NA211" s="5"/>
      <c r="NC211" s="62"/>
      <c r="ND211" s="62"/>
      <c r="NE211" s="63"/>
      <c r="NF211" s="32"/>
      <c r="NG211" s="5"/>
      <c r="NH211" s="5"/>
      <c r="NJ211" s="62"/>
      <c r="NK211" s="62"/>
      <c r="NL211" s="63"/>
      <c r="NM211" s="32"/>
      <c r="NN211" s="5"/>
      <c r="NO211" s="5"/>
      <c r="NQ211" s="62"/>
      <c r="NR211" s="62"/>
      <c r="NS211" s="63"/>
      <c r="NT211" s="32"/>
      <c r="NU211" s="5"/>
      <c r="NV211" s="5"/>
      <c r="NX211" s="62"/>
      <c r="NY211" s="62"/>
      <c r="NZ211" s="63"/>
      <c r="OA211" s="32"/>
      <c r="OB211" s="5"/>
      <c r="OC211" s="5"/>
      <c r="OE211" s="62"/>
      <c r="OF211" s="62"/>
      <c r="OG211" s="63"/>
      <c r="OH211" s="32"/>
      <c r="OI211" s="5"/>
      <c r="OJ211" s="5"/>
      <c r="OL211" s="62"/>
      <c r="OM211" s="62"/>
      <c r="ON211" s="63"/>
      <c r="OO211" s="32"/>
      <c r="OP211" s="5"/>
      <c r="OQ211" s="5"/>
      <c r="OS211" s="62"/>
      <c r="OT211" s="62"/>
      <c r="OU211" s="63"/>
      <c r="OV211" s="32"/>
      <c r="OW211" s="5"/>
      <c r="OX211" s="5"/>
      <c r="OZ211" s="62"/>
      <c r="PA211" s="62"/>
      <c r="PB211" s="63"/>
      <c r="PC211" s="32"/>
      <c r="PD211" s="5"/>
      <c r="PE211" s="5"/>
      <c r="PG211" s="62"/>
      <c r="PH211" s="62"/>
      <c r="PI211" s="63"/>
      <c r="PJ211" s="32"/>
      <c r="PK211" s="5"/>
      <c r="PL211" s="5"/>
      <c r="PN211" s="62"/>
      <c r="PO211" s="62"/>
      <c r="PP211" s="63"/>
      <c r="PQ211" s="32"/>
      <c r="PR211" s="5"/>
      <c r="PS211" s="5"/>
      <c r="PU211" s="62"/>
      <c r="PV211" s="62"/>
      <c r="PW211" s="63"/>
      <c r="PX211" s="32"/>
      <c r="PY211" s="5"/>
      <c r="PZ211" s="5"/>
      <c r="QB211" s="62"/>
      <c r="QC211" s="62"/>
      <c r="QD211" s="63"/>
      <c r="QE211" s="32"/>
      <c r="QF211" s="5"/>
      <c r="QG211" s="5"/>
      <c r="QI211" s="62"/>
      <c r="QJ211" s="62"/>
      <c r="QK211" s="63"/>
      <c r="QL211" s="32"/>
      <c r="QM211" s="5"/>
      <c r="QN211" s="5"/>
      <c r="QP211" s="62"/>
      <c r="QQ211" s="62"/>
      <c r="QR211" s="63"/>
      <c r="QS211" s="32"/>
      <c r="QT211" s="5"/>
      <c r="QU211" s="5"/>
      <c r="QW211" s="62"/>
      <c r="QX211" s="62"/>
      <c r="QY211" s="63"/>
      <c r="QZ211" s="32"/>
      <c r="RA211" s="5"/>
      <c r="RB211" s="5"/>
      <c r="RD211" s="62"/>
      <c r="RE211" s="62"/>
      <c r="RF211" s="63"/>
      <c r="RG211" s="32"/>
      <c r="RH211" s="5"/>
      <c r="RI211" s="5"/>
      <c r="RK211" s="62"/>
      <c r="RL211" s="62"/>
      <c r="RM211" s="63"/>
      <c r="RN211" s="32"/>
      <c r="RO211" s="5"/>
      <c r="RP211" s="5"/>
      <c r="RR211" s="62"/>
      <c r="RS211" s="62"/>
      <c r="RT211" s="63"/>
      <c r="RU211" s="32"/>
      <c r="RV211" s="5"/>
      <c r="RW211" s="5"/>
      <c r="RY211" s="62"/>
      <c r="RZ211" s="62"/>
      <c r="SA211" s="63"/>
      <c r="SB211" s="32"/>
      <c r="SC211" s="5"/>
      <c r="SD211" s="5"/>
      <c r="SF211" s="62"/>
      <c r="SG211" s="62"/>
      <c r="SH211" s="63"/>
      <c r="SI211" s="32"/>
      <c r="SJ211" s="5"/>
      <c r="SK211" s="5"/>
      <c r="SM211" s="62"/>
      <c r="SN211" s="62"/>
      <c r="SO211" s="63"/>
      <c r="SP211" s="32"/>
      <c r="SQ211" s="5"/>
      <c r="SR211" s="5"/>
    </row>
    <row r="212" spans="1:512" x14ac:dyDescent="0.15">
      <c r="A212" s="89">
        <v>1</v>
      </c>
      <c r="B212" s="90">
        <v>1</v>
      </c>
      <c r="C212" s="91" t="str">
        <f t="shared" ref="C212:C224" si="1582">VLOOKUP(B212,$X$138:$Z$152,2,0)</f>
        <v>Fam. Caspary</v>
      </c>
      <c r="D212" s="92">
        <f>VLOOKUP(B212,$X$138:$Z$152,3,0)</f>
        <v>250.47500000000002</v>
      </c>
      <c r="E212" s="25"/>
      <c r="F212" s="26"/>
      <c r="G212" s="27"/>
      <c r="H212" s="28"/>
      <c r="I212" s="25"/>
      <c r="J212" s="25"/>
      <c r="K212" s="26"/>
      <c r="L212" s="62"/>
      <c r="M212" s="62" t="s">
        <v>262</v>
      </c>
      <c r="N212" s="32" t="s">
        <v>143</v>
      </c>
      <c r="O212" s="32"/>
      <c r="P212" s="32"/>
      <c r="Q212" s="32"/>
      <c r="R212" s="113"/>
      <c r="S212" s="73"/>
      <c r="T212" s="32"/>
      <c r="U212" s="32"/>
      <c r="V212" s="61"/>
      <c r="W212" s="62"/>
      <c r="X212" s="62"/>
      <c r="Y212" s="63"/>
      <c r="Z212" s="73"/>
      <c r="AA212" s="32"/>
      <c r="AB212" s="32"/>
      <c r="AC212" s="61"/>
      <c r="AD212" s="62"/>
      <c r="AE212" s="62"/>
      <c r="AF212" s="62"/>
      <c r="AG212" s="63"/>
      <c r="AH212" s="32"/>
      <c r="AI212" s="5"/>
      <c r="AJ212" s="5"/>
      <c r="AL212" s="62"/>
      <c r="AM212" s="62"/>
      <c r="AN212" s="63"/>
      <c r="AO212" s="32"/>
      <c r="AP212" s="5"/>
      <c r="AQ212" s="5"/>
      <c r="AS212" s="62"/>
      <c r="AT212" s="62"/>
      <c r="AU212" s="63"/>
      <c r="AV212" s="32"/>
      <c r="AW212" s="5"/>
      <c r="AX212" s="5"/>
      <c r="AZ212" s="62"/>
      <c r="BA212" s="62"/>
      <c r="BB212" s="63"/>
      <c r="BC212" s="32"/>
      <c r="BD212" s="5"/>
      <c r="BE212" s="5"/>
      <c r="BF212" s="62"/>
      <c r="BG212" s="62"/>
      <c r="BH212" s="62"/>
      <c r="BI212" s="63"/>
      <c r="BJ212" s="32"/>
      <c r="BK212" s="5"/>
      <c r="BL212" s="5"/>
      <c r="BN212" s="62"/>
      <c r="BO212" s="62"/>
      <c r="BP212" s="63"/>
      <c r="BQ212" s="32"/>
      <c r="BR212" s="5"/>
      <c r="BS212" s="5"/>
      <c r="BU212" s="62"/>
      <c r="BV212" s="62"/>
      <c r="BW212" s="63"/>
      <c r="BX212" s="32"/>
      <c r="BY212" s="5"/>
      <c r="BZ212" s="5"/>
      <c r="CB212" s="62"/>
      <c r="CC212" s="62"/>
      <c r="CD212" s="63"/>
      <c r="CE212" s="32"/>
      <c r="CF212" s="5"/>
      <c r="CG212" s="5"/>
      <c r="CH212" s="62"/>
      <c r="CI212" s="62"/>
      <c r="CJ212" s="62"/>
      <c r="CK212" s="63"/>
      <c r="CL212" s="32"/>
      <c r="CM212" s="5"/>
      <c r="CN212" s="5"/>
      <c r="CP212" s="62"/>
      <c r="CQ212" s="62"/>
      <c r="CR212" s="63"/>
      <c r="CS212" s="32"/>
      <c r="CT212" s="5"/>
      <c r="CU212" s="5"/>
      <c r="CW212" s="62"/>
      <c r="CX212" s="62"/>
      <c r="CY212" s="63"/>
      <c r="CZ212" s="32"/>
      <c r="DA212" s="5"/>
      <c r="DB212" s="5"/>
      <c r="DD212" s="62"/>
      <c r="DE212" s="62"/>
      <c r="DF212" s="63"/>
      <c r="DG212" s="32"/>
      <c r="DH212" s="5"/>
      <c r="DI212" s="5"/>
      <c r="DJ212" s="62"/>
      <c r="DK212" s="62"/>
      <c r="DL212" s="62"/>
      <c r="DM212" s="63"/>
      <c r="DN212" s="32"/>
      <c r="DO212" s="5"/>
      <c r="DP212" s="5"/>
      <c r="DR212" s="62"/>
      <c r="DS212" s="62"/>
      <c r="DT212" s="63"/>
      <c r="DU212" s="32"/>
      <c r="DV212" s="5"/>
      <c r="DW212" s="5"/>
      <c r="DY212" s="62"/>
      <c r="DZ212" s="62"/>
      <c r="EA212" s="63"/>
      <c r="EB212" s="32"/>
      <c r="EC212" s="5"/>
      <c r="ED212" s="5"/>
      <c r="EF212" s="62"/>
      <c r="EG212" s="62"/>
      <c r="EH212" s="63"/>
      <c r="EI212" s="32"/>
      <c r="EJ212" s="5"/>
      <c r="EK212" s="5"/>
      <c r="EL212" s="62"/>
      <c r="EM212" s="62"/>
      <c r="EN212" s="62"/>
      <c r="EO212" s="63"/>
      <c r="EP212" s="32"/>
      <c r="EQ212" s="5"/>
      <c r="ER212" s="5"/>
      <c r="ET212" s="62"/>
      <c r="EU212" s="62"/>
      <c r="EV212" s="63"/>
      <c r="EW212" s="32"/>
      <c r="EX212" s="5"/>
      <c r="EY212" s="5"/>
      <c r="FA212" s="62"/>
      <c r="FB212" s="62"/>
      <c r="FC212" s="63"/>
      <c r="FD212" s="32"/>
      <c r="FE212" s="5"/>
      <c r="FF212" s="5"/>
      <c r="FH212" s="62"/>
      <c r="FI212" s="62"/>
      <c r="FJ212" s="63"/>
      <c r="FK212" s="32"/>
      <c r="FL212" s="5"/>
      <c r="FM212" s="5"/>
      <c r="FN212" s="62"/>
      <c r="FO212" s="62"/>
      <c r="FP212" s="62"/>
      <c r="FQ212" s="63"/>
      <c r="FR212" s="32"/>
      <c r="FS212" s="5"/>
      <c r="FT212" s="5"/>
      <c r="FV212" s="62"/>
      <c r="FW212" s="62"/>
      <c r="FX212" s="63"/>
      <c r="FY212" s="32"/>
      <c r="FZ212" s="5"/>
      <c r="GA212" s="5"/>
      <c r="GC212" s="62"/>
      <c r="GD212" s="62"/>
      <c r="GE212" s="63"/>
      <c r="GF212" s="32"/>
      <c r="GG212" s="5"/>
      <c r="GH212" s="5"/>
      <c r="GJ212" s="62"/>
      <c r="GK212" s="62"/>
      <c r="GL212" s="63"/>
      <c r="GM212" s="32"/>
      <c r="GN212" s="5"/>
      <c r="GO212" s="5"/>
      <c r="GP212" s="62"/>
      <c r="GQ212" s="62"/>
      <c r="GR212" s="62"/>
      <c r="GS212" s="63"/>
      <c r="GT212" s="32"/>
      <c r="GU212" s="5"/>
      <c r="GV212" s="5"/>
      <c r="GX212" s="62"/>
      <c r="GY212" s="62"/>
      <c r="GZ212" s="63"/>
      <c r="HA212" s="32"/>
      <c r="HB212" s="5"/>
      <c r="HC212" s="5"/>
      <c r="HE212" s="62"/>
      <c r="HF212" s="62"/>
      <c r="HG212" s="63"/>
      <c r="HH212" s="32"/>
      <c r="HI212" s="5"/>
      <c r="HJ212" s="5"/>
      <c r="HL212" s="62"/>
      <c r="HM212" s="62"/>
      <c r="HN212" s="63"/>
      <c r="HO212" s="32"/>
      <c r="HP212" s="5"/>
      <c r="HQ212" s="5"/>
      <c r="HR212" s="62"/>
      <c r="HS212" s="62"/>
      <c r="HT212" s="62"/>
      <c r="HU212" s="63"/>
      <c r="HV212" s="32"/>
      <c r="HW212" s="5"/>
      <c r="HX212" s="5"/>
      <c r="HZ212" s="62"/>
      <c r="IA212" s="62"/>
      <c r="IB212" s="63"/>
      <c r="IC212" s="32"/>
      <c r="ID212" s="5"/>
      <c r="IE212" s="5"/>
      <c r="IG212" s="62"/>
      <c r="IH212" s="62"/>
      <c r="II212" s="63"/>
      <c r="IJ212" s="32"/>
      <c r="IK212" s="5"/>
      <c r="IL212" s="5"/>
      <c r="IN212" s="62"/>
      <c r="IO212" s="62"/>
      <c r="IP212" s="63"/>
      <c r="IQ212" s="32"/>
      <c r="IR212" s="5"/>
      <c r="IS212" s="5"/>
      <c r="IT212" s="62"/>
      <c r="IU212" s="62"/>
      <c r="IV212" s="62"/>
      <c r="IW212" s="63"/>
      <c r="IX212" s="32"/>
      <c r="IY212" s="5"/>
      <c r="IZ212" s="5"/>
      <c r="JB212" s="62"/>
      <c r="JC212" s="62"/>
      <c r="JD212" s="63"/>
      <c r="JE212" s="32"/>
      <c r="JF212" s="5"/>
      <c r="JG212" s="5"/>
      <c r="JI212" s="62"/>
      <c r="JJ212" s="62"/>
      <c r="JK212" s="63"/>
      <c r="JL212" s="32"/>
      <c r="JM212" s="5"/>
      <c r="JN212" s="5"/>
      <c r="JP212" s="62"/>
      <c r="JQ212" s="62"/>
      <c r="JR212" s="63"/>
      <c r="JS212" s="32"/>
      <c r="JT212" s="5"/>
      <c r="JU212" s="5"/>
      <c r="JV212" s="62"/>
      <c r="JW212" s="62"/>
      <c r="JX212" s="62"/>
      <c r="JY212" s="63"/>
      <c r="JZ212" s="32"/>
      <c r="KA212" s="5"/>
      <c r="KB212" s="5"/>
      <c r="KD212" s="62"/>
      <c r="KE212" s="62"/>
      <c r="KF212" s="63"/>
      <c r="KG212" s="32"/>
      <c r="KH212" s="5"/>
      <c r="KI212" s="5"/>
      <c r="KK212" s="62"/>
      <c r="KL212" s="62"/>
      <c r="KM212" s="63"/>
      <c r="KN212" s="32"/>
      <c r="KO212" s="5"/>
      <c r="KP212" s="5"/>
      <c r="KR212" s="62"/>
      <c r="KS212" s="62"/>
      <c r="KT212" s="63"/>
      <c r="KU212" s="32"/>
      <c r="KV212" s="5"/>
      <c r="KW212" s="5"/>
      <c r="KY212" s="62"/>
      <c r="KZ212" s="62"/>
      <c r="LA212" s="63"/>
      <c r="LB212" s="32"/>
      <c r="LC212" s="5"/>
      <c r="LD212" s="5"/>
      <c r="LF212" s="62"/>
      <c r="LG212" s="62"/>
      <c r="LH212" s="63"/>
      <c r="LI212" s="32"/>
      <c r="LJ212" s="5"/>
      <c r="LK212" s="5"/>
      <c r="LM212" s="62"/>
      <c r="LN212" s="62"/>
      <c r="LO212" s="63"/>
      <c r="LP212" s="32"/>
      <c r="LQ212" s="5"/>
      <c r="LR212" s="5"/>
      <c r="LT212" s="62"/>
      <c r="LU212" s="62"/>
      <c r="LV212" s="63"/>
      <c r="LW212" s="32"/>
      <c r="LX212" s="5"/>
      <c r="LY212" s="5"/>
      <c r="MA212" s="62"/>
      <c r="MB212" s="62"/>
      <c r="MC212" s="63"/>
      <c r="MD212" s="32"/>
      <c r="ME212" s="5"/>
      <c r="MF212" s="5"/>
      <c r="MH212" s="62"/>
      <c r="MI212" s="62"/>
      <c r="MJ212" s="63"/>
      <c r="MK212" s="32"/>
      <c r="ML212" s="5"/>
      <c r="MM212" s="5"/>
      <c r="MO212" s="62"/>
      <c r="MP212" s="62"/>
      <c r="MQ212" s="63"/>
      <c r="MR212" s="32"/>
      <c r="MS212" s="5"/>
      <c r="MT212" s="5"/>
      <c r="MV212" s="62"/>
      <c r="MW212" s="62"/>
      <c r="MX212" s="63"/>
      <c r="MY212" s="32"/>
      <c r="MZ212" s="5"/>
      <c r="NA212" s="5"/>
      <c r="NC212" s="62"/>
      <c r="ND212" s="62"/>
      <c r="NE212" s="63"/>
      <c r="NF212" s="32"/>
      <c r="NG212" s="5"/>
      <c r="NH212" s="5"/>
      <c r="NJ212" s="62"/>
      <c r="NK212" s="62"/>
      <c r="NL212" s="63"/>
      <c r="NM212" s="32"/>
      <c r="NN212" s="5"/>
      <c r="NO212" s="5"/>
      <c r="NQ212" s="62"/>
      <c r="NR212" s="62"/>
      <c r="NS212" s="63"/>
      <c r="NT212" s="32"/>
      <c r="NU212" s="5"/>
      <c r="NV212" s="5"/>
      <c r="NX212" s="62"/>
      <c r="NY212" s="62"/>
      <c r="NZ212" s="63"/>
      <c r="OA212" s="32"/>
      <c r="OB212" s="5"/>
      <c r="OC212" s="5"/>
      <c r="OE212" s="62"/>
      <c r="OF212" s="62"/>
      <c r="OG212" s="63"/>
      <c r="OH212" s="32"/>
      <c r="OI212" s="5"/>
      <c r="OJ212" s="5"/>
      <c r="OL212" s="62"/>
      <c r="OM212" s="62"/>
      <c r="ON212" s="63"/>
      <c r="OO212" s="32"/>
      <c r="OP212" s="5"/>
      <c r="OQ212" s="5"/>
      <c r="OS212" s="62"/>
      <c r="OT212" s="62"/>
      <c r="OU212" s="63"/>
      <c r="OV212" s="32"/>
      <c r="OW212" s="5"/>
      <c r="OX212" s="5"/>
      <c r="OZ212" s="62"/>
      <c r="PA212" s="62"/>
      <c r="PB212" s="63"/>
      <c r="PC212" s="32"/>
      <c r="PD212" s="5"/>
      <c r="PE212" s="5"/>
      <c r="PG212" s="62"/>
      <c r="PH212" s="62"/>
      <c r="PI212" s="63"/>
      <c r="PJ212" s="32"/>
      <c r="PK212" s="5"/>
      <c r="PL212" s="5"/>
      <c r="PN212" s="62"/>
      <c r="PO212" s="62"/>
      <c r="PP212" s="63"/>
      <c r="PQ212" s="32"/>
      <c r="PR212" s="5"/>
      <c r="PS212" s="5"/>
      <c r="PU212" s="62"/>
      <c r="PV212" s="62"/>
      <c r="PW212" s="63"/>
      <c r="PX212" s="32"/>
      <c r="PY212" s="5"/>
      <c r="PZ212" s="5"/>
      <c r="QB212" s="62"/>
      <c r="QC212" s="62"/>
      <c r="QD212" s="63"/>
      <c r="QE212" s="32"/>
      <c r="QF212" s="5"/>
      <c r="QG212" s="5"/>
      <c r="QI212" s="62"/>
      <c r="QJ212" s="62"/>
      <c r="QK212" s="63"/>
      <c r="QL212" s="32"/>
      <c r="QM212" s="5"/>
      <c r="QN212" s="5"/>
      <c r="QP212" s="62"/>
      <c r="QQ212" s="62"/>
      <c r="QR212" s="63"/>
      <c r="QS212" s="32"/>
      <c r="QT212" s="5"/>
      <c r="QU212" s="5"/>
      <c r="QW212" s="62"/>
      <c r="QX212" s="62"/>
      <c r="QY212" s="63"/>
      <c r="QZ212" s="32"/>
      <c r="RA212" s="5"/>
      <c r="RB212" s="5"/>
      <c r="RD212" s="62"/>
      <c r="RE212" s="62"/>
      <c r="RF212" s="63"/>
      <c r="RG212" s="32"/>
      <c r="RH212" s="5"/>
      <c r="RI212" s="5"/>
      <c r="RK212" s="62"/>
      <c r="RL212" s="62"/>
      <c r="RM212" s="63"/>
      <c r="RN212" s="32"/>
      <c r="RO212" s="5"/>
      <c r="RP212" s="5"/>
      <c r="RR212" s="62"/>
      <c r="RS212" s="62"/>
      <c r="RT212" s="63"/>
      <c r="RU212" s="32"/>
      <c r="RV212" s="5"/>
      <c r="RW212" s="5"/>
      <c r="RY212" s="62"/>
      <c r="RZ212" s="62"/>
      <c r="SA212" s="63"/>
      <c r="SB212" s="32"/>
      <c r="SC212" s="5"/>
      <c r="SD212" s="5"/>
      <c r="SF212" s="62"/>
      <c r="SG212" s="62"/>
      <c r="SH212" s="63"/>
      <c r="SI212" s="32"/>
      <c r="SJ212" s="5"/>
      <c r="SK212" s="5"/>
      <c r="SM212" s="62"/>
      <c r="SN212" s="62"/>
      <c r="SO212" s="63"/>
      <c r="SP212" s="32"/>
      <c r="SQ212" s="5"/>
      <c r="SR212" s="5"/>
    </row>
    <row r="213" spans="1:512" x14ac:dyDescent="0.15">
      <c r="A213" s="93">
        <f t="shared" ref="A213:A219" si="1583">IF(D213=D212,A212,B213)</f>
        <v>2</v>
      </c>
      <c r="B213" s="94">
        <v>2</v>
      </c>
      <c r="C213" s="95" t="str">
        <f t="shared" si="1582"/>
        <v>Fam. Klesbiehl</v>
      </c>
      <c r="D213" s="96">
        <f t="shared" ref="D213:D224" si="1584">VLOOKUP(B213,$X$138:$Z$152,3,0)</f>
        <v>240.13333333333333</v>
      </c>
      <c r="E213" s="25"/>
      <c r="F213" s="26"/>
      <c r="G213" s="27"/>
      <c r="H213" s="28"/>
      <c r="I213" s="25"/>
      <c r="J213" s="25"/>
      <c r="K213" s="26"/>
      <c r="L213" s="62"/>
      <c r="M213" s="62" t="s">
        <v>263</v>
      </c>
      <c r="N213" s="62" t="s">
        <v>144</v>
      </c>
      <c r="O213" s="32"/>
      <c r="P213" s="32"/>
      <c r="Q213" s="32"/>
      <c r="R213" s="113"/>
      <c r="S213" s="73"/>
      <c r="T213" s="32"/>
      <c r="U213" s="32"/>
      <c r="V213" s="61"/>
      <c r="W213" s="62"/>
      <c r="X213" s="62"/>
      <c r="Y213" s="63"/>
      <c r="Z213" s="73"/>
      <c r="AA213" s="32"/>
      <c r="AB213" s="32"/>
      <c r="AC213" s="61"/>
      <c r="AD213" s="62"/>
      <c r="AE213" s="62"/>
      <c r="AF213" s="62"/>
      <c r="AG213" s="63"/>
      <c r="AH213" s="32"/>
      <c r="AI213" s="5"/>
      <c r="AJ213" s="5"/>
      <c r="AL213" s="62"/>
      <c r="AM213" s="62"/>
      <c r="AN213" s="63"/>
      <c r="AO213" s="32"/>
      <c r="AP213" s="5"/>
      <c r="AQ213" s="5"/>
      <c r="AS213" s="62"/>
      <c r="AT213" s="62"/>
      <c r="AU213" s="63"/>
      <c r="AV213" s="32"/>
      <c r="AW213" s="5"/>
      <c r="AX213" s="5"/>
      <c r="AZ213" s="62"/>
      <c r="BA213" s="62"/>
      <c r="BB213" s="63"/>
      <c r="BC213" s="32"/>
      <c r="BD213" s="5"/>
      <c r="BE213" s="5"/>
      <c r="BF213" s="62"/>
      <c r="BG213" s="62"/>
      <c r="BH213" s="62"/>
      <c r="BI213" s="63"/>
      <c r="BJ213" s="32"/>
      <c r="BK213" s="5"/>
      <c r="BL213" s="5"/>
      <c r="BN213" s="62"/>
      <c r="BO213" s="62"/>
      <c r="BP213" s="63"/>
      <c r="BQ213" s="32"/>
      <c r="BR213" s="5"/>
      <c r="BS213" s="5"/>
      <c r="BU213" s="62"/>
      <c r="BV213" s="62"/>
      <c r="BW213" s="63"/>
      <c r="BX213" s="32"/>
      <c r="BY213" s="5"/>
      <c r="BZ213" s="5"/>
      <c r="CB213" s="62"/>
      <c r="CC213" s="62"/>
      <c r="CD213" s="63"/>
      <c r="CE213" s="32"/>
      <c r="CF213" s="5"/>
      <c r="CG213" s="5"/>
      <c r="CH213" s="62"/>
      <c r="CI213" s="62"/>
      <c r="CJ213" s="62"/>
      <c r="CK213" s="63"/>
      <c r="CL213" s="32"/>
      <c r="CM213" s="5"/>
      <c r="CN213" s="5"/>
      <c r="CP213" s="62"/>
      <c r="CQ213" s="62"/>
      <c r="CR213" s="63"/>
      <c r="CS213" s="32"/>
      <c r="CT213" s="5"/>
      <c r="CU213" s="5"/>
      <c r="CW213" s="62"/>
      <c r="CX213" s="62"/>
      <c r="CY213" s="63"/>
      <c r="CZ213" s="32"/>
      <c r="DA213" s="5"/>
      <c r="DB213" s="5"/>
      <c r="DD213" s="62"/>
      <c r="DE213" s="62"/>
      <c r="DF213" s="63"/>
      <c r="DG213" s="32"/>
      <c r="DH213" s="5"/>
      <c r="DI213" s="5"/>
      <c r="DJ213" s="62"/>
      <c r="DK213" s="62"/>
      <c r="DL213" s="62"/>
      <c r="DM213" s="63"/>
      <c r="DN213" s="32"/>
      <c r="DO213" s="5"/>
      <c r="DP213" s="5"/>
      <c r="DR213" s="62"/>
      <c r="DS213" s="62"/>
      <c r="DT213" s="63"/>
      <c r="DU213" s="32"/>
      <c r="DV213" s="5"/>
      <c r="DW213" s="5"/>
      <c r="DY213" s="62"/>
      <c r="DZ213" s="62"/>
      <c r="EA213" s="63"/>
      <c r="EB213" s="32"/>
      <c r="EC213" s="5"/>
      <c r="ED213" s="5"/>
      <c r="EF213" s="62"/>
      <c r="EG213" s="62"/>
      <c r="EH213" s="63"/>
      <c r="EI213" s="32"/>
      <c r="EJ213" s="5"/>
      <c r="EK213" s="5"/>
      <c r="EL213" s="62"/>
      <c r="EM213" s="62"/>
      <c r="EN213" s="62"/>
      <c r="EO213" s="63"/>
      <c r="EP213" s="32"/>
      <c r="EQ213" s="5"/>
      <c r="ER213" s="5"/>
      <c r="ET213" s="62"/>
      <c r="EU213" s="62"/>
      <c r="EV213" s="63"/>
      <c r="EW213" s="32"/>
      <c r="EX213" s="5"/>
      <c r="EY213" s="5"/>
      <c r="FA213" s="62"/>
      <c r="FB213" s="62"/>
      <c r="FC213" s="63"/>
      <c r="FD213" s="32"/>
      <c r="FE213" s="5"/>
      <c r="FF213" s="5"/>
      <c r="FH213" s="62"/>
      <c r="FI213" s="62"/>
      <c r="FJ213" s="63"/>
      <c r="FK213" s="32"/>
      <c r="FL213" s="5"/>
      <c r="FM213" s="5"/>
      <c r="FN213" s="62"/>
      <c r="FO213" s="62"/>
      <c r="FP213" s="62"/>
      <c r="FQ213" s="63"/>
      <c r="FR213" s="32"/>
      <c r="FS213" s="5"/>
      <c r="FT213" s="5"/>
      <c r="FV213" s="62"/>
      <c r="FW213" s="62"/>
      <c r="FX213" s="63"/>
      <c r="FY213" s="32"/>
      <c r="FZ213" s="5"/>
      <c r="GA213" s="5"/>
      <c r="GC213" s="62"/>
      <c r="GD213" s="62"/>
      <c r="GE213" s="63"/>
      <c r="GF213" s="32"/>
      <c r="GG213" s="5"/>
      <c r="GH213" s="5"/>
      <c r="GJ213" s="62"/>
      <c r="GK213" s="62"/>
      <c r="GL213" s="63"/>
      <c r="GM213" s="32"/>
      <c r="GN213" s="5"/>
      <c r="GO213" s="5"/>
      <c r="GP213" s="62"/>
      <c r="GQ213" s="62"/>
      <c r="GR213" s="62"/>
      <c r="GS213" s="63"/>
      <c r="GT213" s="32"/>
      <c r="GU213" s="5"/>
      <c r="GV213" s="5"/>
      <c r="GX213" s="62"/>
      <c r="GY213" s="62"/>
      <c r="GZ213" s="63"/>
      <c r="HA213" s="32"/>
      <c r="HB213" s="5"/>
      <c r="HC213" s="5"/>
      <c r="HE213" s="62"/>
      <c r="HF213" s="62"/>
      <c r="HG213" s="63"/>
      <c r="HH213" s="32"/>
      <c r="HI213" s="5"/>
      <c r="HJ213" s="5"/>
      <c r="HL213" s="62"/>
      <c r="HM213" s="62"/>
      <c r="HN213" s="63"/>
      <c r="HO213" s="32"/>
      <c r="HP213" s="5"/>
      <c r="HQ213" s="5"/>
      <c r="HR213" s="62"/>
      <c r="HS213" s="62"/>
      <c r="HT213" s="62"/>
      <c r="HU213" s="63"/>
      <c r="HV213" s="32"/>
      <c r="HW213" s="5"/>
      <c r="HX213" s="5"/>
      <c r="HZ213" s="62"/>
      <c r="IA213" s="62"/>
      <c r="IB213" s="63"/>
      <c r="IC213" s="32"/>
      <c r="ID213" s="5"/>
      <c r="IE213" s="5"/>
      <c r="IG213" s="62"/>
      <c r="IH213" s="62"/>
      <c r="II213" s="63"/>
      <c r="IJ213" s="32"/>
      <c r="IK213" s="5"/>
      <c r="IL213" s="5"/>
      <c r="IN213" s="62"/>
      <c r="IO213" s="62"/>
      <c r="IP213" s="63"/>
      <c r="IQ213" s="32"/>
      <c r="IR213" s="5"/>
      <c r="IS213" s="5"/>
      <c r="IT213" s="62"/>
      <c r="IU213" s="62"/>
      <c r="IV213" s="62"/>
      <c r="IW213" s="63"/>
      <c r="IX213" s="32"/>
      <c r="IY213" s="5"/>
      <c r="IZ213" s="5"/>
      <c r="JB213" s="62"/>
      <c r="JC213" s="62"/>
      <c r="JD213" s="63"/>
      <c r="JE213" s="32"/>
      <c r="JF213" s="5"/>
      <c r="JG213" s="5"/>
      <c r="JI213" s="62"/>
      <c r="JJ213" s="62"/>
      <c r="JK213" s="63"/>
      <c r="JL213" s="32"/>
      <c r="JM213" s="5"/>
      <c r="JN213" s="5"/>
      <c r="JP213" s="62"/>
      <c r="JQ213" s="62"/>
      <c r="JR213" s="63"/>
      <c r="JS213" s="32"/>
      <c r="JT213" s="5"/>
      <c r="JU213" s="5"/>
      <c r="JV213" s="62"/>
      <c r="JW213" s="62"/>
      <c r="JX213" s="62"/>
      <c r="JY213" s="63"/>
      <c r="JZ213" s="32"/>
      <c r="KA213" s="5"/>
      <c r="KB213" s="5"/>
      <c r="KD213" s="62"/>
      <c r="KE213" s="62"/>
      <c r="KF213" s="63"/>
      <c r="KG213" s="32"/>
      <c r="KH213" s="5"/>
      <c r="KI213" s="5"/>
      <c r="KK213" s="62"/>
      <c r="KL213" s="62"/>
      <c r="KM213" s="63"/>
      <c r="KN213" s="32"/>
      <c r="KO213" s="5"/>
      <c r="KP213" s="5"/>
      <c r="KR213" s="62"/>
      <c r="KS213" s="62"/>
      <c r="KT213" s="63"/>
      <c r="KU213" s="32"/>
      <c r="KV213" s="5"/>
      <c r="KW213" s="5"/>
      <c r="KY213" s="62"/>
      <c r="KZ213" s="62"/>
      <c r="LA213" s="63"/>
      <c r="LB213" s="32"/>
      <c r="LC213" s="5"/>
      <c r="LD213" s="5"/>
      <c r="LF213" s="62"/>
      <c r="LG213" s="62"/>
      <c r="LH213" s="63"/>
      <c r="LI213" s="32"/>
      <c r="LJ213" s="5"/>
      <c r="LK213" s="5"/>
      <c r="LM213" s="62"/>
      <c r="LN213" s="62"/>
      <c r="LO213" s="63"/>
      <c r="LP213" s="32"/>
      <c r="LQ213" s="5"/>
      <c r="LR213" s="5"/>
      <c r="LT213" s="62"/>
      <c r="LU213" s="62"/>
      <c r="LV213" s="63"/>
      <c r="LW213" s="32"/>
      <c r="LX213" s="5"/>
      <c r="LY213" s="5"/>
      <c r="MA213" s="62"/>
      <c r="MB213" s="62"/>
      <c r="MC213" s="63"/>
      <c r="MD213" s="32"/>
      <c r="ME213" s="5"/>
      <c r="MF213" s="5"/>
      <c r="MH213" s="62"/>
      <c r="MI213" s="62"/>
      <c r="MJ213" s="63"/>
      <c r="MK213" s="32"/>
      <c r="ML213" s="5"/>
      <c r="MM213" s="5"/>
      <c r="MO213" s="62"/>
      <c r="MP213" s="62"/>
      <c r="MQ213" s="63"/>
      <c r="MR213" s="32"/>
      <c r="MS213" s="5"/>
      <c r="MT213" s="5"/>
      <c r="MV213" s="62"/>
      <c r="MW213" s="62"/>
      <c r="MX213" s="63"/>
      <c r="MY213" s="32"/>
      <c r="MZ213" s="5"/>
      <c r="NA213" s="5"/>
      <c r="NC213" s="62"/>
      <c r="ND213" s="62"/>
      <c r="NE213" s="63"/>
      <c r="NF213" s="32"/>
      <c r="NG213" s="5"/>
      <c r="NH213" s="5"/>
      <c r="NJ213" s="62"/>
      <c r="NK213" s="62"/>
      <c r="NL213" s="63"/>
      <c r="NM213" s="32"/>
      <c r="NN213" s="5"/>
      <c r="NO213" s="5"/>
      <c r="NQ213" s="62"/>
      <c r="NR213" s="62"/>
      <c r="NS213" s="63"/>
      <c r="NT213" s="32"/>
      <c r="NU213" s="5"/>
      <c r="NV213" s="5"/>
      <c r="NX213" s="62"/>
      <c r="NY213" s="62"/>
      <c r="NZ213" s="63"/>
      <c r="OA213" s="32"/>
      <c r="OB213" s="5"/>
      <c r="OC213" s="5"/>
      <c r="OE213" s="62"/>
      <c r="OF213" s="62"/>
      <c r="OG213" s="63"/>
      <c r="OH213" s="32"/>
      <c r="OI213" s="5"/>
      <c r="OJ213" s="5"/>
      <c r="OL213" s="62"/>
      <c r="OM213" s="62"/>
      <c r="ON213" s="63"/>
      <c r="OO213" s="32"/>
      <c r="OP213" s="5"/>
      <c r="OQ213" s="5"/>
      <c r="OS213" s="62"/>
      <c r="OT213" s="62"/>
      <c r="OU213" s="63"/>
      <c r="OV213" s="32"/>
      <c r="OW213" s="5"/>
      <c r="OX213" s="5"/>
      <c r="OZ213" s="62"/>
      <c r="PA213" s="62"/>
      <c r="PB213" s="63"/>
      <c r="PC213" s="32"/>
      <c r="PD213" s="5"/>
      <c r="PE213" s="5"/>
      <c r="PG213" s="62"/>
      <c r="PH213" s="62"/>
      <c r="PI213" s="63"/>
      <c r="PJ213" s="32"/>
      <c r="PK213" s="5"/>
      <c r="PL213" s="5"/>
      <c r="PN213" s="62"/>
      <c r="PO213" s="62"/>
      <c r="PP213" s="63"/>
      <c r="PQ213" s="32"/>
      <c r="PR213" s="5"/>
      <c r="PS213" s="5"/>
      <c r="PU213" s="62"/>
      <c r="PV213" s="62"/>
      <c r="PW213" s="63"/>
      <c r="PX213" s="32"/>
      <c r="PY213" s="5"/>
      <c r="PZ213" s="5"/>
      <c r="QB213" s="62"/>
      <c r="QC213" s="62"/>
      <c r="QD213" s="63"/>
      <c r="QE213" s="32"/>
      <c r="QF213" s="5"/>
      <c r="QG213" s="5"/>
      <c r="QI213" s="62"/>
      <c r="QJ213" s="62"/>
      <c r="QK213" s="63"/>
      <c r="QL213" s="32"/>
      <c r="QM213" s="5"/>
      <c r="QN213" s="5"/>
      <c r="QP213" s="62"/>
      <c r="QQ213" s="62"/>
      <c r="QR213" s="63"/>
      <c r="QS213" s="32"/>
      <c r="QT213" s="5"/>
      <c r="QU213" s="5"/>
      <c r="QW213" s="62"/>
      <c r="QX213" s="62"/>
      <c r="QY213" s="63"/>
      <c r="QZ213" s="32"/>
      <c r="RA213" s="5"/>
      <c r="RB213" s="5"/>
      <c r="RD213" s="62"/>
      <c r="RE213" s="62"/>
      <c r="RF213" s="63"/>
      <c r="RG213" s="32"/>
      <c r="RH213" s="5"/>
      <c r="RI213" s="5"/>
      <c r="RK213" s="62"/>
      <c r="RL213" s="62"/>
      <c r="RM213" s="63"/>
      <c r="RN213" s="32"/>
      <c r="RO213" s="5"/>
      <c r="RP213" s="5"/>
      <c r="RR213" s="62"/>
      <c r="RS213" s="62"/>
      <c r="RT213" s="63"/>
      <c r="RU213" s="32"/>
      <c r="RV213" s="5"/>
      <c r="RW213" s="5"/>
      <c r="RY213" s="62"/>
      <c r="RZ213" s="62"/>
      <c r="SA213" s="63"/>
      <c r="SB213" s="32"/>
      <c r="SC213" s="5"/>
      <c r="SD213" s="5"/>
      <c r="SF213" s="62"/>
      <c r="SG213" s="62"/>
      <c r="SH213" s="63"/>
      <c r="SI213" s="32"/>
      <c r="SJ213" s="5"/>
      <c r="SK213" s="5"/>
      <c r="SM213" s="62"/>
      <c r="SN213" s="62"/>
      <c r="SO213" s="63"/>
      <c r="SP213" s="32"/>
      <c r="SQ213" s="5"/>
      <c r="SR213" s="5"/>
    </row>
    <row r="214" spans="1:512" x14ac:dyDescent="0.15">
      <c r="A214" s="97">
        <f>IF(D214=D213,A213,B214)</f>
        <v>3</v>
      </c>
      <c r="B214" s="98">
        <v>3</v>
      </c>
      <c r="C214" s="99" t="str">
        <f t="shared" si="1582"/>
        <v>Fam. Dobmeier</v>
      </c>
      <c r="D214" s="100">
        <f t="shared" si="1584"/>
        <v>231.54999999999998</v>
      </c>
      <c r="E214" s="25"/>
      <c r="F214" s="26"/>
      <c r="G214" s="27"/>
      <c r="H214" s="28"/>
      <c r="I214" s="25"/>
      <c r="J214" s="25"/>
      <c r="K214" s="26"/>
      <c r="L214" s="62"/>
      <c r="M214" s="63" t="s">
        <v>264</v>
      </c>
      <c r="N214" s="62" t="s">
        <v>145</v>
      </c>
      <c r="O214" s="32"/>
      <c r="P214" s="32"/>
      <c r="Q214" s="32"/>
      <c r="R214" s="113"/>
      <c r="S214" s="73"/>
      <c r="T214" s="32"/>
      <c r="U214" s="32"/>
      <c r="V214" s="61"/>
      <c r="W214" s="62"/>
      <c r="X214" s="62"/>
      <c r="Y214" s="63"/>
      <c r="Z214" s="73"/>
      <c r="AA214" s="32"/>
      <c r="AB214" s="32"/>
      <c r="AC214" s="61"/>
      <c r="AD214" s="62"/>
      <c r="AE214" s="62"/>
      <c r="AF214" s="62"/>
      <c r="AG214" s="63"/>
      <c r="AH214" s="32"/>
      <c r="AI214" s="5"/>
      <c r="AJ214" s="5"/>
      <c r="AL214" s="62"/>
      <c r="AM214" s="62"/>
      <c r="AN214" s="63"/>
      <c r="AO214" s="32"/>
      <c r="AP214" s="5"/>
      <c r="AQ214" s="5"/>
      <c r="AS214" s="62"/>
      <c r="AT214" s="62"/>
      <c r="AU214" s="63"/>
      <c r="AV214" s="32"/>
      <c r="AW214" s="5"/>
      <c r="AX214" s="5"/>
      <c r="AZ214" s="62"/>
      <c r="BA214" s="62"/>
      <c r="BB214" s="63"/>
      <c r="BC214" s="32"/>
      <c r="BD214" s="5"/>
      <c r="BE214" s="5"/>
      <c r="BF214" s="62"/>
      <c r="BG214" s="62"/>
      <c r="BH214" s="62"/>
      <c r="BI214" s="63"/>
      <c r="BJ214" s="32"/>
      <c r="BK214" s="5"/>
      <c r="BL214" s="5"/>
      <c r="BN214" s="62"/>
      <c r="BO214" s="62"/>
      <c r="BP214" s="63"/>
      <c r="BQ214" s="32"/>
      <c r="BR214" s="5"/>
      <c r="BS214" s="5"/>
      <c r="BU214" s="62"/>
      <c r="BV214" s="62"/>
      <c r="BW214" s="63"/>
      <c r="BX214" s="32"/>
      <c r="BY214" s="5"/>
      <c r="BZ214" s="5"/>
      <c r="CB214" s="62"/>
      <c r="CC214" s="62"/>
      <c r="CD214" s="63"/>
      <c r="CE214" s="32"/>
      <c r="CF214" s="5"/>
      <c r="CG214" s="5"/>
      <c r="CH214" s="62"/>
      <c r="CI214" s="62"/>
      <c r="CJ214" s="62"/>
      <c r="CK214" s="63"/>
      <c r="CL214" s="32"/>
      <c r="CM214" s="5"/>
      <c r="CN214" s="5"/>
      <c r="CP214" s="62"/>
      <c r="CQ214" s="62"/>
      <c r="CR214" s="63"/>
      <c r="CS214" s="32"/>
      <c r="CT214" s="5"/>
      <c r="CU214" s="5"/>
      <c r="CW214" s="62"/>
      <c r="CX214" s="62"/>
      <c r="CY214" s="63"/>
      <c r="CZ214" s="32"/>
      <c r="DA214" s="5"/>
      <c r="DB214" s="5"/>
      <c r="DD214" s="62"/>
      <c r="DE214" s="62"/>
      <c r="DF214" s="63"/>
      <c r="DG214" s="32"/>
      <c r="DH214" s="5"/>
      <c r="DI214" s="5"/>
      <c r="DJ214" s="62"/>
      <c r="DK214" s="62"/>
      <c r="DL214" s="62"/>
      <c r="DM214" s="63"/>
      <c r="DN214" s="32"/>
      <c r="DO214" s="5"/>
      <c r="DP214" s="5"/>
      <c r="DR214" s="62"/>
      <c r="DS214" s="62"/>
      <c r="DT214" s="63"/>
      <c r="DU214" s="32"/>
      <c r="DV214" s="5"/>
      <c r="DW214" s="5"/>
      <c r="DY214" s="62"/>
      <c r="DZ214" s="62"/>
      <c r="EA214" s="63"/>
      <c r="EB214" s="32"/>
      <c r="EC214" s="5"/>
      <c r="ED214" s="5"/>
      <c r="EF214" s="62"/>
      <c r="EG214" s="62"/>
      <c r="EH214" s="63"/>
      <c r="EI214" s="32"/>
      <c r="EJ214" s="5"/>
      <c r="EK214" s="5"/>
      <c r="EL214" s="62"/>
      <c r="EM214" s="62"/>
      <c r="EN214" s="62"/>
      <c r="EO214" s="63"/>
      <c r="EP214" s="32"/>
      <c r="EQ214" s="5"/>
      <c r="ER214" s="5"/>
      <c r="ET214" s="62"/>
      <c r="EU214" s="62"/>
      <c r="EV214" s="63"/>
      <c r="EW214" s="32"/>
      <c r="EX214" s="5"/>
      <c r="EY214" s="5"/>
      <c r="FA214" s="62"/>
      <c r="FB214" s="62"/>
      <c r="FC214" s="63"/>
      <c r="FD214" s="32"/>
      <c r="FE214" s="5"/>
      <c r="FF214" s="5"/>
      <c r="FH214" s="62"/>
      <c r="FI214" s="62"/>
      <c r="FJ214" s="63"/>
      <c r="FK214" s="32"/>
      <c r="FL214" s="5"/>
      <c r="FM214" s="5"/>
      <c r="FN214" s="62"/>
      <c r="FO214" s="62"/>
      <c r="FP214" s="62"/>
      <c r="FQ214" s="63"/>
      <c r="FR214" s="32"/>
      <c r="FS214" s="5"/>
      <c r="FT214" s="5"/>
      <c r="FV214" s="62"/>
      <c r="FW214" s="62"/>
      <c r="FX214" s="63"/>
      <c r="FY214" s="32"/>
      <c r="FZ214" s="5"/>
      <c r="GA214" s="5"/>
      <c r="GC214" s="62"/>
      <c r="GD214" s="62"/>
      <c r="GE214" s="63"/>
      <c r="GF214" s="32"/>
      <c r="GG214" s="5"/>
      <c r="GH214" s="5"/>
      <c r="GJ214" s="62"/>
      <c r="GK214" s="62"/>
      <c r="GL214" s="63"/>
      <c r="GM214" s="32"/>
      <c r="GN214" s="5"/>
      <c r="GO214" s="5"/>
      <c r="GP214" s="62"/>
      <c r="GQ214" s="62"/>
      <c r="GR214" s="62"/>
      <c r="GS214" s="63"/>
      <c r="GT214" s="32"/>
      <c r="GU214" s="5"/>
      <c r="GV214" s="5"/>
      <c r="GX214" s="62"/>
      <c r="GY214" s="62"/>
      <c r="GZ214" s="63"/>
      <c r="HA214" s="32"/>
      <c r="HB214" s="5"/>
      <c r="HC214" s="5"/>
      <c r="HE214" s="62"/>
      <c r="HF214" s="62"/>
      <c r="HG214" s="63"/>
      <c r="HH214" s="32"/>
      <c r="HI214" s="5"/>
      <c r="HJ214" s="5"/>
      <c r="HL214" s="62"/>
      <c r="HM214" s="62"/>
      <c r="HN214" s="63"/>
      <c r="HO214" s="32"/>
      <c r="HP214" s="5"/>
      <c r="HQ214" s="5"/>
      <c r="HR214" s="62"/>
      <c r="HS214" s="62"/>
      <c r="HT214" s="62"/>
      <c r="HU214" s="63"/>
      <c r="HV214" s="32"/>
      <c r="HW214" s="5"/>
      <c r="HX214" s="5"/>
      <c r="HZ214" s="62"/>
      <c r="IA214" s="62"/>
      <c r="IB214" s="63"/>
      <c r="IC214" s="32"/>
      <c r="ID214" s="5"/>
      <c r="IE214" s="5"/>
      <c r="IG214" s="62"/>
      <c r="IH214" s="62"/>
      <c r="II214" s="63"/>
      <c r="IJ214" s="32"/>
      <c r="IK214" s="5"/>
      <c r="IL214" s="5"/>
      <c r="IN214" s="62"/>
      <c r="IO214" s="62"/>
      <c r="IP214" s="63"/>
      <c r="IQ214" s="32"/>
      <c r="IR214" s="5"/>
      <c r="IS214" s="5"/>
      <c r="IT214" s="62"/>
      <c r="IU214" s="62"/>
      <c r="IV214" s="62"/>
      <c r="IW214" s="63"/>
      <c r="IX214" s="32"/>
      <c r="IY214" s="5"/>
      <c r="IZ214" s="5"/>
      <c r="JB214" s="62"/>
      <c r="JC214" s="62"/>
      <c r="JD214" s="63"/>
      <c r="JE214" s="32"/>
      <c r="JF214" s="5"/>
      <c r="JG214" s="5"/>
      <c r="JI214" s="62"/>
      <c r="JJ214" s="62"/>
      <c r="JK214" s="63"/>
      <c r="JL214" s="32"/>
      <c r="JM214" s="5"/>
      <c r="JN214" s="5"/>
      <c r="JP214" s="62"/>
      <c r="JQ214" s="62"/>
      <c r="JR214" s="63"/>
      <c r="JS214" s="32"/>
      <c r="JT214" s="5"/>
      <c r="JU214" s="5"/>
      <c r="JV214" s="62"/>
      <c r="JW214" s="62"/>
      <c r="JX214" s="62"/>
      <c r="JY214" s="63"/>
      <c r="JZ214" s="32"/>
      <c r="KA214" s="5"/>
      <c r="KB214" s="5"/>
      <c r="KD214" s="62"/>
      <c r="KE214" s="62"/>
      <c r="KF214" s="63"/>
      <c r="KG214" s="32"/>
      <c r="KH214" s="5"/>
      <c r="KI214" s="5"/>
      <c r="KK214" s="62"/>
      <c r="KL214" s="62"/>
      <c r="KM214" s="63"/>
      <c r="KN214" s="32"/>
      <c r="KO214" s="5"/>
      <c r="KP214" s="5"/>
      <c r="KR214" s="62"/>
      <c r="KS214" s="62"/>
      <c r="KT214" s="63"/>
      <c r="KU214" s="32"/>
      <c r="KV214" s="5"/>
      <c r="KW214" s="5"/>
      <c r="KY214" s="62"/>
      <c r="KZ214" s="62"/>
      <c r="LA214" s="63"/>
      <c r="LB214" s="32"/>
      <c r="LC214" s="5"/>
      <c r="LD214" s="5"/>
      <c r="LF214" s="62"/>
      <c r="LG214" s="62"/>
      <c r="LH214" s="63"/>
      <c r="LI214" s="32"/>
      <c r="LJ214" s="5"/>
      <c r="LK214" s="5"/>
      <c r="LM214" s="62"/>
      <c r="LN214" s="62"/>
      <c r="LO214" s="63"/>
      <c r="LP214" s="32"/>
      <c r="LQ214" s="5"/>
      <c r="LR214" s="5"/>
      <c r="LT214" s="62"/>
      <c r="LU214" s="62"/>
      <c r="LV214" s="63"/>
      <c r="LW214" s="32"/>
      <c r="LX214" s="5"/>
      <c r="LY214" s="5"/>
      <c r="MA214" s="62"/>
      <c r="MB214" s="62"/>
      <c r="MC214" s="63"/>
      <c r="MD214" s="32"/>
      <c r="ME214" s="5"/>
      <c r="MF214" s="5"/>
      <c r="MH214" s="62"/>
      <c r="MI214" s="62"/>
      <c r="MJ214" s="63"/>
      <c r="MK214" s="32"/>
      <c r="ML214" s="5"/>
      <c r="MM214" s="5"/>
      <c r="MO214" s="62"/>
      <c r="MP214" s="62"/>
      <c r="MQ214" s="63"/>
      <c r="MR214" s="32"/>
      <c r="MS214" s="5"/>
      <c r="MT214" s="5"/>
      <c r="MV214" s="62"/>
      <c r="MW214" s="62"/>
      <c r="MX214" s="63"/>
      <c r="MY214" s="32"/>
      <c r="MZ214" s="5"/>
      <c r="NA214" s="5"/>
      <c r="NC214" s="62"/>
      <c r="ND214" s="62"/>
      <c r="NE214" s="63"/>
      <c r="NF214" s="32"/>
      <c r="NG214" s="5"/>
      <c r="NH214" s="5"/>
      <c r="NJ214" s="62"/>
      <c r="NK214" s="62"/>
      <c r="NL214" s="63"/>
      <c r="NM214" s="32"/>
      <c r="NN214" s="5"/>
      <c r="NO214" s="5"/>
      <c r="NQ214" s="62"/>
      <c r="NR214" s="62"/>
      <c r="NS214" s="63"/>
      <c r="NT214" s="32"/>
      <c r="NU214" s="5"/>
      <c r="NV214" s="5"/>
      <c r="NX214" s="62"/>
      <c r="NY214" s="62"/>
      <c r="NZ214" s="63"/>
      <c r="OA214" s="32"/>
      <c r="OB214" s="5"/>
      <c r="OC214" s="5"/>
      <c r="OE214" s="62"/>
      <c r="OF214" s="62"/>
      <c r="OG214" s="63"/>
      <c r="OH214" s="32"/>
      <c r="OI214" s="5"/>
      <c r="OJ214" s="5"/>
      <c r="OL214" s="62"/>
      <c r="OM214" s="62"/>
      <c r="ON214" s="63"/>
      <c r="OO214" s="32"/>
      <c r="OP214" s="5"/>
      <c r="OQ214" s="5"/>
      <c r="OS214" s="62"/>
      <c r="OT214" s="62"/>
      <c r="OU214" s="63"/>
      <c r="OV214" s="32"/>
      <c r="OW214" s="5"/>
      <c r="OX214" s="5"/>
      <c r="OZ214" s="62"/>
      <c r="PA214" s="62"/>
      <c r="PB214" s="63"/>
      <c r="PC214" s="32"/>
      <c r="PD214" s="5"/>
      <c r="PE214" s="5"/>
      <c r="PG214" s="62"/>
      <c r="PH214" s="62"/>
      <c r="PI214" s="63"/>
      <c r="PJ214" s="32"/>
      <c r="PK214" s="5"/>
      <c r="PL214" s="5"/>
      <c r="PN214" s="62"/>
      <c r="PO214" s="62"/>
      <c r="PP214" s="63"/>
      <c r="PQ214" s="32"/>
      <c r="PR214" s="5"/>
      <c r="PS214" s="5"/>
      <c r="PU214" s="62"/>
      <c r="PV214" s="62"/>
      <c r="PW214" s="63"/>
      <c r="PX214" s="32"/>
      <c r="PY214" s="5"/>
      <c r="PZ214" s="5"/>
      <c r="QB214" s="62"/>
      <c r="QC214" s="62"/>
      <c r="QD214" s="63"/>
      <c r="QE214" s="32"/>
      <c r="QF214" s="5"/>
      <c r="QG214" s="5"/>
      <c r="QI214" s="62"/>
      <c r="QJ214" s="62"/>
      <c r="QK214" s="63"/>
      <c r="QL214" s="32"/>
      <c r="QM214" s="5"/>
      <c r="QN214" s="5"/>
      <c r="QP214" s="62"/>
      <c r="QQ214" s="62"/>
      <c r="QR214" s="63"/>
      <c r="QS214" s="32"/>
      <c r="QT214" s="5"/>
      <c r="QU214" s="5"/>
      <c r="QW214" s="62"/>
      <c r="QX214" s="62"/>
      <c r="QY214" s="63"/>
      <c r="QZ214" s="32"/>
      <c r="RA214" s="5"/>
      <c r="RB214" s="5"/>
      <c r="RD214" s="62"/>
      <c r="RE214" s="62"/>
      <c r="RF214" s="63"/>
      <c r="RG214" s="32"/>
      <c r="RH214" s="5"/>
      <c r="RI214" s="5"/>
      <c r="RK214" s="62"/>
      <c r="RL214" s="62"/>
      <c r="RM214" s="63"/>
      <c r="RN214" s="32"/>
      <c r="RO214" s="5"/>
      <c r="RP214" s="5"/>
      <c r="RR214" s="62"/>
      <c r="RS214" s="62"/>
      <c r="RT214" s="63"/>
      <c r="RU214" s="32"/>
      <c r="RV214" s="5"/>
      <c r="RW214" s="5"/>
      <c r="RY214" s="62"/>
      <c r="RZ214" s="62"/>
      <c r="SA214" s="63"/>
      <c r="SB214" s="32"/>
      <c r="SC214" s="5"/>
      <c r="SD214" s="5"/>
      <c r="SF214" s="62"/>
      <c r="SG214" s="62"/>
      <c r="SH214" s="63"/>
      <c r="SI214" s="32"/>
      <c r="SJ214" s="5"/>
      <c r="SK214" s="5"/>
      <c r="SM214" s="62"/>
      <c r="SN214" s="62"/>
      <c r="SO214" s="63"/>
      <c r="SP214" s="32"/>
      <c r="SQ214" s="5"/>
      <c r="SR214" s="5"/>
    </row>
    <row r="215" spans="1:512" x14ac:dyDescent="0.15">
      <c r="A215" s="101">
        <f t="shared" si="1583"/>
        <v>4</v>
      </c>
      <c r="B215" s="74">
        <v>4</v>
      </c>
      <c r="C215" s="71" t="str">
        <f t="shared" si="1582"/>
        <v>Fam. Baum</v>
      </c>
      <c r="D215" s="102">
        <f t="shared" si="1584"/>
        <v>222.93999999999997</v>
      </c>
      <c r="E215" s="25"/>
      <c r="F215" s="26"/>
      <c r="G215" s="27"/>
      <c r="H215" s="28"/>
      <c r="I215" s="25"/>
      <c r="J215" s="25"/>
      <c r="K215" s="26"/>
      <c r="L215" s="62"/>
      <c r="M215" s="32" t="s">
        <v>265</v>
      </c>
      <c r="N215" s="62" t="s">
        <v>146</v>
      </c>
      <c r="O215" s="32"/>
      <c r="P215" s="32"/>
      <c r="Q215" s="32"/>
      <c r="R215" s="113"/>
      <c r="S215" s="73"/>
      <c r="T215" s="32"/>
      <c r="U215" s="32"/>
      <c r="V215" s="61"/>
      <c r="W215" s="62"/>
      <c r="X215" s="62"/>
      <c r="Y215" s="63"/>
      <c r="Z215" s="73"/>
      <c r="AA215" s="32"/>
      <c r="AB215" s="32"/>
      <c r="AC215" s="61"/>
      <c r="AD215" s="62"/>
      <c r="AE215" s="62"/>
      <c r="AF215" s="62"/>
      <c r="AG215" s="63"/>
      <c r="AH215" s="32"/>
      <c r="AI215" s="5"/>
      <c r="AJ215" s="5"/>
      <c r="AL215" s="62"/>
      <c r="AM215" s="62"/>
      <c r="AN215" s="63"/>
      <c r="AO215" s="32"/>
      <c r="AP215" s="5"/>
      <c r="AQ215" s="5"/>
      <c r="AS215" s="62"/>
      <c r="AT215" s="62"/>
      <c r="AU215" s="63"/>
      <c r="AV215" s="32"/>
      <c r="AW215" s="5"/>
      <c r="AX215" s="5"/>
      <c r="AZ215" s="62"/>
      <c r="BA215" s="62"/>
      <c r="BB215" s="63"/>
      <c r="BC215" s="32"/>
      <c r="BD215" s="5"/>
      <c r="BE215" s="5"/>
      <c r="BF215" s="62"/>
      <c r="BG215" s="62"/>
      <c r="BH215" s="62"/>
      <c r="BI215" s="63"/>
      <c r="BJ215" s="32"/>
      <c r="BK215" s="5"/>
      <c r="BL215" s="5"/>
      <c r="BN215" s="62"/>
      <c r="BO215" s="62"/>
      <c r="BP215" s="63"/>
      <c r="BQ215" s="32"/>
      <c r="BR215" s="5"/>
      <c r="BS215" s="5"/>
      <c r="BU215" s="62"/>
      <c r="BV215" s="62"/>
      <c r="BW215" s="63"/>
      <c r="BX215" s="32"/>
      <c r="BY215" s="5"/>
      <c r="BZ215" s="5"/>
      <c r="CB215" s="62"/>
      <c r="CC215" s="62"/>
      <c r="CD215" s="63"/>
      <c r="CE215" s="32"/>
      <c r="CF215" s="5"/>
      <c r="CG215" s="5"/>
      <c r="CH215" s="62"/>
      <c r="CI215" s="62"/>
      <c r="CJ215" s="62"/>
      <c r="CK215" s="63"/>
      <c r="CL215" s="32"/>
      <c r="CM215" s="5"/>
      <c r="CN215" s="5"/>
      <c r="CP215" s="62"/>
      <c r="CQ215" s="62"/>
      <c r="CR215" s="63"/>
      <c r="CS215" s="32"/>
      <c r="CT215" s="5"/>
      <c r="CU215" s="5"/>
      <c r="CW215" s="62"/>
      <c r="CX215" s="62"/>
      <c r="CY215" s="63"/>
      <c r="CZ215" s="32"/>
      <c r="DA215" s="5"/>
      <c r="DB215" s="5"/>
      <c r="DD215" s="62"/>
      <c r="DE215" s="62"/>
      <c r="DF215" s="63"/>
      <c r="DG215" s="32"/>
      <c r="DH215" s="5"/>
      <c r="DI215" s="5"/>
      <c r="DJ215" s="62"/>
      <c r="DK215" s="62"/>
      <c r="DL215" s="62"/>
      <c r="DM215" s="63"/>
      <c r="DN215" s="32"/>
      <c r="DO215" s="5"/>
      <c r="DP215" s="5"/>
      <c r="DR215" s="62"/>
      <c r="DS215" s="62"/>
      <c r="DT215" s="63"/>
      <c r="DU215" s="32"/>
      <c r="DV215" s="5"/>
      <c r="DW215" s="5"/>
      <c r="DY215" s="62"/>
      <c r="DZ215" s="62"/>
      <c r="EA215" s="63"/>
      <c r="EB215" s="32"/>
      <c r="EC215" s="5"/>
      <c r="ED215" s="5"/>
      <c r="EF215" s="62"/>
      <c r="EG215" s="62"/>
      <c r="EH215" s="63"/>
      <c r="EI215" s="32"/>
      <c r="EJ215" s="5"/>
      <c r="EK215" s="5"/>
      <c r="EL215" s="62"/>
      <c r="EM215" s="62"/>
      <c r="EN215" s="62"/>
      <c r="EO215" s="63"/>
      <c r="EP215" s="32"/>
      <c r="EQ215" s="5"/>
      <c r="ER215" s="5"/>
      <c r="ET215" s="62"/>
      <c r="EU215" s="62"/>
      <c r="EV215" s="63"/>
      <c r="EW215" s="32"/>
      <c r="EX215" s="5"/>
      <c r="EY215" s="5"/>
      <c r="FA215" s="62"/>
      <c r="FB215" s="62"/>
      <c r="FC215" s="63"/>
      <c r="FD215" s="32"/>
      <c r="FE215" s="5"/>
      <c r="FF215" s="5"/>
      <c r="FH215" s="62"/>
      <c r="FI215" s="62"/>
      <c r="FJ215" s="63"/>
      <c r="FK215" s="32"/>
      <c r="FL215" s="5"/>
      <c r="FM215" s="5"/>
      <c r="FN215" s="62"/>
      <c r="FO215" s="62"/>
      <c r="FP215" s="62"/>
      <c r="FQ215" s="63"/>
      <c r="FR215" s="32"/>
      <c r="FS215" s="5"/>
      <c r="FT215" s="5"/>
      <c r="FV215" s="62"/>
      <c r="FW215" s="62"/>
      <c r="FX215" s="63"/>
      <c r="FY215" s="32"/>
      <c r="FZ215" s="5"/>
      <c r="GA215" s="5"/>
      <c r="GC215" s="62"/>
      <c r="GD215" s="62"/>
      <c r="GE215" s="63"/>
      <c r="GF215" s="32"/>
      <c r="GG215" s="5"/>
      <c r="GH215" s="5"/>
      <c r="GJ215" s="62"/>
      <c r="GK215" s="62"/>
      <c r="GL215" s="63"/>
      <c r="GM215" s="32"/>
      <c r="GN215" s="5"/>
      <c r="GO215" s="5"/>
      <c r="GP215" s="62"/>
      <c r="GQ215" s="62"/>
      <c r="GR215" s="62"/>
      <c r="GS215" s="63"/>
      <c r="GT215" s="32"/>
      <c r="GU215" s="5"/>
      <c r="GV215" s="5"/>
      <c r="GX215" s="62"/>
      <c r="GY215" s="62"/>
      <c r="GZ215" s="63"/>
      <c r="HA215" s="32"/>
      <c r="HB215" s="5"/>
      <c r="HC215" s="5"/>
      <c r="HE215" s="62"/>
      <c r="HF215" s="62"/>
      <c r="HG215" s="63"/>
      <c r="HH215" s="32"/>
      <c r="HI215" s="5"/>
      <c r="HJ215" s="5"/>
      <c r="HL215" s="62"/>
      <c r="HM215" s="62"/>
      <c r="HN215" s="63"/>
      <c r="HO215" s="32"/>
      <c r="HP215" s="5"/>
      <c r="HQ215" s="5"/>
      <c r="HR215" s="62"/>
      <c r="HS215" s="62"/>
      <c r="HT215" s="62"/>
      <c r="HU215" s="63"/>
      <c r="HV215" s="32"/>
      <c r="HW215" s="5"/>
      <c r="HX215" s="5"/>
      <c r="HZ215" s="62"/>
      <c r="IA215" s="62"/>
      <c r="IB215" s="63"/>
      <c r="IC215" s="32"/>
      <c r="ID215" s="5"/>
      <c r="IE215" s="5"/>
      <c r="IG215" s="62"/>
      <c r="IH215" s="62"/>
      <c r="II215" s="63"/>
      <c r="IJ215" s="32"/>
      <c r="IK215" s="5"/>
      <c r="IL215" s="5"/>
      <c r="IN215" s="62"/>
      <c r="IO215" s="62"/>
      <c r="IP215" s="63"/>
      <c r="IQ215" s="32"/>
      <c r="IR215" s="5"/>
      <c r="IS215" s="5"/>
      <c r="IT215" s="62"/>
      <c r="IU215" s="62"/>
      <c r="IV215" s="62"/>
      <c r="IW215" s="63"/>
      <c r="IX215" s="32"/>
      <c r="IY215" s="5"/>
      <c r="IZ215" s="5"/>
      <c r="JB215" s="62"/>
      <c r="JC215" s="62"/>
      <c r="JD215" s="63"/>
      <c r="JE215" s="32"/>
      <c r="JF215" s="5"/>
      <c r="JG215" s="5"/>
      <c r="JI215" s="62"/>
      <c r="JJ215" s="62"/>
      <c r="JK215" s="63"/>
      <c r="JL215" s="32"/>
      <c r="JM215" s="5"/>
      <c r="JN215" s="5"/>
      <c r="JP215" s="62"/>
      <c r="JQ215" s="62"/>
      <c r="JR215" s="63"/>
      <c r="JS215" s="32"/>
      <c r="JT215" s="5"/>
      <c r="JU215" s="5"/>
      <c r="JV215" s="62"/>
      <c r="JW215" s="62"/>
      <c r="JX215" s="62"/>
      <c r="JY215" s="63"/>
      <c r="JZ215" s="32"/>
      <c r="KA215" s="5"/>
      <c r="KB215" s="5"/>
      <c r="KD215" s="62"/>
      <c r="KE215" s="62"/>
      <c r="KF215" s="63"/>
      <c r="KG215" s="32"/>
      <c r="KH215" s="5"/>
      <c r="KI215" s="5"/>
      <c r="KK215" s="62"/>
      <c r="KL215" s="62"/>
      <c r="KM215" s="63"/>
      <c r="KN215" s="32"/>
      <c r="KO215" s="5"/>
      <c r="KP215" s="5"/>
      <c r="KR215" s="62"/>
      <c r="KS215" s="62"/>
      <c r="KT215" s="63"/>
      <c r="KU215" s="32"/>
      <c r="KV215" s="5"/>
      <c r="KW215" s="5"/>
      <c r="KY215" s="62"/>
      <c r="KZ215" s="62"/>
      <c r="LA215" s="63"/>
      <c r="LB215" s="32"/>
      <c r="LC215" s="5"/>
      <c r="LD215" s="5"/>
      <c r="LF215" s="62"/>
      <c r="LG215" s="62"/>
      <c r="LH215" s="63"/>
      <c r="LI215" s="32"/>
      <c r="LJ215" s="5"/>
      <c r="LK215" s="5"/>
      <c r="LM215" s="62"/>
      <c r="LN215" s="62"/>
      <c r="LO215" s="63"/>
      <c r="LP215" s="32"/>
      <c r="LQ215" s="5"/>
      <c r="LR215" s="5"/>
      <c r="LT215" s="62"/>
      <c r="LU215" s="62"/>
      <c r="LV215" s="63"/>
      <c r="LW215" s="32"/>
      <c r="LX215" s="5"/>
      <c r="LY215" s="5"/>
      <c r="MA215" s="62"/>
      <c r="MB215" s="62"/>
      <c r="MC215" s="63"/>
      <c r="MD215" s="32"/>
      <c r="ME215" s="5"/>
      <c r="MF215" s="5"/>
      <c r="MH215" s="62"/>
      <c r="MI215" s="62"/>
      <c r="MJ215" s="63"/>
      <c r="MK215" s="32"/>
      <c r="ML215" s="5"/>
      <c r="MM215" s="5"/>
      <c r="MO215" s="62"/>
      <c r="MP215" s="62"/>
      <c r="MQ215" s="63"/>
      <c r="MR215" s="32"/>
      <c r="MS215" s="5"/>
      <c r="MT215" s="5"/>
      <c r="MV215" s="62"/>
      <c r="MW215" s="62"/>
      <c r="MX215" s="63"/>
      <c r="MY215" s="32"/>
      <c r="MZ215" s="5"/>
      <c r="NA215" s="5"/>
      <c r="NC215" s="62"/>
      <c r="ND215" s="62"/>
      <c r="NE215" s="63"/>
      <c r="NF215" s="32"/>
      <c r="NG215" s="5"/>
      <c r="NH215" s="5"/>
      <c r="NJ215" s="62"/>
      <c r="NK215" s="62"/>
      <c r="NL215" s="63"/>
      <c r="NM215" s="32"/>
      <c r="NN215" s="5"/>
      <c r="NO215" s="5"/>
      <c r="NQ215" s="62"/>
      <c r="NR215" s="62"/>
      <c r="NS215" s="63"/>
      <c r="NT215" s="32"/>
      <c r="NU215" s="5"/>
      <c r="NV215" s="5"/>
      <c r="NX215" s="62"/>
      <c r="NY215" s="62"/>
      <c r="NZ215" s="63"/>
      <c r="OA215" s="32"/>
      <c r="OB215" s="5"/>
      <c r="OC215" s="5"/>
      <c r="OE215" s="62"/>
      <c r="OF215" s="62"/>
      <c r="OG215" s="63"/>
      <c r="OH215" s="32"/>
      <c r="OI215" s="5"/>
      <c r="OJ215" s="5"/>
      <c r="OL215" s="62"/>
      <c r="OM215" s="62"/>
      <c r="ON215" s="63"/>
      <c r="OO215" s="32"/>
      <c r="OP215" s="5"/>
      <c r="OQ215" s="5"/>
      <c r="OS215" s="62"/>
      <c r="OT215" s="62"/>
      <c r="OU215" s="63"/>
      <c r="OV215" s="32"/>
      <c r="OW215" s="5"/>
      <c r="OX215" s="5"/>
      <c r="OZ215" s="62"/>
      <c r="PA215" s="62"/>
      <c r="PB215" s="63"/>
      <c r="PC215" s="32"/>
      <c r="PD215" s="5"/>
      <c r="PE215" s="5"/>
      <c r="PG215" s="62"/>
      <c r="PH215" s="62"/>
      <c r="PI215" s="63"/>
      <c r="PJ215" s="32"/>
      <c r="PK215" s="5"/>
      <c r="PL215" s="5"/>
      <c r="PN215" s="62"/>
      <c r="PO215" s="62"/>
      <c r="PP215" s="63"/>
      <c r="PQ215" s="32"/>
      <c r="PR215" s="5"/>
      <c r="PS215" s="5"/>
      <c r="PU215" s="62"/>
      <c r="PV215" s="62"/>
      <c r="PW215" s="63"/>
      <c r="PX215" s="32"/>
      <c r="PY215" s="5"/>
      <c r="PZ215" s="5"/>
      <c r="QB215" s="62"/>
      <c r="QC215" s="62"/>
      <c r="QD215" s="63"/>
      <c r="QE215" s="32"/>
      <c r="QF215" s="5"/>
      <c r="QG215" s="5"/>
      <c r="QI215" s="62"/>
      <c r="QJ215" s="62"/>
      <c r="QK215" s="63"/>
      <c r="QL215" s="32"/>
      <c r="QM215" s="5"/>
      <c r="QN215" s="5"/>
      <c r="QP215" s="62"/>
      <c r="QQ215" s="62"/>
      <c r="QR215" s="63"/>
      <c r="QS215" s="32"/>
      <c r="QT215" s="5"/>
      <c r="QU215" s="5"/>
      <c r="QW215" s="62"/>
      <c r="QX215" s="62"/>
      <c r="QY215" s="63"/>
      <c r="QZ215" s="32"/>
      <c r="RA215" s="5"/>
      <c r="RB215" s="5"/>
      <c r="RD215" s="62"/>
      <c r="RE215" s="62"/>
      <c r="RF215" s="63"/>
      <c r="RG215" s="32"/>
      <c r="RH215" s="5"/>
      <c r="RI215" s="5"/>
      <c r="RK215" s="62"/>
      <c r="RL215" s="62"/>
      <c r="RM215" s="63"/>
      <c r="RN215" s="32"/>
      <c r="RO215" s="5"/>
      <c r="RP215" s="5"/>
      <c r="RR215" s="62"/>
      <c r="RS215" s="62"/>
      <c r="RT215" s="63"/>
      <c r="RU215" s="32"/>
      <c r="RV215" s="5"/>
      <c r="RW215" s="5"/>
      <c r="RY215" s="62"/>
      <c r="RZ215" s="62"/>
      <c r="SA215" s="63"/>
      <c r="SB215" s="32"/>
      <c r="SC215" s="5"/>
      <c r="SD215" s="5"/>
      <c r="SF215" s="62"/>
      <c r="SG215" s="62"/>
      <c r="SH215" s="63"/>
      <c r="SI215" s="32"/>
      <c r="SJ215" s="5"/>
      <c r="SK215" s="5"/>
      <c r="SM215" s="62"/>
      <c r="SN215" s="62"/>
      <c r="SO215" s="63"/>
      <c r="SP215" s="32"/>
      <c r="SQ215" s="5"/>
      <c r="SR215" s="5"/>
    </row>
    <row r="216" spans="1:512" x14ac:dyDescent="0.15">
      <c r="A216" s="101">
        <f t="shared" si="1583"/>
        <v>5</v>
      </c>
      <c r="B216" s="74">
        <v>5</v>
      </c>
      <c r="C216" s="71" t="str">
        <f t="shared" si="1582"/>
        <v>Fam. Bieling</v>
      </c>
      <c r="D216" s="102">
        <f t="shared" si="1584"/>
        <v>220.875</v>
      </c>
      <c r="E216" s="25"/>
      <c r="F216" s="26"/>
      <c r="G216" s="27"/>
      <c r="H216" s="28"/>
      <c r="I216" s="25"/>
      <c r="J216" s="25"/>
      <c r="K216" s="26"/>
      <c r="L216" s="62"/>
      <c r="M216" s="62" t="s">
        <v>266</v>
      </c>
      <c r="N216" s="62" t="s">
        <v>147</v>
      </c>
      <c r="O216" s="32"/>
      <c r="P216" s="32"/>
      <c r="Q216" s="32"/>
      <c r="R216" s="113"/>
      <c r="S216" s="73"/>
      <c r="T216" s="32"/>
      <c r="U216" s="32"/>
      <c r="V216" s="61"/>
      <c r="W216" s="62"/>
      <c r="X216" s="62"/>
      <c r="Y216" s="63"/>
      <c r="Z216" s="73"/>
      <c r="AA216" s="32"/>
      <c r="AB216" s="32"/>
      <c r="AC216" s="61"/>
      <c r="AD216" s="62"/>
      <c r="AE216" s="62"/>
      <c r="AF216" s="62"/>
      <c r="AG216" s="63"/>
      <c r="AH216" s="32"/>
      <c r="AI216" s="5"/>
      <c r="AJ216" s="5"/>
      <c r="AL216" s="62"/>
      <c r="AM216" s="62"/>
      <c r="AN216" s="63"/>
      <c r="AO216" s="32"/>
      <c r="AP216" s="5"/>
      <c r="AQ216" s="5"/>
      <c r="AS216" s="62"/>
      <c r="AT216" s="62"/>
      <c r="AU216" s="63"/>
      <c r="AV216" s="32"/>
      <c r="AW216" s="5"/>
      <c r="AX216" s="5"/>
      <c r="AZ216" s="62"/>
      <c r="BA216" s="62"/>
      <c r="BB216" s="63"/>
      <c r="BC216" s="32"/>
      <c r="BD216" s="5"/>
      <c r="BE216" s="5"/>
      <c r="BF216" s="62"/>
      <c r="BG216" s="62"/>
      <c r="BH216" s="62"/>
      <c r="BI216" s="63"/>
      <c r="BJ216" s="32"/>
      <c r="BK216" s="5"/>
      <c r="BL216" s="5"/>
      <c r="BN216" s="62"/>
      <c r="BO216" s="62"/>
      <c r="BP216" s="63"/>
      <c r="BQ216" s="32"/>
      <c r="BR216" s="5"/>
      <c r="BS216" s="5"/>
      <c r="BU216" s="62"/>
      <c r="BV216" s="62"/>
      <c r="BW216" s="63"/>
      <c r="BX216" s="32"/>
      <c r="BY216" s="5"/>
      <c r="BZ216" s="5"/>
      <c r="CB216" s="62"/>
      <c r="CC216" s="62"/>
      <c r="CD216" s="63"/>
      <c r="CE216" s="32"/>
      <c r="CF216" s="5"/>
      <c r="CG216" s="5"/>
      <c r="CH216" s="62"/>
      <c r="CI216" s="62"/>
      <c r="CJ216" s="62"/>
      <c r="CK216" s="63"/>
      <c r="CL216" s="32"/>
      <c r="CM216" s="5"/>
      <c r="CN216" s="5"/>
      <c r="CP216" s="62"/>
      <c r="CQ216" s="62"/>
      <c r="CR216" s="63"/>
      <c r="CS216" s="32"/>
      <c r="CT216" s="5"/>
      <c r="CU216" s="5"/>
      <c r="CW216" s="62"/>
      <c r="CX216" s="62"/>
      <c r="CY216" s="63"/>
      <c r="CZ216" s="32"/>
      <c r="DA216" s="5"/>
      <c r="DB216" s="5"/>
      <c r="DD216" s="62"/>
      <c r="DE216" s="62"/>
      <c r="DF216" s="63"/>
      <c r="DG216" s="32"/>
      <c r="DH216" s="5"/>
      <c r="DI216" s="5"/>
      <c r="DJ216" s="62"/>
      <c r="DK216" s="62"/>
      <c r="DL216" s="62"/>
      <c r="DM216" s="63"/>
      <c r="DN216" s="32"/>
      <c r="DO216" s="5"/>
      <c r="DP216" s="5"/>
      <c r="DR216" s="62"/>
      <c r="DS216" s="62"/>
      <c r="DT216" s="63"/>
      <c r="DU216" s="32"/>
      <c r="DV216" s="5"/>
      <c r="DW216" s="5"/>
      <c r="DY216" s="62"/>
      <c r="DZ216" s="62"/>
      <c r="EA216" s="63"/>
      <c r="EB216" s="32"/>
      <c r="EC216" s="5"/>
      <c r="ED216" s="5"/>
      <c r="EF216" s="62"/>
      <c r="EG216" s="62"/>
      <c r="EH216" s="63"/>
      <c r="EI216" s="32"/>
      <c r="EJ216" s="5"/>
      <c r="EK216" s="5"/>
      <c r="EL216" s="62"/>
      <c r="EM216" s="62"/>
      <c r="EN216" s="62"/>
      <c r="EO216" s="63"/>
      <c r="EP216" s="32"/>
      <c r="EQ216" s="5"/>
      <c r="ER216" s="5"/>
      <c r="ET216" s="62"/>
      <c r="EU216" s="62"/>
      <c r="EV216" s="63"/>
      <c r="EW216" s="32"/>
      <c r="EX216" s="5"/>
      <c r="EY216" s="5"/>
      <c r="FA216" s="62"/>
      <c r="FB216" s="62"/>
      <c r="FC216" s="63"/>
      <c r="FD216" s="32"/>
      <c r="FE216" s="5"/>
      <c r="FF216" s="5"/>
      <c r="FH216" s="62"/>
      <c r="FI216" s="62"/>
      <c r="FJ216" s="63"/>
      <c r="FK216" s="32"/>
      <c r="FL216" s="5"/>
      <c r="FM216" s="5"/>
      <c r="FN216" s="62"/>
      <c r="FO216" s="62"/>
      <c r="FP216" s="62"/>
      <c r="FQ216" s="63"/>
      <c r="FR216" s="32"/>
      <c r="FS216" s="5"/>
      <c r="FT216" s="5"/>
      <c r="FV216" s="62"/>
      <c r="FW216" s="62"/>
      <c r="FX216" s="63"/>
      <c r="FY216" s="32"/>
      <c r="FZ216" s="5"/>
      <c r="GA216" s="5"/>
      <c r="GC216" s="62"/>
      <c r="GD216" s="62"/>
      <c r="GE216" s="63"/>
      <c r="GF216" s="32"/>
      <c r="GG216" s="5"/>
      <c r="GH216" s="5"/>
      <c r="GJ216" s="62"/>
      <c r="GK216" s="62"/>
      <c r="GL216" s="63"/>
      <c r="GM216" s="32"/>
      <c r="GN216" s="5"/>
      <c r="GO216" s="5"/>
      <c r="GP216" s="62"/>
      <c r="GQ216" s="62"/>
      <c r="GR216" s="62"/>
      <c r="GS216" s="63"/>
      <c r="GT216" s="32"/>
      <c r="GU216" s="5"/>
      <c r="GV216" s="5"/>
      <c r="GX216" s="62"/>
      <c r="GY216" s="62"/>
      <c r="GZ216" s="63"/>
      <c r="HA216" s="32"/>
      <c r="HB216" s="5"/>
      <c r="HC216" s="5"/>
      <c r="HE216" s="62"/>
      <c r="HF216" s="62"/>
      <c r="HG216" s="63"/>
      <c r="HH216" s="32"/>
      <c r="HI216" s="5"/>
      <c r="HJ216" s="5"/>
      <c r="HL216" s="62"/>
      <c r="HM216" s="62"/>
      <c r="HN216" s="63"/>
      <c r="HO216" s="32"/>
      <c r="HP216" s="5"/>
      <c r="HQ216" s="5"/>
      <c r="HR216" s="62"/>
      <c r="HS216" s="62"/>
      <c r="HT216" s="62"/>
      <c r="HU216" s="63"/>
      <c r="HV216" s="32"/>
      <c r="HW216" s="5"/>
      <c r="HX216" s="5"/>
      <c r="HZ216" s="62"/>
      <c r="IA216" s="62"/>
      <c r="IB216" s="63"/>
      <c r="IC216" s="32"/>
      <c r="ID216" s="5"/>
      <c r="IE216" s="5"/>
      <c r="IG216" s="62"/>
      <c r="IH216" s="62"/>
      <c r="II216" s="63"/>
      <c r="IJ216" s="32"/>
      <c r="IK216" s="5"/>
      <c r="IL216" s="5"/>
      <c r="IN216" s="62"/>
      <c r="IO216" s="62"/>
      <c r="IP216" s="63"/>
      <c r="IQ216" s="32"/>
      <c r="IR216" s="5"/>
      <c r="IS216" s="5"/>
      <c r="IT216" s="62"/>
      <c r="IU216" s="62"/>
      <c r="IV216" s="62"/>
      <c r="IW216" s="63"/>
      <c r="IX216" s="32"/>
      <c r="IY216" s="5"/>
      <c r="IZ216" s="5"/>
      <c r="JB216" s="62"/>
      <c r="JC216" s="62"/>
      <c r="JD216" s="63"/>
      <c r="JE216" s="32"/>
      <c r="JF216" s="5"/>
      <c r="JG216" s="5"/>
      <c r="JI216" s="62"/>
      <c r="JJ216" s="62"/>
      <c r="JK216" s="63"/>
      <c r="JL216" s="32"/>
      <c r="JM216" s="5"/>
      <c r="JN216" s="5"/>
      <c r="JP216" s="62"/>
      <c r="JQ216" s="62"/>
      <c r="JR216" s="63"/>
      <c r="JS216" s="32"/>
      <c r="JT216" s="5"/>
      <c r="JU216" s="5"/>
      <c r="JV216" s="62"/>
      <c r="JW216" s="62"/>
      <c r="JX216" s="62"/>
      <c r="JY216" s="63"/>
      <c r="JZ216" s="32"/>
      <c r="KA216" s="5"/>
      <c r="KB216" s="5"/>
      <c r="KD216" s="62"/>
      <c r="KE216" s="62"/>
      <c r="KF216" s="63"/>
      <c r="KG216" s="32"/>
      <c r="KH216" s="5"/>
      <c r="KI216" s="5"/>
      <c r="KK216" s="62"/>
      <c r="KL216" s="62"/>
      <c r="KM216" s="63"/>
      <c r="KN216" s="32"/>
      <c r="KO216" s="5"/>
      <c r="KP216" s="5"/>
      <c r="KR216" s="62"/>
      <c r="KS216" s="62"/>
      <c r="KT216" s="63"/>
      <c r="KU216" s="32"/>
      <c r="KV216" s="5"/>
      <c r="KW216" s="5"/>
      <c r="KY216" s="62"/>
      <c r="KZ216" s="62"/>
      <c r="LA216" s="63"/>
      <c r="LB216" s="32"/>
      <c r="LC216" s="5"/>
      <c r="LD216" s="5"/>
      <c r="LF216" s="62"/>
      <c r="LG216" s="62"/>
      <c r="LH216" s="63"/>
      <c r="LI216" s="32"/>
      <c r="LJ216" s="5"/>
      <c r="LK216" s="5"/>
      <c r="LM216" s="62"/>
      <c r="LN216" s="62"/>
      <c r="LO216" s="63"/>
      <c r="LP216" s="32"/>
      <c r="LQ216" s="5"/>
      <c r="LR216" s="5"/>
      <c r="LT216" s="62"/>
      <c r="LU216" s="62"/>
      <c r="LV216" s="63"/>
      <c r="LW216" s="32"/>
      <c r="LX216" s="5"/>
      <c r="LY216" s="5"/>
      <c r="MA216" s="62"/>
      <c r="MB216" s="62"/>
      <c r="MC216" s="63"/>
      <c r="MD216" s="32"/>
      <c r="ME216" s="5"/>
      <c r="MF216" s="5"/>
      <c r="MH216" s="62"/>
      <c r="MI216" s="62"/>
      <c r="MJ216" s="63"/>
      <c r="MK216" s="32"/>
      <c r="ML216" s="5"/>
      <c r="MM216" s="5"/>
      <c r="MO216" s="62"/>
      <c r="MP216" s="62"/>
      <c r="MQ216" s="63"/>
      <c r="MR216" s="32"/>
      <c r="MS216" s="5"/>
      <c r="MT216" s="5"/>
      <c r="MV216" s="62"/>
      <c r="MW216" s="62"/>
      <c r="MX216" s="63"/>
      <c r="MY216" s="32"/>
      <c r="MZ216" s="5"/>
      <c r="NA216" s="5"/>
      <c r="NC216" s="62"/>
      <c r="ND216" s="62"/>
      <c r="NE216" s="63"/>
      <c r="NF216" s="32"/>
      <c r="NG216" s="5"/>
      <c r="NH216" s="5"/>
      <c r="NJ216" s="62"/>
      <c r="NK216" s="62"/>
      <c r="NL216" s="63"/>
      <c r="NM216" s="32"/>
      <c r="NN216" s="5"/>
      <c r="NO216" s="5"/>
      <c r="NQ216" s="62"/>
      <c r="NR216" s="62"/>
      <c r="NS216" s="63"/>
      <c r="NT216" s="32"/>
      <c r="NU216" s="5"/>
      <c r="NV216" s="5"/>
      <c r="NX216" s="62"/>
      <c r="NY216" s="62"/>
      <c r="NZ216" s="63"/>
      <c r="OA216" s="32"/>
      <c r="OB216" s="5"/>
      <c r="OC216" s="5"/>
      <c r="OE216" s="62"/>
      <c r="OF216" s="62"/>
      <c r="OG216" s="63"/>
      <c r="OH216" s="32"/>
      <c r="OI216" s="5"/>
      <c r="OJ216" s="5"/>
      <c r="OL216" s="62"/>
      <c r="OM216" s="62"/>
      <c r="ON216" s="63"/>
      <c r="OO216" s="32"/>
      <c r="OP216" s="5"/>
      <c r="OQ216" s="5"/>
      <c r="OS216" s="62"/>
      <c r="OT216" s="62"/>
      <c r="OU216" s="63"/>
      <c r="OV216" s="32"/>
      <c r="OW216" s="5"/>
      <c r="OX216" s="5"/>
      <c r="OZ216" s="62"/>
      <c r="PA216" s="62"/>
      <c r="PB216" s="63"/>
      <c r="PC216" s="32"/>
      <c r="PD216" s="5"/>
      <c r="PE216" s="5"/>
      <c r="PG216" s="62"/>
      <c r="PH216" s="62"/>
      <c r="PI216" s="63"/>
      <c r="PJ216" s="32"/>
      <c r="PK216" s="5"/>
      <c r="PL216" s="5"/>
      <c r="PN216" s="62"/>
      <c r="PO216" s="62"/>
      <c r="PP216" s="63"/>
      <c r="PQ216" s="32"/>
      <c r="PR216" s="5"/>
      <c r="PS216" s="5"/>
      <c r="PU216" s="62"/>
      <c r="PV216" s="62"/>
      <c r="PW216" s="63"/>
      <c r="PX216" s="32"/>
      <c r="PY216" s="5"/>
      <c r="PZ216" s="5"/>
      <c r="QB216" s="62"/>
      <c r="QC216" s="62"/>
      <c r="QD216" s="63"/>
      <c r="QE216" s="32"/>
      <c r="QF216" s="5"/>
      <c r="QG216" s="5"/>
      <c r="QI216" s="62"/>
      <c r="QJ216" s="62"/>
      <c r="QK216" s="63"/>
      <c r="QL216" s="32"/>
      <c r="QM216" s="5"/>
      <c r="QN216" s="5"/>
      <c r="QP216" s="62"/>
      <c r="QQ216" s="62"/>
      <c r="QR216" s="63"/>
      <c r="QS216" s="32"/>
      <c r="QT216" s="5"/>
      <c r="QU216" s="5"/>
      <c r="QW216" s="62"/>
      <c r="QX216" s="62"/>
      <c r="QY216" s="63"/>
      <c r="QZ216" s="32"/>
      <c r="RA216" s="5"/>
      <c r="RB216" s="5"/>
      <c r="RD216" s="62"/>
      <c r="RE216" s="62"/>
      <c r="RF216" s="63"/>
      <c r="RG216" s="32"/>
      <c r="RH216" s="5"/>
      <c r="RI216" s="5"/>
      <c r="RK216" s="62"/>
      <c r="RL216" s="62"/>
      <c r="RM216" s="63"/>
      <c r="RN216" s="32"/>
      <c r="RO216" s="5"/>
      <c r="RP216" s="5"/>
      <c r="RR216" s="62"/>
      <c r="RS216" s="62"/>
      <c r="RT216" s="63"/>
      <c r="RU216" s="32"/>
      <c r="RV216" s="5"/>
      <c r="RW216" s="5"/>
      <c r="RY216" s="62"/>
      <c r="RZ216" s="62"/>
      <c r="SA216" s="63"/>
      <c r="SB216" s="32"/>
      <c r="SC216" s="5"/>
      <c r="SD216" s="5"/>
      <c r="SF216" s="62"/>
      <c r="SG216" s="62"/>
      <c r="SH216" s="63"/>
      <c r="SI216" s="32"/>
      <c r="SJ216" s="5"/>
      <c r="SK216" s="5"/>
      <c r="SM216" s="62"/>
      <c r="SN216" s="62"/>
      <c r="SO216" s="63"/>
      <c r="SP216" s="32"/>
      <c r="SQ216" s="5"/>
      <c r="SR216" s="5"/>
    </row>
    <row r="217" spans="1:512" x14ac:dyDescent="0.15">
      <c r="A217" s="101">
        <f t="shared" si="1583"/>
        <v>6</v>
      </c>
      <c r="B217" s="74">
        <v>6</v>
      </c>
      <c r="C217" s="71" t="str">
        <f t="shared" si="1582"/>
        <v>Manzambi Beimer</v>
      </c>
      <c r="D217" s="102">
        <f t="shared" si="1584"/>
        <v>219.86666666666665</v>
      </c>
      <c r="E217" s="25"/>
      <c r="F217" s="26"/>
      <c r="G217" s="27"/>
      <c r="H217" s="28"/>
      <c r="I217" s="25"/>
      <c r="J217" s="25"/>
      <c r="K217" s="26"/>
      <c r="L217" s="62"/>
      <c r="M217" s="32" t="s">
        <v>267</v>
      </c>
      <c r="N217" s="62" t="s">
        <v>148</v>
      </c>
      <c r="O217" s="32"/>
      <c r="P217" s="32"/>
      <c r="Q217" s="32"/>
      <c r="R217" s="113"/>
      <c r="S217" s="73"/>
      <c r="T217" s="32"/>
      <c r="U217" s="32"/>
      <c r="V217" s="61"/>
      <c r="W217" s="62"/>
      <c r="X217" s="62"/>
      <c r="Y217" s="63"/>
      <c r="Z217" s="73"/>
      <c r="AA217" s="32"/>
      <c r="AB217" s="32"/>
      <c r="AC217" s="61"/>
      <c r="AD217" s="62"/>
      <c r="AE217" s="62"/>
      <c r="AF217" s="62"/>
      <c r="AG217" s="63"/>
      <c r="AH217" s="32"/>
      <c r="AI217" s="5"/>
      <c r="AJ217" s="5"/>
      <c r="AL217" s="62"/>
      <c r="AM217" s="62"/>
      <c r="AN217" s="63"/>
      <c r="AO217" s="32"/>
      <c r="AP217" s="5"/>
      <c r="AQ217" s="5"/>
      <c r="AS217" s="62"/>
      <c r="AT217" s="62"/>
      <c r="AU217" s="63"/>
      <c r="AV217" s="32"/>
      <c r="AW217" s="5"/>
      <c r="AX217" s="5"/>
      <c r="AZ217" s="62"/>
      <c r="BA217" s="62"/>
      <c r="BB217" s="63"/>
      <c r="BC217" s="32"/>
      <c r="BD217" s="5"/>
      <c r="BE217" s="5"/>
      <c r="BF217" s="62"/>
      <c r="BG217" s="62"/>
      <c r="BH217" s="62"/>
      <c r="BI217" s="63"/>
      <c r="BJ217" s="32"/>
      <c r="BK217" s="5"/>
      <c r="BL217" s="5"/>
      <c r="BN217" s="62"/>
      <c r="BO217" s="62"/>
      <c r="BP217" s="63"/>
      <c r="BQ217" s="32"/>
      <c r="BR217" s="5"/>
      <c r="BS217" s="5"/>
      <c r="BU217" s="62"/>
      <c r="BV217" s="62"/>
      <c r="BW217" s="63"/>
      <c r="BX217" s="32"/>
      <c r="BY217" s="5"/>
      <c r="BZ217" s="5"/>
      <c r="CB217" s="62"/>
      <c r="CC217" s="62"/>
      <c r="CD217" s="63"/>
      <c r="CE217" s="32"/>
      <c r="CF217" s="5"/>
      <c r="CG217" s="5"/>
      <c r="CH217" s="62"/>
      <c r="CI217" s="62"/>
      <c r="CJ217" s="62"/>
      <c r="CK217" s="63"/>
      <c r="CL217" s="32"/>
      <c r="CM217" s="5"/>
      <c r="CN217" s="5"/>
      <c r="CP217" s="62"/>
      <c r="CQ217" s="62"/>
      <c r="CR217" s="63"/>
      <c r="CS217" s="32"/>
      <c r="CT217" s="5"/>
      <c r="CU217" s="5"/>
      <c r="CW217" s="62"/>
      <c r="CX217" s="62"/>
      <c r="CY217" s="63"/>
      <c r="CZ217" s="32"/>
      <c r="DA217" s="5"/>
      <c r="DB217" s="5"/>
      <c r="DD217" s="62"/>
      <c r="DE217" s="62"/>
      <c r="DF217" s="63"/>
      <c r="DG217" s="32"/>
      <c r="DH217" s="5"/>
      <c r="DI217" s="5"/>
      <c r="DJ217" s="62"/>
      <c r="DK217" s="62"/>
      <c r="DL217" s="62"/>
      <c r="DM217" s="63"/>
      <c r="DN217" s="32"/>
      <c r="DO217" s="5"/>
      <c r="DP217" s="5"/>
      <c r="DR217" s="62"/>
      <c r="DS217" s="62"/>
      <c r="DT217" s="63"/>
      <c r="DU217" s="32"/>
      <c r="DV217" s="5"/>
      <c r="DW217" s="5"/>
      <c r="DY217" s="62"/>
      <c r="DZ217" s="62"/>
      <c r="EA217" s="63"/>
      <c r="EB217" s="32"/>
      <c r="EC217" s="5"/>
      <c r="ED217" s="5"/>
      <c r="EF217" s="62"/>
      <c r="EG217" s="62"/>
      <c r="EH217" s="63"/>
      <c r="EI217" s="32"/>
      <c r="EJ217" s="5"/>
      <c r="EK217" s="5"/>
      <c r="EL217" s="62"/>
      <c r="EM217" s="62"/>
      <c r="EN217" s="62"/>
      <c r="EO217" s="63"/>
      <c r="EP217" s="32"/>
      <c r="EQ217" s="5"/>
      <c r="ER217" s="5"/>
      <c r="ET217" s="62"/>
      <c r="EU217" s="62"/>
      <c r="EV217" s="63"/>
      <c r="EW217" s="32"/>
      <c r="EX217" s="5"/>
      <c r="EY217" s="5"/>
      <c r="FA217" s="62"/>
      <c r="FB217" s="62"/>
      <c r="FC217" s="63"/>
      <c r="FD217" s="32"/>
      <c r="FE217" s="5"/>
      <c r="FF217" s="5"/>
      <c r="FH217" s="62"/>
      <c r="FI217" s="62"/>
      <c r="FJ217" s="63"/>
      <c r="FK217" s="32"/>
      <c r="FL217" s="5"/>
      <c r="FM217" s="5"/>
      <c r="FN217" s="62"/>
      <c r="FO217" s="62"/>
      <c r="FP217" s="62"/>
      <c r="FQ217" s="63"/>
      <c r="FR217" s="32"/>
      <c r="FS217" s="5"/>
      <c r="FT217" s="5"/>
      <c r="FV217" s="62"/>
      <c r="FW217" s="62"/>
      <c r="FX217" s="63"/>
      <c r="FY217" s="32"/>
      <c r="FZ217" s="5"/>
      <c r="GA217" s="5"/>
      <c r="GC217" s="62"/>
      <c r="GD217" s="62"/>
      <c r="GE217" s="63"/>
      <c r="GF217" s="32"/>
      <c r="GG217" s="5"/>
      <c r="GH217" s="5"/>
      <c r="GJ217" s="62"/>
      <c r="GK217" s="62"/>
      <c r="GL217" s="63"/>
      <c r="GM217" s="32"/>
      <c r="GN217" s="5"/>
      <c r="GO217" s="5"/>
      <c r="GP217" s="62"/>
      <c r="GQ217" s="62"/>
      <c r="GR217" s="62"/>
      <c r="GS217" s="63"/>
      <c r="GT217" s="32"/>
      <c r="GU217" s="5"/>
      <c r="GV217" s="5"/>
      <c r="GX217" s="62"/>
      <c r="GY217" s="62"/>
      <c r="GZ217" s="63"/>
      <c r="HA217" s="32"/>
      <c r="HB217" s="5"/>
      <c r="HC217" s="5"/>
      <c r="HE217" s="62"/>
      <c r="HF217" s="62"/>
      <c r="HG217" s="63"/>
      <c r="HH217" s="32"/>
      <c r="HI217" s="5"/>
      <c r="HJ217" s="5"/>
      <c r="HL217" s="62"/>
      <c r="HM217" s="62"/>
      <c r="HN217" s="63"/>
      <c r="HO217" s="32"/>
      <c r="HP217" s="5"/>
      <c r="HQ217" s="5"/>
      <c r="HR217" s="62"/>
      <c r="HS217" s="62"/>
      <c r="HT217" s="62"/>
      <c r="HU217" s="63"/>
      <c r="HV217" s="32"/>
      <c r="HW217" s="5"/>
      <c r="HX217" s="5"/>
      <c r="HZ217" s="62"/>
      <c r="IA217" s="62"/>
      <c r="IB217" s="63"/>
      <c r="IC217" s="32"/>
      <c r="ID217" s="5"/>
      <c r="IE217" s="5"/>
      <c r="IG217" s="62"/>
      <c r="IH217" s="62"/>
      <c r="II217" s="63"/>
      <c r="IJ217" s="32"/>
      <c r="IK217" s="5"/>
      <c r="IL217" s="5"/>
      <c r="IN217" s="62"/>
      <c r="IO217" s="62"/>
      <c r="IP217" s="63"/>
      <c r="IQ217" s="32"/>
      <c r="IR217" s="5"/>
      <c r="IS217" s="5"/>
      <c r="IT217" s="62"/>
      <c r="IU217" s="62"/>
      <c r="IV217" s="62"/>
      <c r="IW217" s="63"/>
      <c r="IX217" s="32"/>
      <c r="IY217" s="5"/>
      <c r="IZ217" s="5"/>
      <c r="JB217" s="62"/>
      <c r="JC217" s="62"/>
      <c r="JD217" s="63"/>
      <c r="JE217" s="32"/>
      <c r="JF217" s="5"/>
      <c r="JG217" s="5"/>
      <c r="JI217" s="62"/>
      <c r="JJ217" s="62"/>
      <c r="JK217" s="63"/>
      <c r="JL217" s="32"/>
      <c r="JM217" s="5"/>
      <c r="JN217" s="5"/>
      <c r="JP217" s="62"/>
      <c r="JQ217" s="62"/>
      <c r="JR217" s="63"/>
      <c r="JS217" s="32"/>
      <c r="JT217" s="5"/>
      <c r="JU217" s="5"/>
      <c r="JV217" s="62"/>
      <c r="JW217" s="62"/>
      <c r="JX217" s="62"/>
      <c r="JY217" s="63"/>
      <c r="JZ217" s="32"/>
      <c r="KA217" s="5"/>
      <c r="KB217" s="5"/>
      <c r="KD217" s="62"/>
      <c r="KE217" s="62"/>
      <c r="KF217" s="63"/>
      <c r="KG217" s="32"/>
      <c r="KH217" s="5"/>
      <c r="KI217" s="5"/>
      <c r="KK217" s="62"/>
      <c r="KL217" s="62"/>
      <c r="KM217" s="63"/>
      <c r="KN217" s="32"/>
      <c r="KO217" s="5"/>
      <c r="KP217" s="5"/>
      <c r="KR217" s="62"/>
      <c r="KS217" s="62"/>
      <c r="KT217" s="63"/>
      <c r="KU217" s="32"/>
      <c r="KV217" s="5"/>
      <c r="KW217" s="5"/>
      <c r="KY217" s="62"/>
      <c r="KZ217" s="62"/>
      <c r="LA217" s="63"/>
      <c r="LB217" s="32"/>
      <c r="LC217" s="5"/>
      <c r="LD217" s="5"/>
      <c r="LF217" s="62"/>
      <c r="LG217" s="62"/>
      <c r="LH217" s="63"/>
      <c r="LI217" s="32"/>
      <c r="LJ217" s="5"/>
      <c r="LK217" s="5"/>
      <c r="LM217" s="62"/>
      <c r="LN217" s="62"/>
      <c r="LO217" s="63"/>
      <c r="LP217" s="32"/>
      <c r="LQ217" s="5"/>
      <c r="LR217" s="5"/>
      <c r="LT217" s="62"/>
      <c r="LU217" s="62"/>
      <c r="LV217" s="63"/>
      <c r="LW217" s="32"/>
      <c r="LX217" s="5"/>
      <c r="LY217" s="5"/>
      <c r="MA217" s="62"/>
      <c r="MB217" s="62"/>
      <c r="MC217" s="63"/>
      <c r="MD217" s="32"/>
      <c r="ME217" s="5"/>
      <c r="MF217" s="5"/>
      <c r="MH217" s="62"/>
      <c r="MI217" s="62"/>
      <c r="MJ217" s="63"/>
      <c r="MK217" s="32"/>
      <c r="ML217" s="5"/>
      <c r="MM217" s="5"/>
      <c r="MO217" s="62"/>
      <c r="MP217" s="62"/>
      <c r="MQ217" s="63"/>
      <c r="MR217" s="32"/>
      <c r="MS217" s="5"/>
      <c r="MT217" s="5"/>
      <c r="MV217" s="62"/>
      <c r="MW217" s="62"/>
      <c r="MX217" s="63"/>
      <c r="MY217" s="32"/>
      <c r="MZ217" s="5"/>
      <c r="NA217" s="5"/>
      <c r="NC217" s="62"/>
      <c r="ND217" s="62"/>
      <c r="NE217" s="63"/>
      <c r="NF217" s="32"/>
      <c r="NG217" s="5"/>
      <c r="NH217" s="5"/>
      <c r="NJ217" s="62"/>
      <c r="NK217" s="62"/>
      <c r="NL217" s="63"/>
      <c r="NM217" s="32"/>
      <c r="NN217" s="5"/>
      <c r="NO217" s="5"/>
      <c r="NQ217" s="62"/>
      <c r="NR217" s="62"/>
      <c r="NS217" s="63"/>
      <c r="NT217" s="32"/>
      <c r="NU217" s="5"/>
      <c r="NV217" s="5"/>
      <c r="NX217" s="62"/>
      <c r="NY217" s="62"/>
      <c r="NZ217" s="63"/>
      <c r="OA217" s="32"/>
      <c r="OB217" s="5"/>
      <c r="OC217" s="5"/>
      <c r="OE217" s="62"/>
      <c r="OF217" s="62"/>
      <c r="OG217" s="63"/>
      <c r="OH217" s="32"/>
      <c r="OI217" s="5"/>
      <c r="OJ217" s="5"/>
      <c r="OL217" s="62"/>
      <c r="OM217" s="62"/>
      <c r="ON217" s="63"/>
      <c r="OO217" s="32"/>
      <c r="OP217" s="5"/>
      <c r="OQ217" s="5"/>
      <c r="OS217" s="62"/>
      <c r="OT217" s="62"/>
      <c r="OU217" s="63"/>
      <c r="OV217" s="32"/>
      <c r="OW217" s="5"/>
      <c r="OX217" s="5"/>
      <c r="OZ217" s="62"/>
      <c r="PA217" s="62"/>
      <c r="PB217" s="63"/>
      <c r="PC217" s="32"/>
      <c r="PD217" s="5"/>
      <c r="PE217" s="5"/>
      <c r="PG217" s="62"/>
      <c r="PH217" s="62"/>
      <c r="PI217" s="63"/>
      <c r="PJ217" s="32"/>
      <c r="PK217" s="5"/>
      <c r="PL217" s="5"/>
      <c r="PN217" s="62"/>
      <c r="PO217" s="62"/>
      <c r="PP217" s="63"/>
      <c r="PQ217" s="32"/>
      <c r="PR217" s="5"/>
      <c r="PS217" s="5"/>
      <c r="PU217" s="62"/>
      <c r="PV217" s="62"/>
      <c r="PW217" s="63"/>
      <c r="PX217" s="32"/>
      <c r="PY217" s="5"/>
      <c r="PZ217" s="5"/>
      <c r="QB217" s="62"/>
      <c r="QC217" s="62"/>
      <c r="QD217" s="63"/>
      <c r="QE217" s="32"/>
      <c r="QF217" s="5"/>
      <c r="QG217" s="5"/>
      <c r="QI217" s="62"/>
      <c r="QJ217" s="62"/>
      <c r="QK217" s="63"/>
      <c r="QL217" s="32"/>
      <c r="QM217" s="5"/>
      <c r="QN217" s="5"/>
      <c r="QP217" s="62"/>
      <c r="QQ217" s="62"/>
      <c r="QR217" s="63"/>
      <c r="QS217" s="32"/>
      <c r="QT217" s="5"/>
      <c r="QU217" s="5"/>
      <c r="QW217" s="62"/>
      <c r="QX217" s="62"/>
      <c r="QY217" s="63"/>
      <c r="QZ217" s="32"/>
      <c r="RA217" s="5"/>
      <c r="RB217" s="5"/>
      <c r="RD217" s="62"/>
      <c r="RE217" s="62"/>
      <c r="RF217" s="63"/>
      <c r="RG217" s="32"/>
      <c r="RH217" s="5"/>
      <c r="RI217" s="5"/>
      <c r="RK217" s="62"/>
      <c r="RL217" s="62"/>
      <c r="RM217" s="63"/>
      <c r="RN217" s="32"/>
      <c r="RO217" s="5"/>
      <c r="RP217" s="5"/>
      <c r="RR217" s="62"/>
      <c r="RS217" s="62"/>
      <c r="RT217" s="63"/>
      <c r="RU217" s="32"/>
      <c r="RV217" s="5"/>
      <c r="RW217" s="5"/>
      <c r="RY217" s="62"/>
      <c r="RZ217" s="62"/>
      <c r="SA217" s="63"/>
      <c r="SB217" s="32"/>
      <c r="SC217" s="5"/>
      <c r="SD217" s="5"/>
      <c r="SF217" s="62"/>
      <c r="SG217" s="62"/>
      <c r="SH217" s="63"/>
      <c r="SI217" s="32"/>
      <c r="SJ217" s="5"/>
      <c r="SK217" s="5"/>
      <c r="SM217" s="62"/>
      <c r="SN217" s="62"/>
      <c r="SO217" s="63"/>
      <c r="SP217" s="32"/>
      <c r="SQ217" s="5"/>
      <c r="SR217" s="5"/>
    </row>
    <row r="218" spans="1:512" x14ac:dyDescent="0.15">
      <c r="A218" s="101">
        <f t="shared" si="1583"/>
        <v>7</v>
      </c>
      <c r="B218" s="74">
        <v>7</v>
      </c>
      <c r="C218" s="71" t="str">
        <f t="shared" si="1582"/>
        <v>Fam. Hübner</v>
      </c>
      <c r="D218" s="102">
        <f t="shared" si="1584"/>
        <v>218.1</v>
      </c>
      <c r="E218" s="25"/>
      <c r="F218" s="26"/>
      <c r="G218" s="27"/>
      <c r="H218" s="28"/>
      <c r="I218" s="25"/>
      <c r="J218" s="25"/>
      <c r="K218" s="26"/>
      <c r="L218" s="62"/>
      <c r="M218" s="61" t="s">
        <v>268</v>
      </c>
      <c r="N218" s="63" t="s">
        <v>149</v>
      </c>
      <c r="O218" s="32"/>
      <c r="P218" s="25"/>
      <c r="Q218" s="25"/>
      <c r="R218" s="78"/>
      <c r="S218" s="70"/>
      <c r="T218" s="25"/>
      <c r="U218" s="32"/>
      <c r="V218" s="61"/>
      <c r="W218" s="62"/>
      <c r="X218" s="62"/>
      <c r="Y218" s="63"/>
      <c r="Z218" s="73"/>
      <c r="AA218" s="32"/>
      <c r="AB218" s="32"/>
      <c r="AC218" s="61"/>
      <c r="AD218" s="62"/>
      <c r="AE218" s="62"/>
      <c r="AF218" s="62"/>
      <c r="AG218" s="63"/>
      <c r="AH218" s="32"/>
      <c r="AI218" s="5"/>
      <c r="AJ218" s="5"/>
      <c r="AL218" s="62"/>
      <c r="AM218" s="62"/>
      <c r="AN218" s="63"/>
      <c r="AO218" s="32"/>
      <c r="AP218" s="5"/>
      <c r="AQ218" s="5"/>
      <c r="AS218" s="62"/>
      <c r="AT218" s="62"/>
      <c r="AU218" s="63"/>
      <c r="AV218" s="32"/>
      <c r="AW218" s="5"/>
      <c r="AX218" s="5"/>
      <c r="AZ218" s="62"/>
      <c r="BA218" s="62"/>
      <c r="BB218" s="63"/>
      <c r="BC218" s="32"/>
      <c r="BD218" s="5"/>
      <c r="BE218" s="5"/>
      <c r="BF218" s="62"/>
      <c r="BG218" s="62"/>
      <c r="BH218" s="62"/>
      <c r="BI218" s="63"/>
      <c r="BJ218" s="32"/>
      <c r="BK218" s="5"/>
      <c r="BL218" s="5"/>
      <c r="BN218" s="62"/>
      <c r="BO218" s="62"/>
      <c r="BP218" s="63"/>
      <c r="BQ218" s="32"/>
      <c r="BR218" s="5"/>
      <c r="BS218" s="5"/>
      <c r="BU218" s="62"/>
      <c r="BV218" s="62"/>
      <c r="BW218" s="63"/>
      <c r="BX218" s="32"/>
      <c r="BY218" s="5"/>
      <c r="BZ218" s="5"/>
      <c r="CB218" s="62"/>
      <c r="CC218" s="62"/>
      <c r="CD218" s="63"/>
      <c r="CE218" s="32"/>
      <c r="CF218" s="5"/>
      <c r="CG218" s="5"/>
      <c r="CH218" s="62"/>
      <c r="CI218" s="62"/>
      <c r="CJ218" s="62"/>
      <c r="CK218" s="63"/>
      <c r="CL218" s="32"/>
      <c r="CM218" s="5"/>
      <c r="CN218" s="5"/>
      <c r="CP218" s="62"/>
      <c r="CQ218" s="62"/>
      <c r="CR218" s="63"/>
      <c r="CS218" s="32"/>
      <c r="CT218" s="5"/>
      <c r="CU218" s="5"/>
      <c r="CW218" s="62"/>
      <c r="CX218" s="62"/>
      <c r="CY218" s="63"/>
      <c r="CZ218" s="32"/>
      <c r="DA218" s="5"/>
      <c r="DB218" s="5"/>
      <c r="DD218" s="62"/>
      <c r="DE218" s="62"/>
      <c r="DF218" s="63"/>
      <c r="DG218" s="32"/>
      <c r="DH218" s="5"/>
      <c r="DI218" s="5"/>
      <c r="DJ218" s="62"/>
      <c r="DK218" s="62"/>
      <c r="DL218" s="62"/>
      <c r="DM218" s="63"/>
      <c r="DN218" s="32"/>
      <c r="DO218" s="5"/>
      <c r="DP218" s="5"/>
      <c r="DR218" s="62"/>
      <c r="DS218" s="62"/>
      <c r="DT218" s="63"/>
      <c r="DU218" s="32"/>
      <c r="DV218" s="5"/>
      <c r="DW218" s="5"/>
      <c r="DY218" s="62"/>
      <c r="DZ218" s="62"/>
      <c r="EA218" s="63"/>
      <c r="EB218" s="32"/>
      <c r="EC218" s="5"/>
      <c r="ED218" s="5"/>
      <c r="EF218" s="62"/>
      <c r="EG218" s="62"/>
      <c r="EH218" s="63"/>
      <c r="EI218" s="32"/>
      <c r="EJ218" s="5"/>
      <c r="EK218" s="5"/>
      <c r="EL218" s="62"/>
      <c r="EM218" s="62"/>
      <c r="EN218" s="62"/>
      <c r="EO218" s="63"/>
      <c r="EP218" s="32"/>
      <c r="EQ218" s="5"/>
      <c r="ER218" s="5"/>
      <c r="ET218" s="62"/>
      <c r="EU218" s="62"/>
      <c r="EV218" s="63"/>
      <c r="EW218" s="32"/>
      <c r="EX218" s="5"/>
      <c r="EY218" s="5"/>
      <c r="FA218" s="62"/>
      <c r="FB218" s="62"/>
      <c r="FC218" s="63"/>
      <c r="FD218" s="32"/>
      <c r="FE218" s="5"/>
      <c r="FF218" s="5"/>
      <c r="FH218" s="62"/>
      <c r="FI218" s="62"/>
      <c r="FJ218" s="63"/>
      <c r="FK218" s="32"/>
      <c r="FL218" s="5"/>
      <c r="FM218" s="5"/>
      <c r="FN218" s="62"/>
      <c r="FO218" s="62"/>
      <c r="FP218" s="62"/>
      <c r="FQ218" s="63"/>
      <c r="FR218" s="32"/>
      <c r="FS218" s="5"/>
      <c r="FT218" s="5"/>
      <c r="FV218" s="62"/>
      <c r="FW218" s="62"/>
      <c r="FX218" s="63"/>
      <c r="FY218" s="32"/>
      <c r="FZ218" s="5"/>
      <c r="GA218" s="5"/>
      <c r="GC218" s="62"/>
      <c r="GD218" s="62"/>
      <c r="GE218" s="63"/>
      <c r="GF218" s="32"/>
      <c r="GG218" s="5"/>
      <c r="GH218" s="5"/>
      <c r="GJ218" s="62"/>
      <c r="GK218" s="62"/>
      <c r="GL218" s="63"/>
      <c r="GM218" s="32"/>
      <c r="GN218" s="5"/>
      <c r="GO218" s="5"/>
      <c r="GP218" s="62"/>
      <c r="GQ218" s="62"/>
      <c r="GR218" s="62"/>
      <c r="GS218" s="63"/>
      <c r="GT218" s="32"/>
      <c r="GU218" s="5"/>
      <c r="GV218" s="5"/>
      <c r="GX218" s="62"/>
      <c r="GY218" s="62"/>
      <c r="GZ218" s="63"/>
      <c r="HA218" s="32"/>
      <c r="HB218" s="5"/>
      <c r="HC218" s="5"/>
      <c r="HE218" s="62"/>
      <c r="HF218" s="62"/>
      <c r="HG218" s="63"/>
      <c r="HH218" s="32"/>
      <c r="HI218" s="5"/>
      <c r="HJ218" s="5"/>
      <c r="HL218" s="62"/>
      <c r="HM218" s="62"/>
      <c r="HN218" s="63"/>
      <c r="HO218" s="32"/>
      <c r="HP218" s="5"/>
      <c r="HQ218" s="5"/>
      <c r="HR218" s="62"/>
      <c r="HS218" s="62"/>
      <c r="HT218" s="62"/>
      <c r="HU218" s="63"/>
      <c r="HV218" s="32"/>
      <c r="HW218" s="5"/>
      <c r="HX218" s="5"/>
      <c r="HZ218" s="62"/>
      <c r="IA218" s="62"/>
      <c r="IB218" s="63"/>
      <c r="IC218" s="32"/>
      <c r="ID218" s="5"/>
      <c r="IE218" s="5"/>
      <c r="IG218" s="62"/>
      <c r="IH218" s="62"/>
      <c r="II218" s="63"/>
      <c r="IJ218" s="32"/>
      <c r="IK218" s="5"/>
      <c r="IL218" s="5"/>
      <c r="IN218" s="62"/>
      <c r="IO218" s="62"/>
      <c r="IP218" s="63"/>
      <c r="IQ218" s="32"/>
      <c r="IR218" s="5"/>
      <c r="IS218" s="5"/>
      <c r="IT218" s="62"/>
      <c r="IU218" s="62"/>
      <c r="IV218" s="62"/>
      <c r="IW218" s="63"/>
      <c r="IX218" s="32"/>
      <c r="IY218" s="5"/>
      <c r="IZ218" s="5"/>
      <c r="JB218" s="62"/>
      <c r="JC218" s="62"/>
      <c r="JD218" s="63"/>
      <c r="JE218" s="32"/>
      <c r="JF218" s="5"/>
      <c r="JG218" s="5"/>
      <c r="JI218" s="62"/>
      <c r="JJ218" s="62"/>
      <c r="JK218" s="63"/>
      <c r="JL218" s="32"/>
      <c r="JM218" s="5"/>
      <c r="JN218" s="5"/>
      <c r="JP218" s="62"/>
      <c r="JQ218" s="62"/>
      <c r="JR218" s="63"/>
      <c r="JS218" s="32"/>
      <c r="JT218" s="5"/>
      <c r="JU218" s="5"/>
      <c r="JV218" s="62"/>
      <c r="JW218" s="62"/>
      <c r="JX218" s="62"/>
      <c r="JY218" s="63"/>
      <c r="JZ218" s="32"/>
      <c r="KA218" s="5"/>
      <c r="KB218" s="5"/>
      <c r="KD218" s="62"/>
      <c r="KE218" s="62"/>
      <c r="KF218" s="63"/>
      <c r="KG218" s="32"/>
      <c r="KH218" s="5"/>
      <c r="KI218" s="5"/>
      <c r="KK218" s="62"/>
      <c r="KL218" s="62"/>
      <c r="KM218" s="63"/>
      <c r="KN218" s="32"/>
      <c r="KO218" s="5"/>
      <c r="KP218" s="5"/>
      <c r="KR218" s="62"/>
      <c r="KS218" s="62"/>
      <c r="KT218" s="63"/>
      <c r="KU218" s="32"/>
      <c r="KV218" s="5"/>
      <c r="KW218" s="5"/>
      <c r="KY218" s="62"/>
      <c r="KZ218" s="62"/>
      <c r="LA218" s="63"/>
      <c r="LB218" s="32"/>
      <c r="LC218" s="5"/>
      <c r="LD218" s="5"/>
      <c r="LF218" s="62"/>
      <c r="LG218" s="62"/>
      <c r="LH218" s="63"/>
      <c r="LI218" s="32"/>
      <c r="LJ218" s="5"/>
      <c r="LK218" s="5"/>
      <c r="LM218" s="62"/>
      <c r="LN218" s="62"/>
      <c r="LO218" s="63"/>
      <c r="LP218" s="32"/>
      <c r="LQ218" s="5"/>
      <c r="LR218" s="5"/>
      <c r="LT218" s="62"/>
      <c r="LU218" s="62"/>
      <c r="LV218" s="63"/>
      <c r="LW218" s="32"/>
      <c r="LX218" s="5"/>
      <c r="LY218" s="5"/>
      <c r="MA218" s="62"/>
      <c r="MB218" s="62"/>
      <c r="MC218" s="63"/>
      <c r="MD218" s="32"/>
      <c r="ME218" s="5"/>
      <c r="MF218" s="5"/>
      <c r="MH218" s="62"/>
      <c r="MI218" s="62"/>
      <c r="MJ218" s="63"/>
      <c r="MK218" s="32"/>
      <c r="ML218" s="5"/>
      <c r="MM218" s="5"/>
      <c r="MO218" s="62"/>
      <c r="MP218" s="62"/>
      <c r="MQ218" s="63"/>
      <c r="MR218" s="32"/>
      <c r="MS218" s="5"/>
      <c r="MT218" s="5"/>
      <c r="MV218" s="62"/>
      <c r="MW218" s="62"/>
      <c r="MX218" s="63"/>
      <c r="MY218" s="32"/>
      <c r="MZ218" s="5"/>
      <c r="NA218" s="5"/>
      <c r="NC218" s="62"/>
      <c r="ND218" s="62"/>
      <c r="NE218" s="63"/>
      <c r="NF218" s="32"/>
      <c r="NG218" s="5"/>
      <c r="NH218" s="5"/>
      <c r="NJ218" s="62"/>
      <c r="NK218" s="62"/>
      <c r="NL218" s="63"/>
      <c r="NM218" s="32"/>
      <c r="NN218" s="5"/>
      <c r="NO218" s="5"/>
      <c r="NQ218" s="62"/>
      <c r="NR218" s="62"/>
      <c r="NS218" s="63"/>
      <c r="NT218" s="32"/>
      <c r="NU218" s="5"/>
      <c r="NV218" s="5"/>
      <c r="NX218" s="62"/>
      <c r="NY218" s="62"/>
      <c r="NZ218" s="63"/>
      <c r="OA218" s="32"/>
      <c r="OB218" s="5"/>
      <c r="OC218" s="5"/>
      <c r="OE218" s="62"/>
      <c r="OF218" s="62"/>
      <c r="OG218" s="63"/>
      <c r="OH218" s="32"/>
      <c r="OI218" s="5"/>
      <c r="OJ218" s="5"/>
      <c r="OL218" s="62"/>
      <c r="OM218" s="62"/>
      <c r="ON218" s="63"/>
      <c r="OO218" s="32"/>
      <c r="OP218" s="5"/>
      <c r="OQ218" s="5"/>
      <c r="OS218" s="62"/>
      <c r="OT218" s="62"/>
      <c r="OU218" s="63"/>
      <c r="OV218" s="32"/>
      <c r="OW218" s="5"/>
      <c r="OX218" s="5"/>
      <c r="OZ218" s="62"/>
      <c r="PA218" s="62"/>
      <c r="PB218" s="63"/>
      <c r="PC218" s="32"/>
      <c r="PD218" s="5"/>
      <c r="PE218" s="5"/>
      <c r="PG218" s="62"/>
      <c r="PH218" s="62"/>
      <c r="PI218" s="63"/>
      <c r="PJ218" s="32"/>
      <c r="PK218" s="5"/>
      <c r="PL218" s="5"/>
      <c r="PN218" s="62"/>
      <c r="PO218" s="62"/>
      <c r="PP218" s="63"/>
      <c r="PQ218" s="32"/>
      <c r="PR218" s="5"/>
      <c r="PS218" s="5"/>
      <c r="PU218" s="62"/>
      <c r="PV218" s="62"/>
      <c r="PW218" s="63"/>
      <c r="PX218" s="32"/>
      <c r="PY218" s="5"/>
      <c r="PZ218" s="5"/>
      <c r="QB218" s="62"/>
      <c r="QC218" s="62"/>
      <c r="QD218" s="63"/>
      <c r="QE218" s="32"/>
      <c r="QF218" s="5"/>
      <c r="QG218" s="5"/>
      <c r="QI218" s="62"/>
      <c r="QJ218" s="62"/>
      <c r="QK218" s="63"/>
      <c r="QL218" s="32"/>
      <c r="QM218" s="5"/>
      <c r="QN218" s="5"/>
      <c r="QP218" s="62"/>
      <c r="QQ218" s="62"/>
      <c r="QR218" s="63"/>
      <c r="QS218" s="32"/>
      <c r="QT218" s="5"/>
      <c r="QU218" s="5"/>
      <c r="QW218" s="62"/>
      <c r="QX218" s="62"/>
      <c r="QY218" s="63"/>
      <c r="QZ218" s="32"/>
      <c r="RA218" s="5"/>
      <c r="RB218" s="5"/>
      <c r="RD218" s="62"/>
      <c r="RE218" s="62"/>
      <c r="RF218" s="63"/>
      <c r="RG218" s="32"/>
      <c r="RH218" s="5"/>
      <c r="RI218" s="5"/>
      <c r="RK218" s="62"/>
      <c r="RL218" s="62"/>
      <c r="RM218" s="63"/>
      <c r="RN218" s="32"/>
      <c r="RO218" s="5"/>
      <c r="RP218" s="5"/>
      <c r="RR218" s="62"/>
      <c r="RS218" s="62"/>
      <c r="RT218" s="63"/>
      <c r="RU218" s="32"/>
      <c r="RV218" s="5"/>
      <c r="RW218" s="5"/>
      <c r="RY218" s="62"/>
      <c r="RZ218" s="62"/>
      <c r="SA218" s="63"/>
      <c r="SB218" s="32"/>
      <c r="SC218" s="5"/>
      <c r="SD218" s="5"/>
      <c r="SF218" s="62"/>
      <c r="SG218" s="62"/>
      <c r="SH218" s="63"/>
      <c r="SI218" s="32"/>
      <c r="SJ218" s="5"/>
      <c r="SK218" s="5"/>
      <c r="SM218" s="62"/>
      <c r="SN218" s="62"/>
      <c r="SO218" s="63"/>
      <c r="SP218" s="32"/>
      <c r="SQ218" s="5"/>
      <c r="SR218" s="5"/>
    </row>
    <row r="219" spans="1:512" x14ac:dyDescent="0.15">
      <c r="A219" s="103">
        <f t="shared" si="1583"/>
        <v>8</v>
      </c>
      <c r="B219" s="74">
        <v>8</v>
      </c>
      <c r="C219" s="71" t="str">
        <f t="shared" si="1582"/>
        <v>Fam. Brockamp</v>
      </c>
      <c r="D219" s="102">
        <f t="shared" si="1584"/>
        <v>214.52500000000001</v>
      </c>
      <c r="E219" s="25"/>
      <c r="F219" s="26"/>
      <c r="G219" s="27"/>
      <c r="H219" s="28"/>
      <c r="I219" s="25"/>
      <c r="J219" s="25"/>
      <c r="K219" s="26"/>
      <c r="L219" s="62"/>
      <c r="M219" s="62" t="s">
        <v>269</v>
      </c>
      <c r="N219" s="32" t="s">
        <v>150</v>
      </c>
      <c r="O219" s="32"/>
      <c r="P219" s="25"/>
      <c r="Q219" s="25"/>
      <c r="R219" s="78"/>
      <c r="S219" s="70"/>
      <c r="T219" s="25"/>
      <c r="U219" s="32"/>
      <c r="V219" s="61"/>
      <c r="W219" s="62"/>
      <c r="X219" s="62"/>
      <c r="Y219" s="63"/>
      <c r="Z219" s="73"/>
      <c r="AA219" s="32"/>
      <c r="AB219" s="32"/>
      <c r="AC219" s="61"/>
      <c r="AD219" s="62"/>
      <c r="AE219" s="27"/>
      <c r="AF219" s="5"/>
      <c r="AG219" s="7"/>
      <c r="AH219" s="54"/>
      <c r="AI219" s="5"/>
      <c r="AJ219" s="5"/>
      <c r="AL219" s="27"/>
      <c r="AM219" s="5"/>
      <c r="AN219" s="7"/>
      <c r="AO219" s="54"/>
      <c r="AP219" s="5"/>
      <c r="AQ219" s="5"/>
      <c r="AS219" s="27"/>
      <c r="AT219" s="5"/>
      <c r="AU219" s="7"/>
      <c r="AV219" s="54"/>
      <c r="AW219" s="5"/>
      <c r="AX219" s="5"/>
      <c r="AZ219" s="27"/>
      <c r="BA219" s="5"/>
      <c r="BB219" s="7"/>
      <c r="BC219" s="54"/>
      <c r="BD219" s="5"/>
      <c r="BE219" s="5"/>
      <c r="BF219" s="62"/>
      <c r="BG219" s="27"/>
      <c r="BH219" s="5"/>
      <c r="BI219" s="7"/>
      <c r="BJ219" s="54"/>
      <c r="BK219" s="5"/>
      <c r="BL219" s="5"/>
      <c r="BN219" s="27"/>
      <c r="BO219" s="5"/>
      <c r="BP219" s="7"/>
      <c r="BQ219" s="54"/>
      <c r="BR219" s="5"/>
      <c r="BS219" s="5"/>
      <c r="BU219" s="27"/>
      <c r="BV219" s="5"/>
      <c r="BW219" s="7"/>
      <c r="BX219" s="54"/>
      <c r="BY219" s="5"/>
      <c r="BZ219" s="5"/>
      <c r="CB219" s="27"/>
      <c r="CC219" s="5"/>
      <c r="CD219" s="7"/>
      <c r="CE219" s="54"/>
      <c r="CF219" s="5"/>
      <c r="CG219" s="5"/>
      <c r="CH219" s="62"/>
      <c r="CI219" s="27"/>
      <c r="CJ219" s="5"/>
      <c r="CK219" s="7"/>
      <c r="CL219" s="54"/>
      <c r="CM219" s="5"/>
      <c r="CN219" s="5"/>
      <c r="CP219" s="27"/>
      <c r="CQ219" s="5"/>
      <c r="CR219" s="7"/>
      <c r="CS219" s="54"/>
      <c r="CT219" s="5"/>
      <c r="CU219" s="5"/>
      <c r="CW219" s="27"/>
      <c r="CX219" s="5"/>
      <c r="CY219" s="7"/>
      <c r="CZ219" s="54"/>
      <c r="DA219" s="5"/>
      <c r="DB219" s="5"/>
      <c r="DD219" s="27"/>
      <c r="DE219" s="5"/>
      <c r="DF219" s="7"/>
      <c r="DG219" s="54"/>
      <c r="DH219" s="5"/>
      <c r="DI219" s="5"/>
      <c r="DJ219" s="62"/>
      <c r="DK219" s="27"/>
      <c r="DL219" s="5"/>
      <c r="DM219" s="7"/>
      <c r="DN219" s="54"/>
      <c r="DO219" s="5"/>
      <c r="DP219" s="5"/>
      <c r="DR219" s="27"/>
      <c r="DS219" s="5"/>
      <c r="DT219" s="7"/>
      <c r="DU219" s="54"/>
      <c r="DV219" s="5"/>
      <c r="DW219" s="5"/>
      <c r="DY219" s="27"/>
      <c r="DZ219" s="5"/>
      <c r="EA219" s="7"/>
      <c r="EB219" s="54"/>
      <c r="EC219" s="5"/>
      <c r="ED219" s="5"/>
      <c r="EF219" s="27"/>
      <c r="EG219" s="5"/>
      <c r="EH219" s="7"/>
      <c r="EI219" s="54"/>
      <c r="EJ219" s="5"/>
      <c r="EK219" s="5"/>
      <c r="EL219" s="62"/>
      <c r="EM219" s="27"/>
      <c r="EN219" s="5"/>
      <c r="EO219" s="7"/>
      <c r="EP219" s="54"/>
      <c r="EQ219" s="5"/>
      <c r="ER219" s="5"/>
      <c r="ET219" s="27"/>
      <c r="EU219" s="5"/>
      <c r="EV219" s="7"/>
      <c r="EW219" s="54"/>
      <c r="EX219" s="5"/>
      <c r="EY219" s="5"/>
      <c r="FA219" s="27"/>
      <c r="FB219" s="5"/>
      <c r="FC219" s="7"/>
      <c r="FD219" s="54"/>
      <c r="FE219" s="5"/>
      <c r="FF219" s="5"/>
      <c r="FH219" s="27"/>
      <c r="FI219" s="5"/>
      <c r="FJ219" s="7"/>
      <c r="FK219" s="54"/>
      <c r="FL219" s="5"/>
      <c r="FM219" s="5"/>
      <c r="FN219" s="62"/>
      <c r="FO219" s="27"/>
      <c r="FP219" s="5"/>
      <c r="FQ219" s="7"/>
      <c r="FR219" s="54"/>
      <c r="FS219" s="5"/>
      <c r="FT219" s="5"/>
      <c r="FV219" s="27"/>
      <c r="FW219" s="5"/>
      <c r="FX219" s="7"/>
      <c r="FY219" s="54"/>
      <c r="FZ219" s="5"/>
      <c r="GA219" s="5"/>
      <c r="GC219" s="27"/>
      <c r="GD219" s="5"/>
      <c r="GE219" s="7"/>
      <c r="GF219" s="54"/>
      <c r="GG219" s="5"/>
      <c r="GH219" s="5"/>
      <c r="GJ219" s="27"/>
      <c r="GK219" s="5"/>
      <c r="GL219" s="7"/>
      <c r="GM219" s="54"/>
      <c r="GN219" s="5"/>
      <c r="GO219" s="5"/>
      <c r="GP219" s="62"/>
      <c r="GQ219" s="27"/>
      <c r="GR219" s="5"/>
      <c r="GS219" s="7"/>
      <c r="GT219" s="54"/>
      <c r="GU219" s="5"/>
      <c r="GV219" s="5"/>
      <c r="GX219" s="27"/>
      <c r="GY219" s="5"/>
      <c r="GZ219" s="7"/>
      <c r="HA219" s="54"/>
      <c r="HB219" s="5"/>
      <c r="HC219" s="5"/>
      <c r="HE219" s="27"/>
      <c r="HF219" s="5"/>
      <c r="HG219" s="7"/>
      <c r="HH219" s="54"/>
      <c r="HI219" s="5"/>
      <c r="HJ219" s="5"/>
      <c r="HL219" s="27"/>
      <c r="HM219" s="5"/>
      <c r="HN219" s="7"/>
      <c r="HO219" s="54"/>
      <c r="HP219" s="5"/>
      <c r="HQ219" s="5"/>
      <c r="HR219" s="62"/>
      <c r="HS219" s="27"/>
      <c r="HT219" s="5"/>
      <c r="HU219" s="7"/>
      <c r="HV219" s="54"/>
      <c r="HW219" s="5"/>
      <c r="HX219" s="5"/>
      <c r="HZ219" s="27"/>
      <c r="IA219" s="5"/>
      <c r="IB219" s="7"/>
      <c r="IC219" s="54"/>
      <c r="ID219" s="5"/>
      <c r="IE219" s="5"/>
      <c r="IG219" s="27"/>
      <c r="IH219" s="5"/>
      <c r="II219" s="7"/>
      <c r="IJ219" s="54"/>
      <c r="IK219" s="5"/>
      <c r="IL219" s="5"/>
      <c r="IN219" s="27"/>
      <c r="IO219" s="5"/>
      <c r="IP219" s="7"/>
      <c r="IQ219" s="54"/>
      <c r="IR219" s="5"/>
      <c r="IS219" s="5"/>
      <c r="IT219" s="62"/>
      <c r="IU219" s="27"/>
      <c r="IV219" s="5"/>
      <c r="IW219" s="7"/>
      <c r="IX219" s="54"/>
      <c r="IY219" s="5"/>
      <c r="IZ219" s="5"/>
      <c r="JB219" s="27"/>
      <c r="JC219" s="5"/>
      <c r="JD219" s="7"/>
      <c r="JE219" s="54"/>
      <c r="JF219" s="5"/>
      <c r="JG219" s="5"/>
      <c r="JI219" s="27"/>
      <c r="JJ219" s="5"/>
      <c r="JK219" s="7"/>
      <c r="JL219" s="54"/>
      <c r="JM219" s="5"/>
      <c r="JN219" s="5"/>
      <c r="JP219" s="27"/>
      <c r="JQ219" s="5"/>
      <c r="JR219" s="7"/>
      <c r="JS219" s="54"/>
      <c r="JT219" s="5"/>
      <c r="JU219" s="5"/>
      <c r="JV219" s="62"/>
      <c r="JW219" s="27"/>
      <c r="JX219" s="5"/>
      <c r="JY219" s="7"/>
      <c r="JZ219" s="54"/>
      <c r="KA219" s="5"/>
      <c r="KB219" s="5"/>
      <c r="KD219" s="27"/>
      <c r="KE219" s="5"/>
      <c r="KF219" s="7"/>
      <c r="KG219" s="54"/>
      <c r="KH219" s="5"/>
      <c r="KI219" s="5"/>
      <c r="KK219" s="27"/>
      <c r="KL219" s="5"/>
      <c r="KM219" s="7"/>
      <c r="KN219" s="54"/>
      <c r="KO219" s="5"/>
      <c r="KP219" s="5"/>
      <c r="KR219" s="27"/>
      <c r="KS219" s="5"/>
      <c r="KT219" s="7"/>
      <c r="KU219" s="54"/>
      <c r="KV219" s="5"/>
      <c r="KW219" s="5"/>
      <c r="KY219" s="27"/>
      <c r="KZ219" s="5"/>
      <c r="LA219" s="7"/>
      <c r="LB219" s="54"/>
      <c r="LC219" s="5"/>
      <c r="LD219" s="5"/>
      <c r="LF219" s="27"/>
      <c r="LG219" s="5"/>
      <c r="LH219" s="7"/>
      <c r="LI219" s="54"/>
      <c r="LJ219" s="5"/>
      <c r="LK219" s="5"/>
      <c r="LM219" s="27"/>
      <c r="LN219" s="5"/>
      <c r="LO219" s="7"/>
      <c r="LP219" s="54"/>
      <c r="LQ219" s="5"/>
      <c r="LR219" s="5"/>
      <c r="LT219" s="27"/>
      <c r="LU219" s="5"/>
      <c r="LV219" s="7"/>
      <c r="LW219" s="54"/>
      <c r="LX219" s="5"/>
      <c r="LY219" s="5"/>
      <c r="MA219" s="27"/>
      <c r="MB219" s="5"/>
      <c r="MC219" s="7"/>
      <c r="MD219" s="54"/>
      <c r="ME219" s="5"/>
      <c r="MF219" s="5"/>
      <c r="MH219" s="27"/>
      <c r="MI219" s="5"/>
      <c r="MJ219" s="7"/>
      <c r="MK219" s="54"/>
      <c r="ML219" s="5"/>
      <c r="MM219" s="5"/>
      <c r="MO219" s="27"/>
      <c r="MP219" s="5"/>
      <c r="MQ219" s="7"/>
      <c r="MR219" s="54"/>
      <c r="MS219" s="5"/>
      <c r="MT219" s="5"/>
      <c r="MV219" s="27"/>
      <c r="MW219" s="5"/>
      <c r="MX219" s="7"/>
      <c r="MY219" s="54"/>
      <c r="MZ219" s="5"/>
      <c r="NA219" s="5"/>
      <c r="NC219" s="27"/>
      <c r="ND219" s="5"/>
      <c r="NE219" s="7"/>
      <c r="NF219" s="54"/>
      <c r="NG219" s="5"/>
      <c r="NH219" s="5"/>
      <c r="NJ219" s="27"/>
      <c r="NK219" s="5"/>
      <c r="NL219" s="7"/>
      <c r="NM219" s="54"/>
      <c r="NN219" s="5"/>
      <c r="NO219" s="5"/>
      <c r="NQ219" s="27"/>
      <c r="NR219" s="5"/>
      <c r="NS219" s="7"/>
      <c r="NT219" s="54"/>
      <c r="NU219" s="5"/>
      <c r="NV219" s="5"/>
      <c r="NX219" s="27"/>
      <c r="NY219" s="5"/>
      <c r="NZ219" s="7"/>
      <c r="OA219" s="54"/>
      <c r="OB219" s="5"/>
      <c r="OC219" s="5"/>
      <c r="OE219" s="27"/>
      <c r="OF219" s="5"/>
      <c r="OG219" s="7"/>
      <c r="OH219" s="54"/>
      <c r="OI219" s="5"/>
      <c r="OJ219" s="5"/>
      <c r="OL219" s="27"/>
      <c r="OM219" s="5"/>
      <c r="ON219" s="7"/>
      <c r="OO219" s="54"/>
      <c r="OP219" s="5"/>
      <c r="OQ219" s="5"/>
      <c r="OS219" s="27"/>
      <c r="OT219" s="5"/>
      <c r="OU219" s="7"/>
      <c r="OV219" s="54"/>
      <c r="OW219" s="5"/>
      <c r="OX219" s="5"/>
      <c r="OZ219" s="27"/>
      <c r="PA219" s="5"/>
      <c r="PB219" s="7"/>
      <c r="PC219" s="54"/>
      <c r="PD219" s="5"/>
      <c r="PE219" s="5"/>
      <c r="PG219" s="27"/>
      <c r="PH219" s="5"/>
      <c r="PI219" s="7"/>
      <c r="PJ219" s="54"/>
      <c r="PK219" s="5"/>
      <c r="PL219" s="5"/>
      <c r="PN219" s="27"/>
      <c r="PO219" s="5"/>
      <c r="PP219" s="7"/>
      <c r="PQ219" s="54"/>
      <c r="PR219" s="5"/>
      <c r="PS219" s="5"/>
      <c r="PU219" s="27"/>
      <c r="PV219" s="5"/>
      <c r="PW219" s="7"/>
      <c r="PX219" s="54"/>
      <c r="PY219" s="5"/>
      <c r="PZ219" s="5"/>
      <c r="QB219" s="27"/>
      <c r="QC219" s="5"/>
      <c r="QD219" s="7"/>
      <c r="QE219" s="54"/>
      <c r="QF219" s="5"/>
      <c r="QG219" s="5"/>
      <c r="QI219" s="27"/>
      <c r="QJ219" s="5"/>
      <c r="QK219" s="7"/>
      <c r="QL219" s="54"/>
      <c r="QM219" s="5"/>
      <c r="QN219" s="5"/>
      <c r="QP219" s="27"/>
      <c r="QQ219" s="5"/>
      <c r="QR219" s="7"/>
      <c r="QS219" s="54"/>
      <c r="QT219" s="5"/>
      <c r="QU219" s="5"/>
      <c r="QW219" s="27"/>
      <c r="QX219" s="5"/>
      <c r="QY219" s="7"/>
      <c r="QZ219" s="54"/>
      <c r="RA219" s="5"/>
      <c r="RB219" s="5"/>
      <c r="RD219" s="27"/>
      <c r="RE219" s="5"/>
      <c r="RF219" s="7"/>
      <c r="RG219" s="54"/>
      <c r="RH219" s="5"/>
      <c r="RI219" s="5"/>
      <c r="RK219" s="27"/>
      <c r="RL219" s="5"/>
      <c r="RM219" s="7"/>
      <c r="RN219" s="54"/>
      <c r="RO219" s="5"/>
      <c r="RP219" s="5"/>
      <c r="RR219" s="27"/>
      <c r="RS219" s="5"/>
      <c r="RT219" s="7"/>
      <c r="RU219" s="54"/>
      <c r="RV219" s="5"/>
      <c r="RW219" s="5"/>
      <c r="RY219" s="27"/>
      <c r="RZ219" s="5"/>
      <c r="SA219" s="7"/>
      <c r="SB219" s="54"/>
      <c r="SC219" s="5"/>
      <c r="SD219" s="5"/>
      <c r="SF219" s="27"/>
      <c r="SG219" s="5"/>
      <c r="SH219" s="7"/>
      <c r="SI219" s="54"/>
      <c r="SJ219" s="5"/>
      <c r="SK219" s="5"/>
      <c r="SM219" s="27"/>
      <c r="SN219" s="5"/>
      <c r="SO219" s="7"/>
      <c r="SP219" s="54"/>
      <c r="SQ219" s="5"/>
      <c r="SR219" s="5"/>
    </row>
    <row r="220" spans="1:512" x14ac:dyDescent="0.15">
      <c r="A220" s="103">
        <f>IF(D220=D219,A219,B220)</f>
        <v>9</v>
      </c>
      <c r="B220" s="74">
        <v>9</v>
      </c>
      <c r="C220" s="71" t="str">
        <f t="shared" si="1582"/>
        <v>Fam. Weiher</v>
      </c>
      <c r="D220" s="102">
        <f t="shared" si="1584"/>
        <v>213.22499999999997</v>
      </c>
      <c r="E220" s="25"/>
      <c r="F220" s="26"/>
      <c r="G220" s="27"/>
      <c r="H220" s="28"/>
      <c r="I220" s="25"/>
      <c r="J220" s="25"/>
      <c r="K220" s="26"/>
      <c r="L220" s="62"/>
      <c r="M220" s="62" t="s">
        <v>270</v>
      </c>
      <c r="N220" s="62" t="s">
        <v>151</v>
      </c>
      <c r="O220" s="32"/>
      <c r="P220" s="25"/>
      <c r="Q220" s="25"/>
      <c r="R220" s="78"/>
      <c r="S220" s="70"/>
      <c r="T220" s="25"/>
      <c r="U220" s="32"/>
      <c r="V220" s="61"/>
      <c r="W220" s="62"/>
      <c r="X220" s="62"/>
      <c r="Y220" s="63"/>
      <c r="Z220" s="73"/>
      <c r="AA220" s="32"/>
      <c r="AB220" s="32"/>
      <c r="AC220" s="61"/>
      <c r="AD220" s="62"/>
      <c r="AE220" s="27"/>
      <c r="AF220" s="5"/>
      <c r="AG220" s="7"/>
      <c r="AH220" s="54"/>
      <c r="AI220" s="5"/>
      <c r="AJ220" s="5"/>
      <c r="AL220" s="27"/>
      <c r="AM220" s="5"/>
      <c r="AN220" s="7"/>
      <c r="AO220" s="54"/>
      <c r="AP220" s="5"/>
      <c r="AQ220" s="5"/>
      <c r="AS220" s="27"/>
      <c r="AT220" s="5"/>
      <c r="AU220" s="7"/>
      <c r="AV220" s="54"/>
      <c r="AW220" s="5"/>
      <c r="AX220" s="5"/>
      <c r="AZ220" s="27"/>
      <c r="BA220" s="5"/>
      <c r="BB220" s="7"/>
      <c r="BC220" s="54"/>
      <c r="BD220" s="5"/>
      <c r="BE220" s="5"/>
      <c r="BF220" s="62"/>
      <c r="BG220" s="27"/>
      <c r="BH220" s="5"/>
      <c r="BI220" s="7"/>
      <c r="BJ220" s="54"/>
      <c r="BK220" s="5"/>
      <c r="BL220" s="5"/>
      <c r="BN220" s="27"/>
      <c r="BO220" s="5"/>
      <c r="BP220" s="7"/>
      <c r="BQ220" s="54"/>
      <c r="BR220" s="5"/>
      <c r="BS220" s="5"/>
      <c r="BU220" s="27"/>
      <c r="BV220" s="5"/>
      <c r="BW220" s="7"/>
      <c r="BX220" s="54"/>
      <c r="BY220" s="5"/>
      <c r="BZ220" s="5"/>
      <c r="CB220" s="27"/>
      <c r="CC220" s="5"/>
      <c r="CD220" s="7"/>
      <c r="CE220" s="54"/>
      <c r="CF220" s="5"/>
      <c r="CG220" s="5"/>
      <c r="CH220" s="62"/>
      <c r="CI220" s="27"/>
      <c r="CJ220" s="5"/>
      <c r="CK220" s="7"/>
      <c r="CL220" s="54"/>
      <c r="CM220" s="5"/>
      <c r="CN220" s="5"/>
      <c r="CP220" s="27"/>
      <c r="CQ220" s="5"/>
      <c r="CR220" s="7"/>
      <c r="CS220" s="54"/>
      <c r="CT220" s="5"/>
      <c r="CU220" s="5"/>
      <c r="CW220" s="27"/>
      <c r="CX220" s="5"/>
      <c r="CY220" s="7"/>
      <c r="CZ220" s="54"/>
      <c r="DA220" s="5"/>
      <c r="DB220" s="5"/>
      <c r="DD220" s="27"/>
      <c r="DE220" s="5"/>
      <c r="DF220" s="7"/>
      <c r="DG220" s="54"/>
      <c r="DH220" s="5"/>
      <c r="DI220" s="5"/>
      <c r="DJ220" s="62"/>
      <c r="DK220" s="27"/>
      <c r="DL220" s="5"/>
      <c r="DM220" s="7"/>
      <c r="DN220" s="54"/>
      <c r="DO220" s="5"/>
      <c r="DP220" s="5"/>
      <c r="DR220" s="27"/>
      <c r="DS220" s="5"/>
      <c r="DT220" s="7"/>
      <c r="DU220" s="54"/>
      <c r="DV220" s="5"/>
      <c r="DW220" s="5"/>
      <c r="DY220" s="27"/>
      <c r="DZ220" s="5"/>
      <c r="EA220" s="7"/>
      <c r="EB220" s="54"/>
      <c r="EC220" s="5"/>
      <c r="ED220" s="5"/>
      <c r="EF220" s="27"/>
      <c r="EG220" s="5"/>
      <c r="EH220" s="7"/>
      <c r="EI220" s="54"/>
      <c r="EJ220" s="5"/>
      <c r="EK220" s="5"/>
      <c r="EL220" s="62"/>
      <c r="EM220" s="27"/>
      <c r="EN220" s="5"/>
      <c r="EO220" s="7"/>
      <c r="EP220" s="54"/>
      <c r="EQ220" s="5"/>
      <c r="ER220" s="5"/>
      <c r="ET220" s="27"/>
      <c r="EU220" s="5"/>
      <c r="EV220" s="7"/>
      <c r="EW220" s="54"/>
      <c r="EX220" s="5"/>
      <c r="EY220" s="5"/>
      <c r="FA220" s="27"/>
      <c r="FB220" s="5"/>
      <c r="FC220" s="7"/>
      <c r="FD220" s="54"/>
      <c r="FE220" s="5"/>
      <c r="FF220" s="5"/>
      <c r="FH220" s="27"/>
      <c r="FI220" s="5"/>
      <c r="FJ220" s="7"/>
      <c r="FK220" s="54"/>
      <c r="FL220" s="5"/>
      <c r="FM220" s="5"/>
      <c r="FN220" s="62"/>
      <c r="FO220" s="27"/>
      <c r="FP220" s="5"/>
      <c r="FQ220" s="7"/>
      <c r="FR220" s="54"/>
      <c r="FS220" s="5"/>
      <c r="FT220" s="5"/>
      <c r="FV220" s="27"/>
      <c r="FW220" s="5"/>
      <c r="FX220" s="7"/>
      <c r="FY220" s="54"/>
      <c r="FZ220" s="5"/>
      <c r="GA220" s="5"/>
      <c r="GC220" s="27"/>
      <c r="GD220" s="5"/>
      <c r="GE220" s="7"/>
      <c r="GF220" s="54"/>
      <c r="GG220" s="5"/>
      <c r="GH220" s="5"/>
      <c r="GJ220" s="27"/>
      <c r="GK220" s="5"/>
      <c r="GL220" s="7"/>
      <c r="GM220" s="54"/>
      <c r="GN220" s="5"/>
      <c r="GO220" s="5"/>
      <c r="GP220" s="62"/>
      <c r="GQ220" s="27"/>
      <c r="GR220" s="5"/>
      <c r="GS220" s="7"/>
      <c r="GT220" s="54"/>
      <c r="GU220" s="5"/>
      <c r="GV220" s="5"/>
      <c r="GX220" s="27"/>
      <c r="GY220" s="5"/>
      <c r="GZ220" s="7"/>
      <c r="HA220" s="54"/>
      <c r="HB220" s="5"/>
      <c r="HC220" s="5"/>
      <c r="HE220" s="27"/>
      <c r="HF220" s="5"/>
      <c r="HG220" s="7"/>
      <c r="HH220" s="54"/>
      <c r="HI220" s="5"/>
      <c r="HJ220" s="5"/>
      <c r="HL220" s="27"/>
      <c r="HM220" s="5"/>
      <c r="HN220" s="7"/>
      <c r="HO220" s="54"/>
      <c r="HP220" s="5"/>
      <c r="HQ220" s="5"/>
      <c r="HR220" s="62"/>
      <c r="HS220" s="27"/>
      <c r="HT220" s="5"/>
      <c r="HU220" s="7"/>
      <c r="HV220" s="54"/>
      <c r="HW220" s="5"/>
      <c r="HX220" s="5"/>
      <c r="HZ220" s="27"/>
      <c r="IA220" s="5"/>
      <c r="IB220" s="7"/>
      <c r="IC220" s="54"/>
      <c r="ID220" s="5"/>
      <c r="IE220" s="5"/>
      <c r="IG220" s="27"/>
      <c r="IH220" s="5"/>
      <c r="II220" s="7"/>
      <c r="IJ220" s="54"/>
      <c r="IK220" s="5"/>
      <c r="IL220" s="5"/>
      <c r="IN220" s="27"/>
      <c r="IO220" s="5"/>
      <c r="IP220" s="7"/>
      <c r="IQ220" s="54"/>
      <c r="IR220" s="5"/>
      <c r="IS220" s="5"/>
      <c r="IT220" s="62"/>
      <c r="IU220" s="27"/>
      <c r="IV220" s="5"/>
      <c r="IW220" s="7"/>
      <c r="IX220" s="54"/>
      <c r="IY220" s="5"/>
      <c r="IZ220" s="5"/>
      <c r="JB220" s="27"/>
      <c r="JC220" s="5"/>
      <c r="JD220" s="7"/>
      <c r="JE220" s="54"/>
      <c r="JF220" s="5"/>
      <c r="JG220" s="5"/>
      <c r="JI220" s="27"/>
      <c r="JJ220" s="5"/>
      <c r="JK220" s="7"/>
      <c r="JL220" s="54"/>
      <c r="JM220" s="5"/>
      <c r="JN220" s="5"/>
      <c r="JP220" s="27"/>
      <c r="JQ220" s="5"/>
      <c r="JR220" s="7"/>
      <c r="JS220" s="54"/>
      <c r="JT220" s="5"/>
      <c r="JU220" s="5"/>
      <c r="JV220" s="62"/>
      <c r="JW220" s="27"/>
      <c r="JX220" s="5"/>
      <c r="JY220" s="7"/>
      <c r="JZ220" s="54"/>
      <c r="KA220" s="5"/>
      <c r="KB220" s="5"/>
      <c r="KD220" s="27"/>
      <c r="KE220" s="5"/>
      <c r="KF220" s="7"/>
      <c r="KG220" s="54"/>
      <c r="KH220" s="5"/>
      <c r="KI220" s="5"/>
      <c r="KK220" s="27"/>
      <c r="KL220" s="5"/>
      <c r="KM220" s="7"/>
      <c r="KN220" s="54"/>
      <c r="KO220" s="5"/>
      <c r="KP220" s="5"/>
      <c r="KR220" s="27"/>
      <c r="KS220" s="5"/>
      <c r="KT220" s="7"/>
      <c r="KU220" s="54"/>
      <c r="KV220" s="5"/>
      <c r="KW220" s="5"/>
      <c r="KY220" s="27"/>
      <c r="KZ220" s="5"/>
      <c r="LA220" s="7"/>
      <c r="LB220" s="54"/>
      <c r="LC220" s="5"/>
      <c r="LD220" s="5"/>
      <c r="LF220" s="27"/>
      <c r="LG220" s="5"/>
      <c r="LH220" s="7"/>
      <c r="LI220" s="54"/>
      <c r="LJ220" s="5"/>
      <c r="LK220" s="5"/>
      <c r="LM220" s="27"/>
      <c r="LN220" s="5"/>
      <c r="LO220" s="7"/>
      <c r="LP220" s="54"/>
      <c r="LQ220" s="5"/>
      <c r="LR220" s="5"/>
      <c r="LT220" s="27"/>
      <c r="LU220" s="5"/>
      <c r="LV220" s="7"/>
      <c r="LW220" s="54"/>
      <c r="LX220" s="5"/>
      <c r="LY220" s="5"/>
      <c r="MA220" s="27"/>
      <c r="MB220" s="5"/>
      <c r="MC220" s="7"/>
      <c r="MD220" s="54"/>
      <c r="ME220" s="5"/>
      <c r="MF220" s="5"/>
      <c r="MH220" s="27"/>
      <c r="MI220" s="5"/>
      <c r="MJ220" s="7"/>
      <c r="MK220" s="54"/>
      <c r="ML220" s="5"/>
      <c r="MM220" s="5"/>
      <c r="MO220" s="27"/>
      <c r="MP220" s="5"/>
      <c r="MQ220" s="7"/>
      <c r="MR220" s="54"/>
      <c r="MS220" s="5"/>
      <c r="MT220" s="5"/>
      <c r="MV220" s="27"/>
      <c r="MW220" s="5"/>
      <c r="MX220" s="7"/>
      <c r="MY220" s="54"/>
      <c r="MZ220" s="5"/>
      <c r="NA220" s="5"/>
      <c r="NC220" s="27"/>
      <c r="ND220" s="5"/>
      <c r="NE220" s="7"/>
      <c r="NF220" s="54"/>
      <c r="NG220" s="5"/>
      <c r="NH220" s="5"/>
      <c r="NJ220" s="27"/>
      <c r="NK220" s="5"/>
      <c r="NL220" s="7"/>
      <c r="NM220" s="54"/>
      <c r="NN220" s="5"/>
      <c r="NO220" s="5"/>
      <c r="NQ220" s="27"/>
      <c r="NR220" s="5"/>
      <c r="NS220" s="7"/>
      <c r="NT220" s="54"/>
      <c r="NU220" s="5"/>
      <c r="NV220" s="5"/>
      <c r="NX220" s="27"/>
      <c r="NY220" s="5"/>
      <c r="NZ220" s="7"/>
      <c r="OA220" s="54"/>
      <c r="OB220" s="5"/>
      <c r="OC220" s="5"/>
      <c r="OE220" s="27"/>
      <c r="OF220" s="5"/>
      <c r="OG220" s="7"/>
      <c r="OH220" s="54"/>
      <c r="OI220" s="5"/>
      <c r="OJ220" s="5"/>
      <c r="OL220" s="27"/>
      <c r="OM220" s="5"/>
      <c r="ON220" s="7"/>
      <c r="OO220" s="54"/>
      <c r="OP220" s="5"/>
      <c r="OQ220" s="5"/>
      <c r="OS220" s="27"/>
      <c r="OT220" s="5"/>
      <c r="OU220" s="7"/>
      <c r="OV220" s="54"/>
      <c r="OW220" s="5"/>
      <c r="OX220" s="5"/>
      <c r="OZ220" s="27"/>
      <c r="PA220" s="5"/>
      <c r="PB220" s="7"/>
      <c r="PC220" s="54"/>
      <c r="PD220" s="5"/>
      <c r="PE220" s="5"/>
      <c r="PG220" s="27"/>
      <c r="PH220" s="5"/>
      <c r="PI220" s="7"/>
      <c r="PJ220" s="54"/>
      <c r="PK220" s="5"/>
      <c r="PL220" s="5"/>
      <c r="PN220" s="27"/>
      <c r="PO220" s="5"/>
      <c r="PP220" s="7"/>
      <c r="PQ220" s="54"/>
      <c r="PR220" s="5"/>
      <c r="PS220" s="5"/>
      <c r="PU220" s="27"/>
      <c r="PV220" s="5"/>
      <c r="PW220" s="7"/>
      <c r="PX220" s="54"/>
      <c r="PY220" s="5"/>
      <c r="PZ220" s="5"/>
      <c r="QB220" s="27"/>
      <c r="QC220" s="5"/>
      <c r="QD220" s="7"/>
      <c r="QE220" s="54"/>
      <c r="QF220" s="5"/>
      <c r="QG220" s="5"/>
      <c r="QI220" s="27"/>
      <c r="QJ220" s="5"/>
      <c r="QK220" s="7"/>
      <c r="QL220" s="54"/>
      <c r="QM220" s="5"/>
      <c r="QN220" s="5"/>
      <c r="QP220" s="27"/>
      <c r="QQ220" s="5"/>
      <c r="QR220" s="7"/>
      <c r="QS220" s="54"/>
      <c r="QT220" s="5"/>
      <c r="QU220" s="5"/>
      <c r="QW220" s="27"/>
      <c r="QX220" s="5"/>
      <c r="QY220" s="7"/>
      <c r="QZ220" s="54"/>
      <c r="RA220" s="5"/>
      <c r="RB220" s="5"/>
      <c r="RD220" s="27"/>
      <c r="RE220" s="5"/>
      <c r="RF220" s="7"/>
      <c r="RG220" s="54"/>
      <c r="RH220" s="5"/>
      <c r="RI220" s="5"/>
      <c r="RK220" s="27"/>
      <c r="RL220" s="5"/>
      <c r="RM220" s="7"/>
      <c r="RN220" s="54"/>
      <c r="RO220" s="5"/>
      <c r="RP220" s="5"/>
      <c r="RR220" s="27"/>
      <c r="RS220" s="5"/>
      <c r="RT220" s="7"/>
      <c r="RU220" s="54"/>
      <c r="RV220" s="5"/>
      <c r="RW220" s="5"/>
      <c r="RY220" s="27"/>
      <c r="RZ220" s="5"/>
      <c r="SA220" s="7"/>
      <c r="SB220" s="54"/>
      <c r="SC220" s="5"/>
      <c r="SD220" s="5"/>
      <c r="SF220" s="27"/>
      <c r="SG220" s="5"/>
      <c r="SH220" s="7"/>
      <c r="SI220" s="54"/>
      <c r="SJ220" s="5"/>
      <c r="SK220" s="5"/>
      <c r="SM220" s="27"/>
      <c r="SN220" s="5"/>
      <c r="SO220" s="7"/>
      <c r="SP220" s="54"/>
      <c r="SQ220" s="5"/>
      <c r="SR220" s="5"/>
    </row>
    <row r="221" spans="1:512" x14ac:dyDescent="0.15">
      <c r="A221" s="103">
        <f>IF(D221=D220,A220,B221)</f>
        <v>10</v>
      </c>
      <c r="B221" s="74">
        <v>10</v>
      </c>
      <c r="C221" s="71" t="str">
        <f t="shared" si="1582"/>
        <v>Fam. Hofmann</v>
      </c>
      <c r="D221" s="102">
        <f t="shared" si="1584"/>
        <v>206.74999999999994</v>
      </c>
      <c r="E221" s="25"/>
      <c r="F221" s="26"/>
      <c r="G221" s="27"/>
      <c r="H221" s="28"/>
      <c r="I221" s="25"/>
      <c r="J221" s="25"/>
      <c r="K221" s="26"/>
      <c r="L221" s="62"/>
      <c r="M221" s="63" t="s">
        <v>271</v>
      </c>
      <c r="N221" s="62" t="s">
        <v>152</v>
      </c>
      <c r="O221" s="32"/>
      <c r="P221" s="61"/>
      <c r="Q221" s="62"/>
      <c r="R221" s="62"/>
      <c r="S221" s="63"/>
      <c r="T221" s="32"/>
      <c r="U221" s="32"/>
      <c r="V221" s="61"/>
      <c r="W221" s="62"/>
      <c r="X221" s="62"/>
      <c r="Y221" s="63"/>
      <c r="Z221" s="73"/>
      <c r="AA221" s="32"/>
      <c r="AB221" s="32"/>
      <c r="AC221" s="61"/>
      <c r="AD221" s="62"/>
      <c r="AE221" s="27"/>
      <c r="AF221" s="5"/>
      <c r="AG221" s="7"/>
      <c r="AH221" s="54"/>
      <c r="AI221" s="5"/>
      <c r="AJ221" s="5"/>
      <c r="AL221" s="27"/>
      <c r="AM221" s="5"/>
      <c r="AN221" s="7"/>
      <c r="AO221" s="54"/>
      <c r="AP221" s="5"/>
      <c r="AQ221" s="5"/>
      <c r="AS221" s="27"/>
      <c r="AT221" s="5"/>
      <c r="AU221" s="7"/>
      <c r="AV221" s="54"/>
      <c r="AW221" s="5"/>
      <c r="AX221" s="5"/>
      <c r="AZ221" s="27"/>
      <c r="BA221" s="5"/>
      <c r="BB221" s="7"/>
      <c r="BC221" s="54"/>
      <c r="BD221" s="5"/>
      <c r="BE221" s="5"/>
      <c r="BF221" s="62"/>
      <c r="BG221" s="27"/>
      <c r="BH221" s="5"/>
      <c r="BI221" s="7"/>
      <c r="BJ221" s="54"/>
      <c r="BK221" s="5"/>
      <c r="BL221" s="5"/>
      <c r="BN221" s="27"/>
      <c r="BO221" s="5"/>
      <c r="BP221" s="7"/>
      <c r="BQ221" s="54"/>
      <c r="BR221" s="5"/>
      <c r="BS221" s="5"/>
      <c r="BU221" s="27"/>
      <c r="BV221" s="5"/>
      <c r="BW221" s="7"/>
      <c r="BX221" s="54"/>
      <c r="BY221" s="5"/>
      <c r="BZ221" s="5"/>
      <c r="CB221" s="27"/>
      <c r="CC221" s="5"/>
      <c r="CD221" s="7"/>
      <c r="CE221" s="54"/>
      <c r="CF221" s="5"/>
      <c r="CG221" s="5"/>
      <c r="CH221" s="62"/>
      <c r="CI221" s="27"/>
      <c r="CJ221" s="5"/>
      <c r="CK221" s="7"/>
      <c r="CL221" s="54"/>
      <c r="CM221" s="5"/>
      <c r="CN221" s="5"/>
      <c r="CP221" s="27"/>
      <c r="CQ221" s="5"/>
      <c r="CR221" s="7"/>
      <c r="CS221" s="54"/>
      <c r="CT221" s="5"/>
      <c r="CU221" s="5"/>
      <c r="CW221" s="27"/>
      <c r="CX221" s="5"/>
      <c r="CY221" s="7"/>
      <c r="CZ221" s="54"/>
      <c r="DA221" s="5"/>
      <c r="DB221" s="5"/>
      <c r="DD221" s="27"/>
      <c r="DE221" s="5"/>
      <c r="DF221" s="7"/>
      <c r="DG221" s="54"/>
      <c r="DH221" s="5"/>
      <c r="DI221" s="5"/>
      <c r="DJ221" s="62"/>
      <c r="DK221" s="27"/>
      <c r="DL221" s="5"/>
      <c r="DM221" s="7"/>
      <c r="DN221" s="54"/>
      <c r="DO221" s="5"/>
      <c r="DP221" s="5"/>
      <c r="DR221" s="27"/>
      <c r="DS221" s="5"/>
      <c r="DT221" s="7"/>
      <c r="DU221" s="54"/>
      <c r="DV221" s="5"/>
      <c r="DW221" s="5"/>
      <c r="DY221" s="27"/>
      <c r="DZ221" s="5"/>
      <c r="EA221" s="7"/>
      <c r="EB221" s="54"/>
      <c r="EC221" s="5"/>
      <c r="ED221" s="5"/>
      <c r="EF221" s="27"/>
      <c r="EG221" s="5"/>
      <c r="EH221" s="7"/>
      <c r="EI221" s="54"/>
      <c r="EJ221" s="5"/>
      <c r="EK221" s="5"/>
      <c r="EL221" s="62"/>
      <c r="EM221" s="27"/>
      <c r="EN221" s="5"/>
      <c r="EO221" s="7"/>
      <c r="EP221" s="54"/>
      <c r="EQ221" s="5"/>
      <c r="ER221" s="5"/>
      <c r="ET221" s="27"/>
      <c r="EU221" s="5"/>
      <c r="EV221" s="7"/>
      <c r="EW221" s="54"/>
      <c r="EX221" s="5"/>
      <c r="EY221" s="5"/>
      <c r="FA221" s="27"/>
      <c r="FB221" s="5"/>
      <c r="FC221" s="7"/>
      <c r="FD221" s="54"/>
      <c r="FE221" s="5"/>
      <c r="FF221" s="5"/>
      <c r="FH221" s="27"/>
      <c r="FI221" s="5"/>
      <c r="FJ221" s="7"/>
      <c r="FK221" s="54"/>
      <c r="FL221" s="5"/>
      <c r="FM221" s="5"/>
      <c r="FN221" s="62"/>
      <c r="FO221" s="27"/>
      <c r="FP221" s="5"/>
      <c r="FQ221" s="7"/>
      <c r="FR221" s="54"/>
      <c r="FS221" s="5"/>
      <c r="FT221" s="5"/>
      <c r="FV221" s="27"/>
      <c r="FW221" s="5"/>
      <c r="FX221" s="7"/>
      <c r="FY221" s="54"/>
      <c r="FZ221" s="5"/>
      <c r="GA221" s="5"/>
      <c r="GC221" s="27"/>
      <c r="GD221" s="5"/>
      <c r="GE221" s="7"/>
      <c r="GF221" s="54"/>
      <c r="GG221" s="5"/>
      <c r="GH221" s="5"/>
      <c r="GJ221" s="27"/>
      <c r="GK221" s="5"/>
      <c r="GL221" s="7"/>
      <c r="GM221" s="54"/>
      <c r="GN221" s="5"/>
      <c r="GO221" s="5"/>
      <c r="GP221" s="62"/>
      <c r="GQ221" s="27"/>
      <c r="GR221" s="5"/>
      <c r="GS221" s="7"/>
      <c r="GT221" s="54"/>
      <c r="GU221" s="5"/>
      <c r="GV221" s="5"/>
      <c r="GX221" s="27"/>
      <c r="GY221" s="5"/>
      <c r="GZ221" s="7"/>
      <c r="HA221" s="54"/>
      <c r="HB221" s="5"/>
      <c r="HC221" s="5"/>
      <c r="HE221" s="27"/>
      <c r="HF221" s="5"/>
      <c r="HG221" s="7"/>
      <c r="HH221" s="54"/>
      <c r="HI221" s="5"/>
      <c r="HJ221" s="5"/>
      <c r="HL221" s="27"/>
      <c r="HM221" s="5"/>
      <c r="HN221" s="7"/>
      <c r="HO221" s="54"/>
      <c r="HP221" s="5"/>
      <c r="HQ221" s="5"/>
      <c r="HR221" s="62"/>
      <c r="HS221" s="27"/>
      <c r="HT221" s="5"/>
      <c r="HU221" s="7"/>
      <c r="HV221" s="54"/>
      <c r="HW221" s="5"/>
      <c r="HX221" s="5"/>
      <c r="HZ221" s="27"/>
      <c r="IA221" s="5"/>
      <c r="IB221" s="7"/>
      <c r="IC221" s="54"/>
      <c r="ID221" s="5"/>
      <c r="IE221" s="5"/>
      <c r="IG221" s="27"/>
      <c r="IH221" s="5"/>
      <c r="II221" s="7"/>
      <c r="IJ221" s="54"/>
      <c r="IK221" s="5"/>
      <c r="IL221" s="5"/>
      <c r="IN221" s="27"/>
      <c r="IO221" s="5"/>
      <c r="IP221" s="7"/>
      <c r="IQ221" s="54"/>
      <c r="IR221" s="5"/>
      <c r="IS221" s="5"/>
      <c r="IT221" s="62"/>
      <c r="IU221" s="27"/>
      <c r="IV221" s="5"/>
      <c r="IW221" s="7"/>
      <c r="IX221" s="54"/>
      <c r="IY221" s="5"/>
      <c r="IZ221" s="5"/>
      <c r="JB221" s="27"/>
      <c r="JC221" s="5"/>
      <c r="JD221" s="7"/>
      <c r="JE221" s="54"/>
      <c r="JF221" s="5"/>
      <c r="JG221" s="5"/>
      <c r="JI221" s="27"/>
      <c r="JJ221" s="5"/>
      <c r="JK221" s="7"/>
      <c r="JL221" s="54"/>
      <c r="JM221" s="5"/>
      <c r="JN221" s="5"/>
      <c r="JP221" s="27"/>
      <c r="JQ221" s="5"/>
      <c r="JR221" s="7"/>
      <c r="JS221" s="54"/>
      <c r="JT221" s="5"/>
      <c r="JU221" s="5"/>
      <c r="JV221" s="62"/>
      <c r="JW221" s="27"/>
      <c r="JX221" s="5"/>
      <c r="JY221" s="7"/>
      <c r="JZ221" s="54"/>
      <c r="KA221" s="5"/>
      <c r="KB221" s="5"/>
      <c r="KD221" s="27"/>
      <c r="KE221" s="5"/>
      <c r="KF221" s="7"/>
      <c r="KG221" s="54"/>
      <c r="KH221" s="5"/>
      <c r="KI221" s="5"/>
      <c r="KK221" s="27"/>
      <c r="KL221" s="5"/>
      <c r="KM221" s="7"/>
      <c r="KN221" s="54"/>
      <c r="KO221" s="5"/>
      <c r="KP221" s="5"/>
      <c r="KR221" s="27"/>
      <c r="KS221" s="5"/>
      <c r="KT221" s="7"/>
      <c r="KU221" s="54"/>
      <c r="KV221" s="5"/>
      <c r="KW221" s="5"/>
      <c r="KY221" s="27"/>
      <c r="KZ221" s="5"/>
      <c r="LA221" s="7"/>
      <c r="LB221" s="54"/>
      <c r="LC221" s="5"/>
      <c r="LD221" s="5"/>
      <c r="LF221" s="27"/>
      <c r="LG221" s="5"/>
      <c r="LH221" s="7"/>
      <c r="LI221" s="54"/>
      <c r="LJ221" s="5"/>
      <c r="LK221" s="5"/>
      <c r="LM221" s="27"/>
      <c r="LN221" s="5"/>
      <c r="LO221" s="7"/>
      <c r="LP221" s="54"/>
      <c r="LQ221" s="5"/>
      <c r="LR221" s="5"/>
      <c r="LT221" s="27"/>
      <c r="LU221" s="5"/>
      <c r="LV221" s="7"/>
      <c r="LW221" s="54"/>
      <c r="LX221" s="5"/>
      <c r="LY221" s="5"/>
      <c r="MA221" s="27"/>
      <c r="MB221" s="5"/>
      <c r="MC221" s="7"/>
      <c r="MD221" s="54"/>
      <c r="ME221" s="5"/>
      <c r="MF221" s="5"/>
      <c r="MH221" s="27"/>
      <c r="MI221" s="5"/>
      <c r="MJ221" s="7"/>
      <c r="MK221" s="54"/>
      <c r="ML221" s="5"/>
      <c r="MM221" s="5"/>
      <c r="MO221" s="27"/>
      <c r="MP221" s="5"/>
      <c r="MQ221" s="7"/>
      <c r="MR221" s="54"/>
      <c r="MS221" s="5"/>
      <c r="MT221" s="5"/>
      <c r="MV221" s="27"/>
      <c r="MW221" s="5"/>
      <c r="MX221" s="7"/>
      <c r="MY221" s="54"/>
      <c r="MZ221" s="5"/>
      <c r="NA221" s="5"/>
      <c r="NC221" s="27"/>
      <c r="ND221" s="5"/>
      <c r="NE221" s="7"/>
      <c r="NF221" s="54"/>
      <c r="NG221" s="5"/>
      <c r="NH221" s="5"/>
      <c r="NJ221" s="27"/>
      <c r="NK221" s="5"/>
      <c r="NL221" s="7"/>
      <c r="NM221" s="54"/>
      <c r="NN221" s="5"/>
      <c r="NO221" s="5"/>
      <c r="NQ221" s="27"/>
      <c r="NR221" s="5"/>
      <c r="NS221" s="7"/>
      <c r="NT221" s="54"/>
      <c r="NU221" s="5"/>
      <c r="NV221" s="5"/>
      <c r="NX221" s="27"/>
      <c r="NY221" s="5"/>
      <c r="NZ221" s="7"/>
      <c r="OA221" s="54"/>
      <c r="OB221" s="5"/>
      <c r="OC221" s="5"/>
      <c r="OE221" s="27"/>
      <c r="OF221" s="5"/>
      <c r="OG221" s="7"/>
      <c r="OH221" s="54"/>
      <c r="OI221" s="5"/>
      <c r="OJ221" s="5"/>
      <c r="OL221" s="27"/>
      <c r="OM221" s="5"/>
      <c r="ON221" s="7"/>
      <c r="OO221" s="54"/>
      <c r="OP221" s="5"/>
      <c r="OQ221" s="5"/>
      <c r="OS221" s="27"/>
      <c r="OT221" s="5"/>
      <c r="OU221" s="7"/>
      <c r="OV221" s="54"/>
      <c r="OW221" s="5"/>
      <c r="OX221" s="5"/>
      <c r="OZ221" s="27"/>
      <c r="PA221" s="5"/>
      <c r="PB221" s="7"/>
      <c r="PC221" s="54"/>
      <c r="PD221" s="5"/>
      <c r="PE221" s="5"/>
      <c r="PG221" s="27"/>
      <c r="PH221" s="5"/>
      <c r="PI221" s="7"/>
      <c r="PJ221" s="54"/>
      <c r="PK221" s="5"/>
      <c r="PL221" s="5"/>
      <c r="PN221" s="27"/>
      <c r="PO221" s="5"/>
      <c r="PP221" s="7"/>
      <c r="PQ221" s="54"/>
      <c r="PR221" s="5"/>
      <c r="PS221" s="5"/>
      <c r="PU221" s="27"/>
      <c r="PV221" s="5"/>
      <c r="PW221" s="7"/>
      <c r="PX221" s="54"/>
      <c r="PY221" s="5"/>
      <c r="PZ221" s="5"/>
      <c r="QB221" s="27"/>
      <c r="QC221" s="5"/>
      <c r="QD221" s="7"/>
      <c r="QE221" s="54"/>
      <c r="QF221" s="5"/>
      <c r="QG221" s="5"/>
      <c r="QI221" s="27"/>
      <c r="QJ221" s="5"/>
      <c r="QK221" s="7"/>
      <c r="QL221" s="54"/>
      <c r="QM221" s="5"/>
      <c r="QN221" s="5"/>
      <c r="QP221" s="27"/>
      <c r="QQ221" s="5"/>
      <c r="QR221" s="7"/>
      <c r="QS221" s="54"/>
      <c r="QT221" s="5"/>
      <c r="QU221" s="5"/>
      <c r="QW221" s="27"/>
      <c r="QX221" s="5"/>
      <c r="QY221" s="7"/>
      <c r="QZ221" s="54"/>
      <c r="RA221" s="5"/>
      <c r="RB221" s="5"/>
      <c r="RD221" s="27"/>
      <c r="RE221" s="5"/>
      <c r="RF221" s="7"/>
      <c r="RG221" s="54"/>
      <c r="RH221" s="5"/>
      <c r="RI221" s="5"/>
      <c r="RK221" s="27"/>
      <c r="RL221" s="5"/>
      <c r="RM221" s="7"/>
      <c r="RN221" s="54"/>
      <c r="RO221" s="5"/>
      <c r="RP221" s="5"/>
      <c r="RR221" s="27"/>
      <c r="RS221" s="5"/>
      <c r="RT221" s="7"/>
      <c r="RU221" s="54"/>
      <c r="RV221" s="5"/>
      <c r="RW221" s="5"/>
      <c r="RY221" s="27"/>
      <c r="RZ221" s="5"/>
      <c r="SA221" s="7"/>
      <c r="SB221" s="54"/>
      <c r="SC221" s="5"/>
      <c r="SD221" s="5"/>
      <c r="SF221" s="27"/>
      <c r="SG221" s="5"/>
      <c r="SH221" s="7"/>
      <c r="SI221" s="54"/>
      <c r="SJ221" s="5"/>
      <c r="SK221" s="5"/>
      <c r="SM221" s="27"/>
      <c r="SN221" s="5"/>
      <c r="SO221" s="7"/>
      <c r="SP221" s="54"/>
      <c r="SQ221" s="5"/>
      <c r="SR221" s="5"/>
    </row>
    <row r="222" spans="1:512" x14ac:dyDescent="0.15">
      <c r="A222" s="103">
        <f>IF(D222=D221,A221,B222)</f>
        <v>11</v>
      </c>
      <c r="B222" s="74">
        <v>11</v>
      </c>
      <c r="C222" s="71" t="str">
        <f t="shared" si="1582"/>
        <v>Fam. Schulz</v>
      </c>
      <c r="D222" s="102">
        <f t="shared" si="1584"/>
        <v>206.47499999999997</v>
      </c>
      <c r="E222" s="25"/>
      <c r="F222" s="26"/>
      <c r="G222" s="27"/>
      <c r="H222" s="28"/>
      <c r="I222" s="25"/>
      <c r="J222" s="25"/>
      <c r="K222" s="26"/>
      <c r="L222" s="62"/>
      <c r="M222" s="32" t="s">
        <v>272</v>
      </c>
      <c r="N222" s="62" t="s">
        <v>153</v>
      </c>
      <c r="O222" s="32"/>
      <c r="P222" s="61"/>
      <c r="Q222" s="62"/>
      <c r="R222" s="62"/>
      <c r="S222" s="63"/>
      <c r="T222" s="32"/>
      <c r="U222" s="32"/>
      <c r="V222" s="61"/>
      <c r="W222" s="62"/>
      <c r="X222" s="62"/>
      <c r="Y222" s="62"/>
      <c r="Z222" s="63"/>
      <c r="AA222" s="32"/>
      <c r="AB222" s="32"/>
      <c r="AC222" s="61"/>
      <c r="AD222" s="62"/>
      <c r="AE222" s="27"/>
      <c r="AF222" s="5"/>
      <c r="AG222" s="7"/>
      <c r="AH222" s="54"/>
      <c r="AI222" s="5"/>
      <c r="AJ222" s="5"/>
      <c r="AL222" s="27"/>
      <c r="AM222" s="5"/>
      <c r="AN222" s="7"/>
      <c r="AO222" s="54"/>
      <c r="AP222" s="5"/>
      <c r="AQ222" s="5"/>
      <c r="AS222" s="27"/>
      <c r="AT222" s="5"/>
      <c r="AU222" s="7"/>
      <c r="AV222" s="54"/>
      <c r="AW222" s="5"/>
      <c r="AX222" s="5"/>
      <c r="AZ222" s="27"/>
      <c r="BA222" s="5"/>
      <c r="BB222" s="7"/>
      <c r="BC222" s="54"/>
      <c r="BD222" s="5"/>
      <c r="BE222" s="5"/>
      <c r="BF222" s="62"/>
      <c r="BG222" s="27"/>
      <c r="BH222" s="5"/>
      <c r="BI222" s="7"/>
      <c r="BJ222" s="54"/>
      <c r="BK222" s="5"/>
      <c r="BL222" s="5"/>
      <c r="BN222" s="27"/>
      <c r="BO222" s="5"/>
      <c r="BP222" s="7"/>
      <c r="BQ222" s="54"/>
      <c r="BR222" s="5"/>
      <c r="BS222" s="5"/>
      <c r="BU222" s="27"/>
      <c r="BV222" s="5"/>
      <c r="BW222" s="7"/>
      <c r="BX222" s="54"/>
      <c r="BY222" s="5"/>
      <c r="BZ222" s="5"/>
      <c r="CB222" s="27"/>
      <c r="CC222" s="5"/>
      <c r="CD222" s="7"/>
      <c r="CE222" s="54"/>
      <c r="CF222" s="5"/>
      <c r="CG222" s="5"/>
      <c r="CH222" s="62"/>
      <c r="CI222" s="27"/>
      <c r="CJ222" s="5"/>
      <c r="CK222" s="7"/>
      <c r="CL222" s="54"/>
      <c r="CM222" s="5"/>
      <c r="CN222" s="5"/>
      <c r="CP222" s="27"/>
      <c r="CQ222" s="5"/>
      <c r="CR222" s="7"/>
      <c r="CS222" s="54"/>
      <c r="CT222" s="5"/>
      <c r="CU222" s="5"/>
      <c r="CW222" s="27"/>
      <c r="CX222" s="5"/>
      <c r="CY222" s="7"/>
      <c r="CZ222" s="54"/>
      <c r="DA222" s="5"/>
      <c r="DB222" s="5"/>
      <c r="DD222" s="27"/>
      <c r="DE222" s="5"/>
      <c r="DF222" s="7"/>
      <c r="DG222" s="54"/>
      <c r="DH222" s="5"/>
      <c r="DI222" s="5"/>
      <c r="DJ222" s="62"/>
      <c r="DK222" s="27"/>
      <c r="DL222" s="5"/>
      <c r="DM222" s="7"/>
      <c r="DN222" s="54"/>
      <c r="DO222" s="5"/>
      <c r="DP222" s="5"/>
      <c r="DR222" s="27"/>
      <c r="DS222" s="5"/>
      <c r="DT222" s="7"/>
      <c r="DU222" s="54"/>
      <c r="DV222" s="5"/>
      <c r="DW222" s="5"/>
      <c r="DY222" s="27"/>
      <c r="DZ222" s="5"/>
      <c r="EA222" s="7"/>
      <c r="EB222" s="54"/>
      <c r="EC222" s="5"/>
      <c r="ED222" s="5"/>
      <c r="EF222" s="27"/>
      <c r="EG222" s="5"/>
      <c r="EH222" s="7"/>
      <c r="EI222" s="54"/>
      <c r="EJ222" s="5"/>
      <c r="EK222" s="5"/>
      <c r="EL222" s="62"/>
      <c r="EM222" s="27"/>
      <c r="EN222" s="5"/>
      <c r="EO222" s="7"/>
      <c r="EP222" s="54"/>
      <c r="EQ222" s="5"/>
      <c r="ER222" s="5"/>
      <c r="ET222" s="27"/>
      <c r="EU222" s="5"/>
      <c r="EV222" s="7"/>
      <c r="EW222" s="54"/>
      <c r="EX222" s="5"/>
      <c r="EY222" s="5"/>
      <c r="FA222" s="27"/>
      <c r="FB222" s="5"/>
      <c r="FC222" s="7"/>
      <c r="FD222" s="54"/>
      <c r="FE222" s="5"/>
      <c r="FF222" s="5"/>
      <c r="FH222" s="27"/>
      <c r="FI222" s="5"/>
      <c r="FJ222" s="7"/>
      <c r="FK222" s="54"/>
      <c r="FL222" s="5"/>
      <c r="FM222" s="5"/>
      <c r="FN222" s="62"/>
      <c r="FO222" s="27"/>
      <c r="FP222" s="5"/>
      <c r="FQ222" s="7"/>
      <c r="FR222" s="54"/>
      <c r="FS222" s="5"/>
      <c r="FT222" s="5"/>
      <c r="FV222" s="27"/>
      <c r="FW222" s="5"/>
      <c r="FX222" s="7"/>
      <c r="FY222" s="54"/>
      <c r="FZ222" s="5"/>
      <c r="GA222" s="5"/>
      <c r="GC222" s="27"/>
      <c r="GD222" s="5"/>
      <c r="GE222" s="7"/>
      <c r="GF222" s="54"/>
      <c r="GG222" s="5"/>
      <c r="GH222" s="5"/>
      <c r="GJ222" s="27"/>
      <c r="GK222" s="5"/>
      <c r="GL222" s="7"/>
      <c r="GM222" s="54"/>
      <c r="GN222" s="5"/>
      <c r="GO222" s="5"/>
      <c r="GP222" s="62"/>
      <c r="GQ222" s="27"/>
      <c r="GR222" s="5"/>
      <c r="GS222" s="7"/>
      <c r="GT222" s="54"/>
      <c r="GU222" s="5"/>
      <c r="GV222" s="5"/>
      <c r="GX222" s="27"/>
      <c r="GY222" s="5"/>
      <c r="GZ222" s="7"/>
      <c r="HA222" s="54"/>
      <c r="HB222" s="5"/>
      <c r="HC222" s="5"/>
      <c r="HE222" s="27"/>
      <c r="HF222" s="5"/>
      <c r="HG222" s="7"/>
      <c r="HH222" s="54"/>
      <c r="HI222" s="5"/>
      <c r="HJ222" s="5"/>
      <c r="HL222" s="27"/>
      <c r="HM222" s="5"/>
      <c r="HN222" s="7"/>
      <c r="HO222" s="54"/>
      <c r="HP222" s="5"/>
      <c r="HQ222" s="5"/>
      <c r="HR222" s="62"/>
      <c r="HS222" s="27"/>
      <c r="HT222" s="5"/>
      <c r="HU222" s="7"/>
      <c r="HV222" s="54"/>
      <c r="HW222" s="5"/>
      <c r="HX222" s="5"/>
      <c r="HZ222" s="27"/>
      <c r="IA222" s="5"/>
      <c r="IB222" s="7"/>
      <c r="IC222" s="54"/>
      <c r="ID222" s="5"/>
      <c r="IE222" s="5"/>
      <c r="IG222" s="27"/>
      <c r="IH222" s="5"/>
      <c r="II222" s="7"/>
      <c r="IJ222" s="54"/>
      <c r="IK222" s="5"/>
      <c r="IL222" s="5"/>
      <c r="IN222" s="27"/>
      <c r="IO222" s="5"/>
      <c r="IP222" s="7"/>
      <c r="IQ222" s="54"/>
      <c r="IR222" s="5"/>
      <c r="IS222" s="5"/>
      <c r="IT222" s="62"/>
      <c r="IU222" s="27"/>
      <c r="IV222" s="5"/>
      <c r="IW222" s="7"/>
      <c r="IX222" s="54"/>
      <c r="IY222" s="5"/>
      <c r="IZ222" s="5"/>
      <c r="JB222" s="27"/>
      <c r="JC222" s="5"/>
      <c r="JD222" s="7"/>
      <c r="JE222" s="54"/>
      <c r="JF222" s="5"/>
      <c r="JG222" s="5"/>
      <c r="JI222" s="27"/>
      <c r="JJ222" s="5"/>
      <c r="JK222" s="7"/>
      <c r="JL222" s="54"/>
      <c r="JM222" s="5"/>
      <c r="JN222" s="5"/>
      <c r="JP222" s="27"/>
      <c r="JQ222" s="5"/>
      <c r="JR222" s="7"/>
      <c r="JS222" s="54"/>
      <c r="JT222" s="5"/>
      <c r="JU222" s="5"/>
      <c r="JV222" s="62"/>
      <c r="JW222" s="27"/>
      <c r="JX222" s="5"/>
      <c r="JY222" s="7"/>
      <c r="JZ222" s="54"/>
      <c r="KA222" s="5"/>
      <c r="KB222" s="5"/>
      <c r="KD222" s="27"/>
      <c r="KE222" s="5"/>
      <c r="KF222" s="7"/>
      <c r="KG222" s="54"/>
      <c r="KH222" s="5"/>
      <c r="KI222" s="5"/>
      <c r="KK222" s="27"/>
      <c r="KL222" s="5"/>
      <c r="KM222" s="7"/>
      <c r="KN222" s="54"/>
      <c r="KO222" s="5"/>
      <c r="KP222" s="5"/>
      <c r="KR222" s="27"/>
      <c r="KS222" s="5"/>
      <c r="KT222" s="7"/>
      <c r="KU222" s="54"/>
      <c r="KV222" s="5"/>
      <c r="KW222" s="5"/>
      <c r="KY222" s="27"/>
      <c r="KZ222" s="5"/>
      <c r="LA222" s="7"/>
      <c r="LB222" s="54"/>
      <c r="LC222" s="5"/>
      <c r="LD222" s="5"/>
      <c r="LF222" s="27"/>
      <c r="LG222" s="5"/>
      <c r="LH222" s="7"/>
      <c r="LI222" s="54"/>
      <c r="LJ222" s="5"/>
      <c r="LK222" s="5"/>
      <c r="LM222" s="27"/>
      <c r="LN222" s="5"/>
      <c r="LO222" s="7"/>
      <c r="LP222" s="54"/>
      <c r="LQ222" s="5"/>
      <c r="LR222" s="5"/>
      <c r="LT222" s="27"/>
      <c r="LU222" s="5"/>
      <c r="LV222" s="7"/>
      <c r="LW222" s="54"/>
      <c r="LX222" s="5"/>
      <c r="LY222" s="5"/>
      <c r="MA222" s="27"/>
      <c r="MB222" s="5"/>
      <c r="MC222" s="7"/>
      <c r="MD222" s="54"/>
      <c r="ME222" s="5"/>
      <c r="MF222" s="5"/>
      <c r="MH222" s="27"/>
      <c r="MI222" s="5"/>
      <c r="MJ222" s="7"/>
      <c r="MK222" s="54"/>
      <c r="ML222" s="5"/>
      <c r="MM222" s="5"/>
      <c r="MO222" s="27"/>
      <c r="MP222" s="5"/>
      <c r="MQ222" s="7"/>
      <c r="MR222" s="54"/>
      <c r="MS222" s="5"/>
      <c r="MT222" s="5"/>
      <c r="MV222" s="27"/>
      <c r="MW222" s="5"/>
      <c r="MX222" s="7"/>
      <c r="MY222" s="54"/>
      <c r="MZ222" s="5"/>
      <c r="NA222" s="5"/>
      <c r="NC222" s="27"/>
      <c r="ND222" s="5"/>
      <c r="NE222" s="7"/>
      <c r="NF222" s="54"/>
      <c r="NG222" s="5"/>
      <c r="NH222" s="5"/>
      <c r="NJ222" s="27"/>
      <c r="NK222" s="5"/>
      <c r="NL222" s="7"/>
      <c r="NM222" s="54"/>
      <c r="NN222" s="5"/>
      <c r="NO222" s="5"/>
      <c r="NQ222" s="27"/>
      <c r="NR222" s="5"/>
      <c r="NS222" s="7"/>
      <c r="NT222" s="54"/>
      <c r="NU222" s="5"/>
      <c r="NV222" s="5"/>
      <c r="NX222" s="27"/>
      <c r="NY222" s="5"/>
      <c r="NZ222" s="7"/>
      <c r="OA222" s="54"/>
      <c r="OB222" s="5"/>
      <c r="OC222" s="5"/>
      <c r="OE222" s="27"/>
      <c r="OF222" s="5"/>
      <c r="OG222" s="7"/>
      <c r="OH222" s="54"/>
      <c r="OI222" s="5"/>
      <c r="OJ222" s="5"/>
      <c r="OL222" s="27"/>
      <c r="OM222" s="5"/>
      <c r="ON222" s="7"/>
      <c r="OO222" s="54"/>
      <c r="OP222" s="5"/>
      <c r="OQ222" s="5"/>
      <c r="OS222" s="27"/>
      <c r="OT222" s="5"/>
      <c r="OU222" s="7"/>
      <c r="OV222" s="54"/>
      <c r="OW222" s="5"/>
      <c r="OX222" s="5"/>
      <c r="OZ222" s="27"/>
      <c r="PA222" s="5"/>
      <c r="PB222" s="7"/>
      <c r="PC222" s="54"/>
      <c r="PD222" s="5"/>
      <c r="PE222" s="5"/>
      <c r="PG222" s="27"/>
      <c r="PH222" s="5"/>
      <c r="PI222" s="7"/>
      <c r="PJ222" s="54"/>
      <c r="PK222" s="5"/>
      <c r="PL222" s="5"/>
      <c r="PN222" s="27"/>
      <c r="PO222" s="5"/>
      <c r="PP222" s="7"/>
      <c r="PQ222" s="54"/>
      <c r="PR222" s="5"/>
      <c r="PS222" s="5"/>
      <c r="PU222" s="27"/>
      <c r="PV222" s="5"/>
      <c r="PW222" s="7"/>
      <c r="PX222" s="54"/>
      <c r="PY222" s="5"/>
      <c r="PZ222" s="5"/>
      <c r="QB222" s="27"/>
      <c r="QC222" s="5"/>
      <c r="QD222" s="7"/>
      <c r="QE222" s="54"/>
      <c r="QF222" s="5"/>
      <c r="QG222" s="5"/>
      <c r="QI222" s="27"/>
      <c r="QJ222" s="5"/>
      <c r="QK222" s="7"/>
      <c r="QL222" s="54"/>
      <c r="QM222" s="5"/>
      <c r="QN222" s="5"/>
      <c r="QP222" s="27"/>
      <c r="QQ222" s="5"/>
      <c r="QR222" s="7"/>
      <c r="QS222" s="54"/>
      <c r="QT222" s="5"/>
      <c r="QU222" s="5"/>
      <c r="QW222" s="27"/>
      <c r="QX222" s="5"/>
      <c r="QY222" s="7"/>
      <c r="QZ222" s="54"/>
      <c r="RA222" s="5"/>
      <c r="RB222" s="5"/>
      <c r="RD222" s="27"/>
      <c r="RE222" s="5"/>
      <c r="RF222" s="7"/>
      <c r="RG222" s="54"/>
      <c r="RH222" s="5"/>
      <c r="RI222" s="5"/>
      <c r="RK222" s="27"/>
      <c r="RL222" s="5"/>
      <c r="RM222" s="7"/>
      <c r="RN222" s="54"/>
      <c r="RO222" s="5"/>
      <c r="RP222" s="5"/>
      <c r="RR222" s="27"/>
      <c r="RS222" s="5"/>
      <c r="RT222" s="7"/>
      <c r="RU222" s="54"/>
      <c r="RV222" s="5"/>
      <c r="RW222" s="5"/>
      <c r="RY222" s="27"/>
      <c r="RZ222" s="5"/>
      <c r="SA222" s="7"/>
      <c r="SB222" s="54"/>
      <c r="SC222" s="5"/>
      <c r="SD222" s="5"/>
      <c r="SF222" s="27"/>
      <c r="SG222" s="5"/>
      <c r="SH222" s="7"/>
      <c r="SI222" s="54"/>
      <c r="SJ222" s="5"/>
      <c r="SK222" s="5"/>
      <c r="SM222" s="27"/>
      <c r="SN222" s="5"/>
      <c r="SO222" s="7"/>
      <c r="SP222" s="54"/>
      <c r="SQ222" s="5"/>
      <c r="SR222" s="5"/>
    </row>
    <row r="223" spans="1:512" x14ac:dyDescent="0.15">
      <c r="A223" s="103">
        <f>IF(D223=D222,A222,B223)</f>
        <v>12</v>
      </c>
      <c r="B223" s="74">
        <v>12</v>
      </c>
      <c r="C223" s="71" t="str">
        <f t="shared" si="1582"/>
        <v>Fam. Keilmann</v>
      </c>
      <c r="D223" s="102">
        <f t="shared" si="1584"/>
        <v>183.94</v>
      </c>
      <c r="E223" s="25"/>
      <c r="F223" s="26"/>
      <c r="G223" s="27"/>
      <c r="H223" s="28"/>
      <c r="I223" s="25"/>
      <c r="J223" s="25"/>
      <c r="K223" s="26"/>
      <c r="L223" s="62"/>
      <c r="M223" s="62" t="s">
        <v>273</v>
      </c>
      <c r="N223" s="62" t="s">
        <v>154</v>
      </c>
      <c r="O223" s="32"/>
      <c r="P223" s="61"/>
      <c r="Q223" s="62"/>
      <c r="R223" s="62"/>
      <c r="S223" s="63"/>
      <c r="T223" s="32"/>
      <c r="U223" s="32"/>
      <c r="V223" s="61"/>
      <c r="W223" s="62"/>
      <c r="X223" s="62"/>
      <c r="Y223" s="62"/>
      <c r="Z223" s="63"/>
      <c r="AA223" s="32"/>
      <c r="AB223" s="32"/>
      <c r="AC223" s="61"/>
      <c r="AD223" s="62"/>
      <c r="AE223" s="27"/>
      <c r="AF223" s="5"/>
      <c r="AG223" s="7"/>
      <c r="AH223" s="54"/>
      <c r="AI223" s="5"/>
      <c r="AJ223" s="5"/>
      <c r="AL223" s="27"/>
      <c r="AM223" s="5"/>
      <c r="AN223" s="7"/>
      <c r="AO223" s="54"/>
      <c r="AP223" s="5"/>
      <c r="AQ223" s="5"/>
      <c r="AS223" s="27"/>
      <c r="AT223" s="5"/>
      <c r="AU223" s="7"/>
      <c r="AV223" s="54"/>
      <c r="AW223" s="5"/>
      <c r="AX223" s="5"/>
      <c r="AZ223" s="27"/>
      <c r="BA223" s="5"/>
      <c r="BB223" s="7"/>
      <c r="BC223" s="54"/>
      <c r="BD223" s="5"/>
      <c r="BE223" s="5"/>
      <c r="BF223" s="62"/>
      <c r="BG223" s="27"/>
      <c r="BH223" s="5"/>
      <c r="BI223" s="7"/>
      <c r="BJ223" s="54"/>
      <c r="BK223" s="5"/>
      <c r="BL223" s="5"/>
      <c r="BN223" s="27"/>
      <c r="BO223" s="5"/>
      <c r="BP223" s="7"/>
      <c r="BQ223" s="54"/>
      <c r="BR223" s="5"/>
      <c r="BS223" s="5"/>
      <c r="BU223" s="27"/>
      <c r="BV223" s="5"/>
      <c r="BW223" s="7"/>
      <c r="BX223" s="54"/>
      <c r="BY223" s="5"/>
      <c r="BZ223" s="5"/>
      <c r="CB223" s="27"/>
      <c r="CC223" s="5"/>
      <c r="CD223" s="7"/>
      <c r="CE223" s="54"/>
      <c r="CF223" s="5"/>
      <c r="CG223" s="5"/>
      <c r="CH223" s="62"/>
      <c r="CI223" s="27"/>
      <c r="CJ223" s="5"/>
      <c r="CK223" s="7"/>
      <c r="CL223" s="54"/>
      <c r="CM223" s="5"/>
      <c r="CN223" s="5"/>
      <c r="CP223" s="27"/>
      <c r="CQ223" s="5"/>
      <c r="CR223" s="7"/>
      <c r="CS223" s="54"/>
      <c r="CT223" s="5"/>
      <c r="CU223" s="5"/>
      <c r="CW223" s="27"/>
      <c r="CX223" s="5"/>
      <c r="CY223" s="7"/>
      <c r="CZ223" s="54"/>
      <c r="DA223" s="5"/>
      <c r="DB223" s="5"/>
      <c r="DD223" s="27"/>
      <c r="DE223" s="5"/>
      <c r="DF223" s="7"/>
      <c r="DG223" s="54"/>
      <c r="DH223" s="5"/>
      <c r="DI223" s="5"/>
      <c r="DJ223" s="62"/>
      <c r="DK223" s="27"/>
      <c r="DL223" s="5"/>
      <c r="DM223" s="7"/>
      <c r="DN223" s="54"/>
      <c r="DO223" s="5"/>
      <c r="DP223" s="5"/>
      <c r="DR223" s="27"/>
      <c r="DS223" s="5"/>
      <c r="DT223" s="7"/>
      <c r="DU223" s="54"/>
      <c r="DV223" s="5"/>
      <c r="DW223" s="5"/>
      <c r="DY223" s="27"/>
      <c r="DZ223" s="5"/>
      <c r="EA223" s="7"/>
      <c r="EB223" s="54"/>
      <c r="EC223" s="5"/>
      <c r="ED223" s="5"/>
      <c r="EF223" s="27"/>
      <c r="EG223" s="5"/>
      <c r="EH223" s="7"/>
      <c r="EI223" s="54"/>
      <c r="EJ223" s="5"/>
      <c r="EK223" s="5"/>
      <c r="EL223" s="62"/>
      <c r="EM223" s="27"/>
      <c r="EN223" s="5"/>
      <c r="EO223" s="7"/>
      <c r="EP223" s="54"/>
      <c r="EQ223" s="5"/>
      <c r="ER223" s="5"/>
      <c r="ET223" s="27"/>
      <c r="EU223" s="5"/>
      <c r="EV223" s="7"/>
      <c r="EW223" s="54"/>
      <c r="EX223" s="5"/>
      <c r="EY223" s="5"/>
      <c r="FA223" s="27"/>
      <c r="FB223" s="5"/>
      <c r="FC223" s="7"/>
      <c r="FD223" s="54"/>
      <c r="FE223" s="5"/>
      <c r="FF223" s="5"/>
      <c r="FH223" s="27"/>
      <c r="FI223" s="5"/>
      <c r="FJ223" s="7"/>
      <c r="FK223" s="54"/>
      <c r="FL223" s="5"/>
      <c r="FM223" s="5"/>
      <c r="FN223" s="62"/>
      <c r="FO223" s="27"/>
      <c r="FP223" s="5"/>
      <c r="FQ223" s="7"/>
      <c r="FR223" s="54"/>
      <c r="FS223" s="5"/>
      <c r="FT223" s="5"/>
      <c r="FV223" s="27"/>
      <c r="FW223" s="5"/>
      <c r="FX223" s="7"/>
      <c r="FY223" s="54"/>
      <c r="FZ223" s="5"/>
      <c r="GA223" s="5"/>
      <c r="GC223" s="27"/>
      <c r="GD223" s="5"/>
      <c r="GE223" s="7"/>
      <c r="GF223" s="54"/>
      <c r="GG223" s="5"/>
      <c r="GH223" s="5"/>
      <c r="GJ223" s="27"/>
      <c r="GK223" s="5"/>
      <c r="GL223" s="7"/>
      <c r="GM223" s="54"/>
      <c r="GN223" s="5"/>
      <c r="GO223" s="5"/>
      <c r="GP223" s="62"/>
      <c r="GQ223" s="27"/>
      <c r="GR223" s="5"/>
      <c r="GS223" s="7"/>
      <c r="GT223" s="54"/>
      <c r="GU223" s="5"/>
      <c r="GV223" s="5"/>
      <c r="GX223" s="27"/>
      <c r="GY223" s="5"/>
      <c r="GZ223" s="7"/>
      <c r="HA223" s="54"/>
      <c r="HB223" s="5"/>
      <c r="HC223" s="5"/>
      <c r="HE223" s="27"/>
      <c r="HF223" s="5"/>
      <c r="HG223" s="7"/>
      <c r="HH223" s="54"/>
      <c r="HI223" s="5"/>
      <c r="HJ223" s="5"/>
      <c r="HL223" s="27"/>
      <c r="HM223" s="5"/>
      <c r="HN223" s="7"/>
      <c r="HO223" s="54"/>
      <c r="HP223" s="5"/>
      <c r="HQ223" s="5"/>
      <c r="HR223" s="62"/>
      <c r="HS223" s="27"/>
      <c r="HT223" s="5"/>
      <c r="HU223" s="7"/>
      <c r="HV223" s="54"/>
      <c r="HW223" s="5"/>
      <c r="HX223" s="5"/>
      <c r="HZ223" s="27"/>
      <c r="IA223" s="5"/>
      <c r="IB223" s="7"/>
      <c r="IC223" s="54"/>
      <c r="ID223" s="5"/>
      <c r="IE223" s="5"/>
      <c r="IG223" s="27"/>
      <c r="IH223" s="5"/>
      <c r="II223" s="7"/>
      <c r="IJ223" s="54"/>
      <c r="IK223" s="5"/>
      <c r="IL223" s="5"/>
      <c r="IN223" s="27"/>
      <c r="IO223" s="5"/>
      <c r="IP223" s="7"/>
      <c r="IQ223" s="54"/>
      <c r="IR223" s="5"/>
      <c r="IS223" s="5"/>
      <c r="IT223" s="62"/>
      <c r="IU223" s="27"/>
      <c r="IV223" s="5"/>
      <c r="IW223" s="7"/>
      <c r="IX223" s="54"/>
      <c r="IY223" s="5"/>
      <c r="IZ223" s="5"/>
      <c r="JB223" s="27"/>
      <c r="JC223" s="5"/>
      <c r="JD223" s="7"/>
      <c r="JE223" s="54"/>
      <c r="JF223" s="5"/>
      <c r="JG223" s="5"/>
      <c r="JI223" s="27"/>
      <c r="JJ223" s="5"/>
      <c r="JK223" s="7"/>
      <c r="JL223" s="54"/>
      <c r="JM223" s="5"/>
      <c r="JN223" s="5"/>
      <c r="JP223" s="27"/>
      <c r="JQ223" s="5"/>
      <c r="JR223" s="7"/>
      <c r="JS223" s="54"/>
      <c r="JT223" s="5"/>
      <c r="JU223" s="5"/>
      <c r="JV223" s="62"/>
      <c r="JW223" s="27"/>
      <c r="JX223" s="5"/>
      <c r="JY223" s="7"/>
      <c r="JZ223" s="54"/>
      <c r="KA223" s="5"/>
      <c r="KB223" s="5"/>
      <c r="KD223" s="27"/>
      <c r="KE223" s="5"/>
      <c r="KF223" s="7"/>
      <c r="KG223" s="54"/>
      <c r="KH223" s="5"/>
      <c r="KI223" s="5"/>
      <c r="KK223" s="27"/>
      <c r="KL223" s="5"/>
      <c r="KM223" s="7"/>
      <c r="KN223" s="54"/>
      <c r="KO223" s="5"/>
      <c r="KP223" s="5"/>
      <c r="KR223" s="27"/>
      <c r="KS223" s="5"/>
      <c r="KT223" s="7"/>
      <c r="KU223" s="54"/>
      <c r="KV223" s="5"/>
      <c r="KW223" s="5"/>
      <c r="KY223" s="27"/>
      <c r="KZ223" s="5"/>
      <c r="LA223" s="7"/>
      <c r="LB223" s="54"/>
      <c r="LC223" s="5"/>
      <c r="LD223" s="5"/>
      <c r="LF223" s="27"/>
      <c r="LG223" s="5"/>
      <c r="LH223" s="7"/>
      <c r="LI223" s="54"/>
      <c r="LJ223" s="5"/>
      <c r="LK223" s="5"/>
      <c r="LM223" s="27"/>
      <c r="LN223" s="5"/>
      <c r="LO223" s="7"/>
      <c r="LP223" s="54"/>
      <c r="LQ223" s="5"/>
      <c r="LR223" s="5"/>
      <c r="LT223" s="27"/>
      <c r="LU223" s="5"/>
      <c r="LV223" s="7"/>
      <c r="LW223" s="54"/>
      <c r="LX223" s="5"/>
      <c r="LY223" s="5"/>
      <c r="MA223" s="27"/>
      <c r="MB223" s="5"/>
      <c r="MC223" s="7"/>
      <c r="MD223" s="54"/>
      <c r="ME223" s="5"/>
      <c r="MF223" s="5"/>
      <c r="MH223" s="27"/>
      <c r="MI223" s="5"/>
      <c r="MJ223" s="7"/>
      <c r="MK223" s="54"/>
      <c r="ML223" s="5"/>
      <c r="MM223" s="5"/>
      <c r="MO223" s="27"/>
      <c r="MP223" s="5"/>
      <c r="MQ223" s="7"/>
      <c r="MR223" s="54"/>
      <c r="MS223" s="5"/>
      <c r="MT223" s="5"/>
      <c r="MV223" s="27"/>
      <c r="MW223" s="5"/>
      <c r="MX223" s="7"/>
      <c r="MY223" s="54"/>
      <c r="MZ223" s="5"/>
      <c r="NA223" s="5"/>
      <c r="NC223" s="27"/>
      <c r="ND223" s="5"/>
      <c r="NE223" s="7"/>
      <c r="NF223" s="54"/>
      <c r="NG223" s="5"/>
      <c r="NH223" s="5"/>
      <c r="NJ223" s="27"/>
      <c r="NK223" s="5"/>
      <c r="NL223" s="7"/>
      <c r="NM223" s="54"/>
      <c r="NN223" s="5"/>
      <c r="NO223" s="5"/>
      <c r="NQ223" s="27"/>
      <c r="NR223" s="5"/>
      <c r="NS223" s="7"/>
      <c r="NT223" s="54"/>
      <c r="NU223" s="5"/>
      <c r="NV223" s="5"/>
      <c r="NX223" s="27"/>
      <c r="NY223" s="5"/>
      <c r="NZ223" s="7"/>
      <c r="OA223" s="54"/>
      <c r="OB223" s="5"/>
      <c r="OC223" s="5"/>
      <c r="OE223" s="27"/>
      <c r="OF223" s="5"/>
      <c r="OG223" s="7"/>
      <c r="OH223" s="54"/>
      <c r="OI223" s="5"/>
      <c r="OJ223" s="5"/>
      <c r="OL223" s="27"/>
      <c r="OM223" s="5"/>
      <c r="ON223" s="7"/>
      <c r="OO223" s="54"/>
      <c r="OP223" s="5"/>
      <c r="OQ223" s="5"/>
      <c r="OS223" s="27"/>
      <c r="OT223" s="5"/>
      <c r="OU223" s="7"/>
      <c r="OV223" s="54"/>
      <c r="OW223" s="5"/>
      <c r="OX223" s="5"/>
      <c r="OZ223" s="27"/>
      <c r="PA223" s="5"/>
      <c r="PB223" s="7"/>
      <c r="PC223" s="54"/>
      <c r="PD223" s="5"/>
      <c r="PE223" s="5"/>
      <c r="PG223" s="27"/>
      <c r="PH223" s="5"/>
      <c r="PI223" s="7"/>
      <c r="PJ223" s="54"/>
      <c r="PK223" s="5"/>
      <c r="PL223" s="5"/>
      <c r="PN223" s="27"/>
      <c r="PO223" s="5"/>
      <c r="PP223" s="7"/>
      <c r="PQ223" s="54"/>
      <c r="PR223" s="5"/>
      <c r="PS223" s="5"/>
      <c r="PU223" s="27"/>
      <c r="PV223" s="5"/>
      <c r="PW223" s="7"/>
      <c r="PX223" s="54"/>
      <c r="PY223" s="5"/>
      <c r="PZ223" s="5"/>
      <c r="QB223" s="27"/>
      <c r="QC223" s="5"/>
      <c r="QD223" s="7"/>
      <c r="QE223" s="54"/>
      <c r="QF223" s="5"/>
      <c r="QG223" s="5"/>
      <c r="QI223" s="27"/>
      <c r="QJ223" s="5"/>
      <c r="QK223" s="7"/>
      <c r="QL223" s="54"/>
      <c r="QM223" s="5"/>
      <c r="QN223" s="5"/>
      <c r="QP223" s="27"/>
      <c r="QQ223" s="5"/>
      <c r="QR223" s="7"/>
      <c r="QS223" s="54"/>
      <c r="QT223" s="5"/>
      <c r="QU223" s="5"/>
      <c r="QW223" s="27"/>
      <c r="QX223" s="5"/>
      <c r="QY223" s="7"/>
      <c r="QZ223" s="54"/>
      <c r="RA223" s="5"/>
      <c r="RB223" s="5"/>
      <c r="RD223" s="27"/>
      <c r="RE223" s="5"/>
      <c r="RF223" s="7"/>
      <c r="RG223" s="54"/>
      <c r="RH223" s="5"/>
      <c r="RI223" s="5"/>
      <c r="RK223" s="27"/>
      <c r="RL223" s="5"/>
      <c r="RM223" s="7"/>
      <c r="RN223" s="54"/>
      <c r="RO223" s="5"/>
      <c r="RP223" s="5"/>
      <c r="RR223" s="27"/>
      <c r="RS223" s="5"/>
      <c r="RT223" s="7"/>
      <c r="RU223" s="54"/>
      <c r="RV223" s="5"/>
      <c r="RW223" s="5"/>
      <c r="RY223" s="27"/>
      <c r="RZ223" s="5"/>
      <c r="SA223" s="7"/>
      <c r="SB223" s="54"/>
      <c r="SC223" s="5"/>
      <c r="SD223" s="5"/>
      <c r="SF223" s="27"/>
      <c r="SG223" s="5"/>
      <c r="SH223" s="7"/>
      <c r="SI223" s="54"/>
      <c r="SJ223" s="5"/>
      <c r="SK223" s="5"/>
      <c r="SM223" s="27"/>
      <c r="SN223" s="5"/>
      <c r="SO223" s="7"/>
      <c r="SP223" s="54"/>
      <c r="SQ223" s="5"/>
      <c r="SR223" s="5"/>
    </row>
    <row r="224" spans="1:512" x14ac:dyDescent="0.15">
      <c r="A224" s="103">
        <f t="shared" ref="A224" si="1585">IF(D224=D223,A223,B224)</f>
        <v>13</v>
      </c>
      <c r="B224" s="74">
        <v>13</v>
      </c>
      <c r="C224" s="71" t="str">
        <f t="shared" si="1582"/>
        <v>Fam. Hitzfeld</v>
      </c>
      <c r="D224" s="102">
        <f t="shared" si="1584"/>
        <v>178.1333333333333</v>
      </c>
      <c r="E224" s="25"/>
      <c r="F224" s="26"/>
      <c r="G224" s="27"/>
      <c r="H224" s="28"/>
      <c r="I224" s="25"/>
      <c r="J224" s="25"/>
      <c r="K224" s="26"/>
      <c r="L224" s="62"/>
      <c r="M224" s="32" t="s">
        <v>274</v>
      </c>
      <c r="N224" s="62" t="s">
        <v>155</v>
      </c>
      <c r="O224" s="32"/>
      <c r="P224" s="61"/>
      <c r="Q224" s="62"/>
      <c r="R224" s="62"/>
      <c r="S224" s="63"/>
      <c r="T224" s="32"/>
      <c r="U224" s="32"/>
      <c r="V224" s="61"/>
      <c r="W224" s="62"/>
      <c r="X224" s="62"/>
      <c r="Y224" s="62"/>
      <c r="Z224" s="63"/>
      <c r="AA224" s="32"/>
      <c r="AB224" s="32"/>
      <c r="AC224" s="61"/>
      <c r="AD224" s="62"/>
      <c r="AE224" s="27"/>
      <c r="AF224" s="5"/>
      <c r="AG224" s="7"/>
      <c r="AH224" s="54"/>
      <c r="AI224" s="5"/>
      <c r="AJ224" s="5"/>
      <c r="AL224" s="27"/>
      <c r="AM224" s="5"/>
      <c r="AN224" s="7"/>
      <c r="AO224" s="54"/>
      <c r="AP224" s="5"/>
      <c r="AQ224" s="5"/>
      <c r="AS224" s="27"/>
      <c r="AT224" s="5"/>
      <c r="AU224" s="7"/>
      <c r="AV224" s="54"/>
      <c r="AW224" s="5"/>
      <c r="AX224" s="5"/>
      <c r="AZ224" s="27"/>
      <c r="BA224" s="5"/>
      <c r="BB224" s="7"/>
      <c r="BC224" s="54"/>
      <c r="BD224" s="5"/>
      <c r="BE224" s="5"/>
      <c r="BF224" s="62"/>
      <c r="BG224" s="27"/>
      <c r="BH224" s="5"/>
      <c r="BI224" s="7"/>
      <c r="BJ224" s="54"/>
      <c r="BK224" s="5"/>
      <c r="BL224" s="5"/>
      <c r="BN224" s="27"/>
      <c r="BO224" s="5"/>
      <c r="BP224" s="7"/>
      <c r="BQ224" s="54"/>
      <c r="BR224" s="5"/>
      <c r="BS224" s="5"/>
      <c r="BU224" s="27"/>
      <c r="BV224" s="5"/>
      <c r="BW224" s="7"/>
      <c r="BX224" s="54"/>
      <c r="BY224" s="5"/>
      <c r="BZ224" s="5"/>
      <c r="CB224" s="27"/>
      <c r="CC224" s="5"/>
      <c r="CD224" s="7"/>
      <c r="CE224" s="54"/>
      <c r="CF224" s="5"/>
      <c r="CG224" s="5"/>
      <c r="CH224" s="62"/>
      <c r="CI224" s="27"/>
      <c r="CJ224" s="5"/>
      <c r="CK224" s="7"/>
      <c r="CL224" s="54"/>
      <c r="CM224" s="5"/>
      <c r="CN224" s="5"/>
      <c r="CP224" s="27"/>
      <c r="CQ224" s="5"/>
      <c r="CR224" s="7"/>
      <c r="CS224" s="54"/>
      <c r="CT224" s="5"/>
      <c r="CU224" s="5"/>
      <c r="CW224" s="27"/>
      <c r="CX224" s="5"/>
      <c r="CY224" s="7"/>
      <c r="CZ224" s="54"/>
      <c r="DA224" s="5"/>
      <c r="DB224" s="5"/>
      <c r="DD224" s="27"/>
      <c r="DE224" s="5"/>
      <c r="DF224" s="7"/>
      <c r="DG224" s="54"/>
      <c r="DH224" s="5"/>
      <c r="DI224" s="5"/>
      <c r="DJ224" s="62"/>
      <c r="DK224" s="27"/>
      <c r="DL224" s="5"/>
      <c r="DM224" s="7"/>
      <c r="DN224" s="54"/>
      <c r="DO224" s="5"/>
      <c r="DP224" s="5"/>
      <c r="DR224" s="27"/>
      <c r="DS224" s="5"/>
      <c r="DT224" s="7"/>
      <c r="DU224" s="54"/>
      <c r="DV224" s="5"/>
      <c r="DW224" s="5"/>
      <c r="DY224" s="27"/>
      <c r="DZ224" s="5"/>
      <c r="EA224" s="7"/>
      <c r="EB224" s="54"/>
      <c r="EC224" s="5"/>
      <c r="ED224" s="5"/>
      <c r="EF224" s="27"/>
      <c r="EG224" s="5"/>
      <c r="EH224" s="7"/>
      <c r="EI224" s="54"/>
      <c r="EJ224" s="5"/>
      <c r="EK224" s="5"/>
      <c r="EL224" s="62"/>
      <c r="EM224" s="27"/>
      <c r="EN224" s="5"/>
      <c r="EO224" s="7"/>
      <c r="EP224" s="54"/>
      <c r="EQ224" s="5"/>
      <c r="ER224" s="5"/>
      <c r="ET224" s="27"/>
      <c r="EU224" s="5"/>
      <c r="EV224" s="7"/>
      <c r="EW224" s="54"/>
      <c r="EX224" s="5"/>
      <c r="EY224" s="5"/>
      <c r="FA224" s="27"/>
      <c r="FB224" s="5"/>
      <c r="FC224" s="7"/>
      <c r="FD224" s="54"/>
      <c r="FE224" s="5"/>
      <c r="FF224" s="5"/>
      <c r="FH224" s="27"/>
      <c r="FI224" s="5"/>
      <c r="FJ224" s="7"/>
      <c r="FK224" s="54"/>
      <c r="FL224" s="5"/>
      <c r="FM224" s="5"/>
      <c r="FN224" s="62"/>
      <c r="FO224" s="27"/>
      <c r="FP224" s="5"/>
      <c r="FQ224" s="7"/>
      <c r="FR224" s="54"/>
      <c r="FS224" s="5"/>
      <c r="FT224" s="5"/>
      <c r="FV224" s="27"/>
      <c r="FW224" s="5"/>
      <c r="FX224" s="7"/>
      <c r="FY224" s="54"/>
      <c r="FZ224" s="5"/>
      <c r="GA224" s="5"/>
      <c r="GC224" s="27"/>
      <c r="GD224" s="5"/>
      <c r="GE224" s="7"/>
      <c r="GF224" s="54"/>
      <c r="GG224" s="5"/>
      <c r="GH224" s="5"/>
      <c r="GJ224" s="27"/>
      <c r="GK224" s="5"/>
      <c r="GL224" s="7"/>
      <c r="GM224" s="54"/>
      <c r="GN224" s="5"/>
      <c r="GO224" s="5"/>
      <c r="GP224" s="62"/>
      <c r="GQ224" s="27"/>
      <c r="GR224" s="5"/>
      <c r="GS224" s="7"/>
      <c r="GT224" s="54"/>
      <c r="GU224" s="5"/>
      <c r="GV224" s="5"/>
      <c r="GX224" s="27"/>
      <c r="GY224" s="5"/>
      <c r="GZ224" s="7"/>
      <c r="HA224" s="54"/>
      <c r="HB224" s="5"/>
      <c r="HC224" s="5"/>
      <c r="HE224" s="27"/>
      <c r="HF224" s="5"/>
      <c r="HG224" s="7"/>
      <c r="HH224" s="54"/>
      <c r="HI224" s="5"/>
      <c r="HJ224" s="5"/>
      <c r="HL224" s="27"/>
      <c r="HM224" s="5"/>
      <c r="HN224" s="7"/>
      <c r="HO224" s="54"/>
      <c r="HP224" s="5"/>
      <c r="HQ224" s="5"/>
      <c r="HR224" s="62"/>
      <c r="HS224" s="27"/>
      <c r="HT224" s="5"/>
      <c r="HU224" s="7"/>
      <c r="HV224" s="54"/>
      <c r="HW224" s="5"/>
      <c r="HX224" s="5"/>
      <c r="HZ224" s="27"/>
      <c r="IA224" s="5"/>
      <c r="IB224" s="7"/>
      <c r="IC224" s="54"/>
      <c r="ID224" s="5"/>
      <c r="IE224" s="5"/>
      <c r="IG224" s="27"/>
      <c r="IH224" s="5"/>
      <c r="II224" s="7"/>
      <c r="IJ224" s="54"/>
      <c r="IK224" s="5"/>
      <c r="IL224" s="5"/>
      <c r="IN224" s="27"/>
      <c r="IO224" s="5"/>
      <c r="IP224" s="7"/>
      <c r="IQ224" s="54"/>
      <c r="IR224" s="5"/>
      <c r="IS224" s="5"/>
      <c r="IT224" s="62"/>
      <c r="IU224" s="27"/>
      <c r="IV224" s="5"/>
      <c r="IW224" s="7"/>
      <c r="IX224" s="54"/>
      <c r="IY224" s="5"/>
      <c r="IZ224" s="5"/>
      <c r="JB224" s="27"/>
      <c r="JC224" s="5"/>
      <c r="JD224" s="7"/>
      <c r="JE224" s="54"/>
      <c r="JF224" s="5"/>
      <c r="JG224" s="5"/>
      <c r="JI224" s="27"/>
      <c r="JJ224" s="5"/>
      <c r="JK224" s="7"/>
      <c r="JL224" s="54"/>
      <c r="JM224" s="5"/>
      <c r="JN224" s="5"/>
      <c r="JP224" s="27"/>
      <c r="JQ224" s="5"/>
      <c r="JR224" s="7"/>
      <c r="JS224" s="54"/>
      <c r="JT224" s="5"/>
      <c r="JU224" s="5"/>
      <c r="JV224" s="62"/>
      <c r="JW224" s="27"/>
      <c r="JX224" s="5"/>
      <c r="JY224" s="7"/>
      <c r="JZ224" s="54"/>
      <c r="KA224" s="5"/>
      <c r="KB224" s="5"/>
      <c r="KD224" s="27"/>
      <c r="KE224" s="5"/>
      <c r="KF224" s="7"/>
      <c r="KG224" s="54"/>
      <c r="KH224" s="5"/>
      <c r="KI224" s="5"/>
      <c r="KK224" s="27"/>
      <c r="KL224" s="5"/>
      <c r="KM224" s="7"/>
      <c r="KN224" s="54"/>
      <c r="KO224" s="5"/>
      <c r="KP224" s="5"/>
      <c r="KR224" s="27"/>
      <c r="KS224" s="5"/>
      <c r="KT224" s="7"/>
      <c r="KU224" s="54"/>
      <c r="KV224" s="5"/>
      <c r="KW224" s="5"/>
      <c r="KY224" s="27"/>
      <c r="KZ224" s="5"/>
      <c r="LA224" s="7"/>
      <c r="LB224" s="54"/>
      <c r="LC224" s="5"/>
      <c r="LD224" s="5"/>
      <c r="LF224" s="27"/>
      <c r="LG224" s="5"/>
      <c r="LH224" s="7"/>
      <c r="LI224" s="54"/>
      <c r="LJ224" s="5"/>
      <c r="LK224" s="5"/>
      <c r="LM224" s="27"/>
      <c r="LN224" s="5"/>
      <c r="LO224" s="7"/>
      <c r="LP224" s="54"/>
      <c r="LQ224" s="5"/>
      <c r="LR224" s="5"/>
      <c r="LT224" s="27"/>
      <c r="LU224" s="5"/>
      <c r="LV224" s="7"/>
      <c r="LW224" s="54"/>
      <c r="LX224" s="5"/>
      <c r="LY224" s="5"/>
      <c r="MA224" s="27"/>
      <c r="MB224" s="5"/>
      <c r="MC224" s="7"/>
      <c r="MD224" s="54"/>
      <c r="ME224" s="5"/>
      <c r="MF224" s="5"/>
      <c r="MH224" s="27"/>
      <c r="MI224" s="5"/>
      <c r="MJ224" s="7"/>
      <c r="MK224" s="54"/>
      <c r="ML224" s="5"/>
      <c r="MM224" s="5"/>
      <c r="MO224" s="27"/>
      <c r="MP224" s="5"/>
      <c r="MQ224" s="7"/>
      <c r="MR224" s="54"/>
      <c r="MS224" s="5"/>
      <c r="MT224" s="5"/>
      <c r="MV224" s="27"/>
      <c r="MW224" s="5"/>
      <c r="MX224" s="7"/>
      <c r="MY224" s="54"/>
      <c r="MZ224" s="5"/>
      <c r="NA224" s="5"/>
      <c r="NC224" s="27"/>
      <c r="ND224" s="5"/>
      <c r="NE224" s="7"/>
      <c r="NF224" s="54"/>
      <c r="NG224" s="5"/>
      <c r="NH224" s="5"/>
      <c r="NJ224" s="27"/>
      <c r="NK224" s="5"/>
      <c r="NL224" s="7"/>
      <c r="NM224" s="54"/>
      <c r="NN224" s="5"/>
      <c r="NO224" s="5"/>
      <c r="NQ224" s="27"/>
      <c r="NR224" s="5"/>
      <c r="NS224" s="7"/>
      <c r="NT224" s="54"/>
      <c r="NU224" s="5"/>
      <c r="NV224" s="5"/>
      <c r="NX224" s="27"/>
      <c r="NY224" s="5"/>
      <c r="NZ224" s="7"/>
      <c r="OA224" s="54"/>
      <c r="OB224" s="5"/>
      <c r="OC224" s="5"/>
      <c r="OE224" s="27"/>
      <c r="OF224" s="5"/>
      <c r="OG224" s="7"/>
      <c r="OH224" s="54"/>
      <c r="OI224" s="5"/>
      <c r="OJ224" s="5"/>
      <c r="OL224" s="27"/>
      <c r="OM224" s="5"/>
      <c r="ON224" s="7"/>
      <c r="OO224" s="54"/>
      <c r="OP224" s="5"/>
      <c r="OQ224" s="5"/>
      <c r="OS224" s="27"/>
      <c r="OT224" s="5"/>
      <c r="OU224" s="7"/>
      <c r="OV224" s="54"/>
      <c r="OW224" s="5"/>
      <c r="OX224" s="5"/>
      <c r="OZ224" s="27"/>
      <c r="PA224" s="5"/>
      <c r="PB224" s="7"/>
      <c r="PC224" s="54"/>
      <c r="PD224" s="5"/>
      <c r="PE224" s="5"/>
      <c r="PG224" s="27"/>
      <c r="PH224" s="5"/>
      <c r="PI224" s="7"/>
      <c r="PJ224" s="54"/>
      <c r="PK224" s="5"/>
      <c r="PL224" s="5"/>
      <c r="PN224" s="27"/>
      <c r="PO224" s="5"/>
      <c r="PP224" s="7"/>
      <c r="PQ224" s="54"/>
      <c r="PR224" s="5"/>
      <c r="PS224" s="5"/>
      <c r="PU224" s="27"/>
      <c r="PV224" s="5"/>
      <c r="PW224" s="7"/>
      <c r="PX224" s="54"/>
      <c r="PY224" s="5"/>
      <c r="PZ224" s="5"/>
      <c r="QB224" s="27"/>
      <c r="QC224" s="5"/>
      <c r="QD224" s="7"/>
      <c r="QE224" s="54"/>
      <c r="QF224" s="5"/>
      <c r="QG224" s="5"/>
      <c r="QI224" s="27"/>
      <c r="QJ224" s="5"/>
      <c r="QK224" s="7"/>
      <c r="QL224" s="54"/>
      <c r="QM224" s="5"/>
      <c r="QN224" s="5"/>
      <c r="QP224" s="27"/>
      <c r="QQ224" s="5"/>
      <c r="QR224" s="7"/>
      <c r="QS224" s="54"/>
      <c r="QT224" s="5"/>
      <c r="QU224" s="5"/>
      <c r="QW224" s="27"/>
      <c r="QX224" s="5"/>
      <c r="QY224" s="7"/>
      <c r="QZ224" s="54"/>
      <c r="RA224" s="5"/>
      <c r="RB224" s="5"/>
      <c r="RD224" s="27"/>
      <c r="RE224" s="5"/>
      <c r="RF224" s="7"/>
      <c r="RG224" s="54"/>
      <c r="RH224" s="5"/>
      <c r="RI224" s="5"/>
      <c r="RK224" s="27"/>
      <c r="RL224" s="5"/>
      <c r="RM224" s="7"/>
      <c r="RN224" s="54"/>
      <c r="RO224" s="5"/>
      <c r="RP224" s="5"/>
      <c r="RR224" s="27"/>
      <c r="RS224" s="5"/>
      <c r="RT224" s="7"/>
      <c r="RU224" s="54"/>
      <c r="RV224" s="5"/>
      <c r="RW224" s="5"/>
      <c r="RY224" s="27"/>
      <c r="RZ224" s="5"/>
      <c r="SA224" s="7"/>
      <c r="SB224" s="54"/>
      <c r="SC224" s="5"/>
      <c r="SD224" s="5"/>
      <c r="SF224" s="27"/>
      <c r="SG224" s="5"/>
      <c r="SH224" s="7"/>
      <c r="SI224" s="54"/>
      <c r="SJ224" s="5"/>
      <c r="SK224" s="5"/>
      <c r="SM224" s="27"/>
      <c r="SN224" s="5"/>
      <c r="SO224" s="7"/>
      <c r="SP224" s="54"/>
      <c r="SQ224" s="5"/>
      <c r="SR224" s="5"/>
    </row>
    <row r="225" spans="1:512" ht="14" thickBot="1" x14ac:dyDescent="0.2">
      <c r="A225" s="104">
        <f t="shared" ref="A225" si="1586">IF(D225=D224,A224,B225)</f>
        <v>14</v>
      </c>
      <c r="B225" s="105">
        <v>14</v>
      </c>
      <c r="C225" s="106" t="str">
        <f t="shared" ref="C225" si="1587">VLOOKUP(B225,$X$138:$Z$152,2,0)</f>
        <v>Fam. Ulrich</v>
      </c>
      <c r="D225" s="107">
        <f t="shared" ref="D225" si="1588">VLOOKUP(B225,$X$138:$Z$152,3,0)</f>
        <v>163.5</v>
      </c>
      <c r="E225" s="25"/>
      <c r="F225" s="26"/>
      <c r="G225" s="27"/>
      <c r="H225" s="28"/>
      <c r="I225" s="25"/>
      <c r="J225" s="25"/>
      <c r="K225" s="26"/>
      <c r="L225" s="62"/>
      <c r="M225" s="61" t="s">
        <v>275</v>
      </c>
      <c r="N225" s="63" t="s">
        <v>156</v>
      </c>
      <c r="O225" s="32"/>
      <c r="P225" s="61"/>
      <c r="Q225" s="62"/>
      <c r="R225" s="62"/>
      <c r="S225" s="63"/>
      <c r="T225" s="32"/>
      <c r="U225" s="32"/>
      <c r="V225" s="61"/>
      <c r="W225" s="62"/>
      <c r="X225" s="62"/>
      <c r="Y225" s="62"/>
      <c r="Z225" s="63"/>
      <c r="AA225" s="32"/>
      <c r="AB225" s="32"/>
      <c r="AC225" s="61"/>
      <c r="AD225" s="62"/>
      <c r="AE225" s="27"/>
      <c r="AF225" s="5"/>
      <c r="AG225" s="7"/>
      <c r="AH225" s="54"/>
      <c r="AI225" s="5"/>
      <c r="AJ225" s="5"/>
      <c r="AL225" s="27"/>
      <c r="AM225" s="5"/>
      <c r="AN225" s="7"/>
      <c r="AO225" s="54"/>
      <c r="AP225" s="5"/>
      <c r="AQ225" s="5"/>
      <c r="AS225" s="27"/>
      <c r="AT225" s="5"/>
      <c r="AU225" s="7"/>
      <c r="AV225" s="54"/>
      <c r="AW225" s="5"/>
      <c r="AX225" s="5"/>
      <c r="AZ225" s="27"/>
      <c r="BA225" s="5"/>
      <c r="BB225" s="7"/>
      <c r="BC225" s="54"/>
      <c r="BD225" s="5"/>
      <c r="BE225" s="5"/>
      <c r="BF225" s="62"/>
      <c r="BG225" s="27"/>
      <c r="BH225" s="5"/>
      <c r="BI225" s="7"/>
      <c r="BJ225" s="54"/>
      <c r="BK225" s="5"/>
      <c r="BL225" s="5"/>
      <c r="BN225" s="27"/>
      <c r="BO225" s="5"/>
      <c r="BP225" s="7"/>
      <c r="BQ225" s="54"/>
      <c r="BR225" s="5"/>
      <c r="BS225" s="5"/>
      <c r="BU225" s="27"/>
      <c r="BV225" s="5"/>
      <c r="BW225" s="7"/>
      <c r="BX225" s="54"/>
      <c r="BY225" s="5"/>
      <c r="BZ225" s="5"/>
      <c r="CB225" s="27"/>
      <c r="CC225" s="5"/>
      <c r="CD225" s="7"/>
      <c r="CE225" s="54"/>
      <c r="CF225" s="5"/>
      <c r="CG225" s="5"/>
      <c r="CH225" s="62"/>
      <c r="CI225" s="27"/>
      <c r="CJ225" s="5"/>
      <c r="CK225" s="7"/>
      <c r="CL225" s="54"/>
      <c r="CM225" s="5"/>
      <c r="CN225" s="5"/>
      <c r="CP225" s="27"/>
      <c r="CQ225" s="5"/>
      <c r="CR225" s="7"/>
      <c r="CS225" s="54"/>
      <c r="CT225" s="5"/>
      <c r="CU225" s="5"/>
      <c r="CW225" s="27"/>
      <c r="CX225" s="5"/>
      <c r="CY225" s="7"/>
      <c r="CZ225" s="54"/>
      <c r="DA225" s="5"/>
      <c r="DB225" s="5"/>
      <c r="DD225" s="27"/>
      <c r="DE225" s="5"/>
      <c r="DF225" s="7"/>
      <c r="DG225" s="54"/>
      <c r="DH225" s="5"/>
      <c r="DI225" s="5"/>
      <c r="DJ225" s="62"/>
      <c r="DK225" s="27"/>
      <c r="DL225" s="5"/>
      <c r="DM225" s="7"/>
      <c r="DN225" s="54"/>
      <c r="DO225" s="5"/>
      <c r="DP225" s="5"/>
      <c r="DR225" s="27"/>
      <c r="DS225" s="5"/>
      <c r="DT225" s="7"/>
      <c r="DU225" s="54"/>
      <c r="DV225" s="5"/>
      <c r="DW225" s="5"/>
      <c r="DY225" s="27"/>
      <c r="DZ225" s="5"/>
      <c r="EA225" s="7"/>
      <c r="EB225" s="54"/>
      <c r="EC225" s="5"/>
      <c r="ED225" s="5"/>
      <c r="EF225" s="27"/>
      <c r="EG225" s="5"/>
      <c r="EH225" s="7"/>
      <c r="EI225" s="54"/>
      <c r="EJ225" s="5"/>
      <c r="EK225" s="5"/>
      <c r="EL225" s="62"/>
      <c r="EM225" s="27"/>
      <c r="EN225" s="5"/>
      <c r="EO225" s="7"/>
      <c r="EP225" s="54"/>
      <c r="EQ225" s="5"/>
      <c r="ER225" s="5"/>
      <c r="ET225" s="27"/>
      <c r="EU225" s="5"/>
      <c r="EV225" s="7"/>
      <c r="EW225" s="54"/>
      <c r="EX225" s="5"/>
      <c r="EY225" s="5"/>
      <c r="FA225" s="27"/>
      <c r="FB225" s="5"/>
      <c r="FC225" s="7"/>
      <c r="FD225" s="54"/>
      <c r="FE225" s="5"/>
      <c r="FF225" s="5"/>
      <c r="FH225" s="27"/>
      <c r="FI225" s="5"/>
      <c r="FJ225" s="7"/>
      <c r="FK225" s="54"/>
      <c r="FL225" s="5"/>
      <c r="FM225" s="5"/>
      <c r="FN225" s="62"/>
      <c r="FO225" s="27"/>
      <c r="FP225" s="5"/>
      <c r="FQ225" s="7"/>
      <c r="FR225" s="54"/>
      <c r="FS225" s="5"/>
      <c r="FT225" s="5"/>
      <c r="FV225" s="27"/>
      <c r="FW225" s="5"/>
      <c r="FX225" s="7"/>
      <c r="FY225" s="54"/>
      <c r="FZ225" s="5"/>
      <c r="GA225" s="5"/>
      <c r="GC225" s="27"/>
      <c r="GD225" s="5"/>
      <c r="GE225" s="7"/>
      <c r="GF225" s="54"/>
      <c r="GG225" s="5"/>
      <c r="GH225" s="5"/>
      <c r="GJ225" s="27"/>
      <c r="GK225" s="5"/>
      <c r="GL225" s="7"/>
      <c r="GM225" s="54"/>
      <c r="GN225" s="5"/>
      <c r="GO225" s="5"/>
      <c r="GP225" s="62"/>
      <c r="GQ225" s="27"/>
      <c r="GR225" s="5"/>
      <c r="GS225" s="7"/>
      <c r="GT225" s="54"/>
      <c r="GU225" s="5"/>
      <c r="GV225" s="5"/>
      <c r="GX225" s="27"/>
      <c r="GY225" s="5"/>
      <c r="GZ225" s="7"/>
      <c r="HA225" s="54"/>
      <c r="HB225" s="5"/>
      <c r="HC225" s="5"/>
      <c r="HE225" s="27"/>
      <c r="HF225" s="5"/>
      <c r="HG225" s="7"/>
      <c r="HH225" s="54"/>
      <c r="HI225" s="5"/>
      <c r="HJ225" s="5"/>
      <c r="HL225" s="27"/>
      <c r="HM225" s="5"/>
      <c r="HN225" s="7"/>
      <c r="HO225" s="54"/>
      <c r="HP225" s="5"/>
      <c r="HQ225" s="5"/>
      <c r="HR225" s="62"/>
      <c r="HS225" s="27"/>
      <c r="HT225" s="5"/>
      <c r="HU225" s="7"/>
      <c r="HV225" s="54"/>
      <c r="HW225" s="5"/>
      <c r="HX225" s="5"/>
      <c r="HZ225" s="27"/>
      <c r="IA225" s="5"/>
      <c r="IB225" s="7"/>
      <c r="IC225" s="54"/>
      <c r="ID225" s="5"/>
      <c r="IE225" s="5"/>
      <c r="IG225" s="27"/>
      <c r="IH225" s="5"/>
      <c r="II225" s="7"/>
      <c r="IJ225" s="54"/>
      <c r="IK225" s="5"/>
      <c r="IL225" s="5"/>
      <c r="IN225" s="27"/>
      <c r="IO225" s="5"/>
      <c r="IP225" s="7"/>
      <c r="IQ225" s="54"/>
      <c r="IR225" s="5"/>
      <c r="IS225" s="5"/>
      <c r="IT225" s="62"/>
      <c r="IU225" s="27"/>
      <c r="IV225" s="5"/>
      <c r="IW225" s="7"/>
      <c r="IX225" s="54"/>
      <c r="IY225" s="5"/>
      <c r="IZ225" s="5"/>
      <c r="JB225" s="27"/>
      <c r="JC225" s="5"/>
      <c r="JD225" s="7"/>
      <c r="JE225" s="54"/>
      <c r="JF225" s="5"/>
      <c r="JG225" s="5"/>
      <c r="JI225" s="27"/>
      <c r="JJ225" s="5"/>
      <c r="JK225" s="7"/>
      <c r="JL225" s="54"/>
      <c r="JM225" s="5"/>
      <c r="JN225" s="5"/>
      <c r="JP225" s="27"/>
      <c r="JQ225" s="5"/>
      <c r="JR225" s="7"/>
      <c r="JS225" s="54"/>
      <c r="JT225" s="5"/>
      <c r="JU225" s="5"/>
      <c r="JV225" s="62"/>
      <c r="JW225" s="27"/>
      <c r="JX225" s="5"/>
      <c r="JY225" s="7"/>
      <c r="JZ225" s="54"/>
      <c r="KA225" s="5"/>
      <c r="KB225" s="5"/>
      <c r="KD225" s="27"/>
      <c r="KE225" s="5"/>
      <c r="KF225" s="7"/>
      <c r="KG225" s="54"/>
      <c r="KH225" s="5"/>
      <c r="KI225" s="5"/>
      <c r="KK225" s="27"/>
      <c r="KL225" s="5"/>
      <c r="KM225" s="7"/>
      <c r="KN225" s="54"/>
      <c r="KO225" s="5"/>
      <c r="KP225" s="5"/>
      <c r="KR225" s="27"/>
      <c r="KS225" s="5"/>
      <c r="KT225" s="7"/>
      <c r="KU225" s="54"/>
      <c r="KV225" s="5"/>
      <c r="KW225" s="5"/>
      <c r="KY225" s="27"/>
      <c r="KZ225" s="5"/>
      <c r="LA225" s="7"/>
      <c r="LB225" s="54"/>
      <c r="LC225" s="5"/>
      <c r="LD225" s="5"/>
      <c r="LF225" s="27"/>
      <c r="LG225" s="5"/>
      <c r="LH225" s="7"/>
      <c r="LI225" s="54"/>
      <c r="LJ225" s="5"/>
      <c r="LK225" s="5"/>
      <c r="LM225" s="27"/>
      <c r="LN225" s="5"/>
      <c r="LO225" s="7"/>
      <c r="LP225" s="54"/>
      <c r="LQ225" s="5"/>
      <c r="LR225" s="5"/>
      <c r="LT225" s="27"/>
      <c r="LU225" s="5"/>
      <c r="LV225" s="7"/>
      <c r="LW225" s="54"/>
      <c r="LX225" s="5"/>
      <c r="LY225" s="5"/>
      <c r="MA225" s="27"/>
      <c r="MB225" s="5"/>
      <c r="MC225" s="7"/>
      <c r="MD225" s="54"/>
      <c r="ME225" s="5"/>
      <c r="MF225" s="5"/>
      <c r="MH225" s="27"/>
      <c r="MI225" s="5"/>
      <c r="MJ225" s="7"/>
      <c r="MK225" s="54"/>
      <c r="ML225" s="5"/>
      <c r="MM225" s="5"/>
      <c r="MO225" s="27"/>
      <c r="MP225" s="5"/>
      <c r="MQ225" s="7"/>
      <c r="MR225" s="54"/>
      <c r="MS225" s="5"/>
      <c r="MT225" s="5"/>
      <c r="MV225" s="27"/>
      <c r="MW225" s="5"/>
      <c r="MX225" s="7"/>
      <c r="MY225" s="54"/>
      <c r="MZ225" s="5"/>
      <c r="NA225" s="5"/>
      <c r="NC225" s="27"/>
      <c r="ND225" s="5"/>
      <c r="NE225" s="7"/>
      <c r="NF225" s="54"/>
      <c r="NG225" s="5"/>
      <c r="NH225" s="5"/>
      <c r="NJ225" s="27"/>
      <c r="NK225" s="5"/>
      <c r="NL225" s="7"/>
      <c r="NM225" s="54"/>
      <c r="NN225" s="5"/>
      <c r="NO225" s="5"/>
      <c r="NQ225" s="27"/>
      <c r="NR225" s="5"/>
      <c r="NS225" s="7"/>
      <c r="NT225" s="54"/>
      <c r="NU225" s="5"/>
      <c r="NV225" s="5"/>
      <c r="NX225" s="27"/>
      <c r="NY225" s="5"/>
      <c r="NZ225" s="7"/>
      <c r="OA225" s="54"/>
      <c r="OB225" s="5"/>
      <c r="OC225" s="5"/>
      <c r="OE225" s="27"/>
      <c r="OF225" s="5"/>
      <c r="OG225" s="7"/>
      <c r="OH225" s="54"/>
      <c r="OI225" s="5"/>
      <c r="OJ225" s="5"/>
      <c r="OL225" s="27"/>
      <c r="OM225" s="5"/>
      <c r="ON225" s="7"/>
      <c r="OO225" s="54"/>
      <c r="OP225" s="5"/>
      <c r="OQ225" s="5"/>
      <c r="OS225" s="27"/>
      <c r="OT225" s="5"/>
      <c r="OU225" s="7"/>
      <c r="OV225" s="54"/>
      <c r="OW225" s="5"/>
      <c r="OX225" s="5"/>
      <c r="OZ225" s="27"/>
      <c r="PA225" s="5"/>
      <c r="PB225" s="7"/>
      <c r="PC225" s="54"/>
      <c r="PD225" s="5"/>
      <c r="PE225" s="5"/>
      <c r="PG225" s="27"/>
      <c r="PH225" s="5"/>
      <c r="PI225" s="7"/>
      <c r="PJ225" s="54"/>
      <c r="PK225" s="5"/>
      <c r="PL225" s="5"/>
      <c r="PN225" s="27"/>
      <c r="PO225" s="5"/>
      <c r="PP225" s="7"/>
      <c r="PQ225" s="54"/>
      <c r="PR225" s="5"/>
      <c r="PS225" s="5"/>
      <c r="PU225" s="27"/>
      <c r="PV225" s="5"/>
      <c r="PW225" s="7"/>
      <c r="PX225" s="54"/>
      <c r="PY225" s="5"/>
      <c r="PZ225" s="5"/>
      <c r="QB225" s="27"/>
      <c r="QC225" s="5"/>
      <c r="QD225" s="7"/>
      <c r="QE225" s="54"/>
      <c r="QF225" s="5"/>
      <c r="QG225" s="5"/>
      <c r="QI225" s="27"/>
      <c r="QJ225" s="5"/>
      <c r="QK225" s="7"/>
      <c r="QL225" s="54"/>
      <c r="QM225" s="5"/>
      <c r="QN225" s="5"/>
      <c r="QP225" s="27"/>
      <c r="QQ225" s="5"/>
      <c r="QR225" s="7"/>
      <c r="QS225" s="54"/>
      <c r="QT225" s="5"/>
      <c r="QU225" s="5"/>
      <c r="QW225" s="27"/>
      <c r="QX225" s="5"/>
      <c r="QY225" s="7"/>
      <c r="QZ225" s="54"/>
      <c r="RA225" s="5"/>
      <c r="RB225" s="5"/>
      <c r="RD225" s="27"/>
      <c r="RE225" s="5"/>
      <c r="RF225" s="7"/>
      <c r="RG225" s="54"/>
      <c r="RH225" s="5"/>
      <c r="RI225" s="5"/>
      <c r="RK225" s="27"/>
      <c r="RL225" s="5"/>
      <c r="RM225" s="7"/>
      <c r="RN225" s="54"/>
      <c r="RO225" s="5"/>
      <c r="RP225" s="5"/>
      <c r="RR225" s="27"/>
      <c r="RS225" s="5"/>
      <c r="RT225" s="7"/>
      <c r="RU225" s="54"/>
      <c r="RV225" s="5"/>
      <c r="RW225" s="5"/>
      <c r="RY225" s="27"/>
      <c r="RZ225" s="5"/>
      <c r="SA225" s="7"/>
      <c r="SB225" s="54"/>
      <c r="SC225" s="5"/>
      <c r="SD225" s="5"/>
      <c r="SF225" s="27"/>
      <c r="SG225" s="5"/>
      <c r="SH225" s="7"/>
      <c r="SI225" s="54"/>
      <c r="SJ225" s="5"/>
      <c r="SK225" s="5"/>
      <c r="SM225" s="27"/>
      <c r="SN225" s="5"/>
      <c r="SO225" s="7"/>
      <c r="SP225" s="54"/>
      <c r="SQ225" s="5"/>
      <c r="SR225" s="5"/>
    </row>
    <row r="226" spans="1:512" x14ac:dyDescent="0.15">
      <c r="E226" s="25"/>
      <c r="F226" s="26"/>
      <c r="G226" s="27"/>
      <c r="H226" s="28"/>
      <c r="I226" s="25"/>
      <c r="J226" s="25"/>
      <c r="K226" s="26"/>
      <c r="L226" s="62"/>
      <c r="M226" s="62" t="s">
        <v>276</v>
      </c>
      <c r="N226" s="32" t="s">
        <v>157</v>
      </c>
      <c r="O226" s="32"/>
      <c r="P226" s="61"/>
      <c r="Q226" s="62"/>
      <c r="R226" s="62"/>
      <c r="S226" s="63"/>
      <c r="T226" s="32"/>
      <c r="U226" s="32"/>
      <c r="V226" s="61"/>
      <c r="W226" s="62"/>
      <c r="X226" s="62"/>
      <c r="Y226" s="62"/>
      <c r="Z226" s="63"/>
      <c r="AA226" s="32"/>
      <c r="AB226" s="32"/>
      <c r="AC226" s="61"/>
      <c r="AD226" s="62"/>
      <c r="AE226" s="27"/>
      <c r="AF226" s="5"/>
      <c r="AG226" s="7"/>
      <c r="AH226" s="54"/>
      <c r="AI226" s="5"/>
      <c r="AJ226" s="5"/>
      <c r="AL226" s="27"/>
      <c r="AM226" s="5"/>
      <c r="AN226" s="7"/>
      <c r="AO226" s="54"/>
      <c r="AP226" s="5"/>
      <c r="AQ226" s="5"/>
      <c r="AS226" s="27"/>
      <c r="AT226" s="5"/>
      <c r="AU226" s="7"/>
      <c r="AV226" s="54"/>
      <c r="AW226" s="5"/>
      <c r="AX226" s="5"/>
      <c r="AZ226" s="27"/>
      <c r="BA226" s="5"/>
      <c r="BB226" s="7"/>
      <c r="BC226" s="54"/>
      <c r="BD226" s="5"/>
      <c r="BE226" s="5"/>
      <c r="BF226" s="62"/>
      <c r="BG226" s="27"/>
      <c r="BH226" s="5"/>
      <c r="BI226" s="7"/>
      <c r="BJ226" s="54"/>
      <c r="BK226" s="5"/>
      <c r="BL226" s="5"/>
      <c r="BN226" s="27"/>
      <c r="BO226" s="5"/>
      <c r="BP226" s="7"/>
      <c r="BQ226" s="54"/>
      <c r="BR226" s="5"/>
      <c r="BS226" s="5"/>
      <c r="BU226" s="27"/>
      <c r="BV226" s="5"/>
      <c r="BW226" s="7"/>
      <c r="BX226" s="54"/>
      <c r="BY226" s="5"/>
      <c r="BZ226" s="5"/>
      <c r="CB226" s="27"/>
      <c r="CC226" s="5"/>
      <c r="CD226" s="7"/>
      <c r="CE226" s="54"/>
      <c r="CF226" s="5"/>
      <c r="CG226" s="5"/>
      <c r="CH226" s="62"/>
      <c r="CI226" s="27"/>
      <c r="CJ226" s="5"/>
      <c r="CK226" s="7"/>
      <c r="CL226" s="54"/>
      <c r="CM226" s="5"/>
      <c r="CN226" s="5"/>
      <c r="CP226" s="27"/>
      <c r="CQ226" s="5"/>
      <c r="CR226" s="7"/>
      <c r="CS226" s="54"/>
      <c r="CT226" s="5"/>
      <c r="CU226" s="5"/>
      <c r="CW226" s="27"/>
      <c r="CX226" s="5"/>
      <c r="CY226" s="7"/>
      <c r="CZ226" s="54"/>
      <c r="DA226" s="5"/>
      <c r="DB226" s="5"/>
      <c r="DD226" s="27"/>
      <c r="DE226" s="5"/>
      <c r="DF226" s="7"/>
      <c r="DG226" s="54"/>
      <c r="DH226" s="5"/>
      <c r="DI226" s="5"/>
      <c r="DJ226" s="62"/>
      <c r="DK226" s="27"/>
      <c r="DL226" s="5"/>
      <c r="DM226" s="7"/>
      <c r="DN226" s="54"/>
      <c r="DO226" s="5"/>
      <c r="DP226" s="5"/>
      <c r="DR226" s="27"/>
      <c r="DS226" s="5"/>
      <c r="DT226" s="7"/>
      <c r="DU226" s="54"/>
      <c r="DV226" s="5"/>
      <c r="DW226" s="5"/>
      <c r="DY226" s="27"/>
      <c r="DZ226" s="5"/>
      <c r="EA226" s="7"/>
      <c r="EB226" s="54"/>
      <c r="EC226" s="5"/>
      <c r="ED226" s="5"/>
      <c r="EF226" s="27"/>
      <c r="EG226" s="5"/>
      <c r="EH226" s="7"/>
      <c r="EI226" s="54"/>
      <c r="EJ226" s="5"/>
      <c r="EK226" s="5"/>
      <c r="EL226" s="62"/>
      <c r="EM226" s="27"/>
      <c r="EN226" s="5"/>
      <c r="EO226" s="7"/>
      <c r="EP226" s="54"/>
      <c r="EQ226" s="5"/>
      <c r="ER226" s="5"/>
      <c r="ET226" s="27"/>
      <c r="EU226" s="5"/>
      <c r="EV226" s="7"/>
      <c r="EW226" s="54"/>
      <c r="EX226" s="5"/>
      <c r="EY226" s="5"/>
      <c r="FA226" s="27"/>
      <c r="FB226" s="5"/>
      <c r="FC226" s="7"/>
      <c r="FD226" s="54"/>
      <c r="FE226" s="5"/>
      <c r="FF226" s="5"/>
      <c r="FH226" s="27"/>
      <c r="FI226" s="5"/>
      <c r="FJ226" s="7"/>
      <c r="FK226" s="54"/>
      <c r="FL226" s="5"/>
      <c r="FM226" s="5"/>
      <c r="FN226" s="62"/>
      <c r="FO226" s="27"/>
      <c r="FP226" s="5"/>
      <c r="FQ226" s="7"/>
      <c r="FR226" s="54"/>
      <c r="FS226" s="5"/>
      <c r="FT226" s="5"/>
      <c r="FV226" s="27"/>
      <c r="FW226" s="5"/>
      <c r="FX226" s="7"/>
      <c r="FY226" s="54"/>
      <c r="FZ226" s="5"/>
      <c r="GA226" s="5"/>
      <c r="GC226" s="27"/>
      <c r="GD226" s="5"/>
      <c r="GE226" s="7"/>
      <c r="GF226" s="54"/>
      <c r="GG226" s="5"/>
      <c r="GH226" s="5"/>
      <c r="GJ226" s="27"/>
      <c r="GK226" s="5"/>
      <c r="GL226" s="7"/>
      <c r="GM226" s="54"/>
      <c r="GN226" s="5"/>
      <c r="GO226" s="5"/>
      <c r="GP226" s="62"/>
      <c r="GQ226" s="27"/>
      <c r="GR226" s="5"/>
      <c r="GS226" s="7"/>
      <c r="GT226" s="54"/>
      <c r="GU226" s="5"/>
      <c r="GV226" s="5"/>
      <c r="GX226" s="27"/>
      <c r="GY226" s="5"/>
      <c r="GZ226" s="7"/>
      <c r="HA226" s="54"/>
      <c r="HB226" s="5"/>
      <c r="HC226" s="5"/>
      <c r="HE226" s="27"/>
      <c r="HF226" s="5"/>
      <c r="HG226" s="7"/>
      <c r="HH226" s="54"/>
      <c r="HI226" s="5"/>
      <c r="HJ226" s="5"/>
      <c r="HL226" s="27"/>
      <c r="HM226" s="5"/>
      <c r="HN226" s="7"/>
      <c r="HO226" s="54"/>
      <c r="HP226" s="5"/>
      <c r="HQ226" s="5"/>
      <c r="HR226" s="62"/>
      <c r="HS226" s="27"/>
      <c r="HT226" s="5"/>
      <c r="HU226" s="7"/>
      <c r="HV226" s="54"/>
      <c r="HW226" s="5"/>
      <c r="HX226" s="5"/>
      <c r="HZ226" s="27"/>
      <c r="IA226" s="5"/>
      <c r="IB226" s="7"/>
      <c r="IC226" s="54"/>
      <c r="ID226" s="5"/>
      <c r="IE226" s="5"/>
      <c r="IG226" s="27"/>
      <c r="IH226" s="5"/>
      <c r="II226" s="7"/>
      <c r="IJ226" s="54"/>
      <c r="IK226" s="5"/>
      <c r="IL226" s="5"/>
      <c r="IN226" s="27"/>
      <c r="IO226" s="5"/>
      <c r="IP226" s="7"/>
      <c r="IQ226" s="54"/>
      <c r="IR226" s="5"/>
      <c r="IS226" s="5"/>
      <c r="IT226" s="62"/>
      <c r="IU226" s="27"/>
      <c r="IV226" s="5"/>
      <c r="IW226" s="7"/>
      <c r="IX226" s="54"/>
      <c r="IY226" s="5"/>
      <c r="IZ226" s="5"/>
      <c r="JB226" s="27"/>
      <c r="JC226" s="5"/>
      <c r="JD226" s="7"/>
      <c r="JE226" s="54"/>
      <c r="JF226" s="5"/>
      <c r="JG226" s="5"/>
      <c r="JI226" s="27"/>
      <c r="JJ226" s="5"/>
      <c r="JK226" s="7"/>
      <c r="JL226" s="54"/>
      <c r="JM226" s="5"/>
      <c r="JN226" s="5"/>
      <c r="JP226" s="27"/>
      <c r="JQ226" s="5"/>
      <c r="JR226" s="7"/>
      <c r="JS226" s="54"/>
      <c r="JT226" s="5"/>
      <c r="JU226" s="5"/>
      <c r="JV226" s="62"/>
      <c r="JW226" s="27"/>
      <c r="JX226" s="5"/>
      <c r="JY226" s="7"/>
      <c r="JZ226" s="54"/>
      <c r="KA226" s="5"/>
      <c r="KB226" s="5"/>
      <c r="KD226" s="27"/>
      <c r="KE226" s="5"/>
      <c r="KF226" s="7"/>
      <c r="KG226" s="54"/>
      <c r="KH226" s="5"/>
      <c r="KI226" s="5"/>
      <c r="KK226" s="27"/>
      <c r="KL226" s="5"/>
      <c r="KM226" s="7"/>
      <c r="KN226" s="54"/>
      <c r="KO226" s="5"/>
      <c r="KP226" s="5"/>
      <c r="KR226" s="27"/>
      <c r="KS226" s="5"/>
      <c r="KT226" s="7"/>
      <c r="KU226" s="54"/>
      <c r="KV226" s="5"/>
      <c r="KW226" s="5"/>
      <c r="KY226" s="27"/>
      <c r="KZ226" s="5"/>
      <c r="LA226" s="7"/>
      <c r="LB226" s="54"/>
      <c r="LC226" s="5"/>
      <c r="LD226" s="5"/>
      <c r="LF226" s="27"/>
      <c r="LG226" s="5"/>
      <c r="LH226" s="7"/>
      <c r="LI226" s="54"/>
      <c r="LJ226" s="5"/>
      <c r="LK226" s="5"/>
      <c r="LM226" s="27"/>
      <c r="LN226" s="5"/>
      <c r="LO226" s="7"/>
      <c r="LP226" s="54"/>
      <c r="LQ226" s="5"/>
      <c r="LR226" s="5"/>
      <c r="LT226" s="27"/>
      <c r="LU226" s="5"/>
      <c r="LV226" s="7"/>
      <c r="LW226" s="54"/>
      <c r="LX226" s="5"/>
      <c r="LY226" s="5"/>
      <c r="MA226" s="27"/>
      <c r="MB226" s="5"/>
      <c r="MC226" s="7"/>
      <c r="MD226" s="54"/>
      <c r="ME226" s="5"/>
      <c r="MF226" s="5"/>
      <c r="MH226" s="27"/>
      <c r="MI226" s="5"/>
      <c r="MJ226" s="7"/>
      <c r="MK226" s="54"/>
      <c r="ML226" s="5"/>
      <c r="MM226" s="5"/>
      <c r="MO226" s="27"/>
      <c r="MP226" s="5"/>
      <c r="MQ226" s="7"/>
      <c r="MR226" s="54"/>
      <c r="MS226" s="5"/>
      <c r="MT226" s="5"/>
      <c r="MV226" s="27"/>
      <c r="MW226" s="5"/>
      <c r="MX226" s="7"/>
      <c r="MY226" s="54"/>
      <c r="MZ226" s="5"/>
      <c r="NA226" s="5"/>
      <c r="NC226" s="27"/>
      <c r="ND226" s="5"/>
      <c r="NE226" s="7"/>
      <c r="NF226" s="54"/>
      <c r="NG226" s="5"/>
      <c r="NH226" s="5"/>
      <c r="NJ226" s="27"/>
      <c r="NK226" s="5"/>
      <c r="NL226" s="7"/>
      <c r="NM226" s="54"/>
      <c r="NN226" s="5"/>
      <c r="NO226" s="5"/>
      <c r="NQ226" s="27"/>
      <c r="NR226" s="5"/>
      <c r="NS226" s="7"/>
      <c r="NT226" s="54"/>
      <c r="NU226" s="5"/>
      <c r="NV226" s="5"/>
      <c r="NX226" s="27"/>
      <c r="NY226" s="5"/>
      <c r="NZ226" s="7"/>
      <c r="OA226" s="54"/>
      <c r="OB226" s="5"/>
      <c r="OC226" s="5"/>
      <c r="OE226" s="27"/>
      <c r="OF226" s="5"/>
      <c r="OG226" s="7"/>
      <c r="OH226" s="54"/>
      <c r="OI226" s="5"/>
      <c r="OJ226" s="5"/>
      <c r="OL226" s="27"/>
      <c r="OM226" s="5"/>
      <c r="ON226" s="7"/>
      <c r="OO226" s="54"/>
      <c r="OP226" s="5"/>
      <c r="OQ226" s="5"/>
      <c r="OS226" s="27"/>
      <c r="OT226" s="5"/>
      <c r="OU226" s="7"/>
      <c r="OV226" s="54"/>
      <c r="OW226" s="5"/>
      <c r="OX226" s="5"/>
      <c r="OZ226" s="27"/>
      <c r="PA226" s="5"/>
      <c r="PB226" s="7"/>
      <c r="PC226" s="54"/>
      <c r="PD226" s="5"/>
      <c r="PE226" s="5"/>
      <c r="PG226" s="27"/>
      <c r="PH226" s="5"/>
      <c r="PI226" s="7"/>
      <c r="PJ226" s="54"/>
      <c r="PK226" s="5"/>
      <c r="PL226" s="5"/>
      <c r="PN226" s="27"/>
      <c r="PO226" s="5"/>
      <c r="PP226" s="7"/>
      <c r="PQ226" s="54"/>
      <c r="PR226" s="5"/>
      <c r="PS226" s="5"/>
      <c r="PU226" s="27"/>
      <c r="PV226" s="5"/>
      <c r="PW226" s="7"/>
      <c r="PX226" s="54"/>
      <c r="PY226" s="5"/>
      <c r="PZ226" s="5"/>
      <c r="QB226" s="27"/>
      <c r="QC226" s="5"/>
      <c r="QD226" s="7"/>
      <c r="QE226" s="54"/>
      <c r="QF226" s="5"/>
      <c r="QG226" s="5"/>
      <c r="QI226" s="27"/>
      <c r="QJ226" s="5"/>
      <c r="QK226" s="7"/>
      <c r="QL226" s="54"/>
      <c r="QM226" s="5"/>
      <c r="QN226" s="5"/>
      <c r="QP226" s="27"/>
      <c r="QQ226" s="5"/>
      <c r="QR226" s="7"/>
      <c r="QS226" s="54"/>
      <c r="QT226" s="5"/>
      <c r="QU226" s="5"/>
      <c r="QW226" s="27"/>
      <c r="QX226" s="5"/>
      <c r="QY226" s="7"/>
      <c r="QZ226" s="54"/>
      <c r="RA226" s="5"/>
      <c r="RB226" s="5"/>
      <c r="RD226" s="27"/>
      <c r="RE226" s="5"/>
      <c r="RF226" s="7"/>
      <c r="RG226" s="54"/>
      <c r="RH226" s="5"/>
      <c r="RI226" s="5"/>
      <c r="RK226" s="27"/>
      <c r="RL226" s="5"/>
      <c r="RM226" s="7"/>
      <c r="RN226" s="54"/>
      <c r="RO226" s="5"/>
      <c r="RP226" s="5"/>
      <c r="RR226" s="27"/>
      <c r="RS226" s="5"/>
      <c r="RT226" s="7"/>
      <c r="RU226" s="54"/>
      <c r="RV226" s="5"/>
      <c r="RW226" s="5"/>
      <c r="RY226" s="27"/>
      <c r="RZ226" s="5"/>
      <c r="SA226" s="7"/>
      <c r="SB226" s="54"/>
      <c r="SC226" s="5"/>
      <c r="SD226" s="5"/>
      <c r="SF226" s="27"/>
      <c r="SG226" s="5"/>
      <c r="SH226" s="7"/>
      <c r="SI226" s="54"/>
      <c r="SJ226" s="5"/>
      <c r="SK226" s="5"/>
      <c r="SM226" s="27"/>
      <c r="SN226" s="5"/>
      <c r="SO226" s="7"/>
      <c r="SP226" s="54"/>
      <c r="SQ226" s="5"/>
      <c r="SR226" s="5"/>
    </row>
    <row r="227" spans="1:512" x14ac:dyDescent="0.15">
      <c r="E227" s="25"/>
      <c r="F227" s="26"/>
      <c r="G227" s="27"/>
      <c r="H227" s="28"/>
      <c r="I227" s="25"/>
      <c r="J227" s="25"/>
      <c r="K227" s="26"/>
      <c r="L227" s="62"/>
      <c r="M227" s="62" t="s">
        <v>277</v>
      </c>
      <c r="N227" s="62" t="s">
        <v>158</v>
      </c>
      <c r="O227" s="32"/>
      <c r="P227" s="61"/>
      <c r="Q227" s="62"/>
      <c r="R227" s="62"/>
      <c r="S227" s="63"/>
      <c r="T227" s="32"/>
      <c r="U227" s="32"/>
      <c r="V227" s="61"/>
      <c r="W227" s="62"/>
      <c r="X227" s="62"/>
      <c r="Y227" s="62"/>
      <c r="Z227" s="63"/>
      <c r="AA227" s="32"/>
      <c r="AB227" s="32"/>
      <c r="AC227" s="61"/>
      <c r="AD227" s="62"/>
      <c r="AE227" s="27"/>
      <c r="AF227" s="5"/>
      <c r="AG227" s="7"/>
      <c r="AH227" s="54"/>
      <c r="AI227" s="5"/>
      <c r="AJ227" s="5"/>
      <c r="AL227" s="27"/>
      <c r="AM227" s="5"/>
      <c r="AN227" s="7"/>
      <c r="AO227" s="54"/>
      <c r="AP227" s="5"/>
      <c r="AQ227" s="5"/>
      <c r="AS227" s="27"/>
      <c r="AT227" s="5"/>
      <c r="AU227" s="7"/>
      <c r="AV227" s="54"/>
      <c r="AW227" s="5"/>
      <c r="AX227" s="5"/>
      <c r="AZ227" s="27"/>
      <c r="BA227" s="5"/>
      <c r="BB227" s="7"/>
      <c r="BC227" s="54"/>
      <c r="BD227" s="5"/>
      <c r="BE227" s="5"/>
      <c r="BF227" s="62"/>
      <c r="BG227" s="27"/>
      <c r="BH227" s="5"/>
      <c r="BI227" s="7"/>
      <c r="BJ227" s="54"/>
      <c r="BK227" s="5"/>
      <c r="BL227" s="5"/>
      <c r="BN227" s="27"/>
      <c r="BO227" s="5"/>
      <c r="BP227" s="7"/>
      <c r="BQ227" s="54"/>
      <c r="BR227" s="5"/>
      <c r="BS227" s="5"/>
      <c r="BU227" s="27"/>
      <c r="BV227" s="5"/>
      <c r="BW227" s="7"/>
      <c r="BX227" s="54"/>
      <c r="BY227" s="5"/>
      <c r="BZ227" s="5"/>
      <c r="CB227" s="27"/>
      <c r="CC227" s="5"/>
      <c r="CD227" s="7"/>
      <c r="CE227" s="54"/>
      <c r="CF227" s="5"/>
      <c r="CG227" s="5"/>
      <c r="CH227" s="62"/>
      <c r="CI227" s="27"/>
      <c r="CJ227" s="5"/>
      <c r="CK227" s="7"/>
      <c r="CL227" s="54"/>
      <c r="CM227" s="5"/>
      <c r="CN227" s="5"/>
      <c r="CP227" s="27"/>
      <c r="CQ227" s="5"/>
      <c r="CR227" s="7"/>
      <c r="CS227" s="54"/>
      <c r="CT227" s="5"/>
      <c r="CU227" s="5"/>
      <c r="CW227" s="27"/>
      <c r="CX227" s="5"/>
      <c r="CY227" s="7"/>
      <c r="CZ227" s="54"/>
      <c r="DA227" s="5"/>
      <c r="DB227" s="5"/>
      <c r="DD227" s="27"/>
      <c r="DE227" s="5"/>
      <c r="DF227" s="7"/>
      <c r="DG227" s="54"/>
      <c r="DH227" s="5"/>
      <c r="DI227" s="5"/>
      <c r="DJ227" s="62"/>
      <c r="DK227" s="27"/>
      <c r="DL227" s="5"/>
      <c r="DM227" s="7"/>
      <c r="DN227" s="54"/>
      <c r="DO227" s="5"/>
      <c r="DP227" s="5"/>
      <c r="DR227" s="27"/>
      <c r="DS227" s="5"/>
      <c r="DT227" s="7"/>
      <c r="DU227" s="54"/>
      <c r="DV227" s="5"/>
      <c r="DW227" s="5"/>
      <c r="DY227" s="27"/>
      <c r="DZ227" s="5"/>
      <c r="EA227" s="7"/>
      <c r="EB227" s="54"/>
      <c r="EC227" s="5"/>
      <c r="ED227" s="5"/>
      <c r="EF227" s="27"/>
      <c r="EG227" s="5"/>
      <c r="EH227" s="7"/>
      <c r="EI227" s="54"/>
      <c r="EJ227" s="5"/>
      <c r="EK227" s="5"/>
      <c r="EL227" s="62"/>
      <c r="EM227" s="27"/>
      <c r="EN227" s="5"/>
      <c r="EO227" s="7"/>
      <c r="EP227" s="54"/>
      <c r="EQ227" s="5"/>
      <c r="ER227" s="5"/>
      <c r="ET227" s="27"/>
      <c r="EU227" s="5"/>
      <c r="EV227" s="7"/>
      <c r="EW227" s="54"/>
      <c r="EX227" s="5"/>
      <c r="EY227" s="5"/>
      <c r="FA227" s="27"/>
      <c r="FB227" s="5"/>
      <c r="FC227" s="7"/>
      <c r="FD227" s="54"/>
      <c r="FE227" s="5"/>
      <c r="FF227" s="5"/>
      <c r="FH227" s="27"/>
      <c r="FI227" s="5"/>
      <c r="FJ227" s="7"/>
      <c r="FK227" s="54"/>
      <c r="FL227" s="5"/>
      <c r="FM227" s="5"/>
      <c r="FN227" s="62"/>
      <c r="FO227" s="27"/>
      <c r="FP227" s="5"/>
      <c r="FQ227" s="7"/>
      <c r="FR227" s="54"/>
      <c r="FS227" s="5"/>
      <c r="FT227" s="5"/>
      <c r="FV227" s="27"/>
      <c r="FW227" s="5"/>
      <c r="FX227" s="7"/>
      <c r="FY227" s="54"/>
      <c r="FZ227" s="5"/>
      <c r="GA227" s="5"/>
      <c r="GC227" s="27"/>
      <c r="GD227" s="5"/>
      <c r="GE227" s="7"/>
      <c r="GF227" s="54"/>
      <c r="GG227" s="5"/>
      <c r="GH227" s="5"/>
      <c r="GJ227" s="27"/>
      <c r="GK227" s="5"/>
      <c r="GL227" s="7"/>
      <c r="GM227" s="54"/>
      <c r="GN227" s="5"/>
      <c r="GO227" s="5"/>
      <c r="GP227" s="62"/>
      <c r="GQ227" s="27"/>
      <c r="GR227" s="5"/>
      <c r="GS227" s="7"/>
      <c r="GT227" s="54"/>
      <c r="GU227" s="5"/>
      <c r="GV227" s="5"/>
      <c r="GX227" s="27"/>
      <c r="GY227" s="5"/>
      <c r="GZ227" s="7"/>
      <c r="HA227" s="54"/>
      <c r="HB227" s="5"/>
      <c r="HC227" s="5"/>
      <c r="HE227" s="27"/>
      <c r="HF227" s="5"/>
      <c r="HG227" s="7"/>
      <c r="HH227" s="54"/>
      <c r="HI227" s="5"/>
      <c r="HJ227" s="5"/>
      <c r="HL227" s="27"/>
      <c r="HM227" s="5"/>
      <c r="HN227" s="7"/>
      <c r="HO227" s="54"/>
      <c r="HP227" s="5"/>
      <c r="HQ227" s="5"/>
      <c r="HR227" s="62"/>
      <c r="HS227" s="27"/>
      <c r="HT227" s="5"/>
      <c r="HU227" s="7"/>
      <c r="HV227" s="54"/>
      <c r="HW227" s="5"/>
      <c r="HX227" s="5"/>
      <c r="HZ227" s="27"/>
      <c r="IA227" s="5"/>
      <c r="IB227" s="7"/>
      <c r="IC227" s="54"/>
      <c r="ID227" s="5"/>
      <c r="IE227" s="5"/>
      <c r="IG227" s="27"/>
      <c r="IH227" s="5"/>
      <c r="II227" s="7"/>
      <c r="IJ227" s="54"/>
      <c r="IK227" s="5"/>
      <c r="IL227" s="5"/>
      <c r="IN227" s="27"/>
      <c r="IO227" s="5"/>
      <c r="IP227" s="7"/>
      <c r="IQ227" s="54"/>
      <c r="IR227" s="5"/>
      <c r="IS227" s="5"/>
      <c r="IT227" s="62"/>
      <c r="IU227" s="27"/>
      <c r="IV227" s="5"/>
      <c r="IW227" s="7"/>
      <c r="IX227" s="54"/>
      <c r="IY227" s="5"/>
      <c r="IZ227" s="5"/>
      <c r="JB227" s="27"/>
      <c r="JC227" s="5"/>
      <c r="JD227" s="7"/>
      <c r="JE227" s="54"/>
      <c r="JF227" s="5"/>
      <c r="JG227" s="5"/>
      <c r="JI227" s="27"/>
      <c r="JJ227" s="5"/>
      <c r="JK227" s="7"/>
      <c r="JL227" s="54"/>
      <c r="JM227" s="5"/>
      <c r="JN227" s="5"/>
      <c r="JP227" s="27"/>
      <c r="JQ227" s="5"/>
      <c r="JR227" s="7"/>
      <c r="JS227" s="54"/>
      <c r="JT227" s="5"/>
      <c r="JU227" s="5"/>
      <c r="JV227" s="62"/>
      <c r="JW227" s="27"/>
      <c r="JX227" s="5"/>
      <c r="JY227" s="7"/>
      <c r="JZ227" s="54"/>
      <c r="KA227" s="5"/>
      <c r="KB227" s="5"/>
      <c r="KD227" s="27"/>
      <c r="KE227" s="5"/>
      <c r="KF227" s="7"/>
      <c r="KG227" s="54"/>
      <c r="KH227" s="5"/>
      <c r="KI227" s="5"/>
      <c r="KK227" s="27"/>
      <c r="KL227" s="5"/>
      <c r="KM227" s="7"/>
      <c r="KN227" s="54"/>
      <c r="KO227" s="5"/>
      <c r="KP227" s="5"/>
      <c r="KR227" s="27"/>
      <c r="KS227" s="5"/>
      <c r="KT227" s="7"/>
      <c r="KU227" s="54"/>
      <c r="KV227" s="5"/>
      <c r="KW227" s="5"/>
      <c r="KY227" s="27"/>
      <c r="KZ227" s="5"/>
      <c r="LA227" s="7"/>
      <c r="LB227" s="54"/>
      <c r="LC227" s="5"/>
      <c r="LD227" s="5"/>
      <c r="LF227" s="27"/>
      <c r="LG227" s="5"/>
      <c r="LH227" s="7"/>
      <c r="LI227" s="54"/>
      <c r="LJ227" s="5"/>
      <c r="LK227" s="5"/>
      <c r="LM227" s="27"/>
      <c r="LN227" s="5"/>
      <c r="LO227" s="7"/>
      <c r="LP227" s="54"/>
      <c r="LQ227" s="5"/>
      <c r="LR227" s="5"/>
      <c r="LT227" s="27"/>
      <c r="LU227" s="5"/>
      <c r="LV227" s="7"/>
      <c r="LW227" s="54"/>
      <c r="LX227" s="5"/>
      <c r="LY227" s="5"/>
      <c r="MA227" s="27"/>
      <c r="MB227" s="5"/>
      <c r="MC227" s="7"/>
      <c r="MD227" s="54"/>
      <c r="ME227" s="5"/>
      <c r="MF227" s="5"/>
      <c r="MH227" s="27"/>
      <c r="MI227" s="5"/>
      <c r="MJ227" s="7"/>
      <c r="MK227" s="54"/>
      <c r="ML227" s="5"/>
      <c r="MM227" s="5"/>
      <c r="MO227" s="27"/>
      <c r="MP227" s="5"/>
      <c r="MQ227" s="7"/>
      <c r="MR227" s="54"/>
      <c r="MS227" s="5"/>
      <c r="MT227" s="5"/>
      <c r="MV227" s="27"/>
      <c r="MW227" s="5"/>
      <c r="MX227" s="7"/>
      <c r="MY227" s="54"/>
      <c r="MZ227" s="5"/>
      <c r="NA227" s="5"/>
      <c r="NC227" s="27"/>
      <c r="ND227" s="5"/>
      <c r="NE227" s="7"/>
      <c r="NF227" s="54"/>
      <c r="NG227" s="5"/>
      <c r="NH227" s="5"/>
      <c r="NJ227" s="27"/>
      <c r="NK227" s="5"/>
      <c r="NL227" s="7"/>
      <c r="NM227" s="54"/>
      <c r="NN227" s="5"/>
      <c r="NO227" s="5"/>
      <c r="NQ227" s="27"/>
      <c r="NR227" s="5"/>
      <c r="NS227" s="7"/>
      <c r="NT227" s="54"/>
      <c r="NU227" s="5"/>
      <c r="NV227" s="5"/>
      <c r="NX227" s="27"/>
      <c r="NY227" s="5"/>
      <c r="NZ227" s="7"/>
      <c r="OA227" s="54"/>
      <c r="OB227" s="5"/>
      <c r="OC227" s="5"/>
      <c r="OE227" s="27"/>
      <c r="OF227" s="5"/>
      <c r="OG227" s="7"/>
      <c r="OH227" s="54"/>
      <c r="OI227" s="5"/>
      <c r="OJ227" s="5"/>
      <c r="OL227" s="27"/>
      <c r="OM227" s="5"/>
      <c r="ON227" s="7"/>
      <c r="OO227" s="54"/>
      <c r="OP227" s="5"/>
      <c r="OQ227" s="5"/>
      <c r="OS227" s="27"/>
      <c r="OT227" s="5"/>
      <c r="OU227" s="7"/>
      <c r="OV227" s="54"/>
      <c r="OW227" s="5"/>
      <c r="OX227" s="5"/>
      <c r="OZ227" s="27"/>
      <c r="PA227" s="5"/>
      <c r="PB227" s="7"/>
      <c r="PC227" s="54"/>
      <c r="PD227" s="5"/>
      <c r="PE227" s="5"/>
      <c r="PG227" s="27"/>
      <c r="PH227" s="5"/>
      <c r="PI227" s="7"/>
      <c r="PJ227" s="54"/>
      <c r="PK227" s="5"/>
      <c r="PL227" s="5"/>
      <c r="PN227" s="27"/>
      <c r="PO227" s="5"/>
      <c r="PP227" s="7"/>
      <c r="PQ227" s="54"/>
      <c r="PR227" s="5"/>
      <c r="PS227" s="5"/>
      <c r="PU227" s="27"/>
      <c r="PV227" s="5"/>
      <c r="PW227" s="7"/>
      <c r="PX227" s="54"/>
      <c r="PY227" s="5"/>
      <c r="PZ227" s="5"/>
      <c r="QB227" s="27"/>
      <c r="QC227" s="5"/>
      <c r="QD227" s="7"/>
      <c r="QE227" s="54"/>
      <c r="QF227" s="5"/>
      <c r="QG227" s="5"/>
      <c r="QI227" s="27"/>
      <c r="QJ227" s="5"/>
      <c r="QK227" s="7"/>
      <c r="QL227" s="54"/>
      <c r="QM227" s="5"/>
      <c r="QN227" s="5"/>
      <c r="QP227" s="27"/>
      <c r="QQ227" s="5"/>
      <c r="QR227" s="7"/>
      <c r="QS227" s="54"/>
      <c r="QT227" s="5"/>
      <c r="QU227" s="5"/>
      <c r="QW227" s="27"/>
      <c r="QX227" s="5"/>
      <c r="QY227" s="7"/>
      <c r="QZ227" s="54"/>
      <c r="RA227" s="5"/>
      <c r="RB227" s="5"/>
      <c r="RD227" s="27"/>
      <c r="RE227" s="5"/>
      <c r="RF227" s="7"/>
      <c r="RG227" s="54"/>
      <c r="RH227" s="5"/>
      <c r="RI227" s="5"/>
      <c r="RK227" s="27"/>
      <c r="RL227" s="5"/>
      <c r="RM227" s="7"/>
      <c r="RN227" s="54"/>
      <c r="RO227" s="5"/>
      <c r="RP227" s="5"/>
      <c r="RR227" s="27"/>
      <c r="RS227" s="5"/>
      <c r="RT227" s="7"/>
      <c r="RU227" s="54"/>
      <c r="RV227" s="5"/>
      <c r="RW227" s="5"/>
      <c r="RY227" s="27"/>
      <c r="RZ227" s="5"/>
      <c r="SA227" s="7"/>
      <c r="SB227" s="54"/>
      <c r="SC227" s="5"/>
      <c r="SD227" s="5"/>
      <c r="SF227" s="27"/>
      <c r="SG227" s="5"/>
      <c r="SH227" s="7"/>
      <c r="SI227" s="54"/>
      <c r="SJ227" s="5"/>
      <c r="SK227" s="5"/>
      <c r="SM227" s="27"/>
      <c r="SN227" s="5"/>
      <c r="SO227" s="7"/>
      <c r="SP227" s="54"/>
      <c r="SQ227" s="5"/>
      <c r="SR227" s="5"/>
    </row>
    <row r="228" spans="1:512" x14ac:dyDescent="0.15">
      <c r="E228" s="25"/>
      <c r="F228" s="26"/>
      <c r="G228" s="27"/>
      <c r="H228" s="28"/>
      <c r="I228" s="25"/>
      <c r="J228" s="25"/>
      <c r="K228" s="26"/>
      <c r="L228" s="62"/>
      <c r="M228" s="63" t="s">
        <v>278</v>
      </c>
      <c r="N228" s="62" t="s">
        <v>159</v>
      </c>
      <c r="O228" s="32"/>
      <c r="P228" s="61"/>
      <c r="Q228" s="62"/>
      <c r="R228" s="62"/>
      <c r="S228" s="63"/>
      <c r="T228" s="32"/>
      <c r="U228" s="32"/>
      <c r="V228" s="61"/>
      <c r="W228" s="62"/>
      <c r="X228" s="62"/>
      <c r="Y228" s="62"/>
      <c r="Z228" s="63"/>
      <c r="AA228" s="32"/>
      <c r="AB228" s="32"/>
      <c r="AC228" s="61"/>
      <c r="AD228" s="62"/>
      <c r="AE228" s="27"/>
      <c r="AF228" s="5"/>
      <c r="AG228" s="7"/>
      <c r="AH228" s="54"/>
      <c r="AI228" s="5"/>
      <c r="AJ228" s="5"/>
      <c r="AL228" s="27"/>
      <c r="AM228" s="5"/>
      <c r="AN228" s="7"/>
      <c r="AO228" s="54"/>
      <c r="AP228" s="5"/>
      <c r="AQ228" s="5"/>
      <c r="AS228" s="27"/>
      <c r="AT228" s="5"/>
      <c r="AU228" s="7"/>
      <c r="AV228" s="54"/>
      <c r="AW228" s="5"/>
      <c r="AX228" s="5"/>
      <c r="AZ228" s="27"/>
      <c r="BA228" s="5"/>
      <c r="BB228" s="7"/>
      <c r="BC228" s="54"/>
      <c r="BD228" s="5"/>
      <c r="BE228" s="5"/>
      <c r="BF228" s="62"/>
      <c r="BG228" s="27"/>
      <c r="BH228" s="5"/>
      <c r="BI228" s="7"/>
      <c r="BJ228" s="54"/>
      <c r="BK228" s="5"/>
      <c r="BL228" s="5"/>
      <c r="BN228" s="27"/>
      <c r="BO228" s="5"/>
      <c r="BP228" s="7"/>
      <c r="BQ228" s="54"/>
      <c r="BR228" s="5"/>
      <c r="BS228" s="5"/>
      <c r="BU228" s="27"/>
      <c r="BV228" s="5"/>
      <c r="BW228" s="7"/>
      <c r="BX228" s="54"/>
      <c r="BY228" s="5"/>
      <c r="BZ228" s="5"/>
      <c r="CB228" s="27"/>
      <c r="CC228" s="5"/>
      <c r="CD228" s="7"/>
      <c r="CE228" s="54"/>
      <c r="CF228" s="5"/>
      <c r="CG228" s="5"/>
      <c r="CH228" s="62"/>
      <c r="CI228" s="27"/>
      <c r="CJ228" s="5"/>
      <c r="CK228" s="7"/>
      <c r="CL228" s="54"/>
      <c r="CM228" s="5"/>
      <c r="CN228" s="5"/>
      <c r="CP228" s="27"/>
      <c r="CQ228" s="5"/>
      <c r="CR228" s="7"/>
      <c r="CS228" s="54"/>
      <c r="CT228" s="5"/>
      <c r="CU228" s="5"/>
      <c r="CW228" s="27"/>
      <c r="CX228" s="5"/>
      <c r="CY228" s="7"/>
      <c r="CZ228" s="54"/>
      <c r="DA228" s="5"/>
      <c r="DB228" s="5"/>
      <c r="DD228" s="27"/>
      <c r="DE228" s="5"/>
      <c r="DF228" s="7"/>
      <c r="DG228" s="54"/>
      <c r="DH228" s="5"/>
      <c r="DI228" s="5"/>
      <c r="DJ228" s="62"/>
      <c r="DK228" s="27"/>
      <c r="DL228" s="5"/>
      <c r="DM228" s="7"/>
      <c r="DN228" s="54"/>
      <c r="DO228" s="5"/>
      <c r="DP228" s="5"/>
      <c r="DR228" s="27"/>
      <c r="DS228" s="5"/>
      <c r="DT228" s="7"/>
      <c r="DU228" s="54"/>
      <c r="DV228" s="5"/>
      <c r="DW228" s="5"/>
      <c r="DY228" s="27"/>
      <c r="DZ228" s="5"/>
      <c r="EA228" s="7"/>
      <c r="EB228" s="54"/>
      <c r="EC228" s="5"/>
      <c r="ED228" s="5"/>
      <c r="EF228" s="27"/>
      <c r="EG228" s="5"/>
      <c r="EH228" s="7"/>
      <c r="EI228" s="54"/>
      <c r="EJ228" s="5"/>
      <c r="EK228" s="5"/>
      <c r="EL228" s="62"/>
      <c r="EM228" s="27"/>
      <c r="EN228" s="5"/>
      <c r="EO228" s="7"/>
      <c r="EP228" s="54"/>
      <c r="EQ228" s="5"/>
      <c r="ER228" s="5"/>
      <c r="ET228" s="27"/>
      <c r="EU228" s="5"/>
      <c r="EV228" s="7"/>
      <c r="EW228" s="54"/>
      <c r="EX228" s="5"/>
      <c r="EY228" s="5"/>
      <c r="FA228" s="27"/>
      <c r="FB228" s="5"/>
      <c r="FC228" s="7"/>
      <c r="FD228" s="54"/>
      <c r="FE228" s="5"/>
      <c r="FF228" s="5"/>
      <c r="FH228" s="27"/>
      <c r="FI228" s="5"/>
      <c r="FJ228" s="7"/>
      <c r="FK228" s="54"/>
      <c r="FL228" s="5"/>
      <c r="FM228" s="5"/>
      <c r="FN228" s="62"/>
      <c r="FO228" s="27"/>
      <c r="FP228" s="5"/>
      <c r="FQ228" s="7"/>
      <c r="FR228" s="54"/>
      <c r="FS228" s="5"/>
      <c r="FT228" s="5"/>
      <c r="FV228" s="27"/>
      <c r="FW228" s="5"/>
      <c r="FX228" s="7"/>
      <c r="FY228" s="54"/>
      <c r="FZ228" s="5"/>
      <c r="GA228" s="5"/>
      <c r="GC228" s="27"/>
      <c r="GD228" s="5"/>
      <c r="GE228" s="7"/>
      <c r="GF228" s="54"/>
      <c r="GG228" s="5"/>
      <c r="GH228" s="5"/>
      <c r="GJ228" s="27"/>
      <c r="GK228" s="5"/>
      <c r="GL228" s="7"/>
      <c r="GM228" s="54"/>
      <c r="GN228" s="5"/>
      <c r="GO228" s="5"/>
      <c r="GP228" s="62"/>
      <c r="GQ228" s="27"/>
      <c r="GR228" s="5"/>
      <c r="GS228" s="7"/>
      <c r="GT228" s="54"/>
      <c r="GU228" s="5"/>
      <c r="GV228" s="5"/>
      <c r="GX228" s="27"/>
      <c r="GY228" s="5"/>
      <c r="GZ228" s="7"/>
      <c r="HA228" s="54"/>
      <c r="HB228" s="5"/>
      <c r="HC228" s="5"/>
      <c r="HE228" s="27"/>
      <c r="HF228" s="5"/>
      <c r="HG228" s="7"/>
      <c r="HH228" s="54"/>
      <c r="HI228" s="5"/>
      <c r="HJ228" s="5"/>
      <c r="HL228" s="27"/>
      <c r="HM228" s="5"/>
      <c r="HN228" s="7"/>
      <c r="HO228" s="54"/>
      <c r="HP228" s="5"/>
      <c r="HQ228" s="5"/>
      <c r="HR228" s="62"/>
      <c r="HS228" s="27"/>
      <c r="HT228" s="5"/>
      <c r="HU228" s="7"/>
      <c r="HV228" s="54"/>
      <c r="HW228" s="5"/>
      <c r="HX228" s="5"/>
      <c r="HZ228" s="27"/>
      <c r="IA228" s="5"/>
      <c r="IB228" s="7"/>
      <c r="IC228" s="54"/>
      <c r="ID228" s="5"/>
      <c r="IE228" s="5"/>
      <c r="IG228" s="27"/>
      <c r="IH228" s="5"/>
      <c r="II228" s="7"/>
      <c r="IJ228" s="54"/>
      <c r="IK228" s="5"/>
      <c r="IL228" s="5"/>
      <c r="IN228" s="27"/>
      <c r="IO228" s="5"/>
      <c r="IP228" s="7"/>
      <c r="IQ228" s="54"/>
      <c r="IR228" s="5"/>
      <c r="IS228" s="5"/>
      <c r="IT228" s="62"/>
      <c r="IU228" s="27"/>
      <c r="IV228" s="5"/>
      <c r="IW228" s="7"/>
      <c r="IX228" s="54"/>
      <c r="IY228" s="5"/>
      <c r="IZ228" s="5"/>
      <c r="JB228" s="27"/>
      <c r="JC228" s="5"/>
      <c r="JD228" s="7"/>
      <c r="JE228" s="54"/>
      <c r="JF228" s="5"/>
      <c r="JG228" s="5"/>
      <c r="JI228" s="27"/>
      <c r="JJ228" s="5"/>
      <c r="JK228" s="7"/>
      <c r="JL228" s="54"/>
      <c r="JM228" s="5"/>
      <c r="JN228" s="5"/>
      <c r="JP228" s="27"/>
      <c r="JQ228" s="5"/>
      <c r="JR228" s="7"/>
      <c r="JS228" s="54"/>
      <c r="JT228" s="5"/>
      <c r="JU228" s="5"/>
      <c r="JV228" s="62"/>
      <c r="JW228" s="27"/>
      <c r="JX228" s="5"/>
      <c r="JY228" s="7"/>
      <c r="JZ228" s="54"/>
      <c r="KA228" s="5"/>
      <c r="KB228" s="5"/>
      <c r="KD228" s="27"/>
      <c r="KE228" s="5"/>
      <c r="KF228" s="7"/>
      <c r="KG228" s="54"/>
      <c r="KH228" s="5"/>
      <c r="KI228" s="5"/>
      <c r="KK228" s="27"/>
      <c r="KL228" s="5"/>
      <c r="KM228" s="7"/>
      <c r="KN228" s="54"/>
      <c r="KO228" s="5"/>
      <c r="KP228" s="5"/>
      <c r="KR228" s="27"/>
      <c r="KS228" s="5"/>
      <c r="KT228" s="7"/>
      <c r="KU228" s="54"/>
      <c r="KV228" s="5"/>
      <c r="KW228" s="5"/>
      <c r="KY228" s="27"/>
      <c r="KZ228" s="5"/>
      <c r="LA228" s="7"/>
      <c r="LB228" s="54"/>
      <c r="LC228" s="5"/>
      <c r="LD228" s="5"/>
      <c r="LF228" s="27"/>
      <c r="LG228" s="5"/>
      <c r="LH228" s="7"/>
      <c r="LI228" s="54"/>
      <c r="LJ228" s="5"/>
      <c r="LK228" s="5"/>
      <c r="LM228" s="27"/>
      <c r="LN228" s="5"/>
      <c r="LO228" s="7"/>
      <c r="LP228" s="54"/>
      <c r="LQ228" s="5"/>
      <c r="LR228" s="5"/>
      <c r="LT228" s="27"/>
      <c r="LU228" s="5"/>
      <c r="LV228" s="7"/>
      <c r="LW228" s="54"/>
      <c r="LX228" s="5"/>
      <c r="LY228" s="5"/>
      <c r="MA228" s="27"/>
      <c r="MB228" s="5"/>
      <c r="MC228" s="7"/>
      <c r="MD228" s="54"/>
      <c r="ME228" s="5"/>
      <c r="MF228" s="5"/>
      <c r="MH228" s="27"/>
      <c r="MI228" s="5"/>
      <c r="MJ228" s="7"/>
      <c r="MK228" s="54"/>
      <c r="ML228" s="5"/>
      <c r="MM228" s="5"/>
      <c r="MO228" s="27"/>
      <c r="MP228" s="5"/>
      <c r="MQ228" s="7"/>
      <c r="MR228" s="54"/>
      <c r="MS228" s="5"/>
      <c r="MT228" s="5"/>
      <c r="MV228" s="27"/>
      <c r="MW228" s="5"/>
      <c r="MX228" s="7"/>
      <c r="MY228" s="54"/>
      <c r="MZ228" s="5"/>
      <c r="NA228" s="5"/>
      <c r="NC228" s="27"/>
      <c r="ND228" s="5"/>
      <c r="NE228" s="7"/>
      <c r="NF228" s="54"/>
      <c r="NG228" s="5"/>
      <c r="NH228" s="5"/>
      <c r="NJ228" s="27"/>
      <c r="NK228" s="5"/>
      <c r="NL228" s="7"/>
      <c r="NM228" s="54"/>
      <c r="NN228" s="5"/>
      <c r="NO228" s="5"/>
      <c r="NQ228" s="27"/>
      <c r="NR228" s="5"/>
      <c r="NS228" s="7"/>
      <c r="NT228" s="54"/>
      <c r="NU228" s="5"/>
      <c r="NV228" s="5"/>
      <c r="NX228" s="27"/>
      <c r="NY228" s="5"/>
      <c r="NZ228" s="7"/>
      <c r="OA228" s="54"/>
      <c r="OB228" s="5"/>
      <c r="OC228" s="5"/>
      <c r="OE228" s="27"/>
      <c r="OF228" s="5"/>
      <c r="OG228" s="7"/>
      <c r="OH228" s="54"/>
      <c r="OI228" s="5"/>
      <c r="OJ228" s="5"/>
      <c r="OL228" s="27"/>
      <c r="OM228" s="5"/>
      <c r="ON228" s="7"/>
      <c r="OO228" s="54"/>
      <c r="OP228" s="5"/>
      <c r="OQ228" s="5"/>
      <c r="OS228" s="27"/>
      <c r="OT228" s="5"/>
      <c r="OU228" s="7"/>
      <c r="OV228" s="54"/>
      <c r="OW228" s="5"/>
      <c r="OX228" s="5"/>
      <c r="OZ228" s="27"/>
      <c r="PA228" s="5"/>
      <c r="PB228" s="7"/>
      <c r="PC228" s="54"/>
      <c r="PD228" s="5"/>
      <c r="PE228" s="5"/>
      <c r="PG228" s="27"/>
      <c r="PH228" s="5"/>
      <c r="PI228" s="7"/>
      <c r="PJ228" s="54"/>
      <c r="PK228" s="5"/>
      <c r="PL228" s="5"/>
      <c r="PN228" s="27"/>
      <c r="PO228" s="5"/>
      <c r="PP228" s="7"/>
      <c r="PQ228" s="54"/>
      <c r="PR228" s="5"/>
      <c r="PS228" s="5"/>
      <c r="PU228" s="27"/>
      <c r="PV228" s="5"/>
      <c r="PW228" s="7"/>
      <c r="PX228" s="54"/>
      <c r="PY228" s="5"/>
      <c r="PZ228" s="5"/>
      <c r="QB228" s="27"/>
      <c r="QC228" s="5"/>
      <c r="QD228" s="7"/>
      <c r="QE228" s="54"/>
      <c r="QF228" s="5"/>
      <c r="QG228" s="5"/>
      <c r="QI228" s="27"/>
      <c r="QJ228" s="5"/>
      <c r="QK228" s="7"/>
      <c r="QL228" s="54"/>
      <c r="QM228" s="5"/>
      <c r="QN228" s="5"/>
      <c r="QP228" s="27"/>
      <c r="QQ228" s="5"/>
      <c r="QR228" s="7"/>
      <c r="QS228" s="54"/>
      <c r="QT228" s="5"/>
      <c r="QU228" s="5"/>
      <c r="QW228" s="27"/>
      <c r="QX228" s="5"/>
      <c r="QY228" s="7"/>
      <c r="QZ228" s="54"/>
      <c r="RA228" s="5"/>
      <c r="RB228" s="5"/>
      <c r="RD228" s="27"/>
      <c r="RE228" s="5"/>
      <c r="RF228" s="7"/>
      <c r="RG228" s="54"/>
      <c r="RH228" s="5"/>
      <c r="RI228" s="5"/>
      <c r="RK228" s="27"/>
      <c r="RL228" s="5"/>
      <c r="RM228" s="7"/>
      <c r="RN228" s="54"/>
      <c r="RO228" s="5"/>
      <c r="RP228" s="5"/>
      <c r="RR228" s="27"/>
      <c r="RS228" s="5"/>
      <c r="RT228" s="7"/>
      <c r="RU228" s="54"/>
      <c r="RV228" s="5"/>
      <c r="RW228" s="5"/>
      <c r="RY228" s="27"/>
      <c r="RZ228" s="5"/>
      <c r="SA228" s="7"/>
      <c r="SB228" s="54"/>
      <c r="SC228" s="5"/>
      <c r="SD228" s="5"/>
      <c r="SF228" s="27"/>
      <c r="SG228" s="5"/>
      <c r="SH228" s="7"/>
      <c r="SI228" s="54"/>
      <c r="SJ228" s="5"/>
      <c r="SK228" s="5"/>
      <c r="SM228" s="27"/>
      <c r="SN228" s="5"/>
      <c r="SO228" s="7"/>
      <c r="SP228" s="54"/>
      <c r="SQ228" s="5"/>
      <c r="SR228" s="5"/>
    </row>
    <row r="229" spans="1:512" x14ac:dyDescent="0.15">
      <c r="E229" s="25"/>
      <c r="F229" s="26"/>
      <c r="G229" s="27"/>
      <c r="H229" s="28"/>
      <c r="I229" s="25"/>
      <c r="J229" s="25"/>
      <c r="K229" s="26"/>
      <c r="L229" s="62"/>
      <c r="M229" s="32" t="s">
        <v>279</v>
      </c>
      <c r="N229" s="62" t="s">
        <v>160</v>
      </c>
      <c r="O229" s="32"/>
      <c r="P229" s="61"/>
      <c r="Q229" s="62"/>
      <c r="R229" s="62"/>
      <c r="S229" s="63"/>
      <c r="T229" s="32"/>
      <c r="U229" s="32"/>
      <c r="V229" s="61"/>
      <c r="W229" s="62"/>
      <c r="X229" s="62"/>
      <c r="Y229" s="62"/>
      <c r="Z229" s="63"/>
      <c r="AA229" s="32"/>
      <c r="AB229" s="32"/>
      <c r="AC229" s="61"/>
      <c r="AD229" s="62"/>
      <c r="AE229" s="27"/>
      <c r="AF229" s="5"/>
      <c r="AG229" s="7"/>
      <c r="AH229" s="54"/>
      <c r="AI229" s="5"/>
      <c r="AJ229" s="5"/>
      <c r="AL229" s="27"/>
      <c r="AM229" s="5"/>
      <c r="AN229" s="7"/>
      <c r="AO229" s="54"/>
      <c r="AP229" s="5"/>
      <c r="AQ229" s="5"/>
      <c r="AS229" s="27"/>
      <c r="AT229" s="5"/>
      <c r="AU229" s="7"/>
      <c r="AV229" s="54"/>
      <c r="AW229" s="5"/>
      <c r="AX229" s="5"/>
      <c r="AZ229" s="27"/>
      <c r="BA229" s="5"/>
      <c r="BB229" s="7"/>
      <c r="BC229" s="54"/>
      <c r="BD229" s="5"/>
      <c r="BE229" s="5"/>
      <c r="BF229" s="62"/>
      <c r="BG229" s="27"/>
      <c r="BH229" s="5"/>
      <c r="BI229" s="7"/>
      <c r="BJ229" s="54"/>
      <c r="BK229" s="5"/>
      <c r="BL229" s="5"/>
      <c r="BN229" s="27"/>
      <c r="BO229" s="5"/>
      <c r="BP229" s="7"/>
      <c r="BQ229" s="54"/>
      <c r="BR229" s="5"/>
      <c r="BS229" s="5"/>
      <c r="BU229" s="27"/>
      <c r="BV229" s="5"/>
      <c r="BW229" s="7"/>
      <c r="BX229" s="54"/>
      <c r="BY229" s="5"/>
      <c r="BZ229" s="5"/>
      <c r="CB229" s="27"/>
      <c r="CC229" s="5"/>
      <c r="CD229" s="7"/>
      <c r="CE229" s="54"/>
      <c r="CF229" s="5"/>
      <c r="CG229" s="5"/>
      <c r="CH229" s="62"/>
      <c r="CI229" s="27"/>
      <c r="CJ229" s="5"/>
      <c r="CK229" s="7"/>
      <c r="CL229" s="54"/>
      <c r="CM229" s="5"/>
      <c r="CN229" s="5"/>
      <c r="CP229" s="27"/>
      <c r="CQ229" s="5"/>
      <c r="CR229" s="7"/>
      <c r="CS229" s="54"/>
      <c r="CT229" s="5"/>
      <c r="CU229" s="5"/>
      <c r="CW229" s="27"/>
      <c r="CX229" s="5"/>
      <c r="CY229" s="7"/>
      <c r="CZ229" s="54"/>
      <c r="DA229" s="5"/>
      <c r="DB229" s="5"/>
      <c r="DD229" s="27"/>
      <c r="DE229" s="5"/>
      <c r="DF229" s="7"/>
      <c r="DG229" s="54"/>
      <c r="DH229" s="5"/>
      <c r="DI229" s="5"/>
      <c r="DJ229" s="62"/>
      <c r="DK229" s="27"/>
      <c r="DL229" s="5"/>
      <c r="DM229" s="7"/>
      <c r="DN229" s="54"/>
      <c r="DO229" s="5"/>
      <c r="DP229" s="5"/>
      <c r="DR229" s="27"/>
      <c r="DS229" s="5"/>
      <c r="DT229" s="7"/>
      <c r="DU229" s="54"/>
      <c r="DV229" s="5"/>
      <c r="DW229" s="5"/>
      <c r="DY229" s="27"/>
      <c r="DZ229" s="5"/>
      <c r="EA229" s="7"/>
      <c r="EB229" s="54"/>
      <c r="EC229" s="5"/>
      <c r="ED229" s="5"/>
      <c r="EF229" s="27"/>
      <c r="EG229" s="5"/>
      <c r="EH229" s="7"/>
      <c r="EI229" s="54"/>
      <c r="EJ229" s="5"/>
      <c r="EK229" s="5"/>
      <c r="EL229" s="62"/>
      <c r="EM229" s="27"/>
      <c r="EN229" s="5"/>
      <c r="EO229" s="7"/>
      <c r="EP229" s="54"/>
      <c r="EQ229" s="5"/>
      <c r="ER229" s="5"/>
      <c r="ET229" s="27"/>
      <c r="EU229" s="5"/>
      <c r="EV229" s="7"/>
      <c r="EW229" s="54"/>
      <c r="EX229" s="5"/>
      <c r="EY229" s="5"/>
      <c r="FA229" s="27"/>
      <c r="FB229" s="5"/>
      <c r="FC229" s="7"/>
      <c r="FD229" s="54"/>
      <c r="FE229" s="5"/>
      <c r="FF229" s="5"/>
      <c r="FH229" s="27"/>
      <c r="FI229" s="5"/>
      <c r="FJ229" s="7"/>
      <c r="FK229" s="54"/>
      <c r="FL229" s="5"/>
      <c r="FM229" s="5"/>
      <c r="FN229" s="62"/>
      <c r="FO229" s="27"/>
      <c r="FP229" s="5"/>
      <c r="FQ229" s="7"/>
      <c r="FR229" s="54"/>
      <c r="FS229" s="5"/>
      <c r="FT229" s="5"/>
      <c r="FV229" s="27"/>
      <c r="FW229" s="5"/>
      <c r="FX229" s="7"/>
      <c r="FY229" s="54"/>
      <c r="FZ229" s="5"/>
      <c r="GA229" s="5"/>
      <c r="GC229" s="27"/>
      <c r="GD229" s="5"/>
      <c r="GE229" s="7"/>
      <c r="GF229" s="54"/>
      <c r="GG229" s="5"/>
      <c r="GH229" s="5"/>
      <c r="GJ229" s="27"/>
      <c r="GK229" s="5"/>
      <c r="GL229" s="7"/>
      <c r="GM229" s="54"/>
      <c r="GN229" s="5"/>
      <c r="GO229" s="5"/>
      <c r="GP229" s="62"/>
      <c r="GQ229" s="27"/>
      <c r="GR229" s="5"/>
      <c r="GS229" s="7"/>
      <c r="GT229" s="54"/>
      <c r="GU229" s="5"/>
      <c r="GV229" s="5"/>
      <c r="GX229" s="27"/>
      <c r="GY229" s="5"/>
      <c r="GZ229" s="7"/>
      <c r="HA229" s="54"/>
      <c r="HB229" s="5"/>
      <c r="HC229" s="5"/>
      <c r="HE229" s="27"/>
      <c r="HF229" s="5"/>
      <c r="HG229" s="7"/>
      <c r="HH229" s="54"/>
      <c r="HI229" s="5"/>
      <c r="HJ229" s="5"/>
      <c r="HL229" s="27"/>
      <c r="HM229" s="5"/>
      <c r="HN229" s="7"/>
      <c r="HO229" s="54"/>
      <c r="HP229" s="5"/>
      <c r="HQ229" s="5"/>
      <c r="HR229" s="62"/>
      <c r="HS229" s="27"/>
      <c r="HT229" s="5"/>
      <c r="HU229" s="7"/>
      <c r="HV229" s="54"/>
      <c r="HW229" s="5"/>
      <c r="HX229" s="5"/>
      <c r="HZ229" s="27"/>
      <c r="IA229" s="5"/>
      <c r="IB229" s="7"/>
      <c r="IC229" s="54"/>
      <c r="ID229" s="5"/>
      <c r="IE229" s="5"/>
      <c r="IG229" s="27"/>
      <c r="IH229" s="5"/>
      <c r="II229" s="7"/>
      <c r="IJ229" s="54"/>
      <c r="IK229" s="5"/>
      <c r="IL229" s="5"/>
      <c r="IN229" s="27"/>
      <c r="IO229" s="5"/>
      <c r="IP229" s="7"/>
      <c r="IQ229" s="54"/>
      <c r="IR229" s="5"/>
      <c r="IS229" s="5"/>
      <c r="IT229" s="62"/>
      <c r="IU229" s="27"/>
      <c r="IV229" s="5"/>
      <c r="IW229" s="7"/>
      <c r="IX229" s="54"/>
      <c r="IY229" s="5"/>
      <c r="IZ229" s="5"/>
      <c r="JB229" s="27"/>
      <c r="JC229" s="5"/>
      <c r="JD229" s="7"/>
      <c r="JE229" s="54"/>
      <c r="JF229" s="5"/>
      <c r="JG229" s="5"/>
      <c r="JI229" s="27"/>
      <c r="JJ229" s="5"/>
      <c r="JK229" s="7"/>
      <c r="JL229" s="54"/>
      <c r="JM229" s="5"/>
      <c r="JN229" s="5"/>
      <c r="JP229" s="27"/>
      <c r="JQ229" s="5"/>
      <c r="JR229" s="7"/>
      <c r="JS229" s="54"/>
      <c r="JT229" s="5"/>
      <c r="JU229" s="5"/>
      <c r="JV229" s="62"/>
      <c r="JW229" s="27"/>
      <c r="JX229" s="5"/>
      <c r="JY229" s="7"/>
      <c r="JZ229" s="54"/>
      <c r="KA229" s="5"/>
      <c r="KB229" s="5"/>
      <c r="KD229" s="27"/>
      <c r="KE229" s="5"/>
      <c r="KF229" s="7"/>
      <c r="KG229" s="54"/>
      <c r="KH229" s="5"/>
      <c r="KI229" s="5"/>
      <c r="KK229" s="27"/>
      <c r="KL229" s="5"/>
      <c r="KM229" s="7"/>
      <c r="KN229" s="54"/>
      <c r="KO229" s="5"/>
      <c r="KP229" s="5"/>
      <c r="KR229" s="27"/>
      <c r="KS229" s="5"/>
      <c r="KT229" s="7"/>
      <c r="KU229" s="54"/>
      <c r="KV229" s="5"/>
      <c r="KW229" s="5"/>
      <c r="KY229" s="27"/>
      <c r="KZ229" s="5"/>
      <c r="LA229" s="7"/>
      <c r="LB229" s="54"/>
      <c r="LC229" s="5"/>
      <c r="LD229" s="5"/>
      <c r="LF229" s="27"/>
      <c r="LG229" s="5"/>
      <c r="LH229" s="7"/>
      <c r="LI229" s="54"/>
      <c r="LJ229" s="5"/>
      <c r="LK229" s="5"/>
      <c r="LM229" s="27"/>
      <c r="LN229" s="5"/>
      <c r="LO229" s="7"/>
      <c r="LP229" s="54"/>
      <c r="LQ229" s="5"/>
      <c r="LR229" s="5"/>
      <c r="LT229" s="27"/>
      <c r="LU229" s="5"/>
      <c r="LV229" s="7"/>
      <c r="LW229" s="54"/>
      <c r="LX229" s="5"/>
      <c r="LY229" s="5"/>
      <c r="MA229" s="27"/>
      <c r="MB229" s="5"/>
      <c r="MC229" s="7"/>
      <c r="MD229" s="54"/>
      <c r="ME229" s="5"/>
      <c r="MF229" s="5"/>
      <c r="MH229" s="27"/>
      <c r="MI229" s="5"/>
      <c r="MJ229" s="7"/>
      <c r="MK229" s="54"/>
      <c r="ML229" s="5"/>
      <c r="MM229" s="5"/>
      <c r="MO229" s="27"/>
      <c r="MP229" s="5"/>
      <c r="MQ229" s="7"/>
      <c r="MR229" s="54"/>
      <c r="MS229" s="5"/>
      <c r="MT229" s="5"/>
      <c r="MV229" s="27"/>
      <c r="MW229" s="5"/>
      <c r="MX229" s="7"/>
      <c r="MY229" s="54"/>
      <c r="MZ229" s="5"/>
      <c r="NA229" s="5"/>
      <c r="NC229" s="27"/>
      <c r="ND229" s="5"/>
      <c r="NE229" s="7"/>
      <c r="NF229" s="54"/>
      <c r="NG229" s="5"/>
      <c r="NH229" s="5"/>
      <c r="NJ229" s="27"/>
      <c r="NK229" s="5"/>
      <c r="NL229" s="7"/>
      <c r="NM229" s="54"/>
      <c r="NN229" s="5"/>
      <c r="NO229" s="5"/>
      <c r="NQ229" s="27"/>
      <c r="NR229" s="5"/>
      <c r="NS229" s="7"/>
      <c r="NT229" s="54"/>
      <c r="NU229" s="5"/>
      <c r="NV229" s="5"/>
      <c r="NX229" s="27"/>
      <c r="NY229" s="5"/>
      <c r="NZ229" s="7"/>
      <c r="OA229" s="54"/>
      <c r="OB229" s="5"/>
      <c r="OC229" s="5"/>
      <c r="OE229" s="27"/>
      <c r="OF229" s="5"/>
      <c r="OG229" s="7"/>
      <c r="OH229" s="54"/>
      <c r="OI229" s="5"/>
      <c r="OJ229" s="5"/>
      <c r="OL229" s="27"/>
      <c r="OM229" s="5"/>
      <c r="ON229" s="7"/>
      <c r="OO229" s="54"/>
      <c r="OP229" s="5"/>
      <c r="OQ229" s="5"/>
      <c r="OS229" s="27"/>
      <c r="OT229" s="5"/>
      <c r="OU229" s="7"/>
      <c r="OV229" s="54"/>
      <c r="OW229" s="5"/>
      <c r="OX229" s="5"/>
      <c r="OZ229" s="27"/>
      <c r="PA229" s="5"/>
      <c r="PB229" s="7"/>
      <c r="PC229" s="54"/>
      <c r="PD229" s="5"/>
      <c r="PE229" s="5"/>
      <c r="PG229" s="27"/>
      <c r="PH229" s="5"/>
      <c r="PI229" s="7"/>
      <c r="PJ229" s="54"/>
      <c r="PK229" s="5"/>
      <c r="PL229" s="5"/>
      <c r="PN229" s="27"/>
      <c r="PO229" s="5"/>
      <c r="PP229" s="7"/>
      <c r="PQ229" s="54"/>
      <c r="PR229" s="5"/>
      <c r="PS229" s="5"/>
      <c r="PU229" s="27"/>
      <c r="PV229" s="5"/>
      <c r="PW229" s="7"/>
      <c r="PX229" s="54"/>
      <c r="PY229" s="5"/>
      <c r="PZ229" s="5"/>
      <c r="QB229" s="27"/>
      <c r="QC229" s="5"/>
      <c r="QD229" s="7"/>
      <c r="QE229" s="54"/>
      <c r="QF229" s="5"/>
      <c r="QG229" s="5"/>
      <c r="QI229" s="27"/>
      <c r="QJ229" s="5"/>
      <c r="QK229" s="7"/>
      <c r="QL229" s="54"/>
      <c r="QM229" s="5"/>
      <c r="QN229" s="5"/>
      <c r="QP229" s="27"/>
      <c r="QQ229" s="5"/>
      <c r="QR229" s="7"/>
      <c r="QS229" s="54"/>
      <c r="QT229" s="5"/>
      <c r="QU229" s="5"/>
      <c r="QW229" s="27"/>
      <c r="QX229" s="5"/>
      <c r="QY229" s="7"/>
      <c r="QZ229" s="54"/>
      <c r="RA229" s="5"/>
      <c r="RB229" s="5"/>
      <c r="RD229" s="27"/>
      <c r="RE229" s="5"/>
      <c r="RF229" s="7"/>
      <c r="RG229" s="54"/>
      <c r="RH229" s="5"/>
      <c r="RI229" s="5"/>
      <c r="RK229" s="27"/>
      <c r="RL229" s="5"/>
      <c r="RM229" s="7"/>
      <c r="RN229" s="54"/>
      <c r="RO229" s="5"/>
      <c r="RP229" s="5"/>
      <c r="RR229" s="27"/>
      <c r="RS229" s="5"/>
      <c r="RT229" s="7"/>
      <c r="RU229" s="54"/>
      <c r="RV229" s="5"/>
      <c r="RW229" s="5"/>
      <c r="RY229" s="27"/>
      <c r="RZ229" s="5"/>
      <c r="SA229" s="7"/>
      <c r="SB229" s="54"/>
      <c r="SC229" s="5"/>
      <c r="SD229" s="5"/>
      <c r="SF229" s="27"/>
      <c r="SG229" s="5"/>
      <c r="SH229" s="7"/>
      <c r="SI229" s="54"/>
      <c r="SJ229" s="5"/>
      <c r="SK229" s="5"/>
      <c r="SM229" s="27"/>
      <c r="SN229" s="5"/>
      <c r="SO229" s="7"/>
      <c r="SP229" s="54"/>
      <c r="SQ229" s="5"/>
      <c r="SR229" s="5"/>
    </row>
    <row r="230" spans="1:512" x14ac:dyDescent="0.15">
      <c r="E230" s="25"/>
      <c r="F230" s="26"/>
      <c r="G230" s="27"/>
      <c r="H230" s="28"/>
      <c r="I230" s="25"/>
      <c r="J230" s="25"/>
      <c r="K230" s="26"/>
      <c r="L230" s="62"/>
      <c r="M230" s="62" t="s">
        <v>280</v>
      </c>
      <c r="N230" s="62" t="s">
        <v>161</v>
      </c>
      <c r="O230" s="32"/>
      <c r="P230" s="32"/>
      <c r="Q230" s="32"/>
      <c r="R230" s="61"/>
      <c r="S230" s="62"/>
      <c r="T230" s="62"/>
      <c r="U230" s="32"/>
      <c r="V230" s="61"/>
      <c r="W230" s="62"/>
      <c r="X230" s="62"/>
      <c r="Y230" s="62"/>
      <c r="Z230" s="63"/>
      <c r="AA230" s="32"/>
      <c r="AB230" s="32"/>
      <c r="AC230" s="61"/>
      <c r="AD230" s="62"/>
      <c r="AE230" s="27"/>
      <c r="AF230" s="5"/>
      <c r="AG230" s="7"/>
      <c r="AH230" s="54"/>
      <c r="AI230" s="5"/>
      <c r="AJ230" s="5"/>
      <c r="AL230" s="27"/>
      <c r="AM230" s="5"/>
      <c r="AN230" s="7"/>
      <c r="AO230" s="54"/>
      <c r="AP230" s="5"/>
      <c r="AQ230" s="5"/>
      <c r="AS230" s="27"/>
      <c r="AT230" s="5"/>
      <c r="AU230" s="7"/>
      <c r="AV230" s="54"/>
      <c r="AW230" s="5"/>
      <c r="AX230" s="5"/>
      <c r="AZ230" s="27"/>
      <c r="BA230" s="5"/>
      <c r="BB230" s="7"/>
      <c r="BC230" s="54"/>
      <c r="BD230" s="5"/>
      <c r="BE230" s="5"/>
      <c r="BF230" s="62"/>
      <c r="BG230" s="27"/>
      <c r="BH230" s="5"/>
      <c r="BI230" s="7"/>
      <c r="BJ230" s="54"/>
      <c r="BK230" s="5"/>
      <c r="BL230" s="5"/>
      <c r="BN230" s="27"/>
      <c r="BO230" s="5"/>
      <c r="BP230" s="7"/>
      <c r="BQ230" s="54"/>
      <c r="BR230" s="5"/>
      <c r="BS230" s="5"/>
      <c r="BU230" s="27"/>
      <c r="BV230" s="5"/>
      <c r="BW230" s="7"/>
      <c r="BX230" s="54"/>
      <c r="BY230" s="5"/>
      <c r="BZ230" s="5"/>
      <c r="CB230" s="27"/>
      <c r="CC230" s="5"/>
      <c r="CD230" s="7"/>
      <c r="CE230" s="54"/>
      <c r="CF230" s="5"/>
      <c r="CG230" s="5"/>
      <c r="CH230" s="62"/>
      <c r="CI230" s="27"/>
      <c r="CJ230" s="5"/>
      <c r="CK230" s="7"/>
      <c r="CL230" s="54"/>
      <c r="CM230" s="5"/>
      <c r="CN230" s="5"/>
      <c r="CP230" s="27"/>
      <c r="CQ230" s="5"/>
      <c r="CR230" s="7"/>
      <c r="CS230" s="54"/>
      <c r="CT230" s="5"/>
      <c r="CU230" s="5"/>
      <c r="CW230" s="27"/>
      <c r="CX230" s="5"/>
      <c r="CY230" s="7"/>
      <c r="CZ230" s="54"/>
      <c r="DA230" s="5"/>
      <c r="DB230" s="5"/>
      <c r="DD230" s="27"/>
      <c r="DE230" s="5"/>
      <c r="DF230" s="7"/>
      <c r="DG230" s="54"/>
      <c r="DH230" s="5"/>
      <c r="DI230" s="5"/>
      <c r="DJ230" s="62"/>
      <c r="DK230" s="27"/>
      <c r="DL230" s="5"/>
      <c r="DM230" s="7"/>
      <c r="DN230" s="54"/>
      <c r="DO230" s="5"/>
      <c r="DP230" s="5"/>
      <c r="DR230" s="27"/>
      <c r="DS230" s="5"/>
      <c r="DT230" s="7"/>
      <c r="DU230" s="54"/>
      <c r="DV230" s="5"/>
      <c r="DW230" s="5"/>
      <c r="DY230" s="27"/>
      <c r="DZ230" s="5"/>
      <c r="EA230" s="7"/>
      <c r="EB230" s="54"/>
      <c r="EC230" s="5"/>
      <c r="ED230" s="5"/>
      <c r="EF230" s="27"/>
      <c r="EG230" s="5"/>
      <c r="EH230" s="7"/>
      <c r="EI230" s="54"/>
      <c r="EJ230" s="5"/>
      <c r="EK230" s="5"/>
      <c r="EL230" s="62"/>
      <c r="EM230" s="27"/>
      <c r="EN230" s="5"/>
      <c r="EO230" s="7"/>
      <c r="EP230" s="54"/>
      <c r="EQ230" s="5"/>
      <c r="ER230" s="5"/>
      <c r="ET230" s="27"/>
      <c r="EU230" s="5"/>
      <c r="EV230" s="7"/>
      <c r="EW230" s="54"/>
      <c r="EX230" s="5"/>
      <c r="EY230" s="5"/>
      <c r="FA230" s="27"/>
      <c r="FB230" s="5"/>
      <c r="FC230" s="7"/>
      <c r="FD230" s="54"/>
      <c r="FE230" s="5"/>
      <c r="FF230" s="5"/>
      <c r="FH230" s="27"/>
      <c r="FI230" s="5"/>
      <c r="FJ230" s="7"/>
      <c r="FK230" s="54"/>
      <c r="FL230" s="5"/>
      <c r="FM230" s="5"/>
      <c r="FN230" s="62"/>
      <c r="FO230" s="27"/>
      <c r="FP230" s="5"/>
      <c r="FQ230" s="7"/>
      <c r="FR230" s="54"/>
      <c r="FS230" s="5"/>
      <c r="FT230" s="5"/>
      <c r="FV230" s="27"/>
      <c r="FW230" s="5"/>
      <c r="FX230" s="7"/>
      <c r="FY230" s="54"/>
      <c r="FZ230" s="5"/>
      <c r="GA230" s="5"/>
      <c r="GC230" s="27"/>
      <c r="GD230" s="5"/>
      <c r="GE230" s="7"/>
      <c r="GF230" s="54"/>
      <c r="GG230" s="5"/>
      <c r="GH230" s="5"/>
      <c r="GJ230" s="27"/>
      <c r="GK230" s="5"/>
      <c r="GL230" s="7"/>
      <c r="GM230" s="54"/>
      <c r="GN230" s="5"/>
      <c r="GO230" s="5"/>
      <c r="GP230" s="62"/>
      <c r="GQ230" s="27"/>
      <c r="GR230" s="5"/>
      <c r="GS230" s="7"/>
      <c r="GT230" s="54"/>
      <c r="GU230" s="5"/>
      <c r="GV230" s="5"/>
      <c r="GX230" s="27"/>
      <c r="GY230" s="5"/>
      <c r="GZ230" s="7"/>
      <c r="HA230" s="54"/>
      <c r="HB230" s="5"/>
      <c r="HC230" s="5"/>
      <c r="HE230" s="27"/>
      <c r="HF230" s="5"/>
      <c r="HG230" s="7"/>
      <c r="HH230" s="54"/>
      <c r="HI230" s="5"/>
      <c r="HJ230" s="5"/>
      <c r="HL230" s="27"/>
      <c r="HM230" s="5"/>
      <c r="HN230" s="7"/>
      <c r="HO230" s="54"/>
      <c r="HP230" s="5"/>
      <c r="HQ230" s="5"/>
      <c r="HR230" s="62"/>
      <c r="HS230" s="27"/>
      <c r="HT230" s="5"/>
      <c r="HU230" s="7"/>
      <c r="HV230" s="54"/>
      <c r="HW230" s="5"/>
      <c r="HX230" s="5"/>
      <c r="HZ230" s="27"/>
      <c r="IA230" s="5"/>
      <c r="IB230" s="7"/>
      <c r="IC230" s="54"/>
      <c r="ID230" s="5"/>
      <c r="IE230" s="5"/>
      <c r="IG230" s="27"/>
      <c r="IH230" s="5"/>
      <c r="II230" s="7"/>
      <c r="IJ230" s="54"/>
      <c r="IK230" s="5"/>
      <c r="IL230" s="5"/>
      <c r="IN230" s="27"/>
      <c r="IO230" s="5"/>
      <c r="IP230" s="7"/>
      <c r="IQ230" s="54"/>
      <c r="IR230" s="5"/>
      <c r="IS230" s="5"/>
      <c r="IT230" s="62"/>
      <c r="IU230" s="27"/>
      <c r="IV230" s="5"/>
      <c r="IW230" s="7"/>
      <c r="IX230" s="54"/>
      <c r="IY230" s="5"/>
      <c r="IZ230" s="5"/>
      <c r="JB230" s="27"/>
      <c r="JC230" s="5"/>
      <c r="JD230" s="7"/>
      <c r="JE230" s="54"/>
      <c r="JF230" s="5"/>
      <c r="JG230" s="5"/>
      <c r="JI230" s="27"/>
      <c r="JJ230" s="5"/>
      <c r="JK230" s="7"/>
      <c r="JL230" s="54"/>
      <c r="JM230" s="5"/>
      <c r="JN230" s="5"/>
      <c r="JP230" s="27"/>
      <c r="JQ230" s="5"/>
      <c r="JR230" s="7"/>
      <c r="JS230" s="54"/>
      <c r="JT230" s="5"/>
      <c r="JU230" s="5"/>
      <c r="JV230" s="62"/>
      <c r="JW230" s="27"/>
      <c r="JX230" s="5"/>
      <c r="JY230" s="7"/>
      <c r="JZ230" s="54"/>
      <c r="KA230" s="5"/>
      <c r="KB230" s="5"/>
      <c r="KD230" s="27"/>
      <c r="KE230" s="5"/>
      <c r="KF230" s="7"/>
      <c r="KG230" s="54"/>
      <c r="KH230" s="5"/>
      <c r="KI230" s="5"/>
      <c r="KK230" s="27"/>
      <c r="KL230" s="5"/>
      <c r="KM230" s="7"/>
      <c r="KN230" s="54"/>
      <c r="KO230" s="5"/>
      <c r="KP230" s="5"/>
      <c r="KR230" s="27"/>
      <c r="KS230" s="5"/>
      <c r="KT230" s="7"/>
      <c r="KU230" s="54"/>
      <c r="KV230" s="5"/>
      <c r="KW230" s="5"/>
      <c r="KY230" s="27"/>
      <c r="KZ230" s="5"/>
      <c r="LA230" s="7"/>
      <c r="LB230" s="54"/>
      <c r="LC230" s="5"/>
      <c r="LD230" s="5"/>
      <c r="LF230" s="27"/>
      <c r="LG230" s="5"/>
      <c r="LH230" s="7"/>
      <c r="LI230" s="54"/>
      <c r="LJ230" s="5"/>
      <c r="LK230" s="5"/>
      <c r="LM230" s="27"/>
      <c r="LN230" s="5"/>
      <c r="LO230" s="7"/>
      <c r="LP230" s="54"/>
      <c r="LQ230" s="5"/>
      <c r="LR230" s="5"/>
      <c r="LT230" s="27"/>
      <c r="LU230" s="5"/>
      <c r="LV230" s="7"/>
      <c r="LW230" s="54"/>
      <c r="LX230" s="5"/>
      <c r="LY230" s="5"/>
      <c r="MA230" s="27"/>
      <c r="MB230" s="5"/>
      <c r="MC230" s="7"/>
      <c r="MD230" s="54"/>
      <c r="ME230" s="5"/>
      <c r="MF230" s="5"/>
      <c r="MH230" s="27"/>
      <c r="MI230" s="5"/>
      <c r="MJ230" s="7"/>
      <c r="MK230" s="54"/>
      <c r="ML230" s="5"/>
      <c r="MM230" s="5"/>
      <c r="MO230" s="27"/>
      <c r="MP230" s="5"/>
      <c r="MQ230" s="7"/>
      <c r="MR230" s="54"/>
      <c r="MS230" s="5"/>
      <c r="MT230" s="5"/>
      <c r="MV230" s="27"/>
      <c r="MW230" s="5"/>
      <c r="MX230" s="7"/>
      <c r="MY230" s="54"/>
      <c r="MZ230" s="5"/>
      <c r="NA230" s="5"/>
      <c r="NC230" s="27"/>
      <c r="ND230" s="5"/>
      <c r="NE230" s="7"/>
      <c r="NF230" s="54"/>
      <c r="NG230" s="5"/>
      <c r="NH230" s="5"/>
      <c r="NJ230" s="27"/>
      <c r="NK230" s="5"/>
      <c r="NL230" s="7"/>
      <c r="NM230" s="54"/>
      <c r="NN230" s="5"/>
      <c r="NO230" s="5"/>
      <c r="NQ230" s="27"/>
      <c r="NR230" s="5"/>
      <c r="NS230" s="7"/>
      <c r="NT230" s="54"/>
      <c r="NU230" s="5"/>
      <c r="NV230" s="5"/>
      <c r="NX230" s="27"/>
      <c r="NY230" s="5"/>
      <c r="NZ230" s="7"/>
      <c r="OA230" s="54"/>
      <c r="OB230" s="5"/>
      <c r="OC230" s="5"/>
      <c r="OE230" s="27"/>
      <c r="OF230" s="5"/>
      <c r="OG230" s="7"/>
      <c r="OH230" s="54"/>
      <c r="OI230" s="5"/>
      <c r="OJ230" s="5"/>
      <c r="OL230" s="27"/>
      <c r="OM230" s="5"/>
      <c r="ON230" s="7"/>
      <c r="OO230" s="54"/>
      <c r="OP230" s="5"/>
      <c r="OQ230" s="5"/>
      <c r="OS230" s="27"/>
      <c r="OT230" s="5"/>
      <c r="OU230" s="7"/>
      <c r="OV230" s="54"/>
      <c r="OW230" s="5"/>
      <c r="OX230" s="5"/>
      <c r="OZ230" s="27"/>
      <c r="PA230" s="5"/>
      <c r="PB230" s="7"/>
      <c r="PC230" s="54"/>
      <c r="PD230" s="5"/>
      <c r="PE230" s="5"/>
      <c r="PG230" s="27"/>
      <c r="PH230" s="5"/>
      <c r="PI230" s="7"/>
      <c r="PJ230" s="54"/>
      <c r="PK230" s="5"/>
      <c r="PL230" s="5"/>
      <c r="PN230" s="27"/>
      <c r="PO230" s="5"/>
      <c r="PP230" s="7"/>
      <c r="PQ230" s="54"/>
      <c r="PR230" s="5"/>
      <c r="PS230" s="5"/>
      <c r="PU230" s="27"/>
      <c r="PV230" s="5"/>
      <c r="PW230" s="7"/>
      <c r="PX230" s="54"/>
      <c r="PY230" s="5"/>
      <c r="PZ230" s="5"/>
      <c r="QB230" s="27"/>
      <c r="QC230" s="5"/>
      <c r="QD230" s="7"/>
      <c r="QE230" s="54"/>
      <c r="QF230" s="5"/>
      <c r="QG230" s="5"/>
      <c r="QI230" s="27"/>
      <c r="QJ230" s="5"/>
      <c r="QK230" s="7"/>
      <c r="QL230" s="54"/>
      <c r="QM230" s="5"/>
      <c r="QN230" s="5"/>
      <c r="QP230" s="27"/>
      <c r="QQ230" s="5"/>
      <c r="QR230" s="7"/>
      <c r="QS230" s="54"/>
      <c r="QT230" s="5"/>
      <c r="QU230" s="5"/>
      <c r="QW230" s="27"/>
      <c r="QX230" s="5"/>
      <c r="QY230" s="7"/>
      <c r="QZ230" s="54"/>
      <c r="RA230" s="5"/>
      <c r="RB230" s="5"/>
      <c r="RD230" s="27"/>
      <c r="RE230" s="5"/>
      <c r="RF230" s="7"/>
      <c r="RG230" s="54"/>
      <c r="RH230" s="5"/>
      <c r="RI230" s="5"/>
      <c r="RK230" s="27"/>
      <c r="RL230" s="5"/>
      <c r="RM230" s="7"/>
      <c r="RN230" s="54"/>
      <c r="RO230" s="5"/>
      <c r="RP230" s="5"/>
      <c r="RR230" s="27"/>
      <c r="RS230" s="5"/>
      <c r="RT230" s="7"/>
      <c r="RU230" s="54"/>
      <c r="RV230" s="5"/>
      <c r="RW230" s="5"/>
      <c r="RY230" s="27"/>
      <c r="RZ230" s="5"/>
      <c r="SA230" s="7"/>
      <c r="SB230" s="54"/>
      <c r="SC230" s="5"/>
      <c r="SD230" s="5"/>
      <c r="SF230" s="27"/>
      <c r="SG230" s="5"/>
      <c r="SH230" s="7"/>
      <c r="SI230" s="54"/>
      <c r="SJ230" s="5"/>
      <c r="SK230" s="5"/>
      <c r="SM230" s="27"/>
      <c r="SN230" s="5"/>
      <c r="SO230" s="7"/>
      <c r="SP230" s="54"/>
      <c r="SQ230" s="5"/>
      <c r="SR230" s="5"/>
    </row>
    <row r="231" spans="1:512" x14ac:dyDescent="0.15">
      <c r="E231" s="25"/>
      <c r="F231" s="26"/>
      <c r="G231" s="27"/>
      <c r="H231" s="28"/>
      <c r="I231" s="25"/>
      <c r="J231" s="25"/>
      <c r="K231" s="26"/>
      <c r="L231" s="62"/>
      <c r="M231" s="32" t="s">
        <v>281</v>
      </c>
      <c r="N231" s="62" t="s">
        <v>162</v>
      </c>
      <c r="O231" s="32"/>
      <c r="P231" s="25"/>
      <c r="Q231" s="25"/>
      <c r="R231" s="26"/>
      <c r="S231" s="27"/>
      <c r="T231" s="27"/>
      <c r="U231" s="63"/>
      <c r="V231" s="32"/>
      <c r="W231" s="32"/>
      <c r="X231" s="32"/>
      <c r="Y231" s="61"/>
      <c r="Z231" s="62"/>
      <c r="AA231" s="62"/>
      <c r="AB231" s="63"/>
      <c r="AC231" s="32"/>
      <c r="AD231" s="32"/>
      <c r="AE231" s="32"/>
      <c r="AF231" s="61"/>
      <c r="AG231" s="27"/>
      <c r="AL231" s="32"/>
      <c r="AM231" s="61"/>
      <c r="AN231" s="27"/>
      <c r="AS231" s="32"/>
      <c r="AT231" s="61"/>
      <c r="AU231" s="27"/>
      <c r="AZ231" s="32"/>
      <c r="BA231" s="61"/>
      <c r="BB231" s="27"/>
      <c r="BF231" s="32"/>
      <c r="BG231" s="32"/>
      <c r="BH231" s="61"/>
      <c r="BI231" s="27"/>
      <c r="BN231" s="32"/>
      <c r="BO231" s="61"/>
      <c r="BP231" s="27"/>
      <c r="BU231" s="32"/>
      <c r="BV231" s="61"/>
      <c r="BW231" s="27"/>
      <c r="CB231" s="32"/>
      <c r="CC231" s="61"/>
      <c r="CD231" s="27"/>
      <c r="CH231" s="32"/>
      <c r="CI231" s="32"/>
      <c r="CJ231" s="61"/>
      <c r="CK231" s="27"/>
      <c r="CP231" s="32"/>
      <c r="CQ231" s="61"/>
      <c r="CR231" s="27"/>
      <c r="CW231" s="32"/>
      <c r="CX231" s="61"/>
      <c r="CY231" s="27"/>
      <c r="DD231" s="32"/>
      <c r="DE231" s="61"/>
      <c r="DF231" s="27"/>
      <c r="DJ231" s="32"/>
      <c r="DK231" s="32"/>
      <c r="DL231" s="61"/>
      <c r="DM231" s="27"/>
      <c r="DR231" s="32"/>
      <c r="DS231" s="61"/>
      <c r="DT231" s="27"/>
      <c r="DY231" s="32"/>
      <c r="DZ231" s="61"/>
      <c r="EA231" s="27"/>
      <c r="EF231" s="32"/>
      <c r="EG231" s="61"/>
      <c r="EH231" s="27"/>
      <c r="EL231" s="32"/>
      <c r="EM231" s="32"/>
      <c r="EN231" s="61"/>
      <c r="EO231" s="27"/>
      <c r="ET231" s="32"/>
      <c r="EU231" s="61"/>
      <c r="EV231" s="27"/>
      <c r="FA231" s="32"/>
      <c r="FB231" s="61"/>
      <c r="FC231" s="27"/>
      <c r="FH231" s="32"/>
      <c r="FI231" s="61"/>
      <c r="FJ231" s="27"/>
      <c r="FN231" s="32"/>
      <c r="FO231" s="32"/>
      <c r="FP231" s="61"/>
      <c r="FQ231" s="27"/>
      <c r="FV231" s="32"/>
      <c r="FW231" s="61"/>
      <c r="FX231" s="27"/>
      <c r="GC231" s="32"/>
      <c r="GD231" s="61"/>
      <c r="GE231" s="27"/>
      <c r="GJ231" s="32"/>
      <c r="GK231" s="61"/>
      <c r="GL231" s="27"/>
      <c r="GP231" s="32"/>
      <c r="GQ231" s="32"/>
      <c r="GR231" s="61"/>
      <c r="GS231" s="27"/>
      <c r="GX231" s="32"/>
      <c r="GY231" s="61"/>
      <c r="GZ231" s="27"/>
      <c r="HE231" s="32"/>
      <c r="HF231" s="61"/>
      <c r="HG231" s="27"/>
      <c r="HL231" s="32"/>
      <c r="HM231" s="61"/>
      <c r="HN231" s="27"/>
      <c r="HR231" s="32"/>
      <c r="HS231" s="32"/>
      <c r="HT231" s="61"/>
      <c r="HU231" s="27"/>
      <c r="HZ231" s="32"/>
      <c r="IA231" s="61"/>
      <c r="IB231" s="27"/>
      <c r="IG231" s="32"/>
      <c r="IH231" s="61"/>
      <c r="II231" s="27"/>
      <c r="IN231" s="32"/>
      <c r="IO231" s="61"/>
      <c r="IP231" s="27"/>
      <c r="IT231" s="32"/>
      <c r="IU231" s="32"/>
      <c r="IV231" s="61"/>
      <c r="IW231" s="27"/>
      <c r="JB231" s="32"/>
      <c r="JC231" s="61"/>
      <c r="JD231" s="27"/>
      <c r="JI231" s="32"/>
      <c r="JJ231" s="61"/>
      <c r="JK231" s="27"/>
      <c r="JP231" s="32"/>
      <c r="JQ231" s="61"/>
      <c r="JR231" s="27"/>
      <c r="JV231" s="32"/>
      <c r="JW231" s="32"/>
      <c r="JX231" s="61"/>
      <c r="JY231" s="27"/>
      <c r="KD231" s="32"/>
      <c r="KE231" s="61"/>
      <c r="KF231" s="27"/>
      <c r="KK231" s="32"/>
      <c r="KL231" s="61"/>
      <c r="KM231" s="27"/>
      <c r="KR231" s="32"/>
      <c r="KS231" s="61"/>
      <c r="KT231" s="27"/>
      <c r="KY231" s="32"/>
      <c r="KZ231" s="61"/>
      <c r="LA231" s="27"/>
      <c r="LF231" s="32"/>
      <c r="LG231" s="61"/>
      <c r="LH231" s="27"/>
      <c r="LM231" s="32"/>
      <c r="LN231" s="61"/>
      <c r="LO231" s="27"/>
      <c r="LT231" s="32"/>
      <c r="LU231" s="61"/>
      <c r="LV231" s="27"/>
      <c r="MA231" s="32"/>
      <c r="MB231" s="61"/>
      <c r="MC231" s="27"/>
      <c r="MH231" s="32"/>
      <c r="MI231" s="61"/>
      <c r="MJ231" s="27"/>
      <c r="MO231" s="32"/>
      <c r="MP231" s="61"/>
      <c r="MQ231" s="27"/>
      <c r="MV231" s="32"/>
      <c r="MW231" s="61"/>
      <c r="MX231" s="27"/>
      <c r="NC231" s="32"/>
      <c r="ND231" s="61"/>
      <c r="NE231" s="27"/>
      <c r="NJ231" s="32"/>
      <c r="NK231" s="61"/>
      <c r="NL231" s="27"/>
      <c r="NQ231" s="32"/>
      <c r="NR231" s="61"/>
      <c r="NS231" s="27"/>
      <c r="NX231" s="32"/>
      <c r="NY231" s="61"/>
      <c r="NZ231" s="27"/>
      <c r="OE231" s="32"/>
      <c r="OF231" s="61"/>
      <c r="OG231" s="27"/>
      <c r="OL231" s="32"/>
      <c r="OM231" s="61"/>
      <c r="ON231" s="27"/>
      <c r="OS231" s="32"/>
      <c r="OT231" s="61"/>
      <c r="OU231" s="27"/>
      <c r="OZ231" s="32"/>
      <c r="PA231" s="61"/>
      <c r="PB231" s="27"/>
      <c r="PG231" s="32"/>
      <c r="PH231" s="61"/>
      <c r="PI231" s="27"/>
      <c r="PN231" s="32"/>
      <c r="PO231" s="61"/>
      <c r="PP231" s="27"/>
      <c r="PU231" s="32"/>
      <c r="PV231" s="61"/>
      <c r="PW231" s="27"/>
      <c r="QB231" s="32"/>
      <c r="QC231" s="61"/>
      <c r="QD231" s="27"/>
      <c r="QI231" s="32"/>
      <c r="QJ231" s="61"/>
      <c r="QK231" s="27"/>
      <c r="QP231" s="32"/>
      <c r="QQ231" s="61"/>
      <c r="QR231" s="27"/>
      <c r="QW231" s="32"/>
      <c r="QX231" s="61"/>
      <c r="QY231" s="27"/>
      <c r="RD231" s="32"/>
      <c r="RE231" s="61"/>
      <c r="RF231" s="27"/>
      <c r="RK231" s="32"/>
      <c r="RL231" s="61"/>
      <c r="RM231" s="27"/>
      <c r="RR231" s="32"/>
      <c r="RS231" s="61"/>
      <c r="RT231" s="27"/>
      <c r="RY231" s="32"/>
      <c r="RZ231" s="61"/>
      <c r="SA231" s="27"/>
      <c r="SF231" s="32"/>
      <c r="SG231" s="61"/>
      <c r="SH231" s="27"/>
      <c r="SM231" s="32"/>
      <c r="SN231" s="61"/>
      <c r="SO231" s="27"/>
    </row>
    <row r="232" spans="1:512" x14ac:dyDescent="0.15">
      <c r="E232" s="25"/>
      <c r="F232" s="26"/>
      <c r="G232" s="27"/>
      <c r="H232" s="28"/>
      <c r="I232" s="25"/>
      <c r="J232" s="25"/>
      <c r="K232" s="26"/>
      <c r="L232" s="27"/>
      <c r="M232" s="61" t="s">
        <v>282</v>
      </c>
      <c r="N232" s="63" t="s">
        <v>163</v>
      </c>
      <c r="O232" s="32"/>
      <c r="P232" s="25"/>
      <c r="Q232" s="25"/>
      <c r="R232" s="26"/>
      <c r="S232" s="27"/>
      <c r="T232" s="27"/>
      <c r="U232" s="28"/>
      <c r="V232" s="25"/>
      <c r="W232" s="25"/>
      <c r="X232" s="25"/>
      <c r="Y232" s="26"/>
      <c r="Z232" s="27"/>
      <c r="AA232" s="27"/>
      <c r="AB232" s="28"/>
      <c r="AC232" s="25"/>
      <c r="AD232" s="25"/>
      <c r="AE232" s="25"/>
      <c r="AF232" s="26"/>
      <c r="AG232" s="27"/>
      <c r="AL232" s="25"/>
      <c r="AM232" s="26"/>
      <c r="AN232" s="27"/>
      <c r="AS232" s="25"/>
      <c r="AT232" s="26"/>
      <c r="AU232" s="27"/>
      <c r="AZ232" s="25"/>
      <c r="BA232" s="26"/>
      <c r="BB232" s="27"/>
      <c r="BF232" s="25"/>
      <c r="BG232" s="25"/>
      <c r="BH232" s="26"/>
      <c r="BI232" s="27"/>
      <c r="BN232" s="25"/>
      <c r="BO232" s="26"/>
      <c r="BP232" s="27"/>
      <c r="BU232" s="25"/>
      <c r="BV232" s="26"/>
      <c r="BW232" s="27"/>
      <c r="CB232" s="25"/>
      <c r="CC232" s="26"/>
      <c r="CD232" s="27"/>
      <c r="CH232" s="25"/>
      <c r="CI232" s="25"/>
      <c r="CJ232" s="26"/>
      <c r="CK232" s="27"/>
      <c r="CP232" s="25"/>
      <c r="CQ232" s="26"/>
      <c r="CR232" s="27"/>
      <c r="CW232" s="25"/>
      <c r="CX232" s="26"/>
      <c r="CY232" s="27"/>
      <c r="DD232" s="25"/>
      <c r="DE232" s="26"/>
      <c r="DF232" s="27"/>
      <c r="DJ232" s="25"/>
      <c r="DK232" s="25"/>
      <c r="DL232" s="26"/>
      <c r="DM232" s="27"/>
      <c r="DR232" s="25"/>
      <c r="DS232" s="26"/>
      <c r="DT232" s="27"/>
      <c r="DY232" s="25"/>
      <c r="DZ232" s="26"/>
      <c r="EA232" s="27"/>
      <c r="EF232" s="25"/>
      <c r="EG232" s="26"/>
      <c r="EH232" s="27"/>
      <c r="EL232" s="25"/>
      <c r="EM232" s="25"/>
      <c r="EN232" s="26"/>
      <c r="EO232" s="27"/>
      <c r="ET232" s="25"/>
      <c r="EU232" s="26"/>
      <c r="EV232" s="27"/>
      <c r="FA232" s="25"/>
      <c r="FB232" s="26"/>
      <c r="FC232" s="27"/>
      <c r="FH232" s="25"/>
      <c r="FI232" s="26"/>
      <c r="FJ232" s="27"/>
      <c r="FN232" s="25"/>
      <c r="FO232" s="25"/>
      <c r="FP232" s="26"/>
      <c r="FQ232" s="27"/>
      <c r="FV232" s="25"/>
      <c r="FW232" s="26"/>
      <c r="FX232" s="27"/>
      <c r="GC232" s="25"/>
      <c r="GD232" s="26"/>
      <c r="GE232" s="27"/>
      <c r="GJ232" s="25"/>
      <c r="GK232" s="26"/>
      <c r="GL232" s="27"/>
      <c r="GP232" s="25"/>
      <c r="GQ232" s="25"/>
      <c r="GR232" s="26"/>
      <c r="GS232" s="27"/>
      <c r="GX232" s="25"/>
      <c r="GY232" s="26"/>
      <c r="GZ232" s="27"/>
      <c r="HE232" s="25"/>
      <c r="HF232" s="26"/>
      <c r="HG232" s="27"/>
      <c r="HL232" s="25"/>
      <c r="HM232" s="26"/>
      <c r="HN232" s="27"/>
      <c r="HR232" s="25"/>
      <c r="HS232" s="25"/>
      <c r="HT232" s="26"/>
      <c r="HU232" s="27"/>
      <c r="HZ232" s="25"/>
      <c r="IA232" s="26"/>
      <c r="IB232" s="27"/>
      <c r="IG232" s="25"/>
      <c r="IH232" s="26"/>
      <c r="II232" s="27"/>
      <c r="IN232" s="25"/>
      <c r="IO232" s="26"/>
      <c r="IP232" s="27"/>
      <c r="IT232" s="25"/>
      <c r="IU232" s="25"/>
      <c r="IV232" s="26"/>
      <c r="IW232" s="27"/>
      <c r="JB232" s="25"/>
      <c r="JC232" s="26"/>
      <c r="JD232" s="27"/>
      <c r="JI232" s="25"/>
      <c r="JJ232" s="26"/>
      <c r="JK232" s="27"/>
      <c r="JP232" s="25"/>
      <c r="JQ232" s="26"/>
      <c r="JR232" s="27"/>
      <c r="JV232" s="25"/>
      <c r="JW232" s="25"/>
      <c r="JX232" s="26"/>
      <c r="JY232" s="27"/>
      <c r="KD232" s="25"/>
      <c r="KE232" s="26"/>
      <c r="KF232" s="27"/>
      <c r="KK232" s="25"/>
      <c r="KL232" s="26"/>
      <c r="KM232" s="27"/>
      <c r="KR232" s="25"/>
      <c r="KS232" s="26"/>
      <c r="KT232" s="27"/>
      <c r="KY232" s="25"/>
      <c r="KZ232" s="26"/>
      <c r="LA232" s="27"/>
      <c r="LF232" s="25"/>
      <c r="LG232" s="26"/>
      <c r="LH232" s="27"/>
      <c r="LM232" s="25"/>
      <c r="LN232" s="26"/>
      <c r="LO232" s="27"/>
      <c r="LT232" s="25"/>
      <c r="LU232" s="26"/>
      <c r="LV232" s="27"/>
      <c r="MA232" s="25"/>
      <c r="MB232" s="26"/>
      <c r="MC232" s="27"/>
      <c r="MH232" s="25"/>
      <c r="MI232" s="26"/>
      <c r="MJ232" s="27"/>
      <c r="MO232" s="25"/>
      <c r="MP232" s="26"/>
      <c r="MQ232" s="27"/>
      <c r="MV232" s="25"/>
      <c r="MW232" s="26"/>
      <c r="MX232" s="27"/>
      <c r="NC232" s="25"/>
      <c r="ND232" s="26"/>
      <c r="NE232" s="27"/>
      <c r="NJ232" s="25"/>
      <c r="NK232" s="26"/>
      <c r="NL232" s="27"/>
      <c r="NQ232" s="25"/>
      <c r="NR232" s="26"/>
      <c r="NS232" s="27"/>
      <c r="NX232" s="25"/>
      <c r="NY232" s="26"/>
      <c r="NZ232" s="27"/>
      <c r="OE232" s="25"/>
      <c r="OF232" s="26"/>
      <c r="OG232" s="27"/>
      <c r="OL232" s="25"/>
      <c r="OM232" s="26"/>
      <c r="ON232" s="27"/>
      <c r="OS232" s="25"/>
      <c r="OT232" s="26"/>
      <c r="OU232" s="27"/>
      <c r="OZ232" s="25"/>
      <c r="PA232" s="26"/>
      <c r="PB232" s="27"/>
      <c r="PG232" s="25"/>
      <c r="PH232" s="26"/>
      <c r="PI232" s="27"/>
      <c r="PN232" s="25"/>
      <c r="PO232" s="26"/>
      <c r="PP232" s="27"/>
      <c r="PU232" s="25"/>
      <c r="PV232" s="26"/>
      <c r="PW232" s="27"/>
      <c r="QB232" s="25"/>
      <c r="QC232" s="26"/>
      <c r="QD232" s="27"/>
      <c r="QI232" s="25"/>
      <c r="QJ232" s="26"/>
      <c r="QK232" s="27"/>
      <c r="QP232" s="25"/>
      <c r="QQ232" s="26"/>
      <c r="QR232" s="27"/>
      <c r="QW232" s="25"/>
      <c r="QX232" s="26"/>
      <c r="QY232" s="27"/>
      <c r="RD232" s="25"/>
      <c r="RE232" s="26"/>
      <c r="RF232" s="27"/>
      <c r="RK232" s="25"/>
      <c r="RL232" s="26"/>
      <c r="RM232" s="27"/>
      <c r="RR232" s="25"/>
      <c r="RS232" s="26"/>
      <c r="RT232" s="27"/>
      <c r="RY232" s="25"/>
      <c r="RZ232" s="26"/>
      <c r="SA232" s="27"/>
      <c r="SF232" s="25"/>
      <c r="SG232" s="26"/>
      <c r="SH232" s="27"/>
      <c r="SM232" s="25"/>
      <c r="SN232" s="26"/>
      <c r="SO232" s="27"/>
    </row>
    <row r="233" spans="1:512" x14ac:dyDescent="0.15">
      <c r="E233" s="25"/>
      <c r="F233" s="26"/>
      <c r="G233" s="27"/>
      <c r="H233" s="28"/>
      <c r="I233" s="25"/>
      <c r="J233" s="25"/>
      <c r="K233" s="26"/>
      <c r="L233" s="27"/>
      <c r="M233" s="62" t="s">
        <v>283</v>
      </c>
      <c r="N233" s="32" t="s">
        <v>164</v>
      </c>
      <c r="O233" s="32"/>
      <c r="P233" s="25"/>
      <c r="Q233" s="25"/>
      <c r="R233" s="26"/>
      <c r="S233" s="27"/>
      <c r="T233" s="27"/>
      <c r="U233" s="28"/>
      <c r="V233" s="25"/>
      <c r="W233" s="25"/>
      <c r="X233" s="25"/>
      <c r="Y233" s="26"/>
      <c r="Z233" s="27"/>
      <c r="AA233" s="27"/>
      <c r="AB233" s="28"/>
      <c r="AC233" s="25"/>
      <c r="AD233" s="25"/>
      <c r="AE233" s="25"/>
      <c r="AL233" s="25"/>
      <c r="AS233" s="25"/>
      <c r="AZ233" s="25"/>
      <c r="BF233" s="25"/>
      <c r="BG233" s="25"/>
      <c r="BN233" s="25"/>
      <c r="BU233" s="25"/>
      <c r="CB233" s="25"/>
      <c r="CH233" s="25"/>
      <c r="CI233" s="25"/>
      <c r="CP233" s="25"/>
      <c r="CW233" s="25"/>
      <c r="DD233" s="25"/>
      <c r="DJ233" s="25"/>
      <c r="DK233" s="25"/>
      <c r="DR233" s="25"/>
      <c r="DY233" s="25"/>
      <c r="EF233" s="25"/>
      <c r="EL233" s="25"/>
      <c r="EM233" s="25"/>
      <c r="ET233" s="25"/>
      <c r="FA233" s="25"/>
      <c r="FH233" s="25"/>
      <c r="FN233" s="25"/>
      <c r="FO233" s="25"/>
      <c r="FV233" s="25"/>
      <c r="GC233" s="25"/>
      <c r="GJ233" s="25"/>
      <c r="GP233" s="25"/>
      <c r="GQ233" s="25"/>
      <c r="GX233" s="25"/>
      <c r="HE233" s="25"/>
      <c r="HL233" s="25"/>
      <c r="HR233" s="25"/>
      <c r="HS233" s="25"/>
      <c r="HZ233" s="25"/>
      <c r="IG233" s="25"/>
      <c r="IN233" s="25"/>
      <c r="IT233" s="25"/>
      <c r="IU233" s="25"/>
      <c r="JB233" s="25"/>
      <c r="JI233" s="25"/>
      <c r="JP233" s="25"/>
      <c r="JV233" s="25"/>
      <c r="JW233" s="25"/>
      <c r="KD233" s="25"/>
      <c r="KK233" s="25"/>
      <c r="KR233" s="25"/>
      <c r="KY233" s="25"/>
      <c r="LF233" s="25"/>
      <c r="LM233" s="25"/>
      <c r="LT233" s="25"/>
      <c r="MA233" s="25"/>
      <c r="MH233" s="25"/>
      <c r="MO233" s="25"/>
      <c r="MV233" s="25"/>
      <c r="NC233" s="25"/>
      <c r="NJ233" s="25"/>
      <c r="NQ233" s="25"/>
      <c r="NX233" s="25"/>
      <c r="OE233" s="25"/>
      <c r="OL233" s="25"/>
      <c r="OS233" s="25"/>
      <c r="OZ233" s="25"/>
      <c r="PG233" s="25"/>
      <c r="PN233" s="25"/>
      <c r="PU233" s="25"/>
      <c r="QB233" s="25"/>
      <c r="QI233" s="25"/>
      <c r="QP233" s="25"/>
      <c r="QW233" s="25"/>
      <c r="RD233" s="25"/>
      <c r="RK233" s="25"/>
      <c r="RR233" s="25"/>
      <c r="RY233" s="25"/>
      <c r="SF233" s="25"/>
      <c r="SM233" s="25"/>
    </row>
    <row r="234" spans="1:512" x14ac:dyDescent="0.15">
      <c r="E234" s="25"/>
      <c r="F234" s="26"/>
      <c r="G234" s="27"/>
      <c r="H234" s="28"/>
      <c r="I234" s="25"/>
      <c r="J234" s="25"/>
      <c r="K234" s="26"/>
      <c r="L234" s="27"/>
      <c r="M234" s="62" t="s">
        <v>284</v>
      </c>
      <c r="N234" s="62" t="s">
        <v>165</v>
      </c>
      <c r="O234" s="32"/>
      <c r="P234" s="25"/>
      <c r="Q234" s="25"/>
      <c r="R234" s="26"/>
      <c r="S234" s="27"/>
      <c r="T234" s="27"/>
      <c r="U234" s="28"/>
      <c r="V234" s="25"/>
      <c r="W234" s="25"/>
      <c r="X234" s="25"/>
      <c r="Y234" s="26"/>
      <c r="Z234" s="27"/>
      <c r="AA234" s="27"/>
      <c r="AB234" s="28"/>
      <c r="AC234" s="25"/>
      <c r="AD234" s="25"/>
      <c r="AE234" s="25"/>
      <c r="AL234" s="25"/>
      <c r="AS234" s="25"/>
      <c r="AZ234" s="25"/>
      <c r="BF234" s="25"/>
      <c r="BG234" s="25"/>
      <c r="BN234" s="25"/>
      <c r="BU234" s="25"/>
      <c r="CB234" s="25"/>
      <c r="CH234" s="25"/>
      <c r="CI234" s="25"/>
      <c r="CP234" s="25"/>
      <c r="CW234" s="25"/>
      <c r="DD234" s="25"/>
      <c r="DJ234" s="25"/>
      <c r="DK234" s="25"/>
      <c r="DR234" s="25"/>
      <c r="DY234" s="25"/>
      <c r="EF234" s="25"/>
      <c r="EL234" s="25"/>
      <c r="EM234" s="25"/>
      <c r="ET234" s="25"/>
      <c r="FA234" s="25"/>
      <c r="FH234" s="25"/>
      <c r="FN234" s="25"/>
      <c r="FO234" s="25"/>
      <c r="FV234" s="25"/>
      <c r="GC234" s="25"/>
      <c r="GJ234" s="25"/>
      <c r="GP234" s="25"/>
      <c r="GQ234" s="25"/>
      <c r="GX234" s="25"/>
      <c r="HE234" s="25"/>
      <c r="HL234" s="25"/>
      <c r="HR234" s="25"/>
      <c r="HS234" s="25"/>
      <c r="HZ234" s="25"/>
      <c r="IG234" s="25"/>
      <c r="IN234" s="25"/>
      <c r="IT234" s="25"/>
      <c r="IU234" s="25"/>
      <c r="JB234" s="25"/>
      <c r="JI234" s="25"/>
      <c r="JP234" s="25"/>
      <c r="JV234" s="25"/>
      <c r="JW234" s="25"/>
      <c r="KD234" s="25"/>
      <c r="KK234" s="25"/>
      <c r="KR234" s="25"/>
      <c r="KY234" s="25"/>
      <c r="LF234" s="25"/>
      <c r="LM234" s="25"/>
      <c r="LT234" s="25"/>
      <c r="MA234" s="25"/>
      <c r="MH234" s="25"/>
      <c r="MO234" s="25"/>
      <c r="MV234" s="25"/>
      <c r="NC234" s="25"/>
      <c r="NJ234" s="25"/>
      <c r="NQ234" s="25"/>
      <c r="NX234" s="25"/>
      <c r="OE234" s="25"/>
      <c r="OL234" s="25"/>
      <c r="OS234" s="25"/>
      <c r="OZ234" s="25"/>
      <c r="PG234" s="25"/>
      <c r="PN234" s="25"/>
      <c r="PU234" s="25"/>
      <c r="QB234" s="25"/>
      <c r="QI234" s="25"/>
      <c r="QP234" s="25"/>
      <c r="QW234" s="25"/>
      <c r="RD234" s="25"/>
      <c r="RK234" s="25"/>
      <c r="RR234" s="25"/>
      <c r="RY234" s="25"/>
      <c r="SF234" s="25"/>
      <c r="SM234" s="25"/>
    </row>
    <row r="235" spans="1:512" x14ac:dyDescent="0.15">
      <c r="E235" s="25"/>
      <c r="F235" s="26"/>
      <c r="G235" s="27"/>
      <c r="H235" s="28"/>
      <c r="I235" s="25"/>
      <c r="J235" s="25"/>
      <c r="K235" s="26"/>
      <c r="L235" s="27"/>
      <c r="M235" s="63" t="s">
        <v>285</v>
      </c>
      <c r="N235" s="62" t="s">
        <v>166</v>
      </c>
      <c r="O235" s="32"/>
      <c r="P235" s="25"/>
      <c r="Q235" s="25"/>
      <c r="R235" s="26"/>
      <c r="S235" s="27"/>
      <c r="T235" s="27"/>
      <c r="U235" s="28"/>
      <c r="V235" s="25"/>
      <c r="W235" s="25"/>
      <c r="X235" s="25"/>
      <c r="Y235" s="26"/>
      <c r="Z235" s="27"/>
      <c r="AA235" s="27"/>
      <c r="AB235" s="28"/>
      <c r="AC235" s="25"/>
      <c r="AD235" s="25"/>
      <c r="AE235" s="25"/>
      <c r="AL235" s="25"/>
      <c r="AS235" s="25"/>
      <c r="AZ235" s="25"/>
      <c r="BF235" s="25"/>
      <c r="BG235" s="25"/>
      <c r="BN235" s="25"/>
      <c r="BU235" s="25"/>
      <c r="CB235" s="25"/>
      <c r="CH235" s="25"/>
      <c r="CI235" s="25"/>
      <c r="CP235" s="25"/>
      <c r="CW235" s="25"/>
      <c r="DD235" s="25"/>
      <c r="DJ235" s="25"/>
      <c r="DK235" s="25"/>
      <c r="DR235" s="25"/>
      <c r="DY235" s="25"/>
      <c r="EF235" s="25"/>
      <c r="EL235" s="25"/>
      <c r="EM235" s="25"/>
      <c r="ET235" s="25"/>
      <c r="FA235" s="25"/>
      <c r="FH235" s="25"/>
      <c r="FN235" s="25"/>
      <c r="FO235" s="25"/>
      <c r="FV235" s="25"/>
      <c r="GC235" s="25"/>
      <c r="GJ235" s="25"/>
      <c r="GP235" s="25"/>
      <c r="GQ235" s="25"/>
      <c r="GX235" s="25"/>
      <c r="HE235" s="25"/>
      <c r="HL235" s="25"/>
      <c r="HR235" s="25"/>
      <c r="HS235" s="25"/>
      <c r="HZ235" s="25"/>
      <c r="IG235" s="25"/>
      <c r="IN235" s="25"/>
      <c r="IT235" s="25"/>
      <c r="IU235" s="25"/>
      <c r="JB235" s="25"/>
      <c r="JI235" s="25"/>
      <c r="JP235" s="25"/>
      <c r="JV235" s="25"/>
      <c r="JW235" s="25"/>
      <c r="KD235" s="25"/>
      <c r="KK235" s="25"/>
      <c r="KR235" s="25"/>
      <c r="KY235" s="25"/>
      <c r="LF235" s="25"/>
      <c r="LM235" s="25"/>
      <c r="LT235" s="25"/>
      <c r="MA235" s="25"/>
      <c r="MH235" s="25"/>
      <c r="MO235" s="25"/>
      <c r="MV235" s="25"/>
      <c r="NC235" s="25"/>
      <c r="NJ235" s="25"/>
      <c r="NQ235" s="25"/>
      <c r="NX235" s="25"/>
      <c r="OE235" s="25"/>
      <c r="OL235" s="25"/>
      <c r="OS235" s="25"/>
      <c r="OZ235" s="25"/>
      <c r="PG235" s="25"/>
      <c r="PN235" s="25"/>
      <c r="PU235" s="25"/>
      <c r="QB235" s="25"/>
      <c r="QI235" s="25"/>
      <c r="QP235" s="25"/>
      <c r="QW235" s="25"/>
      <c r="RD235" s="25"/>
      <c r="RK235" s="25"/>
      <c r="RR235" s="25"/>
      <c r="RY235" s="25"/>
      <c r="SF235" s="25"/>
      <c r="SM235" s="25"/>
    </row>
    <row r="236" spans="1:512" x14ac:dyDescent="0.15">
      <c r="E236" s="25"/>
      <c r="F236" s="26"/>
      <c r="G236" s="27"/>
      <c r="H236" s="28"/>
      <c r="I236" s="25"/>
      <c r="J236" s="25"/>
      <c r="K236" s="26"/>
      <c r="L236" s="27"/>
      <c r="M236" s="32" t="s">
        <v>286</v>
      </c>
      <c r="N236" s="32" t="s">
        <v>167</v>
      </c>
      <c r="O236" s="32"/>
      <c r="P236" s="25"/>
      <c r="Q236" s="25"/>
      <c r="R236" s="26"/>
      <c r="S236" s="27"/>
      <c r="T236" s="27"/>
      <c r="U236" s="28"/>
      <c r="V236" s="25"/>
      <c r="W236" s="25"/>
      <c r="X236" s="25"/>
      <c r="Y236" s="26"/>
      <c r="Z236" s="27"/>
      <c r="AA236" s="27"/>
      <c r="AB236" s="28"/>
      <c r="AC236" s="25"/>
      <c r="AD236" s="25"/>
      <c r="AE236" s="25"/>
      <c r="AL236" s="25"/>
      <c r="AS236" s="25"/>
      <c r="AZ236" s="25"/>
      <c r="BF236" s="25"/>
      <c r="BG236" s="25"/>
      <c r="BN236" s="25"/>
      <c r="BU236" s="25"/>
      <c r="CB236" s="25"/>
      <c r="CH236" s="25"/>
      <c r="CI236" s="25"/>
      <c r="CP236" s="25"/>
      <c r="CW236" s="25"/>
      <c r="DD236" s="25"/>
      <c r="DJ236" s="25"/>
      <c r="DK236" s="25"/>
      <c r="DR236" s="25"/>
      <c r="DY236" s="25"/>
      <c r="EF236" s="25"/>
      <c r="EL236" s="25"/>
      <c r="EM236" s="25"/>
      <c r="ET236" s="25"/>
      <c r="FA236" s="25"/>
      <c r="FH236" s="25"/>
      <c r="FN236" s="25"/>
      <c r="FO236" s="25"/>
      <c r="FV236" s="25"/>
      <c r="GC236" s="25"/>
      <c r="GJ236" s="25"/>
      <c r="GP236" s="25"/>
      <c r="GQ236" s="25"/>
      <c r="GX236" s="25"/>
      <c r="HE236" s="25"/>
      <c r="HL236" s="25"/>
      <c r="HR236" s="25"/>
      <c r="HS236" s="25"/>
      <c r="HZ236" s="25"/>
      <c r="IG236" s="25"/>
      <c r="IN236" s="25"/>
      <c r="IT236" s="25"/>
      <c r="IU236" s="25"/>
      <c r="JB236" s="25"/>
      <c r="JI236" s="25"/>
      <c r="JP236" s="25"/>
      <c r="JV236" s="25"/>
      <c r="JW236" s="25"/>
      <c r="KD236" s="25"/>
      <c r="KK236" s="25"/>
      <c r="KR236" s="25"/>
      <c r="KY236" s="25"/>
      <c r="LF236" s="25"/>
      <c r="LM236" s="25"/>
      <c r="LT236" s="25"/>
      <c r="MA236" s="25"/>
      <c r="MH236" s="25"/>
      <c r="MO236" s="25"/>
      <c r="MV236" s="25"/>
      <c r="NC236" s="25"/>
      <c r="NJ236" s="25"/>
      <c r="NQ236" s="25"/>
      <c r="NX236" s="25"/>
      <c r="OE236" s="25"/>
      <c r="OL236" s="25"/>
      <c r="OS236" s="25"/>
      <c r="OZ236" s="25"/>
      <c r="PG236" s="25"/>
      <c r="PN236" s="25"/>
      <c r="PU236" s="25"/>
      <c r="QB236" s="25"/>
      <c r="QI236" s="25"/>
      <c r="QP236" s="25"/>
      <c r="QW236" s="25"/>
      <c r="RD236" s="25"/>
      <c r="RK236" s="25"/>
      <c r="RR236" s="25"/>
      <c r="RY236" s="25"/>
      <c r="SF236" s="25"/>
      <c r="SM236" s="25"/>
    </row>
    <row r="237" spans="1:512" x14ac:dyDescent="0.15">
      <c r="E237" s="25"/>
      <c r="F237" s="26"/>
      <c r="G237" s="27"/>
      <c r="H237" s="28"/>
      <c r="I237" s="25"/>
      <c r="J237" s="25"/>
      <c r="K237" s="26"/>
      <c r="L237" s="27"/>
      <c r="M237" s="32" t="s">
        <v>287</v>
      </c>
      <c r="N237" s="62" t="s">
        <v>168</v>
      </c>
      <c r="O237" s="32"/>
      <c r="P237" s="25"/>
      <c r="Q237" s="25"/>
      <c r="R237" s="26"/>
      <c r="S237" s="27"/>
      <c r="T237" s="27"/>
      <c r="U237" s="28"/>
      <c r="V237" s="25"/>
      <c r="W237" s="25"/>
      <c r="X237" s="25"/>
      <c r="Y237" s="26"/>
      <c r="Z237" s="27"/>
      <c r="AA237" s="27"/>
      <c r="AB237" s="28"/>
      <c r="AC237" s="25"/>
      <c r="AD237" s="25"/>
      <c r="AE237" s="25"/>
      <c r="AL237" s="25"/>
      <c r="AS237" s="25"/>
      <c r="AZ237" s="25"/>
      <c r="BF237" s="25"/>
      <c r="BG237" s="25"/>
      <c r="BN237" s="25"/>
      <c r="BU237" s="25"/>
      <c r="CB237" s="25"/>
      <c r="CH237" s="25"/>
      <c r="CI237" s="25"/>
      <c r="CP237" s="25"/>
      <c r="CW237" s="25"/>
      <c r="DD237" s="25"/>
      <c r="DJ237" s="25"/>
      <c r="DK237" s="25"/>
      <c r="DR237" s="25"/>
      <c r="DY237" s="25"/>
      <c r="EF237" s="25"/>
      <c r="EL237" s="25"/>
      <c r="EM237" s="25"/>
      <c r="ET237" s="25"/>
      <c r="FA237" s="25"/>
      <c r="FH237" s="25"/>
      <c r="FN237" s="25"/>
      <c r="FO237" s="25"/>
      <c r="FV237" s="25"/>
      <c r="GC237" s="25"/>
      <c r="GJ237" s="25"/>
      <c r="GP237" s="25"/>
      <c r="GQ237" s="25"/>
      <c r="GX237" s="25"/>
      <c r="HE237" s="25"/>
      <c r="HL237" s="25"/>
      <c r="HR237" s="25"/>
      <c r="HS237" s="25"/>
      <c r="HZ237" s="25"/>
      <c r="IG237" s="25"/>
      <c r="IN237" s="25"/>
      <c r="IT237" s="25"/>
      <c r="IU237" s="25"/>
      <c r="JB237" s="25"/>
      <c r="JI237" s="25"/>
      <c r="JP237" s="25"/>
      <c r="JV237" s="25"/>
      <c r="JW237" s="25"/>
      <c r="KD237" s="25"/>
      <c r="KK237" s="25"/>
      <c r="KR237" s="25"/>
      <c r="KY237" s="25"/>
      <c r="LF237" s="25"/>
      <c r="LM237" s="25"/>
      <c r="LT237" s="25"/>
      <c r="MA237" s="25"/>
      <c r="MH237" s="25"/>
      <c r="MO237" s="25"/>
      <c r="MV237" s="25"/>
      <c r="NC237" s="25"/>
      <c r="NJ237" s="25"/>
      <c r="NQ237" s="25"/>
      <c r="NX237" s="25"/>
      <c r="OE237" s="25"/>
      <c r="OL237" s="25"/>
      <c r="OS237" s="25"/>
      <c r="OZ237" s="25"/>
      <c r="PG237" s="25"/>
      <c r="PN237" s="25"/>
      <c r="PU237" s="25"/>
      <c r="QB237" s="25"/>
      <c r="QI237" s="25"/>
      <c r="QP237" s="25"/>
      <c r="QW237" s="25"/>
      <c r="RD237" s="25"/>
      <c r="RK237" s="25"/>
      <c r="RR237" s="25"/>
      <c r="RY237" s="25"/>
      <c r="SF237" s="25"/>
      <c r="SM237" s="25"/>
    </row>
    <row r="238" spans="1:512" x14ac:dyDescent="0.15">
      <c r="E238" s="25"/>
      <c r="F238" s="26"/>
      <c r="G238" s="27"/>
      <c r="H238" s="28"/>
      <c r="I238" s="25"/>
      <c r="J238" s="25"/>
      <c r="K238" s="26"/>
      <c r="L238" s="27"/>
      <c r="M238" s="32" t="s">
        <v>288</v>
      </c>
      <c r="N238" s="62" t="s">
        <v>169</v>
      </c>
      <c r="O238" s="32"/>
      <c r="P238" s="25"/>
      <c r="Q238" s="25"/>
      <c r="R238" s="26"/>
      <c r="S238" s="27"/>
      <c r="T238" s="27"/>
      <c r="U238" s="28"/>
      <c r="V238" s="25"/>
      <c r="W238" s="25"/>
      <c r="X238" s="25"/>
      <c r="Y238" s="26"/>
      <c r="Z238" s="27"/>
      <c r="AA238" s="27"/>
      <c r="AB238" s="28"/>
      <c r="AC238" s="25"/>
      <c r="AD238" s="25"/>
      <c r="AE238" s="25"/>
      <c r="AL238" s="25"/>
      <c r="AS238" s="25"/>
      <c r="AZ238" s="25"/>
      <c r="BF238" s="25"/>
      <c r="BG238" s="25"/>
      <c r="BN238" s="25"/>
      <c r="BU238" s="25"/>
      <c r="CB238" s="25"/>
      <c r="CH238" s="25"/>
      <c r="CI238" s="25"/>
      <c r="CP238" s="25"/>
      <c r="CW238" s="25"/>
      <c r="DD238" s="25"/>
      <c r="DJ238" s="25"/>
      <c r="DK238" s="25"/>
      <c r="DR238" s="25"/>
      <c r="DY238" s="25"/>
      <c r="EF238" s="25"/>
      <c r="EL238" s="25"/>
      <c r="EM238" s="25"/>
      <c r="ET238" s="25"/>
      <c r="FA238" s="25"/>
      <c r="FH238" s="25"/>
      <c r="FN238" s="25"/>
      <c r="FO238" s="25"/>
      <c r="FV238" s="25"/>
      <c r="GC238" s="25"/>
      <c r="GJ238" s="25"/>
      <c r="GP238" s="25"/>
      <c r="GQ238" s="25"/>
      <c r="GX238" s="25"/>
      <c r="HE238" s="25"/>
      <c r="HL238" s="25"/>
      <c r="HR238" s="25"/>
      <c r="HS238" s="25"/>
      <c r="HZ238" s="25"/>
      <c r="IG238" s="25"/>
      <c r="IN238" s="25"/>
      <c r="IT238" s="25"/>
      <c r="IU238" s="25"/>
      <c r="JB238" s="25"/>
      <c r="JI238" s="25"/>
      <c r="JP238" s="25"/>
      <c r="JV238" s="25"/>
      <c r="JW238" s="25"/>
      <c r="KD238" s="25"/>
      <c r="KK238" s="25"/>
      <c r="KR238" s="25"/>
      <c r="KY238" s="25"/>
      <c r="LF238" s="25"/>
      <c r="LM238" s="25"/>
      <c r="LT238" s="25"/>
      <c r="MA238" s="25"/>
      <c r="MH238" s="25"/>
      <c r="MO238" s="25"/>
      <c r="MV238" s="25"/>
      <c r="NC238" s="25"/>
      <c r="NJ238" s="25"/>
      <c r="NQ238" s="25"/>
      <c r="NX238" s="25"/>
      <c r="OE238" s="25"/>
      <c r="OL238" s="25"/>
      <c r="OS238" s="25"/>
      <c r="OZ238" s="25"/>
      <c r="PG238" s="25"/>
      <c r="PN238" s="25"/>
      <c r="PU238" s="25"/>
      <c r="QB238" s="25"/>
      <c r="QI238" s="25"/>
      <c r="QP238" s="25"/>
      <c r="QW238" s="25"/>
      <c r="RD238" s="25"/>
      <c r="RK238" s="25"/>
      <c r="RR238" s="25"/>
      <c r="RY238" s="25"/>
      <c r="SF238" s="25"/>
      <c r="SM238" s="25"/>
    </row>
    <row r="239" spans="1:512" x14ac:dyDescent="0.15">
      <c r="E239" s="25"/>
      <c r="F239" s="26"/>
      <c r="G239" s="27"/>
      <c r="H239" s="28"/>
      <c r="I239" s="25"/>
      <c r="J239" s="25"/>
      <c r="K239" s="26"/>
      <c r="L239" s="27"/>
      <c r="M239" s="61" t="s">
        <v>289</v>
      </c>
      <c r="N239" s="63" t="s">
        <v>170</v>
      </c>
      <c r="O239" s="32"/>
      <c r="P239" s="25"/>
      <c r="Q239" s="25"/>
      <c r="R239" s="26"/>
      <c r="S239" s="27"/>
      <c r="T239" s="27"/>
      <c r="U239" s="28"/>
      <c r="V239" s="25"/>
      <c r="W239" s="25"/>
      <c r="X239" s="25"/>
      <c r="Y239" s="26"/>
      <c r="Z239" s="27"/>
      <c r="AA239" s="27"/>
      <c r="AB239" s="28"/>
      <c r="AC239" s="25"/>
      <c r="AD239" s="25"/>
      <c r="AE239" s="25"/>
      <c r="AL239" s="25"/>
      <c r="AS239" s="25"/>
      <c r="AZ239" s="25"/>
      <c r="BF239" s="25"/>
      <c r="BG239" s="25"/>
      <c r="BN239" s="25"/>
      <c r="BU239" s="25"/>
      <c r="CB239" s="25"/>
      <c r="CH239" s="25"/>
      <c r="CI239" s="25"/>
      <c r="CP239" s="25"/>
      <c r="CW239" s="25"/>
      <c r="DD239" s="25"/>
      <c r="DJ239" s="25"/>
      <c r="DK239" s="25"/>
      <c r="DR239" s="25"/>
      <c r="DY239" s="25"/>
      <c r="EF239" s="25"/>
      <c r="EL239" s="25"/>
      <c r="EM239" s="25"/>
      <c r="ET239" s="25"/>
      <c r="FA239" s="25"/>
      <c r="FH239" s="25"/>
      <c r="FN239" s="25"/>
      <c r="FO239" s="25"/>
      <c r="FV239" s="25"/>
      <c r="GC239" s="25"/>
      <c r="GJ239" s="25"/>
      <c r="GP239" s="25"/>
      <c r="GQ239" s="25"/>
      <c r="GX239" s="25"/>
      <c r="HE239" s="25"/>
      <c r="HL239" s="25"/>
      <c r="HR239" s="25"/>
      <c r="HS239" s="25"/>
      <c r="HZ239" s="25"/>
      <c r="IG239" s="25"/>
      <c r="IN239" s="25"/>
      <c r="IT239" s="25"/>
      <c r="IU239" s="25"/>
      <c r="JB239" s="25"/>
      <c r="JI239" s="25"/>
      <c r="JP239" s="25"/>
      <c r="JV239" s="25"/>
      <c r="JW239" s="25"/>
      <c r="KD239" s="25"/>
      <c r="KK239" s="25"/>
      <c r="KR239" s="25"/>
      <c r="KY239" s="25"/>
      <c r="LF239" s="25"/>
      <c r="LM239" s="25"/>
      <c r="LT239" s="25"/>
      <c r="MA239" s="25"/>
      <c r="MH239" s="25"/>
      <c r="MO239" s="25"/>
      <c r="MV239" s="25"/>
      <c r="NC239" s="25"/>
      <c r="NJ239" s="25"/>
      <c r="NQ239" s="25"/>
      <c r="NX239" s="25"/>
      <c r="OE239" s="25"/>
      <c r="OL239" s="25"/>
      <c r="OS239" s="25"/>
      <c r="OZ239" s="25"/>
      <c r="PG239" s="25"/>
      <c r="PN239" s="25"/>
      <c r="PU239" s="25"/>
      <c r="QB239" s="25"/>
      <c r="QI239" s="25"/>
      <c r="QP239" s="25"/>
      <c r="QW239" s="25"/>
      <c r="RD239" s="25"/>
      <c r="RK239" s="25"/>
      <c r="RR239" s="25"/>
      <c r="RY239" s="25"/>
      <c r="SF239" s="25"/>
      <c r="SM239" s="25"/>
    </row>
    <row r="240" spans="1:512" x14ac:dyDescent="0.15">
      <c r="E240" s="25"/>
      <c r="F240" s="26"/>
      <c r="G240" s="27"/>
      <c r="H240" s="28"/>
      <c r="I240" s="25"/>
      <c r="J240" s="25"/>
      <c r="K240" s="26"/>
      <c r="L240" s="27"/>
      <c r="M240" s="62" t="s">
        <v>290</v>
      </c>
      <c r="N240" s="32" t="s">
        <v>171</v>
      </c>
      <c r="O240" s="32"/>
      <c r="P240" s="25"/>
      <c r="Q240" s="25"/>
      <c r="R240" s="26"/>
      <c r="S240" s="27"/>
      <c r="T240" s="27"/>
      <c r="U240" s="28"/>
      <c r="V240" s="25"/>
      <c r="W240" s="25"/>
      <c r="X240" s="25"/>
      <c r="Y240" s="26"/>
      <c r="Z240" s="27"/>
      <c r="AA240" s="27"/>
      <c r="AB240" s="28"/>
      <c r="AC240" s="25"/>
      <c r="AD240" s="25"/>
      <c r="AE240" s="25"/>
      <c r="AL240" s="25"/>
      <c r="AS240" s="25"/>
      <c r="AZ240" s="25"/>
      <c r="BF240" s="25"/>
      <c r="BG240" s="25"/>
      <c r="BN240" s="25"/>
      <c r="BU240" s="25"/>
      <c r="CB240" s="25"/>
      <c r="CH240" s="25"/>
      <c r="CI240" s="25"/>
      <c r="CP240" s="25"/>
      <c r="CW240" s="25"/>
      <c r="DD240" s="25"/>
      <c r="DJ240" s="25"/>
      <c r="DK240" s="25"/>
      <c r="DR240" s="25"/>
      <c r="DY240" s="25"/>
      <c r="EF240" s="25"/>
      <c r="EL240" s="25"/>
      <c r="EM240" s="25"/>
      <c r="ET240" s="25"/>
      <c r="FA240" s="25"/>
      <c r="FH240" s="25"/>
      <c r="FN240" s="25"/>
      <c r="FO240" s="25"/>
      <c r="FV240" s="25"/>
      <c r="GC240" s="25"/>
      <c r="GJ240" s="25"/>
      <c r="GP240" s="25"/>
      <c r="GQ240" s="25"/>
      <c r="GX240" s="25"/>
      <c r="HE240" s="25"/>
      <c r="HL240" s="25"/>
      <c r="HR240" s="25"/>
      <c r="HS240" s="25"/>
      <c r="HZ240" s="25"/>
      <c r="IG240" s="25"/>
      <c r="IN240" s="25"/>
      <c r="IT240" s="25"/>
      <c r="IU240" s="25"/>
      <c r="JB240" s="25"/>
      <c r="JI240" s="25"/>
      <c r="JP240" s="25"/>
      <c r="JV240" s="25"/>
      <c r="JW240" s="25"/>
      <c r="KD240" s="25"/>
      <c r="KK240" s="25"/>
      <c r="KR240" s="25"/>
      <c r="KY240" s="25"/>
      <c r="LF240" s="25"/>
      <c r="LM240" s="25"/>
      <c r="LT240" s="25"/>
      <c r="MA240" s="25"/>
      <c r="MH240" s="25"/>
      <c r="MO240" s="25"/>
      <c r="MV240" s="25"/>
      <c r="NC240" s="25"/>
      <c r="NJ240" s="25"/>
      <c r="NQ240" s="25"/>
      <c r="NX240" s="25"/>
      <c r="OE240" s="25"/>
      <c r="OL240" s="25"/>
      <c r="OS240" s="25"/>
      <c r="OZ240" s="25"/>
      <c r="PG240" s="25"/>
      <c r="PN240" s="25"/>
      <c r="PU240" s="25"/>
      <c r="QB240" s="25"/>
      <c r="QI240" s="25"/>
      <c r="QP240" s="25"/>
      <c r="QW240" s="25"/>
      <c r="RD240" s="25"/>
      <c r="RK240" s="25"/>
      <c r="RR240" s="25"/>
      <c r="RY240" s="25"/>
      <c r="SF240" s="25"/>
      <c r="SM240" s="25"/>
    </row>
    <row r="241" spans="5:507" x14ac:dyDescent="0.15">
      <c r="E241" s="25"/>
      <c r="F241" s="26"/>
      <c r="G241" s="27"/>
      <c r="H241" s="28"/>
      <c r="I241" s="25"/>
      <c r="J241" s="25"/>
      <c r="K241" s="26"/>
      <c r="L241" s="27"/>
      <c r="M241" s="62" t="s">
        <v>291</v>
      </c>
      <c r="N241" s="62" t="s">
        <v>172</v>
      </c>
      <c r="O241" s="32"/>
      <c r="P241" s="25"/>
      <c r="Q241" s="25"/>
      <c r="R241" s="26"/>
      <c r="S241" s="27"/>
      <c r="T241" s="27"/>
      <c r="U241" s="28"/>
      <c r="V241" s="25"/>
      <c r="W241" s="25"/>
      <c r="X241" s="25"/>
      <c r="Y241" s="26"/>
      <c r="Z241" s="27"/>
      <c r="AA241" s="27"/>
      <c r="AB241" s="28"/>
      <c r="AC241" s="25"/>
      <c r="AD241" s="25"/>
      <c r="AE241" s="25"/>
      <c r="AL241" s="25"/>
      <c r="AS241" s="25"/>
      <c r="AZ241" s="25"/>
      <c r="BF241" s="25"/>
      <c r="BG241" s="25"/>
      <c r="BN241" s="25"/>
      <c r="BU241" s="25"/>
      <c r="CB241" s="25"/>
      <c r="CH241" s="25"/>
      <c r="CI241" s="25"/>
      <c r="CP241" s="25"/>
      <c r="CW241" s="25"/>
      <c r="DD241" s="25"/>
      <c r="DJ241" s="25"/>
      <c r="DK241" s="25"/>
      <c r="DR241" s="25"/>
      <c r="DY241" s="25"/>
      <c r="EF241" s="25"/>
      <c r="EL241" s="25"/>
      <c r="EM241" s="25"/>
      <c r="ET241" s="25"/>
      <c r="FA241" s="25"/>
      <c r="FH241" s="25"/>
      <c r="FN241" s="25"/>
      <c r="FO241" s="25"/>
      <c r="FV241" s="25"/>
      <c r="GC241" s="25"/>
      <c r="GJ241" s="25"/>
      <c r="GP241" s="25"/>
      <c r="GQ241" s="25"/>
      <c r="GX241" s="25"/>
      <c r="HE241" s="25"/>
      <c r="HL241" s="25"/>
      <c r="HR241" s="25"/>
      <c r="HS241" s="25"/>
      <c r="HZ241" s="25"/>
      <c r="IG241" s="25"/>
      <c r="IN241" s="25"/>
      <c r="IT241" s="25"/>
      <c r="IU241" s="25"/>
      <c r="JB241" s="25"/>
      <c r="JI241" s="25"/>
      <c r="JP241" s="25"/>
      <c r="JV241" s="25"/>
      <c r="JW241" s="25"/>
      <c r="KD241" s="25"/>
      <c r="KK241" s="25"/>
      <c r="KR241" s="25"/>
      <c r="KY241" s="25"/>
      <c r="LF241" s="25"/>
      <c r="LM241" s="25"/>
      <c r="LT241" s="25"/>
      <c r="MA241" s="25"/>
      <c r="MH241" s="25"/>
      <c r="MO241" s="25"/>
      <c r="MV241" s="25"/>
      <c r="NC241" s="25"/>
      <c r="NJ241" s="25"/>
      <c r="NQ241" s="25"/>
      <c r="NX241" s="25"/>
      <c r="OE241" s="25"/>
      <c r="OL241" s="25"/>
      <c r="OS241" s="25"/>
      <c r="OZ241" s="25"/>
      <c r="PG241" s="25"/>
      <c r="PN241" s="25"/>
      <c r="PU241" s="25"/>
      <c r="QB241" s="25"/>
      <c r="QI241" s="25"/>
      <c r="QP241" s="25"/>
      <c r="QW241" s="25"/>
      <c r="RD241" s="25"/>
      <c r="RK241" s="25"/>
      <c r="RR241" s="25"/>
      <c r="RY241" s="25"/>
      <c r="SF241" s="25"/>
      <c r="SM241" s="25"/>
    </row>
    <row r="242" spans="5:507" x14ac:dyDescent="0.15">
      <c r="E242" s="25"/>
      <c r="F242" s="26"/>
      <c r="G242" s="27"/>
      <c r="H242" s="28"/>
      <c r="I242" s="25"/>
      <c r="J242" s="25"/>
      <c r="K242" s="26"/>
      <c r="L242" s="27"/>
      <c r="M242" s="63" t="s">
        <v>292</v>
      </c>
      <c r="N242" s="62" t="s">
        <v>173</v>
      </c>
      <c r="O242" s="32"/>
      <c r="P242" s="25"/>
      <c r="Q242" s="25"/>
      <c r="R242" s="26"/>
      <c r="S242" s="27"/>
      <c r="T242" s="27"/>
      <c r="U242" s="28"/>
      <c r="V242" s="25"/>
      <c r="W242" s="25"/>
      <c r="X242" s="25"/>
      <c r="Y242" s="26"/>
      <c r="Z242" s="27"/>
      <c r="AA242" s="27"/>
      <c r="AB242" s="28"/>
      <c r="AC242" s="25"/>
      <c r="AD242" s="25"/>
      <c r="AE242" s="25"/>
      <c r="AL242" s="25"/>
      <c r="AS242" s="25"/>
      <c r="AZ242" s="25"/>
      <c r="BF242" s="25"/>
      <c r="BG242" s="25"/>
      <c r="BN242" s="25"/>
      <c r="BU242" s="25"/>
      <c r="CB242" s="25"/>
      <c r="CH242" s="25"/>
      <c r="CI242" s="25"/>
      <c r="CP242" s="25"/>
      <c r="CW242" s="25"/>
      <c r="DD242" s="25"/>
      <c r="DJ242" s="25"/>
      <c r="DK242" s="25"/>
      <c r="DR242" s="25"/>
      <c r="DY242" s="25"/>
      <c r="EF242" s="25"/>
      <c r="EL242" s="25"/>
      <c r="EM242" s="25"/>
      <c r="ET242" s="25"/>
      <c r="FA242" s="25"/>
      <c r="FH242" s="25"/>
      <c r="FN242" s="25"/>
      <c r="FO242" s="25"/>
      <c r="FV242" s="25"/>
      <c r="GC242" s="25"/>
      <c r="GJ242" s="25"/>
      <c r="GP242" s="25"/>
      <c r="GQ242" s="25"/>
      <c r="GX242" s="25"/>
      <c r="HE242" s="25"/>
      <c r="HL242" s="25"/>
      <c r="HR242" s="25"/>
      <c r="HS242" s="25"/>
      <c r="HZ242" s="25"/>
      <c r="IG242" s="25"/>
      <c r="IN242" s="25"/>
      <c r="IT242" s="25"/>
      <c r="IU242" s="25"/>
      <c r="JB242" s="25"/>
      <c r="JI242" s="25"/>
      <c r="JP242" s="25"/>
      <c r="JV242" s="25"/>
      <c r="JW242" s="25"/>
      <c r="KD242" s="25"/>
      <c r="KK242" s="25"/>
      <c r="KR242" s="25"/>
      <c r="KY242" s="25"/>
      <c r="LF242" s="25"/>
      <c r="LM242" s="25"/>
      <c r="LT242" s="25"/>
      <c r="MA242" s="25"/>
      <c r="MH242" s="25"/>
      <c r="MO242" s="25"/>
      <c r="MV242" s="25"/>
      <c r="NC242" s="25"/>
      <c r="NJ242" s="25"/>
      <c r="NQ242" s="25"/>
      <c r="NX242" s="25"/>
      <c r="OE242" s="25"/>
      <c r="OL242" s="25"/>
      <c r="OS242" s="25"/>
      <c r="OZ242" s="25"/>
      <c r="PG242" s="25"/>
      <c r="PN242" s="25"/>
      <c r="PU242" s="25"/>
      <c r="QB242" s="25"/>
      <c r="QI242" s="25"/>
      <c r="QP242" s="25"/>
      <c r="QW242" s="25"/>
      <c r="RD242" s="25"/>
      <c r="RK242" s="25"/>
      <c r="RR242" s="25"/>
      <c r="RY242" s="25"/>
      <c r="SF242" s="25"/>
      <c r="SM242" s="25"/>
    </row>
    <row r="243" spans="5:507" x14ac:dyDescent="0.15">
      <c r="E243" s="25"/>
      <c r="F243" s="26"/>
      <c r="G243" s="27"/>
      <c r="H243" s="28"/>
      <c r="I243" s="25"/>
      <c r="J243" s="25"/>
      <c r="K243" s="26"/>
      <c r="L243" s="27"/>
      <c r="M243" s="32" t="s">
        <v>293</v>
      </c>
      <c r="N243" s="62" t="s">
        <v>174</v>
      </c>
      <c r="O243" s="32"/>
      <c r="P243" s="25"/>
      <c r="Q243" s="25"/>
      <c r="R243" s="26"/>
      <c r="S243" s="27"/>
      <c r="T243" s="27"/>
      <c r="U243" s="28"/>
      <c r="V243" s="25"/>
      <c r="W243" s="25"/>
      <c r="X243" s="25"/>
      <c r="Y243" s="26"/>
      <c r="Z243" s="27"/>
      <c r="AA243" s="27"/>
      <c r="AB243" s="28"/>
      <c r="AC243" s="25"/>
      <c r="AD243" s="25"/>
      <c r="AE243" s="25"/>
      <c r="AL243" s="25"/>
      <c r="AS243" s="25"/>
      <c r="AZ243" s="25"/>
      <c r="BF243" s="25"/>
      <c r="BG243" s="25"/>
      <c r="BN243" s="25"/>
      <c r="BU243" s="25"/>
      <c r="CB243" s="25"/>
      <c r="CH243" s="25"/>
      <c r="CI243" s="25"/>
      <c r="CP243" s="25"/>
      <c r="CW243" s="25"/>
      <c r="DD243" s="25"/>
      <c r="DJ243" s="25"/>
      <c r="DK243" s="25"/>
      <c r="DR243" s="25"/>
      <c r="DY243" s="25"/>
      <c r="EF243" s="25"/>
      <c r="EL243" s="25"/>
      <c r="EM243" s="25"/>
      <c r="ET243" s="25"/>
      <c r="FA243" s="25"/>
      <c r="FH243" s="25"/>
      <c r="FN243" s="25"/>
      <c r="FO243" s="25"/>
      <c r="FV243" s="25"/>
      <c r="GC243" s="25"/>
      <c r="GJ243" s="25"/>
      <c r="GP243" s="25"/>
      <c r="GQ243" s="25"/>
      <c r="GX243" s="25"/>
      <c r="HE243" s="25"/>
      <c r="HL243" s="25"/>
      <c r="HR243" s="25"/>
      <c r="HS243" s="25"/>
      <c r="HZ243" s="25"/>
      <c r="IG243" s="25"/>
      <c r="IN243" s="25"/>
      <c r="IT243" s="25"/>
      <c r="IU243" s="25"/>
      <c r="JB243" s="25"/>
      <c r="JI243" s="25"/>
      <c r="JP243" s="25"/>
      <c r="JV243" s="25"/>
      <c r="JW243" s="25"/>
      <c r="KD243" s="25"/>
      <c r="KK243" s="25"/>
      <c r="KR243" s="25"/>
      <c r="KY243" s="25"/>
      <c r="LF243" s="25"/>
      <c r="LM243" s="25"/>
      <c r="LT243" s="25"/>
      <c r="MA243" s="25"/>
      <c r="MH243" s="25"/>
      <c r="MO243" s="25"/>
      <c r="MV243" s="25"/>
      <c r="NC243" s="25"/>
      <c r="NJ243" s="25"/>
      <c r="NQ243" s="25"/>
      <c r="NX243" s="25"/>
      <c r="OE243" s="25"/>
      <c r="OL243" s="25"/>
      <c r="OS243" s="25"/>
      <c r="OZ243" s="25"/>
      <c r="PG243" s="25"/>
      <c r="PN243" s="25"/>
      <c r="PU243" s="25"/>
      <c r="QB243" s="25"/>
      <c r="QI243" s="25"/>
      <c r="QP243" s="25"/>
      <c r="QW243" s="25"/>
      <c r="RD243" s="25"/>
      <c r="RK243" s="25"/>
      <c r="RR243" s="25"/>
      <c r="RY243" s="25"/>
      <c r="SF243" s="25"/>
      <c r="SM243" s="25"/>
    </row>
    <row r="244" spans="5:507" x14ac:dyDescent="0.15">
      <c r="E244" s="25"/>
      <c r="F244" s="26"/>
      <c r="G244" s="27"/>
      <c r="H244" s="28"/>
      <c r="I244" s="25"/>
      <c r="J244" s="25"/>
      <c r="K244" s="26"/>
      <c r="L244" s="27"/>
      <c r="M244" s="62" t="s">
        <v>294</v>
      </c>
      <c r="N244" s="62" t="s">
        <v>175</v>
      </c>
      <c r="O244" s="32"/>
      <c r="P244" s="25"/>
      <c r="Q244" s="25"/>
      <c r="R244" s="26"/>
      <c r="S244" s="27"/>
      <c r="T244" s="27"/>
      <c r="U244" s="28"/>
      <c r="V244" s="25"/>
      <c r="W244" s="25"/>
      <c r="X244" s="25"/>
      <c r="Y244" s="26"/>
      <c r="Z244" s="27"/>
      <c r="AA244" s="27"/>
      <c r="AB244" s="28"/>
      <c r="AC244" s="25"/>
      <c r="AD244" s="25"/>
      <c r="AE244" s="25"/>
      <c r="AL244" s="25"/>
      <c r="AS244" s="25"/>
      <c r="AZ244" s="25"/>
      <c r="BF244" s="25"/>
      <c r="BG244" s="25"/>
      <c r="BN244" s="25"/>
      <c r="BU244" s="25"/>
      <c r="CB244" s="25"/>
      <c r="CH244" s="25"/>
      <c r="CI244" s="25"/>
      <c r="CP244" s="25"/>
      <c r="CW244" s="25"/>
      <c r="DD244" s="25"/>
      <c r="DJ244" s="25"/>
      <c r="DK244" s="25"/>
      <c r="DR244" s="25"/>
      <c r="DY244" s="25"/>
      <c r="EF244" s="25"/>
      <c r="EL244" s="25"/>
      <c r="EM244" s="25"/>
      <c r="ET244" s="25"/>
      <c r="FA244" s="25"/>
      <c r="FH244" s="25"/>
      <c r="FN244" s="25"/>
      <c r="FO244" s="25"/>
      <c r="FV244" s="25"/>
      <c r="GC244" s="25"/>
      <c r="GJ244" s="25"/>
      <c r="GP244" s="25"/>
      <c r="GQ244" s="25"/>
      <c r="GX244" s="25"/>
      <c r="HE244" s="25"/>
      <c r="HL244" s="25"/>
      <c r="HR244" s="25"/>
      <c r="HS244" s="25"/>
      <c r="HZ244" s="25"/>
      <c r="IG244" s="25"/>
      <c r="IN244" s="25"/>
      <c r="IT244" s="25"/>
      <c r="IU244" s="25"/>
      <c r="JB244" s="25"/>
      <c r="JI244" s="25"/>
      <c r="JP244" s="25"/>
      <c r="JV244" s="25"/>
      <c r="JW244" s="25"/>
      <c r="KD244" s="25"/>
      <c r="KK244" s="25"/>
      <c r="KR244" s="25"/>
      <c r="KY244" s="25"/>
      <c r="LF244" s="25"/>
      <c r="LM244" s="25"/>
      <c r="LT244" s="25"/>
      <c r="MA244" s="25"/>
      <c r="MH244" s="25"/>
      <c r="MO244" s="25"/>
      <c r="MV244" s="25"/>
      <c r="NC244" s="25"/>
      <c r="NJ244" s="25"/>
      <c r="NQ244" s="25"/>
      <c r="NX244" s="25"/>
      <c r="OE244" s="25"/>
      <c r="OL244" s="25"/>
      <c r="OS244" s="25"/>
      <c r="OZ244" s="25"/>
      <c r="PG244" s="25"/>
      <c r="PN244" s="25"/>
      <c r="PU244" s="25"/>
      <c r="QB244" s="25"/>
      <c r="QI244" s="25"/>
      <c r="QP244" s="25"/>
      <c r="QW244" s="25"/>
      <c r="RD244" s="25"/>
      <c r="RK244" s="25"/>
      <c r="RR244" s="25"/>
      <c r="RY244" s="25"/>
      <c r="SF244" s="25"/>
      <c r="SM244" s="25"/>
    </row>
    <row r="245" spans="5:507" x14ac:dyDescent="0.15">
      <c r="E245" s="25"/>
      <c r="F245" s="26"/>
      <c r="G245" s="27"/>
      <c r="H245" s="28"/>
      <c r="I245" s="25"/>
      <c r="J245" s="25"/>
      <c r="K245" s="26"/>
      <c r="L245" s="27"/>
      <c r="M245" s="32" t="s">
        <v>295</v>
      </c>
      <c r="N245" s="62" t="s">
        <v>176</v>
      </c>
      <c r="O245" s="32"/>
      <c r="P245" s="25"/>
      <c r="Q245" s="25"/>
      <c r="R245" s="26"/>
      <c r="S245" s="27"/>
      <c r="T245" s="27"/>
      <c r="U245" s="28"/>
      <c r="V245" s="25"/>
      <c r="W245" s="25"/>
      <c r="X245" s="25"/>
      <c r="Y245" s="26"/>
      <c r="Z245" s="27"/>
      <c r="AA245" s="27"/>
      <c r="AB245" s="28"/>
      <c r="AC245" s="25"/>
      <c r="AD245" s="25"/>
      <c r="AE245" s="25"/>
      <c r="AL245" s="25"/>
      <c r="AS245" s="25"/>
      <c r="AZ245" s="25"/>
      <c r="BF245" s="25"/>
      <c r="BG245" s="25"/>
      <c r="BN245" s="25"/>
      <c r="BU245" s="25"/>
      <c r="CB245" s="25"/>
      <c r="CH245" s="25"/>
      <c r="CI245" s="25"/>
      <c r="CP245" s="25"/>
      <c r="CW245" s="25"/>
      <c r="DD245" s="25"/>
      <c r="DJ245" s="25"/>
      <c r="DK245" s="25"/>
      <c r="DR245" s="25"/>
      <c r="DY245" s="25"/>
      <c r="EF245" s="25"/>
      <c r="EL245" s="25"/>
      <c r="EM245" s="25"/>
      <c r="ET245" s="25"/>
      <c r="FA245" s="25"/>
      <c r="FH245" s="25"/>
      <c r="FN245" s="25"/>
      <c r="FO245" s="25"/>
      <c r="FV245" s="25"/>
      <c r="GC245" s="25"/>
      <c r="GJ245" s="25"/>
      <c r="GP245" s="25"/>
      <c r="GQ245" s="25"/>
      <c r="GX245" s="25"/>
      <c r="HE245" s="25"/>
      <c r="HL245" s="25"/>
      <c r="HR245" s="25"/>
      <c r="HS245" s="25"/>
      <c r="HZ245" s="25"/>
      <c r="IG245" s="25"/>
      <c r="IN245" s="25"/>
      <c r="IT245" s="25"/>
      <c r="IU245" s="25"/>
      <c r="JB245" s="25"/>
      <c r="JI245" s="25"/>
      <c r="JP245" s="25"/>
      <c r="JV245" s="25"/>
      <c r="JW245" s="25"/>
      <c r="KD245" s="25"/>
      <c r="KK245" s="25"/>
      <c r="KR245" s="25"/>
      <c r="KY245" s="25"/>
      <c r="LF245" s="25"/>
      <c r="LM245" s="25"/>
      <c r="LT245" s="25"/>
      <c r="MA245" s="25"/>
      <c r="MH245" s="25"/>
      <c r="MO245" s="25"/>
      <c r="MV245" s="25"/>
      <c r="NC245" s="25"/>
      <c r="NJ245" s="25"/>
      <c r="NQ245" s="25"/>
      <c r="NX245" s="25"/>
      <c r="OE245" s="25"/>
      <c r="OL245" s="25"/>
      <c r="OS245" s="25"/>
      <c r="OZ245" s="25"/>
      <c r="PG245" s="25"/>
      <c r="PN245" s="25"/>
      <c r="PU245" s="25"/>
      <c r="QB245" s="25"/>
      <c r="QI245" s="25"/>
      <c r="QP245" s="25"/>
      <c r="QW245" s="25"/>
      <c r="RD245" s="25"/>
      <c r="RK245" s="25"/>
      <c r="RR245" s="25"/>
      <c r="RY245" s="25"/>
      <c r="SF245" s="25"/>
      <c r="SM245" s="25"/>
    </row>
    <row r="246" spans="5:507" x14ac:dyDescent="0.15">
      <c r="E246" s="25"/>
      <c r="F246" s="26"/>
      <c r="G246" s="27"/>
      <c r="H246" s="28"/>
      <c r="I246" s="25"/>
      <c r="J246" s="25"/>
      <c r="K246" s="26"/>
      <c r="L246" s="27"/>
      <c r="M246" s="61" t="s">
        <v>296</v>
      </c>
      <c r="N246" s="63" t="s">
        <v>177</v>
      </c>
      <c r="O246" s="32"/>
      <c r="P246" s="25"/>
      <c r="Q246" s="25"/>
      <c r="R246" s="26"/>
      <c r="S246" s="27"/>
      <c r="T246" s="27"/>
      <c r="U246" s="28"/>
      <c r="V246" s="25"/>
      <c r="W246" s="25"/>
      <c r="X246" s="25"/>
      <c r="Y246" s="26"/>
      <c r="Z246" s="27"/>
      <c r="AA246" s="27"/>
      <c r="AB246" s="28"/>
      <c r="AC246" s="25"/>
      <c r="AD246" s="25"/>
      <c r="AE246" s="25"/>
      <c r="AL246" s="25"/>
      <c r="AS246" s="25"/>
      <c r="AZ246" s="25"/>
      <c r="BF246" s="25"/>
      <c r="BG246" s="25"/>
      <c r="BN246" s="25"/>
      <c r="BU246" s="25"/>
      <c r="CB246" s="25"/>
      <c r="CH246" s="25"/>
      <c r="CI246" s="25"/>
      <c r="CP246" s="25"/>
      <c r="CW246" s="25"/>
      <c r="DD246" s="25"/>
      <c r="DJ246" s="25"/>
      <c r="DK246" s="25"/>
      <c r="DR246" s="25"/>
      <c r="DY246" s="25"/>
      <c r="EF246" s="25"/>
      <c r="EL246" s="25"/>
      <c r="EM246" s="25"/>
      <c r="ET246" s="25"/>
      <c r="FA246" s="25"/>
      <c r="FH246" s="25"/>
      <c r="FN246" s="25"/>
      <c r="FO246" s="25"/>
      <c r="FV246" s="25"/>
      <c r="GC246" s="25"/>
      <c r="GJ246" s="25"/>
      <c r="GP246" s="25"/>
      <c r="GQ246" s="25"/>
      <c r="GX246" s="25"/>
      <c r="HE246" s="25"/>
      <c r="HL246" s="25"/>
      <c r="HR246" s="25"/>
      <c r="HS246" s="25"/>
      <c r="HZ246" s="25"/>
      <c r="IG246" s="25"/>
      <c r="IN246" s="25"/>
      <c r="IT246" s="25"/>
      <c r="IU246" s="25"/>
      <c r="JB246" s="25"/>
      <c r="JI246" s="25"/>
      <c r="JP246" s="25"/>
      <c r="JV246" s="25"/>
      <c r="JW246" s="25"/>
      <c r="KD246" s="25"/>
      <c r="KK246" s="25"/>
      <c r="KR246" s="25"/>
      <c r="KY246" s="25"/>
      <c r="LF246" s="25"/>
      <c r="LM246" s="25"/>
      <c r="LT246" s="25"/>
      <c r="MA246" s="25"/>
      <c r="MH246" s="25"/>
      <c r="MO246" s="25"/>
      <c r="MV246" s="25"/>
      <c r="NC246" s="25"/>
      <c r="NJ246" s="25"/>
      <c r="NQ246" s="25"/>
      <c r="NX246" s="25"/>
      <c r="OE246" s="25"/>
      <c r="OL246" s="25"/>
      <c r="OS246" s="25"/>
      <c r="OZ246" s="25"/>
      <c r="PG246" s="25"/>
      <c r="PN246" s="25"/>
      <c r="PU246" s="25"/>
      <c r="QB246" s="25"/>
      <c r="QI246" s="25"/>
      <c r="QP246" s="25"/>
      <c r="QW246" s="25"/>
      <c r="RD246" s="25"/>
      <c r="RK246" s="25"/>
      <c r="RR246" s="25"/>
      <c r="RY246" s="25"/>
      <c r="SF246" s="25"/>
      <c r="SM246" s="25"/>
    </row>
    <row r="247" spans="5:507" x14ac:dyDescent="0.15">
      <c r="E247" s="25"/>
      <c r="F247" s="26"/>
      <c r="G247" s="27"/>
      <c r="H247" s="28"/>
      <c r="I247" s="25"/>
      <c r="J247" s="25"/>
      <c r="K247" s="26"/>
      <c r="L247" s="27"/>
      <c r="M247" s="62" t="s">
        <v>297</v>
      </c>
      <c r="N247" s="32" t="s">
        <v>178</v>
      </c>
      <c r="O247" s="32"/>
      <c r="P247" s="25"/>
      <c r="Q247" s="25"/>
      <c r="R247" s="26"/>
      <c r="S247" s="27"/>
      <c r="T247" s="27"/>
      <c r="U247" s="28"/>
      <c r="V247" s="25"/>
      <c r="W247" s="25"/>
      <c r="X247" s="25"/>
      <c r="Y247" s="26"/>
      <c r="Z247" s="27"/>
      <c r="AA247" s="27"/>
      <c r="AB247" s="28"/>
      <c r="AC247" s="25"/>
      <c r="AD247" s="25"/>
      <c r="AE247" s="25"/>
      <c r="AL247" s="25"/>
      <c r="AS247" s="25"/>
      <c r="AZ247" s="25"/>
      <c r="BF247" s="25"/>
      <c r="BG247" s="25"/>
      <c r="BN247" s="25"/>
      <c r="BU247" s="25"/>
      <c r="CB247" s="25"/>
      <c r="CH247" s="25"/>
      <c r="CI247" s="25"/>
      <c r="CP247" s="25"/>
      <c r="CW247" s="25"/>
      <c r="DD247" s="25"/>
      <c r="DJ247" s="25"/>
      <c r="DK247" s="25"/>
      <c r="DR247" s="25"/>
      <c r="DY247" s="25"/>
      <c r="EF247" s="25"/>
      <c r="EL247" s="25"/>
      <c r="EM247" s="25"/>
      <c r="ET247" s="25"/>
      <c r="FA247" s="25"/>
      <c r="FH247" s="25"/>
      <c r="FN247" s="25"/>
      <c r="FO247" s="25"/>
      <c r="FV247" s="25"/>
      <c r="GC247" s="25"/>
      <c r="GJ247" s="25"/>
      <c r="GP247" s="25"/>
      <c r="GQ247" s="25"/>
      <c r="GX247" s="25"/>
      <c r="HE247" s="25"/>
      <c r="HL247" s="25"/>
      <c r="HR247" s="25"/>
      <c r="HS247" s="25"/>
      <c r="HZ247" s="25"/>
      <c r="IG247" s="25"/>
      <c r="IN247" s="25"/>
      <c r="IT247" s="25"/>
      <c r="IU247" s="25"/>
      <c r="JB247" s="25"/>
      <c r="JI247" s="25"/>
      <c r="JP247" s="25"/>
      <c r="JV247" s="25"/>
      <c r="JW247" s="25"/>
      <c r="KD247" s="25"/>
      <c r="KK247" s="25"/>
      <c r="KR247" s="25"/>
      <c r="KY247" s="25"/>
      <c r="LF247" s="25"/>
      <c r="LM247" s="25"/>
      <c r="LT247" s="25"/>
      <c r="MA247" s="25"/>
      <c r="MH247" s="25"/>
      <c r="MO247" s="25"/>
      <c r="MV247" s="25"/>
      <c r="NC247" s="25"/>
      <c r="NJ247" s="25"/>
      <c r="NQ247" s="25"/>
      <c r="NX247" s="25"/>
      <c r="OE247" s="25"/>
      <c r="OL247" s="25"/>
      <c r="OS247" s="25"/>
      <c r="OZ247" s="25"/>
      <c r="PG247" s="25"/>
      <c r="PN247" s="25"/>
      <c r="PU247" s="25"/>
      <c r="QB247" s="25"/>
      <c r="QI247" s="25"/>
      <c r="QP247" s="25"/>
      <c r="QW247" s="25"/>
      <c r="RD247" s="25"/>
      <c r="RK247" s="25"/>
      <c r="RR247" s="25"/>
      <c r="RY247" s="25"/>
      <c r="SF247" s="25"/>
      <c r="SM247" s="25"/>
    </row>
    <row r="248" spans="5:507" x14ac:dyDescent="0.15">
      <c r="E248" s="25"/>
      <c r="F248" s="26"/>
      <c r="G248" s="27"/>
      <c r="H248" s="28"/>
      <c r="I248" s="25"/>
      <c r="J248" s="25"/>
      <c r="K248" s="26"/>
      <c r="L248" s="27"/>
      <c r="M248" s="62" t="s">
        <v>298</v>
      </c>
      <c r="N248" s="62" t="s">
        <v>179</v>
      </c>
      <c r="O248" s="32"/>
      <c r="P248" s="25"/>
      <c r="Q248" s="25"/>
      <c r="R248" s="26"/>
      <c r="S248" s="27"/>
      <c r="T248" s="27"/>
      <c r="U248" s="28"/>
      <c r="V248" s="25"/>
      <c r="W248" s="25"/>
      <c r="X248" s="25"/>
      <c r="Y248" s="26"/>
      <c r="Z248" s="27"/>
      <c r="AA248" s="27"/>
      <c r="AB248" s="28"/>
      <c r="AC248" s="25"/>
      <c r="AD248" s="25"/>
      <c r="AE248" s="25"/>
      <c r="AL248" s="25"/>
      <c r="AS248" s="25"/>
      <c r="AZ248" s="25"/>
      <c r="BF248" s="25"/>
      <c r="BG248" s="25"/>
      <c r="BN248" s="25"/>
      <c r="BU248" s="25"/>
      <c r="CB248" s="25"/>
      <c r="CH248" s="25"/>
      <c r="CI248" s="25"/>
      <c r="CP248" s="25"/>
      <c r="CW248" s="25"/>
      <c r="DD248" s="25"/>
      <c r="DJ248" s="25"/>
      <c r="DK248" s="25"/>
      <c r="DR248" s="25"/>
      <c r="DY248" s="25"/>
      <c r="EF248" s="25"/>
      <c r="EL248" s="25"/>
      <c r="EM248" s="25"/>
      <c r="ET248" s="25"/>
      <c r="FA248" s="25"/>
      <c r="FH248" s="25"/>
      <c r="FN248" s="25"/>
      <c r="FO248" s="25"/>
      <c r="FV248" s="25"/>
      <c r="GC248" s="25"/>
      <c r="GJ248" s="25"/>
      <c r="GP248" s="25"/>
      <c r="GQ248" s="25"/>
      <c r="GX248" s="25"/>
      <c r="HE248" s="25"/>
      <c r="HL248" s="25"/>
      <c r="HR248" s="25"/>
      <c r="HS248" s="25"/>
      <c r="HZ248" s="25"/>
      <c r="IG248" s="25"/>
      <c r="IN248" s="25"/>
      <c r="IT248" s="25"/>
      <c r="IU248" s="25"/>
      <c r="JB248" s="25"/>
      <c r="JI248" s="25"/>
      <c r="JP248" s="25"/>
      <c r="JV248" s="25"/>
      <c r="JW248" s="25"/>
      <c r="KD248" s="25"/>
      <c r="KK248" s="25"/>
      <c r="KR248" s="25"/>
      <c r="KY248" s="25"/>
      <c r="LF248" s="25"/>
      <c r="LM248" s="25"/>
      <c r="LT248" s="25"/>
      <c r="MA248" s="25"/>
      <c r="MH248" s="25"/>
      <c r="MO248" s="25"/>
      <c r="MV248" s="25"/>
      <c r="NC248" s="25"/>
      <c r="NJ248" s="25"/>
      <c r="NQ248" s="25"/>
      <c r="NX248" s="25"/>
      <c r="OE248" s="25"/>
      <c r="OL248" s="25"/>
      <c r="OS248" s="25"/>
      <c r="OZ248" s="25"/>
      <c r="PG248" s="25"/>
      <c r="PN248" s="25"/>
      <c r="PU248" s="25"/>
      <c r="QB248" s="25"/>
      <c r="QI248" s="25"/>
      <c r="QP248" s="25"/>
      <c r="QW248" s="25"/>
      <c r="RD248" s="25"/>
      <c r="RK248" s="25"/>
      <c r="RR248" s="25"/>
      <c r="RY248" s="25"/>
      <c r="SF248" s="25"/>
      <c r="SM248" s="25"/>
    </row>
    <row r="249" spans="5:507" x14ac:dyDescent="0.15">
      <c r="E249" s="25"/>
      <c r="F249" s="26"/>
      <c r="G249" s="27"/>
      <c r="H249" s="28"/>
      <c r="I249" s="25"/>
      <c r="J249" s="25"/>
      <c r="K249" s="26"/>
      <c r="L249" s="27"/>
      <c r="M249" s="63" t="s">
        <v>299</v>
      </c>
      <c r="N249" s="62" t="s">
        <v>180</v>
      </c>
      <c r="O249" s="32"/>
      <c r="P249" s="25"/>
      <c r="Q249" s="25"/>
      <c r="R249" s="26"/>
      <c r="S249" s="27"/>
      <c r="T249" s="27"/>
      <c r="U249" s="28"/>
      <c r="V249" s="25"/>
      <c r="W249" s="25"/>
      <c r="X249" s="25"/>
      <c r="Y249" s="26"/>
      <c r="Z249" s="27"/>
      <c r="AA249" s="27"/>
      <c r="AB249" s="28"/>
      <c r="AC249" s="25"/>
      <c r="AD249" s="25"/>
      <c r="AE249" s="25"/>
      <c r="AL249" s="25"/>
      <c r="AS249" s="25"/>
      <c r="AZ249" s="25"/>
      <c r="BF249" s="25"/>
      <c r="BG249" s="25"/>
      <c r="BN249" s="25"/>
      <c r="BU249" s="25"/>
      <c r="CB249" s="25"/>
      <c r="CH249" s="25"/>
      <c r="CI249" s="25"/>
      <c r="CP249" s="25"/>
      <c r="CW249" s="25"/>
      <c r="DD249" s="25"/>
      <c r="DJ249" s="25"/>
      <c r="DK249" s="25"/>
      <c r="DR249" s="25"/>
      <c r="DY249" s="25"/>
      <c r="EF249" s="25"/>
      <c r="EL249" s="25"/>
      <c r="EM249" s="25"/>
      <c r="ET249" s="25"/>
      <c r="FA249" s="25"/>
      <c r="FH249" s="25"/>
      <c r="FN249" s="25"/>
      <c r="FO249" s="25"/>
      <c r="FV249" s="25"/>
      <c r="GC249" s="25"/>
      <c r="GJ249" s="25"/>
      <c r="GP249" s="25"/>
      <c r="GQ249" s="25"/>
      <c r="GX249" s="25"/>
      <c r="HE249" s="25"/>
      <c r="HL249" s="25"/>
      <c r="HR249" s="25"/>
      <c r="HS249" s="25"/>
      <c r="HZ249" s="25"/>
      <c r="IG249" s="25"/>
      <c r="IN249" s="25"/>
      <c r="IT249" s="25"/>
      <c r="IU249" s="25"/>
      <c r="JB249" s="25"/>
      <c r="JI249" s="25"/>
      <c r="JP249" s="25"/>
      <c r="JV249" s="25"/>
      <c r="JW249" s="25"/>
      <c r="KD249" s="25"/>
      <c r="KK249" s="25"/>
      <c r="KR249" s="25"/>
      <c r="KY249" s="25"/>
      <c r="LF249" s="25"/>
      <c r="LM249" s="25"/>
      <c r="LT249" s="25"/>
      <c r="MA249" s="25"/>
      <c r="MH249" s="25"/>
      <c r="MO249" s="25"/>
      <c r="MV249" s="25"/>
      <c r="NC249" s="25"/>
      <c r="NJ249" s="25"/>
      <c r="NQ249" s="25"/>
      <c r="NX249" s="25"/>
      <c r="OE249" s="25"/>
      <c r="OL249" s="25"/>
      <c r="OS249" s="25"/>
      <c r="OZ249" s="25"/>
      <c r="PG249" s="25"/>
      <c r="PN249" s="25"/>
      <c r="PU249" s="25"/>
      <c r="QB249" s="25"/>
      <c r="QI249" s="25"/>
      <c r="QP249" s="25"/>
      <c r="QW249" s="25"/>
      <c r="RD249" s="25"/>
      <c r="RK249" s="25"/>
      <c r="RR249" s="25"/>
      <c r="RY249" s="25"/>
      <c r="SF249" s="25"/>
      <c r="SM249" s="25"/>
    </row>
    <row r="250" spans="5:507" x14ac:dyDescent="0.15">
      <c r="E250" s="25"/>
      <c r="F250" s="26"/>
      <c r="G250" s="27"/>
      <c r="H250" s="28"/>
      <c r="I250" s="25"/>
      <c r="J250" s="25"/>
      <c r="K250" s="26"/>
      <c r="L250" s="27"/>
      <c r="M250" s="32" t="s">
        <v>300</v>
      </c>
      <c r="N250" s="62" t="s">
        <v>181</v>
      </c>
      <c r="O250" s="32"/>
      <c r="P250" s="25"/>
      <c r="Q250" s="25"/>
      <c r="R250" s="26"/>
      <c r="S250" s="27"/>
      <c r="T250" s="27"/>
      <c r="U250" s="28"/>
      <c r="V250" s="25"/>
      <c r="W250" s="25"/>
      <c r="X250" s="25"/>
      <c r="Y250" s="26"/>
      <c r="Z250" s="27"/>
      <c r="AA250" s="27"/>
      <c r="AB250" s="28"/>
      <c r="AC250" s="25"/>
      <c r="AD250" s="25"/>
      <c r="AE250" s="25"/>
      <c r="AL250" s="25"/>
      <c r="AS250" s="25"/>
      <c r="AZ250" s="25"/>
      <c r="BF250" s="25"/>
      <c r="BG250" s="25"/>
      <c r="BN250" s="25"/>
      <c r="BU250" s="25"/>
      <c r="CB250" s="25"/>
      <c r="CH250" s="25"/>
      <c r="CI250" s="25"/>
      <c r="CP250" s="25"/>
      <c r="CW250" s="25"/>
      <c r="DD250" s="25"/>
      <c r="DJ250" s="25"/>
      <c r="DK250" s="25"/>
      <c r="DR250" s="25"/>
      <c r="DY250" s="25"/>
      <c r="EF250" s="25"/>
      <c r="EL250" s="25"/>
      <c r="EM250" s="25"/>
      <c r="ET250" s="25"/>
      <c r="FA250" s="25"/>
      <c r="FH250" s="25"/>
      <c r="FN250" s="25"/>
      <c r="FO250" s="25"/>
      <c r="FV250" s="25"/>
      <c r="GC250" s="25"/>
      <c r="GJ250" s="25"/>
      <c r="GP250" s="25"/>
      <c r="GQ250" s="25"/>
      <c r="GX250" s="25"/>
      <c r="HE250" s="25"/>
      <c r="HL250" s="25"/>
      <c r="HR250" s="25"/>
      <c r="HS250" s="25"/>
      <c r="HZ250" s="25"/>
      <c r="IG250" s="25"/>
      <c r="IN250" s="25"/>
      <c r="IT250" s="25"/>
      <c r="IU250" s="25"/>
      <c r="JB250" s="25"/>
      <c r="JI250" s="25"/>
      <c r="JP250" s="25"/>
      <c r="JV250" s="25"/>
      <c r="JW250" s="25"/>
      <c r="KD250" s="25"/>
      <c r="KK250" s="25"/>
      <c r="KR250" s="25"/>
      <c r="KY250" s="25"/>
      <c r="LF250" s="25"/>
      <c r="LM250" s="25"/>
      <c r="LT250" s="25"/>
      <c r="MA250" s="25"/>
      <c r="MH250" s="25"/>
      <c r="MO250" s="25"/>
      <c r="MV250" s="25"/>
      <c r="NC250" s="25"/>
      <c r="NJ250" s="25"/>
      <c r="NQ250" s="25"/>
      <c r="NX250" s="25"/>
      <c r="OE250" s="25"/>
      <c r="OL250" s="25"/>
      <c r="OS250" s="25"/>
      <c r="OZ250" s="25"/>
      <c r="PG250" s="25"/>
      <c r="PN250" s="25"/>
      <c r="PU250" s="25"/>
      <c r="QB250" s="25"/>
      <c r="QI250" s="25"/>
      <c r="QP250" s="25"/>
      <c r="QW250" s="25"/>
      <c r="RD250" s="25"/>
      <c r="RK250" s="25"/>
      <c r="RR250" s="25"/>
      <c r="RY250" s="25"/>
      <c r="SF250" s="25"/>
      <c r="SM250" s="25"/>
    </row>
    <row r="251" spans="5:507" x14ac:dyDescent="0.15">
      <c r="E251" s="25"/>
      <c r="F251" s="26"/>
      <c r="G251" s="27"/>
      <c r="H251" s="28"/>
      <c r="I251" s="25"/>
      <c r="J251" s="25"/>
      <c r="K251" s="26"/>
      <c r="L251" s="27"/>
      <c r="M251" s="62" t="s">
        <v>301</v>
      </c>
      <c r="N251" s="62" t="s">
        <v>182</v>
      </c>
      <c r="O251" s="32"/>
      <c r="P251" s="25"/>
      <c r="Q251" s="25"/>
      <c r="R251" s="26"/>
      <c r="S251" s="27"/>
      <c r="T251" s="27"/>
      <c r="U251" s="28"/>
      <c r="V251" s="25"/>
      <c r="W251" s="25"/>
      <c r="X251" s="25"/>
      <c r="Y251" s="26"/>
      <c r="Z251" s="27"/>
      <c r="AA251" s="27"/>
      <c r="AB251" s="28"/>
      <c r="AC251" s="25"/>
      <c r="AD251" s="25"/>
      <c r="AE251" s="25"/>
      <c r="AL251" s="25"/>
      <c r="AS251" s="25"/>
      <c r="AZ251" s="25"/>
      <c r="BF251" s="25"/>
      <c r="BG251" s="25"/>
      <c r="BN251" s="25"/>
      <c r="BU251" s="25"/>
      <c r="CB251" s="25"/>
      <c r="CH251" s="25"/>
      <c r="CI251" s="25"/>
      <c r="CP251" s="25"/>
      <c r="CW251" s="25"/>
      <c r="DD251" s="25"/>
      <c r="DJ251" s="25"/>
      <c r="DK251" s="25"/>
      <c r="DR251" s="25"/>
      <c r="DY251" s="25"/>
      <c r="EF251" s="25"/>
      <c r="EL251" s="25"/>
      <c r="EM251" s="25"/>
      <c r="ET251" s="25"/>
      <c r="FA251" s="25"/>
      <c r="FH251" s="25"/>
      <c r="FN251" s="25"/>
      <c r="FO251" s="25"/>
      <c r="FV251" s="25"/>
      <c r="GC251" s="25"/>
      <c r="GJ251" s="25"/>
      <c r="GP251" s="25"/>
      <c r="GQ251" s="25"/>
      <c r="GX251" s="25"/>
      <c r="HE251" s="25"/>
      <c r="HL251" s="25"/>
      <c r="HR251" s="25"/>
      <c r="HS251" s="25"/>
      <c r="HZ251" s="25"/>
      <c r="IG251" s="25"/>
      <c r="IN251" s="25"/>
      <c r="IT251" s="25"/>
      <c r="IU251" s="25"/>
      <c r="JB251" s="25"/>
      <c r="JI251" s="25"/>
      <c r="JP251" s="25"/>
      <c r="JV251" s="25"/>
      <c r="JW251" s="25"/>
      <c r="KD251" s="25"/>
      <c r="KK251" s="25"/>
      <c r="KR251" s="25"/>
      <c r="KY251" s="25"/>
      <c r="LF251" s="25"/>
      <c r="LM251" s="25"/>
      <c r="LT251" s="25"/>
      <c r="MA251" s="25"/>
      <c r="MH251" s="25"/>
      <c r="MO251" s="25"/>
      <c r="MV251" s="25"/>
      <c r="NC251" s="25"/>
      <c r="NJ251" s="25"/>
      <c r="NQ251" s="25"/>
      <c r="NX251" s="25"/>
      <c r="OE251" s="25"/>
      <c r="OL251" s="25"/>
      <c r="OS251" s="25"/>
      <c r="OZ251" s="25"/>
      <c r="PG251" s="25"/>
      <c r="PN251" s="25"/>
      <c r="PU251" s="25"/>
      <c r="QB251" s="25"/>
      <c r="QI251" s="25"/>
      <c r="QP251" s="25"/>
      <c r="QW251" s="25"/>
      <c r="RD251" s="25"/>
      <c r="RK251" s="25"/>
      <c r="RR251" s="25"/>
      <c r="RY251" s="25"/>
      <c r="SF251" s="25"/>
      <c r="SM251" s="25"/>
    </row>
    <row r="252" spans="5:507" x14ac:dyDescent="0.15">
      <c r="E252" s="25"/>
      <c r="F252" s="26"/>
      <c r="G252" s="27"/>
      <c r="H252" s="28"/>
      <c r="I252" s="25"/>
      <c r="J252" s="25"/>
      <c r="K252" s="26"/>
      <c r="L252" s="27"/>
      <c r="M252" s="32" t="s">
        <v>302</v>
      </c>
      <c r="N252" s="62" t="s">
        <v>183</v>
      </c>
      <c r="O252" s="32"/>
      <c r="P252" s="25"/>
      <c r="Q252" s="25"/>
      <c r="R252" s="26"/>
      <c r="S252" s="27"/>
      <c r="T252" s="27"/>
      <c r="U252" s="28"/>
      <c r="V252" s="25"/>
      <c r="W252" s="25"/>
      <c r="X252" s="25"/>
      <c r="Y252" s="26"/>
      <c r="Z252" s="27"/>
      <c r="AA252" s="27"/>
      <c r="AB252" s="28"/>
      <c r="AC252" s="25"/>
      <c r="AD252" s="25"/>
      <c r="AE252" s="25"/>
      <c r="AL252" s="25"/>
      <c r="AS252" s="25"/>
      <c r="AZ252" s="25"/>
      <c r="BF252" s="25"/>
      <c r="BG252" s="25"/>
      <c r="BN252" s="25"/>
      <c r="BU252" s="25"/>
      <c r="CB252" s="25"/>
      <c r="CH252" s="25"/>
      <c r="CI252" s="25"/>
      <c r="CP252" s="25"/>
      <c r="CW252" s="25"/>
      <c r="DD252" s="25"/>
      <c r="DJ252" s="25"/>
      <c r="DK252" s="25"/>
      <c r="DR252" s="25"/>
      <c r="DY252" s="25"/>
      <c r="EF252" s="25"/>
      <c r="EL252" s="25"/>
      <c r="EM252" s="25"/>
      <c r="ET252" s="25"/>
      <c r="FA252" s="25"/>
      <c r="FH252" s="25"/>
      <c r="FN252" s="25"/>
      <c r="FO252" s="25"/>
      <c r="FV252" s="25"/>
      <c r="GC252" s="25"/>
      <c r="GJ252" s="25"/>
      <c r="GP252" s="25"/>
      <c r="GQ252" s="25"/>
      <c r="GX252" s="25"/>
      <c r="HE252" s="25"/>
      <c r="HL252" s="25"/>
      <c r="HR252" s="25"/>
      <c r="HS252" s="25"/>
      <c r="HZ252" s="25"/>
      <c r="IG252" s="25"/>
      <c r="IN252" s="25"/>
      <c r="IT252" s="25"/>
      <c r="IU252" s="25"/>
      <c r="JB252" s="25"/>
      <c r="JI252" s="25"/>
      <c r="JP252" s="25"/>
      <c r="JV252" s="25"/>
      <c r="JW252" s="25"/>
      <c r="KD252" s="25"/>
      <c r="KK252" s="25"/>
      <c r="KR252" s="25"/>
      <c r="KY252" s="25"/>
      <c r="LF252" s="25"/>
      <c r="LM252" s="25"/>
      <c r="LT252" s="25"/>
      <c r="MA252" s="25"/>
      <c r="MH252" s="25"/>
      <c r="MO252" s="25"/>
      <c r="MV252" s="25"/>
      <c r="NC252" s="25"/>
      <c r="NJ252" s="25"/>
      <c r="NQ252" s="25"/>
      <c r="NX252" s="25"/>
      <c r="OE252" s="25"/>
      <c r="OL252" s="25"/>
      <c r="OS252" s="25"/>
      <c r="OZ252" s="25"/>
      <c r="PG252" s="25"/>
      <c r="PN252" s="25"/>
      <c r="PU252" s="25"/>
      <c r="QB252" s="25"/>
      <c r="QI252" s="25"/>
      <c r="QP252" s="25"/>
      <c r="QW252" s="25"/>
      <c r="RD252" s="25"/>
      <c r="RK252" s="25"/>
      <c r="RR252" s="25"/>
      <c r="RY252" s="25"/>
      <c r="SF252" s="25"/>
      <c r="SM252" s="25"/>
    </row>
    <row r="253" spans="5:507" x14ac:dyDescent="0.15">
      <c r="E253" s="25"/>
      <c r="F253" s="26"/>
      <c r="G253" s="27"/>
      <c r="H253" s="28"/>
      <c r="I253" s="25"/>
      <c r="J253" s="25"/>
      <c r="K253" s="26"/>
      <c r="L253" s="27"/>
      <c r="M253" s="61" t="s">
        <v>303</v>
      </c>
      <c r="N253" s="63" t="s">
        <v>184</v>
      </c>
      <c r="O253" s="32"/>
      <c r="P253" s="25"/>
      <c r="Q253" s="25"/>
      <c r="R253" s="26"/>
      <c r="S253" s="27"/>
      <c r="T253" s="27"/>
      <c r="U253" s="28"/>
      <c r="V253" s="25"/>
      <c r="W253" s="25"/>
      <c r="X253" s="25"/>
      <c r="Y253" s="26"/>
      <c r="Z253" s="27"/>
      <c r="AA253" s="27"/>
      <c r="AB253" s="28"/>
      <c r="AC253" s="25"/>
      <c r="AD253" s="25"/>
      <c r="AE253" s="25"/>
      <c r="AL253" s="25"/>
      <c r="AS253" s="25"/>
      <c r="AZ253" s="25"/>
      <c r="BF253" s="25"/>
      <c r="BG253" s="25"/>
      <c r="BN253" s="25"/>
      <c r="BU253" s="25"/>
      <c r="CB253" s="25"/>
      <c r="CH253" s="25"/>
      <c r="CI253" s="25"/>
      <c r="CP253" s="25"/>
      <c r="CW253" s="25"/>
      <c r="DD253" s="25"/>
      <c r="DJ253" s="25"/>
      <c r="DK253" s="25"/>
      <c r="DR253" s="25"/>
      <c r="DY253" s="25"/>
      <c r="EF253" s="25"/>
      <c r="EL253" s="25"/>
      <c r="EM253" s="25"/>
      <c r="ET253" s="25"/>
      <c r="FA253" s="25"/>
      <c r="FH253" s="25"/>
      <c r="FN253" s="25"/>
      <c r="FO253" s="25"/>
      <c r="FV253" s="25"/>
      <c r="GC253" s="25"/>
      <c r="GJ253" s="25"/>
      <c r="GP253" s="25"/>
      <c r="GQ253" s="25"/>
      <c r="GX253" s="25"/>
      <c r="HE253" s="25"/>
      <c r="HL253" s="25"/>
      <c r="HR253" s="25"/>
      <c r="HS253" s="25"/>
      <c r="HZ253" s="25"/>
      <c r="IG253" s="25"/>
      <c r="IN253" s="25"/>
      <c r="IT253" s="25"/>
      <c r="IU253" s="25"/>
      <c r="JB253" s="25"/>
      <c r="JI253" s="25"/>
      <c r="JP253" s="25"/>
      <c r="JV253" s="25"/>
      <c r="JW253" s="25"/>
      <c r="KD253" s="25"/>
      <c r="KK253" s="25"/>
      <c r="KR253" s="25"/>
      <c r="KY253" s="25"/>
      <c r="LF253" s="25"/>
      <c r="LM253" s="25"/>
      <c r="LT253" s="25"/>
      <c r="MA253" s="25"/>
      <c r="MH253" s="25"/>
      <c r="MO253" s="25"/>
      <c r="MV253" s="25"/>
      <c r="NC253" s="25"/>
      <c r="NJ253" s="25"/>
      <c r="NQ253" s="25"/>
      <c r="NX253" s="25"/>
      <c r="OE253" s="25"/>
      <c r="OL253" s="25"/>
      <c r="OS253" s="25"/>
      <c r="OZ253" s="25"/>
      <c r="PG253" s="25"/>
      <c r="PN253" s="25"/>
      <c r="PU253" s="25"/>
      <c r="QB253" s="25"/>
      <c r="QI253" s="25"/>
      <c r="QP253" s="25"/>
      <c r="QW253" s="25"/>
      <c r="RD253" s="25"/>
      <c r="RK253" s="25"/>
      <c r="RR253" s="25"/>
      <c r="RY253" s="25"/>
      <c r="SF253" s="25"/>
      <c r="SM253" s="25"/>
    </row>
    <row r="254" spans="5:507" x14ac:dyDescent="0.15">
      <c r="E254" s="25"/>
      <c r="F254" s="26"/>
      <c r="G254" s="27"/>
      <c r="H254" s="28"/>
      <c r="I254" s="25"/>
      <c r="J254" s="25"/>
      <c r="K254" s="26"/>
      <c r="L254" s="27"/>
      <c r="M254" s="62" t="s">
        <v>304</v>
      </c>
      <c r="N254" s="32" t="s">
        <v>185</v>
      </c>
      <c r="O254" s="32"/>
      <c r="P254" s="25"/>
      <c r="Q254" s="25"/>
      <c r="R254" s="26"/>
      <c r="S254" s="27"/>
      <c r="T254" s="27"/>
      <c r="U254" s="28"/>
      <c r="V254" s="25"/>
      <c r="W254" s="25"/>
      <c r="X254" s="25"/>
      <c r="Y254" s="26"/>
      <c r="Z254" s="27"/>
      <c r="AA254" s="27"/>
      <c r="AB254" s="28"/>
      <c r="AC254" s="25"/>
      <c r="AD254" s="25"/>
      <c r="AE254" s="25"/>
      <c r="AL254" s="25"/>
      <c r="AS254" s="25"/>
      <c r="AZ254" s="25"/>
      <c r="BF254" s="25"/>
      <c r="BG254" s="25"/>
      <c r="BN254" s="25"/>
      <c r="BU254" s="25"/>
      <c r="CB254" s="25"/>
      <c r="CH254" s="25"/>
      <c r="CI254" s="25"/>
      <c r="CP254" s="25"/>
      <c r="CW254" s="25"/>
      <c r="DD254" s="25"/>
      <c r="DJ254" s="25"/>
      <c r="DK254" s="25"/>
      <c r="DR254" s="25"/>
      <c r="DY254" s="25"/>
      <c r="EF254" s="25"/>
      <c r="EL254" s="25"/>
      <c r="EM254" s="25"/>
      <c r="ET254" s="25"/>
      <c r="FA254" s="25"/>
      <c r="FH254" s="25"/>
      <c r="FN254" s="25"/>
      <c r="FO254" s="25"/>
      <c r="FV254" s="25"/>
      <c r="GC254" s="25"/>
      <c r="GJ254" s="25"/>
      <c r="GP254" s="25"/>
      <c r="GQ254" s="25"/>
      <c r="GX254" s="25"/>
      <c r="HE254" s="25"/>
      <c r="HL254" s="25"/>
      <c r="HR254" s="25"/>
      <c r="HS254" s="25"/>
      <c r="HZ254" s="25"/>
      <c r="IG254" s="25"/>
      <c r="IN254" s="25"/>
      <c r="IT254" s="25"/>
      <c r="IU254" s="25"/>
      <c r="JB254" s="25"/>
      <c r="JI254" s="25"/>
      <c r="JP254" s="25"/>
      <c r="JV254" s="25"/>
      <c r="JW254" s="25"/>
      <c r="KD254" s="25"/>
      <c r="KK254" s="25"/>
      <c r="KR254" s="25"/>
      <c r="KY254" s="25"/>
      <c r="LF254" s="25"/>
      <c r="LM254" s="25"/>
      <c r="LT254" s="25"/>
      <c r="MA254" s="25"/>
      <c r="MH254" s="25"/>
      <c r="MO254" s="25"/>
      <c r="MV254" s="25"/>
      <c r="NC254" s="25"/>
      <c r="NJ254" s="25"/>
      <c r="NQ254" s="25"/>
      <c r="NX254" s="25"/>
      <c r="OE254" s="25"/>
      <c r="OL254" s="25"/>
      <c r="OS254" s="25"/>
      <c r="OZ254" s="25"/>
      <c r="PG254" s="25"/>
      <c r="PN254" s="25"/>
      <c r="PU254" s="25"/>
      <c r="QB254" s="25"/>
      <c r="QI254" s="25"/>
      <c r="QP254" s="25"/>
      <c r="QW254" s="25"/>
      <c r="RD254" s="25"/>
      <c r="RK254" s="25"/>
      <c r="RR254" s="25"/>
      <c r="RY254" s="25"/>
      <c r="SF254" s="25"/>
      <c r="SM254" s="25"/>
    </row>
    <row r="255" spans="5:507" x14ac:dyDescent="0.15">
      <c r="E255" s="25"/>
      <c r="F255" s="26"/>
      <c r="G255" s="27"/>
      <c r="H255" s="28"/>
      <c r="I255" s="25"/>
      <c r="J255" s="25"/>
      <c r="K255" s="26"/>
      <c r="L255" s="27"/>
      <c r="M255" s="62" t="s">
        <v>305</v>
      </c>
      <c r="N255" s="62" t="s">
        <v>186</v>
      </c>
      <c r="O255" s="32"/>
      <c r="P255" s="25"/>
      <c r="Q255" s="25"/>
      <c r="R255" s="26"/>
      <c r="S255" s="27"/>
      <c r="T255" s="27"/>
      <c r="U255" s="28"/>
      <c r="V255" s="25"/>
      <c r="W255" s="25"/>
      <c r="X255" s="25"/>
      <c r="Y255" s="26"/>
      <c r="Z255" s="27"/>
      <c r="AA255" s="27"/>
      <c r="AB255" s="28"/>
      <c r="AC255" s="25"/>
      <c r="AD255" s="25"/>
      <c r="AE255" s="25"/>
      <c r="AL255" s="25"/>
      <c r="AS255" s="25"/>
      <c r="AZ255" s="25"/>
      <c r="BF255" s="25"/>
      <c r="BG255" s="25"/>
      <c r="BN255" s="25"/>
      <c r="BU255" s="25"/>
      <c r="CB255" s="25"/>
      <c r="CH255" s="25"/>
      <c r="CI255" s="25"/>
      <c r="CP255" s="25"/>
      <c r="CW255" s="25"/>
      <c r="DD255" s="25"/>
      <c r="DJ255" s="25"/>
      <c r="DK255" s="25"/>
      <c r="DR255" s="25"/>
      <c r="DY255" s="25"/>
      <c r="EF255" s="25"/>
      <c r="EL255" s="25"/>
      <c r="EM255" s="25"/>
      <c r="ET255" s="25"/>
      <c r="FA255" s="25"/>
      <c r="FH255" s="25"/>
      <c r="FN255" s="25"/>
      <c r="FO255" s="25"/>
      <c r="FV255" s="25"/>
      <c r="GC255" s="25"/>
      <c r="GJ255" s="25"/>
      <c r="GP255" s="25"/>
      <c r="GQ255" s="25"/>
      <c r="GX255" s="25"/>
      <c r="HE255" s="25"/>
      <c r="HL255" s="25"/>
      <c r="HR255" s="25"/>
      <c r="HS255" s="25"/>
      <c r="HZ255" s="25"/>
      <c r="IG255" s="25"/>
      <c r="IN255" s="25"/>
      <c r="IT255" s="25"/>
      <c r="IU255" s="25"/>
      <c r="JB255" s="25"/>
      <c r="JI255" s="25"/>
      <c r="JP255" s="25"/>
      <c r="JV255" s="25"/>
      <c r="JW255" s="25"/>
      <c r="KD255" s="25"/>
      <c r="KK255" s="25"/>
      <c r="KR255" s="25"/>
      <c r="KY255" s="25"/>
      <c r="LF255" s="25"/>
      <c r="LM255" s="25"/>
      <c r="LT255" s="25"/>
      <c r="MA255" s="25"/>
      <c r="MH255" s="25"/>
      <c r="MO255" s="25"/>
      <c r="MV255" s="25"/>
      <c r="NC255" s="25"/>
      <c r="NJ255" s="25"/>
      <c r="NQ255" s="25"/>
      <c r="NX255" s="25"/>
      <c r="OE255" s="25"/>
      <c r="OL255" s="25"/>
      <c r="OS255" s="25"/>
      <c r="OZ255" s="25"/>
      <c r="PG255" s="25"/>
      <c r="PN255" s="25"/>
      <c r="PU255" s="25"/>
      <c r="QB255" s="25"/>
      <c r="QI255" s="25"/>
      <c r="QP255" s="25"/>
      <c r="QW255" s="25"/>
      <c r="RD255" s="25"/>
      <c r="RK255" s="25"/>
      <c r="RR255" s="25"/>
      <c r="RY255" s="25"/>
      <c r="SF255" s="25"/>
      <c r="SM255" s="25"/>
    </row>
    <row r="256" spans="5:507" x14ac:dyDescent="0.15">
      <c r="E256" s="25"/>
      <c r="F256" s="26"/>
      <c r="G256" s="27"/>
      <c r="H256" s="28"/>
      <c r="I256" s="25"/>
      <c r="J256" s="25"/>
      <c r="K256" s="26"/>
      <c r="L256" s="27"/>
      <c r="M256" s="63" t="s">
        <v>306</v>
      </c>
      <c r="N256" s="62" t="s">
        <v>187</v>
      </c>
      <c r="O256" s="32"/>
      <c r="P256" s="25"/>
      <c r="Q256" s="25"/>
      <c r="R256" s="26"/>
      <c r="S256" s="27"/>
      <c r="T256" s="27"/>
      <c r="U256" s="28"/>
      <c r="V256" s="25"/>
      <c r="W256" s="25"/>
      <c r="X256" s="25"/>
      <c r="Y256" s="26"/>
      <c r="Z256" s="27"/>
      <c r="AA256" s="27"/>
      <c r="AB256" s="28"/>
      <c r="AC256" s="25"/>
      <c r="AD256" s="25"/>
      <c r="AE256" s="25"/>
      <c r="AL256" s="25"/>
      <c r="AS256" s="25"/>
      <c r="AZ256" s="25"/>
      <c r="BF256" s="25"/>
      <c r="BG256" s="25"/>
      <c r="BN256" s="25"/>
      <c r="BU256" s="25"/>
      <c r="CB256" s="25"/>
      <c r="CH256" s="25"/>
      <c r="CI256" s="25"/>
      <c r="CP256" s="25"/>
      <c r="CW256" s="25"/>
      <c r="DD256" s="25"/>
      <c r="DJ256" s="25"/>
      <c r="DK256" s="25"/>
      <c r="DR256" s="25"/>
      <c r="DY256" s="25"/>
      <c r="EF256" s="25"/>
      <c r="EL256" s="25"/>
      <c r="EM256" s="25"/>
      <c r="ET256" s="25"/>
      <c r="FA256" s="25"/>
      <c r="FH256" s="25"/>
      <c r="FN256" s="25"/>
      <c r="FO256" s="25"/>
      <c r="FV256" s="25"/>
      <c r="GC256" s="25"/>
      <c r="GJ256" s="25"/>
      <c r="GP256" s="25"/>
      <c r="GQ256" s="25"/>
      <c r="GX256" s="25"/>
      <c r="HE256" s="25"/>
      <c r="HL256" s="25"/>
      <c r="HR256" s="25"/>
      <c r="HS256" s="25"/>
      <c r="HZ256" s="25"/>
      <c r="IG256" s="25"/>
      <c r="IN256" s="25"/>
      <c r="IT256" s="25"/>
      <c r="IU256" s="25"/>
      <c r="JB256" s="25"/>
      <c r="JI256" s="25"/>
      <c r="JP256" s="25"/>
      <c r="JV256" s="25"/>
      <c r="JW256" s="25"/>
      <c r="KD256" s="25"/>
      <c r="KK256" s="25"/>
      <c r="KR256" s="25"/>
      <c r="KY256" s="25"/>
      <c r="LF256" s="25"/>
      <c r="LM256" s="25"/>
      <c r="LT256" s="25"/>
      <c r="MA256" s="25"/>
      <c r="MH256" s="25"/>
      <c r="MO256" s="25"/>
      <c r="MV256" s="25"/>
      <c r="NC256" s="25"/>
      <c r="NJ256" s="25"/>
      <c r="NQ256" s="25"/>
      <c r="NX256" s="25"/>
      <c r="OE256" s="25"/>
      <c r="OL256" s="25"/>
      <c r="OS256" s="25"/>
      <c r="OZ256" s="25"/>
      <c r="PG256" s="25"/>
      <c r="PN256" s="25"/>
      <c r="PU256" s="25"/>
      <c r="QB256" s="25"/>
      <c r="QI256" s="25"/>
      <c r="QP256" s="25"/>
      <c r="QW256" s="25"/>
      <c r="RD256" s="25"/>
      <c r="RK256" s="25"/>
      <c r="RR256" s="25"/>
      <c r="RY256" s="25"/>
      <c r="SF256" s="25"/>
      <c r="SM256" s="25"/>
    </row>
    <row r="257" spans="5:507" x14ac:dyDescent="0.15">
      <c r="E257" s="25"/>
      <c r="F257" s="26"/>
      <c r="G257" s="27"/>
      <c r="H257" s="28"/>
      <c r="I257" s="25"/>
      <c r="J257" s="25"/>
      <c r="K257" s="26"/>
      <c r="L257" s="27"/>
      <c r="M257" s="32" t="s">
        <v>307</v>
      </c>
      <c r="N257" s="62" t="s">
        <v>188</v>
      </c>
      <c r="O257" s="32"/>
      <c r="P257" s="25"/>
      <c r="Q257" s="25"/>
      <c r="R257" s="26"/>
      <c r="S257" s="27"/>
      <c r="T257" s="27"/>
      <c r="U257" s="28"/>
      <c r="V257" s="25"/>
      <c r="W257" s="25"/>
      <c r="X257" s="25"/>
      <c r="Y257" s="26"/>
      <c r="Z257" s="27"/>
      <c r="AA257" s="27"/>
      <c r="AB257" s="28"/>
      <c r="AC257" s="25"/>
      <c r="AD257" s="25"/>
      <c r="AE257" s="25"/>
      <c r="AL257" s="25"/>
      <c r="AS257" s="25"/>
      <c r="AZ257" s="25"/>
      <c r="BF257" s="25"/>
      <c r="BG257" s="25"/>
      <c r="BN257" s="25"/>
      <c r="BU257" s="25"/>
      <c r="CB257" s="25"/>
      <c r="CH257" s="25"/>
      <c r="CI257" s="25"/>
      <c r="CP257" s="25"/>
      <c r="CW257" s="25"/>
      <c r="DD257" s="25"/>
      <c r="DJ257" s="25"/>
      <c r="DK257" s="25"/>
      <c r="DR257" s="25"/>
      <c r="DY257" s="25"/>
      <c r="EF257" s="25"/>
      <c r="EL257" s="25"/>
      <c r="EM257" s="25"/>
      <c r="ET257" s="25"/>
      <c r="FA257" s="25"/>
      <c r="FH257" s="25"/>
      <c r="FN257" s="25"/>
      <c r="FO257" s="25"/>
      <c r="FV257" s="25"/>
      <c r="GC257" s="25"/>
      <c r="GJ257" s="25"/>
      <c r="GP257" s="25"/>
      <c r="GQ257" s="25"/>
      <c r="GX257" s="25"/>
      <c r="HE257" s="25"/>
      <c r="HL257" s="25"/>
      <c r="HR257" s="25"/>
      <c r="HS257" s="25"/>
      <c r="HZ257" s="25"/>
      <c r="IG257" s="25"/>
      <c r="IN257" s="25"/>
      <c r="IT257" s="25"/>
      <c r="IU257" s="25"/>
      <c r="JB257" s="25"/>
      <c r="JI257" s="25"/>
      <c r="JP257" s="25"/>
      <c r="JV257" s="25"/>
      <c r="JW257" s="25"/>
      <c r="KD257" s="25"/>
      <c r="KK257" s="25"/>
      <c r="KR257" s="25"/>
      <c r="KY257" s="25"/>
      <c r="LF257" s="25"/>
      <c r="LM257" s="25"/>
      <c r="LT257" s="25"/>
      <c r="MA257" s="25"/>
      <c r="MH257" s="25"/>
      <c r="MO257" s="25"/>
      <c r="MV257" s="25"/>
      <c r="NC257" s="25"/>
      <c r="NJ257" s="25"/>
      <c r="NQ257" s="25"/>
      <c r="NX257" s="25"/>
      <c r="OE257" s="25"/>
      <c r="OL257" s="25"/>
      <c r="OS257" s="25"/>
      <c r="OZ257" s="25"/>
      <c r="PG257" s="25"/>
      <c r="PN257" s="25"/>
      <c r="PU257" s="25"/>
      <c r="QB257" s="25"/>
      <c r="QI257" s="25"/>
      <c r="QP257" s="25"/>
      <c r="QW257" s="25"/>
      <c r="RD257" s="25"/>
      <c r="RK257" s="25"/>
      <c r="RR257" s="25"/>
      <c r="RY257" s="25"/>
      <c r="SF257" s="25"/>
      <c r="SM257" s="25"/>
    </row>
    <row r="258" spans="5:507" x14ac:dyDescent="0.15">
      <c r="E258" s="25"/>
      <c r="F258" s="26"/>
      <c r="G258" s="27"/>
      <c r="H258" s="28"/>
      <c r="I258" s="25"/>
      <c r="J258" s="25"/>
      <c r="K258" s="26"/>
      <c r="L258" s="27"/>
      <c r="M258" s="62" t="s">
        <v>308</v>
      </c>
      <c r="N258" s="63"/>
      <c r="O258" s="32"/>
      <c r="P258" s="25"/>
      <c r="Q258" s="25"/>
      <c r="R258" s="26"/>
      <c r="S258" s="27"/>
      <c r="T258" s="27"/>
      <c r="U258" s="28"/>
      <c r="V258" s="25"/>
      <c r="W258" s="25"/>
      <c r="X258" s="25"/>
      <c r="Y258" s="26"/>
      <c r="Z258" s="27"/>
      <c r="AA258" s="27"/>
      <c r="AB258" s="28"/>
      <c r="AC258" s="25"/>
      <c r="AD258" s="25"/>
      <c r="AE258" s="25"/>
      <c r="AL258" s="25"/>
      <c r="AS258" s="25"/>
      <c r="AZ258" s="25"/>
      <c r="BF258" s="25"/>
      <c r="BG258" s="25"/>
      <c r="BN258" s="25"/>
      <c r="BU258" s="25"/>
      <c r="CB258" s="25"/>
      <c r="CH258" s="25"/>
      <c r="CI258" s="25"/>
      <c r="CP258" s="25"/>
      <c r="CW258" s="25"/>
      <c r="DD258" s="25"/>
      <c r="DJ258" s="25"/>
      <c r="DK258" s="25"/>
      <c r="DR258" s="25"/>
      <c r="DY258" s="25"/>
      <c r="EF258" s="25"/>
      <c r="EL258" s="25"/>
      <c r="EM258" s="25"/>
      <c r="ET258" s="25"/>
      <c r="FA258" s="25"/>
      <c r="FH258" s="25"/>
      <c r="FN258" s="25"/>
      <c r="FO258" s="25"/>
      <c r="FV258" s="25"/>
      <c r="GC258" s="25"/>
      <c r="GJ258" s="25"/>
      <c r="GP258" s="25"/>
      <c r="GQ258" s="25"/>
      <c r="GX258" s="25"/>
      <c r="HE258" s="25"/>
      <c r="HL258" s="25"/>
      <c r="HR258" s="25"/>
      <c r="HS258" s="25"/>
      <c r="HZ258" s="25"/>
      <c r="IG258" s="25"/>
      <c r="IN258" s="25"/>
      <c r="IT258" s="25"/>
      <c r="IU258" s="25"/>
      <c r="JB258" s="25"/>
      <c r="JI258" s="25"/>
      <c r="JP258" s="25"/>
      <c r="JV258" s="25"/>
      <c r="JW258" s="25"/>
      <c r="KD258" s="25"/>
      <c r="KK258" s="25"/>
      <c r="KR258" s="25"/>
      <c r="KY258" s="25"/>
      <c r="LF258" s="25"/>
      <c r="LM258" s="25"/>
      <c r="LT258" s="25"/>
      <c r="MA258" s="25"/>
      <c r="MH258" s="25"/>
      <c r="MO258" s="25"/>
      <c r="MV258" s="25"/>
      <c r="NC258" s="25"/>
      <c r="NJ258" s="25"/>
      <c r="NQ258" s="25"/>
      <c r="NX258" s="25"/>
      <c r="OE258" s="25"/>
      <c r="OL258" s="25"/>
      <c r="OS258" s="25"/>
      <c r="OZ258" s="25"/>
      <c r="PG258" s="25"/>
      <c r="PN258" s="25"/>
      <c r="PU258" s="25"/>
      <c r="QB258" s="25"/>
      <c r="QI258" s="25"/>
      <c r="QP258" s="25"/>
      <c r="QW258" s="25"/>
      <c r="RD258" s="25"/>
      <c r="RK258" s="25"/>
      <c r="RR258" s="25"/>
      <c r="RY258" s="25"/>
      <c r="SF258" s="25"/>
      <c r="SM258" s="25"/>
    </row>
    <row r="259" spans="5:507" x14ac:dyDescent="0.15">
      <c r="E259" s="25"/>
      <c r="F259" s="26"/>
      <c r="G259" s="27"/>
      <c r="H259" s="28"/>
      <c r="I259" s="25"/>
      <c r="J259" s="25"/>
      <c r="K259" s="26"/>
      <c r="L259" s="27"/>
      <c r="M259" s="32" t="s">
        <v>309</v>
      </c>
      <c r="N259" s="28"/>
      <c r="O259" s="32"/>
      <c r="P259" s="25"/>
      <c r="Q259" s="25"/>
      <c r="R259" s="26"/>
      <c r="S259" s="27"/>
      <c r="T259" s="27"/>
      <c r="U259" s="28"/>
      <c r="V259" s="25"/>
      <c r="W259" s="25"/>
      <c r="X259" s="25"/>
      <c r="Y259" s="26"/>
      <c r="Z259" s="27"/>
      <c r="AA259" s="27"/>
      <c r="AB259" s="28"/>
      <c r="AC259" s="25"/>
      <c r="AD259" s="25"/>
      <c r="AE259" s="25"/>
      <c r="AL259" s="25"/>
      <c r="AS259" s="25"/>
      <c r="AZ259" s="25"/>
      <c r="BF259" s="25"/>
      <c r="BG259" s="25"/>
      <c r="BN259" s="25"/>
      <c r="BU259" s="25"/>
      <c r="CB259" s="25"/>
      <c r="CH259" s="25"/>
      <c r="CI259" s="25"/>
      <c r="CP259" s="25"/>
      <c r="CW259" s="25"/>
      <c r="DD259" s="25"/>
      <c r="DJ259" s="25"/>
      <c r="DK259" s="25"/>
      <c r="DR259" s="25"/>
      <c r="DY259" s="25"/>
      <c r="EF259" s="25"/>
      <c r="EL259" s="25"/>
      <c r="EM259" s="25"/>
      <c r="ET259" s="25"/>
      <c r="FA259" s="25"/>
      <c r="FH259" s="25"/>
      <c r="FN259" s="25"/>
      <c r="FO259" s="25"/>
      <c r="FV259" s="25"/>
      <c r="GC259" s="25"/>
      <c r="GJ259" s="25"/>
      <c r="GP259" s="25"/>
      <c r="GQ259" s="25"/>
      <c r="GX259" s="25"/>
      <c r="HE259" s="25"/>
      <c r="HL259" s="25"/>
      <c r="HR259" s="25"/>
      <c r="HS259" s="25"/>
      <c r="HZ259" s="25"/>
      <c r="IG259" s="25"/>
      <c r="IN259" s="25"/>
      <c r="IT259" s="25"/>
      <c r="IU259" s="25"/>
      <c r="JB259" s="25"/>
      <c r="JI259" s="25"/>
      <c r="JP259" s="25"/>
      <c r="JV259" s="25"/>
      <c r="JW259" s="25"/>
      <c r="KD259" s="25"/>
      <c r="KK259" s="25"/>
      <c r="KR259" s="25"/>
      <c r="KY259" s="25"/>
      <c r="LF259" s="25"/>
      <c r="LM259" s="25"/>
      <c r="LT259" s="25"/>
      <c r="MA259" s="25"/>
      <c r="MH259" s="25"/>
      <c r="MO259" s="25"/>
      <c r="MV259" s="25"/>
      <c r="NC259" s="25"/>
      <c r="NJ259" s="25"/>
      <c r="NQ259" s="25"/>
      <c r="NX259" s="25"/>
      <c r="OE259" s="25"/>
      <c r="OL259" s="25"/>
      <c r="OS259" s="25"/>
      <c r="OZ259" s="25"/>
      <c r="PG259" s="25"/>
      <c r="PN259" s="25"/>
      <c r="PU259" s="25"/>
      <c r="QB259" s="25"/>
      <c r="QI259" s="25"/>
      <c r="QP259" s="25"/>
      <c r="QW259" s="25"/>
      <c r="RD259" s="25"/>
      <c r="RK259" s="25"/>
      <c r="RR259" s="25"/>
      <c r="RY259" s="25"/>
      <c r="SF259" s="25"/>
      <c r="SM259" s="25"/>
    </row>
    <row r="260" spans="5:507" x14ac:dyDescent="0.15">
      <c r="E260" s="25"/>
      <c r="F260" s="26"/>
      <c r="G260" s="27"/>
      <c r="H260" s="28"/>
      <c r="I260" s="25"/>
      <c r="J260" s="25"/>
      <c r="K260" s="26"/>
      <c r="L260" s="27"/>
      <c r="M260" s="27"/>
      <c r="N260" s="28"/>
      <c r="O260" s="25"/>
      <c r="P260" s="25"/>
      <c r="Q260" s="25"/>
      <c r="R260" s="26"/>
      <c r="S260" s="27"/>
      <c r="T260" s="27"/>
      <c r="U260" s="28"/>
      <c r="V260" s="25"/>
      <c r="W260" s="25"/>
      <c r="X260" s="25"/>
      <c r="Y260" s="26"/>
      <c r="Z260" s="27"/>
      <c r="AA260" s="27"/>
      <c r="AB260" s="28"/>
      <c r="AC260" s="25"/>
      <c r="AD260" s="25"/>
      <c r="AE260" s="25"/>
      <c r="AL260" s="25"/>
      <c r="AS260" s="25"/>
      <c r="AZ260" s="25"/>
      <c r="BF260" s="25"/>
      <c r="BG260" s="25"/>
      <c r="BN260" s="25"/>
      <c r="BU260" s="25"/>
      <c r="CB260" s="25"/>
      <c r="CH260" s="25"/>
      <c r="CI260" s="25"/>
      <c r="CP260" s="25"/>
      <c r="CW260" s="25"/>
      <c r="DD260" s="25"/>
      <c r="DJ260" s="25"/>
      <c r="DK260" s="25"/>
      <c r="DR260" s="25"/>
      <c r="DY260" s="25"/>
      <c r="EF260" s="25"/>
      <c r="EL260" s="25"/>
      <c r="EM260" s="25"/>
      <c r="ET260" s="25"/>
      <c r="FA260" s="25"/>
      <c r="FH260" s="25"/>
      <c r="FN260" s="25"/>
      <c r="FO260" s="25"/>
      <c r="FV260" s="25"/>
      <c r="GC260" s="25"/>
      <c r="GJ260" s="25"/>
      <c r="GP260" s="25"/>
      <c r="GQ260" s="25"/>
      <c r="GX260" s="25"/>
      <c r="HE260" s="25"/>
      <c r="HL260" s="25"/>
      <c r="HR260" s="25"/>
      <c r="HS260" s="25"/>
      <c r="HZ260" s="25"/>
      <c r="IG260" s="25"/>
      <c r="IN260" s="25"/>
      <c r="IT260" s="25"/>
      <c r="IU260" s="25"/>
      <c r="JB260" s="25"/>
      <c r="JI260" s="25"/>
      <c r="JP260" s="25"/>
      <c r="JV260" s="25"/>
      <c r="JW260" s="25"/>
      <c r="KD260" s="25"/>
      <c r="KK260" s="25"/>
      <c r="KR260" s="25"/>
      <c r="KY260" s="25"/>
      <c r="LF260" s="25"/>
      <c r="LM260" s="25"/>
      <c r="LT260" s="25"/>
      <c r="MA260" s="25"/>
      <c r="MH260" s="25"/>
      <c r="MO260" s="25"/>
      <c r="MV260" s="25"/>
      <c r="NC260" s="25"/>
      <c r="NJ260" s="25"/>
      <c r="NQ260" s="25"/>
      <c r="NX260" s="25"/>
      <c r="OE260" s="25"/>
      <c r="OL260" s="25"/>
      <c r="OS260" s="25"/>
      <c r="OZ260" s="25"/>
      <c r="PG260" s="25"/>
      <c r="PN260" s="25"/>
      <c r="PU260" s="25"/>
      <c r="QB260" s="25"/>
      <c r="QI260" s="25"/>
      <c r="QP260" s="25"/>
      <c r="QW260" s="25"/>
      <c r="RD260" s="25"/>
      <c r="RK260" s="25"/>
      <c r="RR260" s="25"/>
      <c r="RY260" s="25"/>
      <c r="SF260" s="25"/>
      <c r="SM260" s="25"/>
    </row>
    <row r="261" spans="5:507" x14ac:dyDescent="0.15">
      <c r="E261" s="25"/>
      <c r="F261" s="26"/>
      <c r="G261" s="27"/>
      <c r="H261" s="28"/>
      <c r="I261" s="25"/>
      <c r="J261" s="25"/>
      <c r="K261" s="26"/>
      <c r="L261" s="27"/>
      <c r="M261" s="27"/>
      <c r="N261" s="28"/>
      <c r="O261" s="25"/>
      <c r="P261" s="25"/>
      <c r="Q261" s="25"/>
      <c r="R261" s="26"/>
      <c r="S261" s="27"/>
      <c r="T261" s="27"/>
      <c r="U261" s="28"/>
      <c r="V261" s="25"/>
      <c r="W261" s="25"/>
      <c r="X261" s="25"/>
      <c r="Y261" s="26"/>
      <c r="Z261" s="27"/>
      <c r="AA261" s="27"/>
      <c r="AB261" s="28"/>
      <c r="AC261" s="25"/>
      <c r="AD261" s="25"/>
      <c r="AE261" s="25"/>
      <c r="AL261" s="25"/>
      <c r="AS261" s="25"/>
      <c r="AZ261" s="25"/>
      <c r="BF261" s="25"/>
      <c r="BG261" s="25"/>
      <c r="BN261" s="25"/>
      <c r="BU261" s="25"/>
      <c r="CB261" s="25"/>
      <c r="CH261" s="25"/>
      <c r="CI261" s="25"/>
      <c r="CP261" s="25"/>
      <c r="CW261" s="25"/>
      <c r="DD261" s="25"/>
      <c r="DJ261" s="25"/>
      <c r="DK261" s="25"/>
      <c r="DR261" s="25"/>
      <c r="DY261" s="25"/>
      <c r="EF261" s="25"/>
      <c r="EL261" s="25"/>
      <c r="EM261" s="25"/>
      <c r="ET261" s="25"/>
      <c r="FA261" s="25"/>
      <c r="FH261" s="25"/>
      <c r="FN261" s="25"/>
      <c r="FO261" s="25"/>
      <c r="FV261" s="25"/>
      <c r="GC261" s="25"/>
      <c r="GJ261" s="25"/>
      <c r="GP261" s="25"/>
      <c r="GQ261" s="25"/>
      <c r="GX261" s="25"/>
      <c r="HE261" s="25"/>
      <c r="HL261" s="25"/>
      <c r="HR261" s="25"/>
      <c r="HS261" s="25"/>
      <c r="HZ261" s="25"/>
      <c r="IG261" s="25"/>
      <c r="IN261" s="25"/>
      <c r="IT261" s="25"/>
      <c r="IU261" s="25"/>
      <c r="JB261" s="25"/>
      <c r="JI261" s="25"/>
      <c r="JP261" s="25"/>
      <c r="JV261" s="25"/>
      <c r="JW261" s="25"/>
      <c r="KD261" s="25"/>
      <c r="KK261" s="25"/>
      <c r="KR261" s="25"/>
      <c r="KY261" s="25"/>
      <c r="LF261" s="25"/>
      <c r="LM261" s="25"/>
      <c r="LT261" s="25"/>
      <c r="MA261" s="25"/>
      <c r="MH261" s="25"/>
      <c r="MO261" s="25"/>
      <c r="MV261" s="25"/>
      <c r="NC261" s="25"/>
      <c r="NJ261" s="25"/>
      <c r="NQ261" s="25"/>
      <c r="NX261" s="25"/>
      <c r="OE261" s="25"/>
      <c r="OL261" s="25"/>
      <c r="OS261" s="25"/>
      <c r="OZ261" s="25"/>
      <c r="PG261" s="25"/>
      <c r="PN261" s="25"/>
      <c r="PU261" s="25"/>
      <c r="QB261" s="25"/>
      <c r="QI261" s="25"/>
      <c r="QP261" s="25"/>
      <c r="QW261" s="25"/>
      <c r="RD261" s="25"/>
      <c r="RK261" s="25"/>
      <c r="RR261" s="25"/>
      <c r="RY261" s="25"/>
      <c r="SF261" s="25"/>
      <c r="SM261" s="25"/>
    </row>
    <row r="262" spans="5:507" x14ac:dyDescent="0.15">
      <c r="E262" s="25"/>
      <c r="F262" s="26"/>
      <c r="G262" s="27"/>
      <c r="H262" s="28"/>
      <c r="I262" s="25"/>
      <c r="J262" s="25"/>
      <c r="K262" s="26"/>
      <c r="L262" s="27"/>
      <c r="M262" s="27"/>
      <c r="N262" s="28"/>
      <c r="O262" s="25"/>
      <c r="P262" s="25"/>
      <c r="Q262" s="25"/>
      <c r="R262" s="26"/>
      <c r="S262" s="27"/>
      <c r="T262" s="27"/>
      <c r="U262" s="28"/>
      <c r="V262" s="25"/>
      <c r="W262" s="25"/>
      <c r="X262" s="25"/>
      <c r="Y262" s="26"/>
      <c r="Z262" s="27"/>
      <c r="AA262" s="27"/>
      <c r="AB262" s="28"/>
      <c r="AC262" s="25"/>
      <c r="AD262" s="25"/>
      <c r="AE262" s="25"/>
      <c r="AL262" s="25"/>
      <c r="AS262" s="25"/>
      <c r="AZ262" s="25"/>
      <c r="BF262" s="25"/>
      <c r="BG262" s="25"/>
      <c r="BN262" s="25"/>
      <c r="BU262" s="25"/>
      <c r="CB262" s="25"/>
      <c r="CH262" s="25"/>
      <c r="CI262" s="25"/>
      <c r="CP262" s="25"/>
      <c r="CW262" s="25"/>
      <c r="DD262" s="25"/>
      <c r="DJ262" s="25"/>
      <c r="DK262" s="25"/>
      <c r="DR262" s="25"/>
      <c r="DY262" s="25"/>
      <c r="EF262" s="25"/>
      <c r="EL262" s="25"/>
      <c r="EM262" s="25"/>
      <c r="ET262" s="25"/>
      <c r="FA262" s="25"/>
      <c r="FH262" s="25"/>
      <c r="FN262" s="25"/>
      <c r="FO262" s="25"/>
      <c r="FV262" s="25"/>
      <c r="GC262" s="25"/>
      <c r="GJ262" s="25"/>
      <c r="GP262" s="25"/>
      <c r="GQ262" s="25"/>
      <c r="GX262" s="25"/>
      <c r="HE262" s="25"/>
      <c r="HL262" s="25"/>
      <c r="HR262" s="25"/>
      <c r="HS262" s="25"/>
      <c r="HZ262" s="25"/>
      <c r="IG262" s="25"/>
      <c r="IN262" s="25"/>
      <c r="IT262" s="25"/>
      <c r="IU262" s="25"/>
      <c r="JB262" s="25"/>
      <c r="JI262" s="25"/>
      <c r="JP262" s="25"/>
      <c r="JV262" s="25"/>
      <c r="JW262" s="25"/>
      <c r="KD262" s="25"/>
      <c r="KK262" s="25"/>
      <c r="KR262" s="25"/>
      <c r="KY262" s="25"/>
      <c r="LF262" s="25"/>
      <c r="LM262" s="25"/>
      <c r="LT262" s="25"/>
      <c r="MA262" s="25"/>
      <c r="MH262" s="25"/>
      <c r="MO262" s="25"/>
      <c r="MV262" s="25"/>
      <c r="NC262" s="25"/>
      <c r="NJ262" s="25"/>
      <c r="NQ262" s="25"/>
      <c r="NX262" s="25"/>
      <c r="OE262" s="25"/>
      <c r="OL262" s="25"/>
      <c r="OS262" s="25"/>
      <c r="OZ262" s="25"/>
      <c r="PG262" s="25"/>
      <c r="PN262" s="25"/>
      <c r="PU262" s="25"/>
      <c r="QB262" s="25"/>
      <c r="QI262" s="25"/>
      <c r="QP262" s="25"/>
      <c r="QW262" s="25"/>
      <c r="RD262" s="25"/>
      <c r="RK262" s="25"/>
      <c r="RR262" s="25"/>
      <c r="RY262" s="25"/>
      <c r="SF262" s="25"/>
      <c r="SM262" s="25"/>
    </row>
    <row r="263" spans="5:507" x14ac:dyDescent="0.15">
      <c r="E263" s="25"/>
      <c r="F263" s="26"/>
      <c r="G263" s="27"/>
      <c r="H263" s="28"/>
      <c r="I263" s="25"/>
      <c r="J263" s="25"/>
      <c r="K263" s="26"/>
      <c r="L263" s="27"/>
      <c r="M263" s="27"/>
      <c r="N263" s="28"/>
      <c r="O263" s="25"/>
      <c r="P263" s="25"/>
      <c r="Q263" s="25"/>
      <c r="R263" s="26"/>
      <c r="S263" s="27"/>
      <c r="T263" s="27"/>
      <c r="U263" s="28"/>
      <c r="V263" s="25"/>
      <c r="W263" s="25"/>
      <c r="X263" s="25"/>
      <c r="Y263" s="26"/>
      <c r="Z263" s="27"/>
      <c r="AA263" s="27"/>
      <c r="AB263" s="28"/>
      <c r="AC263" s="25"/>
      <c r="AD263" s="25"/>
      <c r="AE263" s="25"/>
      <c r="AL263" s="25"/>
      <c r="AS263" s="25"/>
      <c r="AZ263" s="25"/>
      <c r="BF263" s="25"/>
      <c r="BG263" s="25"/>
      <c r="BN263" s="25"/>
      <c r="BU263" s="25"/>
      <c r="CB263" s="25"/>
      <c r="CH263" s="25"/>
      <c r="CI263" s="25"/>
      <c r="CP263" s="25"/>
      <c r="CW263" s="25"/>
      <c r="DD263" s="25"/>
      <c r="DJ263" s="25"/>
      <c r="DK263" s="25"/>
      <c r="DR263" s="25"/>
      <c r="DY263" s="25"/>
      <c r="EF263" s="25"/>
      <c r="EL263" s="25"/>
      <c r="EM263" s="25"/>
      <c r="ET263" s="25"/>
      <c r="FA263" s="25"/>
      <c r="FH263" s="25"/>
      <c r="FN263" s="25"/>
      <c r="FO263" s="25"/>
      <c r="FV263" s="25"/>
      <c r="GC263" s="25"/>
      <c r="GJ263" s="25"/>
      <c r="GP263" s="25"/>
      <c r="GQ263" s="25"/>
      <c r="GX263" s="25"/>
      <c r="HE263" s="25"/>
      <c r="HL263" s="25"/>
      <c r="HR263" s="25"/>
      <c r="HS263" s="25"/>
      <c r="HZ263" s="25"/>
      <c r="IG263" s="25"/>
      <c r="IN263" s="25"/>
      <c r="IT263" s="25"/>
      <c r="IU263" s="25"/>
      <c r="JB263" s="25"/>
      <c r="JI263" s="25"/>
      <c r="JP263" s="25"/>
      <c r="JV263" s="25"/>
      <c r="JW263" s="25"/>
      <c r="KD263" s="25"/>
      <c r="KK263" s="25"/>
      <c r="KR263" s="25"/>
      <c r="KY263" s="25"/>
      <c r="LF263" s="25"/>
      <c r="LM263" s="25"/>
      <c r="LT263" s="25"/>
      <c r="MA263" s="25"/>
      <c r="MH263" s="25"/>
      <c r="MO263" s="25"/>
      <c r="MV263" s="25"/>
      <c r="NC263" s="25"/>
      <c r="NJ263" s="25"/>
      <c r="NQ263" s="25"/>
      <c r="NX263" s="25"/>
      <c r="OE263" s="25"/>
      <c r="OL263" s="25"/>
      <c r="OS263" s="25"/>
      <c r="OZ263" s="25"/>
      <c r="PG263" s="25"/>
      <c r="PN263" s="25"/>
      <c r="PU263" s="25"/>
      <c r="QB263" s="25"/>
      <c r="QI263" s="25"/>
      <c r="QP263" s="25"/>
      <c r="QW263" s="25"/>
      <c r="RD263" s="25"/>
      <c r="RK263" s="25"/>
      <c r="RR263" s="25"/>
      <c r="RY263" s="25"/>
      <c r="SF263" s="25"/>
      <c r="SM263" s="25"/>
    </row>
    <row r="264" spans="5:507" x14ac:dyDescent="0.15">
      <c r="E264" s="25"/>
      <c r="F264" s="26"/>
      <c r="G264" s="27"/>
      <c r="H264" s="28"/>
      <c r="I264" s="25"/>
      <c r="J264" s="25"/>
      <c r="K264" s="26"/>
      <c r="L264" s="27"/>
      <c r="M264" s="27"/>
      <c r="N264" s="28"/>
      <c r="O264" s="25"/>
      <c r="P264" s="25"/>
      <c r="Q264" s="25"/>
      <c r="R264" s="26"/>
      <c r="S264" s="27"/>
      <c r="T264" s="27"/>
      <c r="U264" s="28"/>
      <c r="V264" s="25"/>
      <c r="W264" s="25"/>
      <c r="X264" s="25"/>
      <c r="Y264" s="26"/>
      <c r="Z264" s="27"/>
      <c r="AA264" s="27"/>
      <c r="AB264" s="28"/>
      <c r="AC264" s="25"/>
      <c r="AD264" s="25"/>
      <c r="AE264" s="25"/>
      <c r="AL264" s="25"/>
      <c r="AS264" s="25"/>
      <c r="AZ264" s="25"/>
      <c r="BF264" s="25"/>
      <c r="BG264" s="25"/>
      <c r="BN264" s="25"/>
      <c r="BU264" s="25"/>
      <c r="CB264" s="25"/>
      <c r="CH264" s="25"/>
      <c r="CI264" s="25"/>
      <c r="CP264" s="25"/>
      <c r="CW264" s="25"/>
      <c r="DD264" s="25"/>
      <c r="DJ264" s="25"/>
      <c r="DK264" s="25"/>
      <c r="DR264" s="25"/>
      <c r="DY264" s="25"/>
      <c r="EF264" s="25"/>
      <c r="EL264" s="25"/>
      <c r="EM264" s="25"/>
      <c r="ET264" s="25"/>
      <c r="FA264" s="25"/>
      <c r="FH264" s="25"/>
      <c r="FN264" s="25"/>
      <c r="FO264" s="25"/>
      <c r="FV264" s="25"/>
      <c r="GC264" s="25"/>
      <c r="GJ264" s="25"/>
      <c r="GP264" s="25"/>
      <c r="GQ264" s="25"/>
      <c r="GX264" s="25"/>
      <c r="HE264" s="25"/>
      <c r="HL264" s="25"/>
      <c r="HR264" s="25"/>
      <c r="HS264" s="25"/>
      <c r="HZ264" s="25"/>
      <c r="IG264" s="25"/>
      <c r="IN264" s="25"/>
      <c r="IT264" s="25"/>
      <c r="IU264" s="25"/>
      <c r="JB264" s="25"/>
      <c r="JI264" s="25"/>
      <c r="JP264" s="25"/>
      <c r="JV264" s="25"/>
      <c r="JW264" s="25"/>
      <c r="KD264" s="25"/>
      <c r="KK264" s="25"/>
      <c r="KR264" s="25"/>
      <c r="KY264" s="25"/>
      <c r="LF264" s="25"/>
      <c r="LM264" s="25"/>
      <c r="LT264" s="25"/>
      <c r="MA264" s="25"/>
      <c r="MH264" s="25"/>
      <c r="MO264" s="25"/>
      <c r="MV264" s="25"/>
      <c r="NC264" s="25"/>
      <c r="NJ264" s="25"/>
      <c r="NQ264" s="25"/>
      <c r="NX264" s="25"/>
      <c r="OE264" s="25"/>
      <c r="OL264" s="25"/>
      <c r="OS264" s="25"/>
      <c r="OZ264" s="25"/>
      <c r="PG264" s="25"/>
      <c r="PN264" s="25"/>
      <c r="PU264" s="25"/>
      <c r="QB264" s="25"/>
      <c r="QI264" s="25"/>
      <c r="QP264" s="25"/>
      <c r="QW264" s="25"/>
      <c r="RD264" s="25"/>
      <c r="RK264" s="25"/>
      <c r="RR264" s="25"/>
      <c r="RY264" s="25"/>
      <c r="SF264" s="25"/>
      <c r="SM264" s="25"/>
    </row>
    <row r="265" spans="5:507" x14ac:dyDescent="0.15">
      <c r="E265" s="25"/>
      <c r="F265" s="26"/>
      <c r="G265" s="27"/>
      <c r="H265" s="28"/>
      <c r="I265" s="25"/>
      <c r="J265" s="25"/>
      <c r="K265" s="26"/>
      <c r="L265" s="27"/>
      <c r="M265" s="27"/>
      <c r="N265" s="28"/>
      <c r="O265" s="25"/>
      <c r="P265" s="25"/>
      <c r="Q265" s="25"/>
      <c r="R265" s="26"/>
      <c r="S265" s="27"/>
      <c r="T265" s="27"/>
      <c r="U265" s="28"/>
      <c r="V265" s="25"/>
      <c r="W265" s="25"/>
      <c r="X265" s="25"/>
      <c r="Y265" s="26"/>
      <c r="Z265" s="27"/>
      <c r="AA265" s="27"/>
      <c r="AB265" s="28"/>
      <c r="AC265" s="25"/>
      <c r="AD265" s="25"/>
      <c r="AE265" s="25"/>
      <c r="AL265" s="25"/>
      <c r="AS265" s="25"/>
      <c r="AZ265" s="25"/>
      <c r="BF265" s="25"/>
      <c r="BG265" s="25"/>
      <c r="BN265" s="25"/>
      <c r="BU265" s="25"/>
      <c r="CB265" s="25"/>
      <c r="CH265" s="25"/>
      <c r="CI265" s="25"/>
      <c r="CP265" s="25"/>
      <c r="CW265" s="25"/>
      <c r="DD265" s="25"/>
      <c r="DJ265" s="25"/>
      <c r="DK265" s="25"/>
      <c r="DR265" s="25"/>
      <c r="DY265" s="25"/>
      <c r="EF265" s="25"/>
      <c r="EL265" s="25"/>
      <c r="EM265" s="25"/>
      <c r="ET265" s="25"/>
      <c r="FA265" s="25"/>
      <c r="FH265" s="25"/>
      <c r="FN265" s="25"/>
      <c r="FO265" s="25"/>
      <c r="FV265" s="25"/>
      <c r="GC265" s="25"/>
      <c r="GJ265" s="25"/>
      <c r="GP265" s="25"/>
      <c r="GQ265" s="25"/>
      <c r="GX265" s="25"/>
      <c r="HE265" s="25"/>
      <c r="HL265" s="25"/>
      <c r="HR265" s="25"/>
      <c r="HS265" s="25"/>
      <c r="HZ265" s="25"/>
      <c r="IG265" s="25"/>
      <c r="IN265" s="25"/>
      <c r="IT265" s="25"/>
      <c r="IU265" s="25"/>
      <c r="JB265" s="25"/>
      <c r="JI265" s="25"/>
      <c r="JP265" s="25"/>
      <c r="JV265" s="25"/>
      <c r="JW265" s="25"/>
      <c r="KD265" s="25"/>
      <c r="KK265" s="25"/>
      <c r="KR265" s="25"/>
      <c r="KY265" s="25"/>
      <c r="LF265" s="25"/>
      <c r="LM265" s="25"/>
      <c r="LT265" s="25"/>
      <c r="MA265" s="25"/>
      <c r="MH265" s="25"/>
      <c r="MO265" s="25"/>
      <c r="MV265" s="25"/>
      <c r="NC265" s="25"/>
      <c r="NJ265" s="25"/>
      <c r="NQ265" s="25"/>
      <c r="NX265" s="25"/>
      <c r="OE265" s="25"/>
      <c r="OL265" s="25"/>
      <c r="OS265" s="25"/>
      <c r="OZ265" s="25"/>
      <c r="PG265" s="25"/>
      <c r="PN265" s="25"/>
      <c r="PU265" s="25"/>
      <c r="QB265" s="25"/>
      <c r="QI265" s="25"/>
      <c r="QP265" s="25"/>
      <c r="QW265" s="25"/>
      <c r="RD265" s="25"/>
      <c r="RK265" s="25"/>
      <c r="RR265" s="25"/>
      <c r="RY265" s="25"/>
      <c r="SF265" s="25"/>
      <c r="SM265" s="25"/>
    </row>
    <row r="266" spans="5:507" x14ac:dyDescent="0.15">
      <c r="E266" s="25"/>
      <c r="F266" s="26"/>
      <c r="G266" s="27"/>
      <c r="H266" s="28"/>
      <c r="I266" s="25"/>
      <c r="J266" s="25"/>
      <c r="K266" s="26"/>
      <c r="L266" s="27"/>
      <c r="M266" s="27"/>
      <c r="N266" s="28"/>
      <c r="O266" s="25"/>
      <c r="P266" s="25"/>
      <c r="Q266" s="25"/>
      <c r="R266" s="26"/>
      <c r="S266" s="27"/>
      <c r="T266" s="27"/>
      <c r="U266" s="28"/>
      <c r="V266" s="25"/>
      <c r="W266" s="25"/>
      <c r="X266" s="25"/>
      <c r="Y266" s="26"/>
      <c r="Z266" s="27"/>
      <c r="AA266" s="27"/>
      <c r="AB266" s="28"/>
      <c r="AC266" s="25"/>
      <c r="AD266" s="25"/>
      <c r="AE266" s="25"/>
      <c r="AL266" s="25"/>
      <c r="AS266" s="25"/>
      <c r="AZ266" s="25"/>
      <c r="BF266" s="25"/>
      <c r="BG266" s="25"/>
      <c r="BN266" s="25"/>
      <c r="BU266" s="25"/>
      <c r="CB266" s="25"/>
      <c r="CH266" s="25"/>
      <c r="CI266" s="25"/>
      <c r="CP266" s="25"/>
      <c r="CW266" s="25"/>
      <c r="DD266" s="25"/>
      <c r="DJ266" s="25"/>
      <c r="DK266" s="25"/>
      <c r="DR266" s="25"/>
      <c r="DY266" s="25"/>
      <c r="EF266" s="25"/>
      <c r="EL266" s="25"/>
      <c r="EM266" s="25"/>
      <c r="ET266" s="25"/>
      <c r="FA266" s="25"/>
      <c r="FH266" s="25"/>
      <c r="FN266" s="25"/>
      <c r="FO266" s="25"/>
      <c r="FV266" s="25"/>
      <c r="GC266" s="25"/>
      <c r="GJ266" s="25"/>
      <c r="GP266" s="25"/>
      <c r="GQ266" s="25"/>
      <c r="GX266" s="25"/>
      <c r="HE266" s="25"/>
      <c r="HL266" s="25"/>
      <c r="HR266" s="25"/>
      <c r="HS266" s="25"/>
      <c r="HZ266" s="25"/>
      <c r="IG266" s="25"/>
      <c r="IN266" s="25"/>
      <c r="IT266" s="25"/>
      <c r="IU266" s="25"/>
      <c r="JB266" s="25"/>
      <c r="JI266" s="25"/>
      <c r="JP266" s="25"/>
      <c r="JV266" s="25"/>
      <c r="JW266" s="25"/>
      <c r="KD266" s="25"/>
      <c r="KK266" s="25"/>
      <c r="KR266" s="25"/>
      <c r="KY266" s="25"/>
      <c r="LF266" s="25"/>
      <c r="LM266" s="25"/>
      <c r="LT266" s="25"/>
      <c r="MA266" s="25"/>
      <c r="MH266" s="25"/>
      <c r="MO266" s="25"/>
      <c r="MV266" s="25"/>
      <c r="NC266" s="25"/>
      <c r="NJ266" s="25"/>
      <c r="NQ266" s="25"/>
      <c r="NX266" s="25"/>
      <c r="OE266" s="25"/>
      <c r="OL266" s="25"/>
      <c r="OS266" s="25"/>
      <c r="OZ266" s="25"/>
      <c r="PG266" s="25"/>
      <c r="PN266" s="25"/>
      <c r="PU266" s="25"/>
      <c r="QB266" s="25"/>
      <c r="QI266" s="25"/>
      <c r="QP266" s="25"/>
      <c r="QW266" s="25"/>
      <c r="RD266" s="25"/>
      <c r="RK266" s="25"/>
      <c r="RR266" s="25"/>
      <c r="RY266" s="25"/>
      <c r="SF266" s="25"/>
      <c r="SM266" s="25"/>
    </row>
    <row r="267" spans="5:507" x14ac:dyDescent="0.15">
      <c r="E267" s="25"/>
      <c r="F267" s="26"/>
      <c r="G267" s="27"/>
      <c r="H267" s="28"/>
      <c r="I267" s="25"/>
      <c r="J267" s="25"/>
      <c r="K267" s="26"/>
      <c r="L267" s="27"/>
      <c r="M267" s="27"/>
      <c r="N267" s="28"/>
      <c r="O267" s="25"/>
      <c r="P267" s="25"/>
      <c r="Q267" s="25"/>
      <c r="R267" s="26"/>
      <c r="S267" s="27"/>
      <c r="T267" s="27"/>
      <c r="U267" s="28"/>
      <c r="V267" s="25"/>
      <c r="W267" s="25"/>
      <c r="X267" s="25"/>
      <c r="Y267" s="26"/>
      <c r="Z267" s="27"/>
      <c r="AA267" s="27"/>
      <c r="AB267" s="28"/>
      <c r="AC267" s="25"/>
      <c r="AD267" s="25"/>
      <c r="AE267" s="25"/>
      <c r="AL267" s="25"/>
      <c r="AS267" s="25"/>
      <c r="AZ267" s="25"/>
      <c r="BF267" s="25"/>
      <c r="BG267" s="25"/>
      <c r="BN267" s="25"/>
      <c r="BU267" s="25"/>
      <c r="CB267" s="25"/>
      <c r="CH267" s="25"/>
      <c r="CI267" s="25"/>
      <c r="CP267" s="25"/>
      <c r="CW267" s="25"/>
      <c r="DD267" s="25"/>
      <c r="DJ267" s="25"/>
      <c r="DK267" s="25"/>
      <c r="DR267" s="25"/>
      <c r="DY267" s="25"/>
      <c r="EF267" s="25"/>
      <c r="EL267" s="25"/>
      <c r="EM267" s="25"/>
      <c r="ET267" s="25"/>
      <c r="FA267" s="25"/>
      <c r="FH267" s="25"/>
      <c r="FN267" s="25"/>
      <c r="FO267" s="25"/>
      <c r="FV267" s="25"/>
      <c r="GC267" s="25"/>
      <c r="GJ267" s="25"/>
      <c r="GP267" s="25"/>
      <c r="GQ267" s="25"/>
      <c r="GX267" s="25"/>
      <c r="HE267" s="25"/>
      <c r="HL267" s="25"/>
      <c r="HR267" s="25"/>
      <c r="HS267" s="25"/>
      <c r="HZ267" s="25"/>
      <c r="IG267" s="25"/>
      <c r="IN267" s="25"/>
      <c r="IT267" s="25"/>
      <c r="IU267" s="25"/>
      <c r="JB267" s="25"/>
      <c r="JI267" s="25"/>
      <c r="JP267" s="25"/>
      <c r="JV267" s="25"/>
      <c r="JW267" s="25"/>
      <c r="KD267" s="25"/>
      <c r="KK267" s="25"/>
      <c r="KR267" s="25"/>
      <c r="KY267" s="25"/>
      <c r="LF267" s="25"/>
      <c r="LM267" s="25"/>
      <c r="LT267" s="25"/>
      <c r="MA267" s="25"/>
      <c r="MH267" s="25"/>
      <c r="MO267" s="25"/>
      <c r="MV267" s="25"/>
      <c r="NC267" s="25"/>
      <c r="NJ267" s="25"/>
      <c r="NQ267" s="25"/>
      <c r="NX267" s="25"/>
      <c r="OE267" s="25"/>
      <c r="OL267" s="25"/>
      <c r="OS267" s="25"/>
      <c r="OZ267" s="25"/>
      <c r="PG267" s="25"/>
      <c r="PN267" s="25"/>
      <c r="PU267" s="25"/>
      <c r="QB267" s="25"/>
      <c r="QI267" s="25"/>
      <c r="QP267" s="25"/>
      <c r="QW267" s="25"/>
      <c r="RD267" s="25"/>
      <c r="RK267" s="25"/>
      <c r="RR267" s="25"/>
      <c r="RY267" s="25"/>
      <c r="SF267" s="25"/>
      <c r="SM267" s="25"/>
    </row>
    <row r="268" spans="5:507" x14ac:dyDescent="0.15">
      <c r="E268" s="25"/>
      <c r="F268" s="26"/>
      <c r="G268" s="27"/>
      <c r="H268" s="28"/>
      <c r="I268" s="25"/>
      <c r="J268" s="25"/>
      <c r="K268" s="26"/>
      <c r="L268" s="27"/>
      <c r="M268" s="27"/>
      <c r="N268" s="28"/>
      <c r="O268" s="25"/>
      <c r="P268" s="25"/>
      <c r="Q268" s="25"/>
      <c r="R268" s="26"/>
      <c r="S268" s="27"/>
      <c r="T268" s="27"/>
      <c r="U268" s="28"/>
      <c r="V268" s="25"/>
      <c r="W268" s="25"/>
      <c r="X268" s="25"/>
      <c r="Y268" s="26"/>
      <c r="Z268" s="27"/>
      <c r="AA268" s="27"/>
      <c r="AB268" s="28"/>
      <c r="AC268" s="25"/>
      <c r="AD268" s="25"/>
      <c r="AE268" s="25"/>
      <c r="AL268" s="25"/>
      <c r="AS268" s="25"/>
      <c r="AZ268" s="25"/>
      <c r="BF268" s="25"/>
      <c r="BG268" s="25"/>
      <c r="BN268" s="25"/>
      <c r="BU268" s="25"/>
      <c r="CB268" s="25"/>
      <c r="CH268" s="25"/>
      <c r="CI268" s="25"/>
      <c r="CP268" s="25"/>
      <c r="CW268" s="25"/>
      <c r="DD268" s="25"/>
      <c r="DJ268" s="25"/>
      <c r="DK268" s="25"/>
      <c r="DR268" s="25"/>
      <c r="DY268" s="25"/>
      <c r="EF268" s="25"/>
      <c r="EL268" s="25"/>
      <c r="EM268" s="25"/>
      <c r="ET268" s="25"/>
      <c r="FA268" s="25"/>
      <c r="FH268" s="25"/>
      <c r="FN268" s="25"/>
      <c r="FO268" s="25"/>
      <c r="FV268" s="25"/>
      <c r="GC268" s="25"/>
      <c r="GJ268" s="25"/>
      <c r="GP268" s="25"/>
      <c r="GQ268" s="25"/>
      <c r="GX268" s="25"/>
      <c r="HE268" s="25"/>
      <c r="HL268" s="25"/>
      <c r="HR268" s="25"/>
      <c r="HS268" s="25"/>
      <c r="HZ268" s="25"/>
      <c r="IG268" s="25"/>
      <c r="IN268" s="25"/>
      <c r="IT268" s="25"/>
      <c r="IU268" s="25"/>
      <c r="JB268" s="25"/>
      <c r="JI268" s="25"/>
      <c r="JP268" s="25"/>
      <c r="JV268" s="25"/>
      <c r="JW268" s="25"/>
      <c r="KD268" s="25"/>
      <c r="KK268" s="25"/>
      <c r="KR268" s="25"/>
      <c r="KY268" s="25"/>
      <c r="LF268" s="25"/>
      <c r="LM268" s="25"/>
      <c r="LT268" s="25"/>
      <c r="MA268" s="25"/>
      <c r="MH268" s="25"/>
      <c r="MO268" s="25"/>
      <c r="MV268" s="25"/>
      <c r="NC268" s="25"/>
      <c r="NJ268" s="25"/>
      <c r="NQ268" s="25"/>
      <c r="NX268" s="25"/>
      <c r="OE268" s="25"/>
      <c r="OL268" s="25"/>
      <c r="OS268" s="25"/>
      <c r="OZ268" s="25"/>
      <c r="PG268" s="25"/>
      <c r="PN268" s="25"/>
      <c r="PU268" s="25"/>
      <c r="QB268" s="25"/>
      <c r="QI268" s="25"/>
      <c r="QP268" s="25"/>
      <c r="QW268" s="25"/>
      <c r="RD268" s="25"/>
      <c r="RK268" s="25"/>
      <c r="RR268" s="25"/>
      <c r="RY268" s="25"/>
      <c r="SF268" s="25"/>
      <c r="SM268" s="25"/>
    </row>
    <row r="269" spans="5:507" x14ac:dyDescent="0.15">
      <c r="E269" s="25"/>
      <c r="F269" s="26"/>
      <c r="G269" s="27"/>
      <c r="H269" s="28"/>
      <c r="I269" s="25"/>
      <c r="J269" s="25"/>
      <c r="K269" s="26"/>
      <c r="L269" s="27"/>
      <c r="M269" s="27"/>
      <c r="N269" s="28"/>
      <c r="O269" s="25"/>
      <c r="P269" s="25"/>
      <c r="Q269" s="25"/>
      <c r="R269" s="26"/>
      <c r="S269" s="27"/>
      <c r="T269" s="27"/>
      <c r="U269" s="28"/>
      <c r="V269" s="25"/>
      <c r="W269" s="25"/>
      <c r="X269" s="25"/>
      <c r="Y269" s="26"/>
      <c r="Z269" s="27"/>
      <c r="AA269" s="27"/>
      <c r="AB269" s="28"/>
      <c r="AC269" s="25"/>
      <c r="AD269" s="25"/>
      <c r="AE269" s="25"/>
      <c r="AL269" s="25"/>
      <c r="AS269" s="25"/>
      <c r="AZ269" s="25"/>
      <c r="BF269" s="25"/>
      <c r="BG269" s="25"/>
      <c r="BN269" s="25"/>
      <c r="BU269" s="25"/>
      <c r="CB269" s="25"/>
      <c r="CH269" s="25"/>
      <c r="CI269" s="25"/>
      <c r="CP269" s="25"/>
      <c r="CW269" s="25"/>
      <c r="DD269" s="25"/>
      <c r="DJ269" s="25"/>
      <c r="DK269" s="25"/>
      <c r="DR269" s="25"/>
      <c r="DY269" s="25"/>
      <c r="EF269" s="25"/>
      <c r="EL269" s="25"/>
      <c r="EM269" s="25"/>
      <c r="ET269" s="25"/>
      <c r="FA269" s="25"/>
      <c r="FH269" s="25"/>
      <c r="FN269" s="25"/>
      <c r="FO269" s="25"/>
      <c r="FV269" s="25"/>
      <c r="GC269" s="25"/>
      <c r="GJ269" s="25"/>
      <c r="GP269" s="25"/>
      <c r="GQ269" s="25"/>
      <c r="GX269" s="25"/>
      <c r="HE269" s="25"/>
      <c r="HL269" s="25"/>
      <c r="HR269" s="25"/>
      <c r="HS269" s="25"/>
      <c r="HZ269" s="25"/>
      <c r="IG269" s="25"/>
      <c r="IN269" s="25"/>
      <c r="IT269" s="25"/>
      <c r="IU269" s="25"/>
      <c r="JB269" s="25"/>
      <c r="JI269" s="25"/>
      <c r="JP269" s="25"/>
      <c r="JV269" s="25"/>
      <c r="JW269" s="25"/>
      <c r="KD269" s="25"/>
      <c r="KK269" s="25"/>
      <c r="KR269" s="25"/>
      <c r="KY269" s="25"/>
      <c r="LF269" s="25"/>
      <c r="LM269" s="25"/>
      <c r="LT269" s="25"/>
      <c r="MA269" s="25"/>
      <c r="MH269" s="25"/>
      <c r="MO269" s="25"/>
      <c r="MV269" s="25"/>
      <c r="NC269" s="25"/>
      <c r="NJ269" s="25"/>
      <c r="NQ269" s="25"/>
      <c r="NX269" s="25"/>
      <c r="OE269" s="25"/>
      <c r="OL269" s="25"/>
      <c r="OS269" s="25"/>
      <c r="OZ269" s="25"/>
      <c r="PG269" s="25"/>
      <c r="PN269" s="25"/>
      <c r="PU269" s="25"/>
      <c r="QB269" s="25"/>
      <c r="QI269" s="25"/>
      <c r="QP269" s="25"/>
      <c r="QW269" s="25"/>
      <c r="RD269" s="25"/>
      <c r="RK269" s="25"/>
      <c r="RR269" s="25"/>
      <c r="RY269" s="25"/>
      <c r="SF269" s="25"/>
      <c r="SM269" s="25"/>
    </row>
    <row r="270" spans="5:507" x14ac:dyDescent="0.15">
      <c r="E270" s="25"/>
      <c r="F270" s="26"/>
      <c r="G270" s="27"/>
      <c r="H270" s="28"/>
      <c r="I270" s="25"/>
      <c r="J270" s="25"/>
      <c r="K270" s="26"/>
      <c r="L270" s="27"/>
      <c r="M270" s="27"/>
      <c r="N270" s="28"/>
      <c r="O270" s="25"/>
      <c r="P270" s="25"/>
      <c r="Q270" s="25"/>
      <c r="R270" s="26"/>
      <c r="S270" s="27"/>
      <c r="T270" s="27"/>
      <c r="U270" s="28"/>
      <c r="V270" s="25"/>
      <c r="W270" s="25"/>
      <c r="X270" s="25"/>
      <c r="Y270" s="26"/>
      <c r="Z270" s="27"/>
      <c r="AA270" s="27"/>
      <c r="AB270" s="28"/>
      <c r="AC270" s="25"/>
      <c r="AD270" s="25"/>
      <c r="AE270" s="25"/>
      <c r="AL270" s="25"/>
      <c r="AS270" s="25"/>
      <c r="AZ270" s="25"/>
      <c r="BF270" s="25"/>
      <c r="BG270" s="25"/>
      <c r="BN270" s="25"/>
      <c r="BU270" s="25"/>
      <c r="CB270" s="25"/>
      <c r="CH270" s="25"/>
      <c r="CI270" s="25"/>
      <c r="CP270" s="25"/>
      <c r="CW270" s="25"/>
      <c r="DD270" s="25"/>
      <c r="DJ270" s="25"/>
      <c r="DK270" s="25"/>
      <c r="DR270" s="25"/>
      <c r="DY270" s="25"/>
      <c r="EF270" s="25"/>
      <c r="EL270" s="25"/>
      <c r="EM270" s="25"/>
      <c r="ET270" s="25"/>
      <c r="FA270" s="25"/>
      <c r="FH270" s="25"/>
      <c r="FN270" s="25"/>
      <c r="FO270" s="25"/>
      <c r="FV270" s="25"/>
      <c r="GC270" s="25"/>
      <c r="GJ270" s="25"/>
      <c r="GP270" s="25"/>
      <c r="GQ270" s="25"/>
      <c r="GX270" s="25"/>
      <c r="HE270" s="25"/>
      <c r="HL270" s="25"/>
      <c r="HR270" s="25"/>
      <c r="HS270" s="25"/>
      <c r="HZ270" s="25"/>
      <c r="IG270" s="25"/>
      <c r="IN270" s="25"/>
      <c r="IT270" s="25"/>
      <c r="IU270" s="25"/>
      <c r="JB270" s="25"/>
      <c r="JI270" s="25"/>
      <c r="JP270" s="25"/>
      <c r="JV270" s="25"/>
      <c r="JW270" s="25"/>
      <c r="KD270" s="25"/>
      <c r="KK270" s="25"/>
      <c r="KR270" s="25"/>
      <c r="KY270" s="25"/>
      <c r="LF270" s="25"/>
      <c r="LM270" s="25"/>
      <c r="LT270" s="25"/>
      <c r="MA270" s="25"/>
      <c r="MH270" s="25"/>
      <c r="MO270" s="25"/>
      <c r="MV270" s="25"/>
      <c r="NC270" s="25"/>
      <c r="NJ270" s="25"/>
      <c r="NQ270" s="25"/>
      <c r="NX270" s="25"/>
      <c r="OE270" s="25"/>
      <c r="OL270" s="25"/>
      <c r="OS270" s="25"/>
      <c r="OZ270" s="25"/>
      <c r="PG270" s="25"/>
      <c r="PN270" s="25"/>
      <c r="PU270" s="25"/>
      <c r="QB270" s="25"/>
      <c r="QI270" s="25"/>
      <c r="QP270" s="25"/>
      <c r="QW270" s="25"/>
      <c r="RD270" s="25"/>
      <c r="RK270" s="25"/>
      <c r="RR270" s="25"/>
      <c r="RY270" s="25"/>
      <c r="SF270" s="25"/>
      <c r="SM270" s="25"/>
    </row>
    <row r="271" spans="5:507" x14ac:dyDescent="0.15">
      <c r="E271" s="25"/>
      <c r="F271" s="26"/>
      <c r="G271" s="27"/>
      <c r="H271" s="28"/>
      <c r="I271" s="25"/>
      <c r="J271" s="25"/>
      <c r="K271" s="26"/>
      <c r="L271" s="27"/>
      <c r="M271" s="27"/>
      <c r="N271" s="28"/>
      <c r="O271" s="25"/>
      <c r="P271" s="25"/>
      <c r="Q271" s="25"/>
      <c r="R271" s="26"/>
      <c r="S271" s="27"/>
      <c r="T271" s="27"/>
      <c r="U271" s="28"/>
      <c r="V271" s="25"/>
      <c r="W271" s="25"/>
      <c r="X271" s="25"/>
      <c r="Y271" s="26"/>
      <c r="Z271" s="27"/>
      <c r="AA271" s="27"/>
      <c r="AB271" s="28"/>
      <c r="AC271" s="25"/>
      <c r="AD271" s="25"/>
      <c r="AE271" s="25"/>
      <c r="AL271" s="25"/>
      <c r="AS271" s="25"/>
      <c r="AZ271" s="25"/>
      <c r="BF271" s="25"/>
      <c r="BG271" s="25"/>
      <c r="BN271" s="25"/>
      <c r="BU271" s="25"/>
      <c r="CB271" s="25"/>
      <c r="CH271" s="25"/>
      <c r="CI271" s="25"/>
      <c r="CP271" s="25"/>
      <c r="CW271" s="25"/>
      <c r="DD271" s="25"/>
      <c r="DJ271" s="25"/>
      <c r="DK271" s="25"/>
      <c r="DR271" s="25"/>
      <c r="DY271" s="25"/>
      <c r="EF271" s="25"/>
      <c r="EL271" s="25"/>
      <c r="EM271" s="25"/>
      <c r="ET271" s="25"/>
      <c r="FA271" s="25"/>
      <c r="FH271" s="25"/>
      <c r="FN271" s="25"/>
      <c r="FO271" s="25"/>
      <c r="FV271" s="25"/>
      <c r="GC271" s="25"/>
      <c r="GJ271" s="25"/>
      <c r="GP271" s="25"/>
      <c r="GQ271" s="25"/>
      <c r="GX271" s="25"/>
      <c r="HE271" s="25"/>
      <c r="HL271" s="25"/>
      <c r="HR271" s="25"/>
      <c r="HS271" s="25"/>
      <c r="HZ271" s="25"/>
      <c r="IG271" s="25"/>
      <c r="IN271" s="25"/>
      <c r="IT271" s="25"/>
      <c r="IU271" s="25"/>
      <c r="JB271" s="25"/>
      <c r="JI271" s="25"/>
      <c r="JP271" s="25"/>
      <c r="JV271" s="25"/>
      <c r="JW271" s="25"/>
      <c r="KD271" s="25"/>
      <c r="KK271" s="25"/>
      <c r="KR271" s="25"/>
      <c r="KY271" s="25"/>
      <c r="LF271" s="25"/>
      <c r="LM271" s="25"/>
      <c r="LT271" s="25"/>
      <c r="MA271" s="25"/>
      <c r="MH271" s="25"/>
      <c r="MO271" s="25"/>
      <c r="MV271" s="25"/>
      <c r="NC271" s="25"/>
      <c r="NJ271" s="25"/>
      <c r="NQ271" s="25"/>
      <c r="NX271" s="25"/>
      <c r="OE271" s="25"/>
      <c r="OL271" s="25"/>
      <c r="OS271" s="25"/>
      <c r="OZ271" s="25"/>
      <c r="PG271" s="25"/>
      <c r="PN271" s="25"/>
      <c r="PU271" s="25"/>
      <c r="QB271" s="25"/>
      <c r="QI271" s="25"/>
      <c r="QP271" s="25"/>
      <c r="QW271" s="25"/>
      <c r="RD271" s="25"/>
      <c r="RK271" s="25"/>
      <c r="RR271" s="25"/>
      <c r="RY271" s="25"/>
      <c r="SF271" s="25"/>
      <c r="SM271" s="25"/>
    </row>
    <row r="272" spans="5:507" x14ac:dyDescent="0.15">
      <c r="E272" s="25"/>
      <c r="F272" s="26"/>
      <c r="G272" s="27"/>
      <c r="H272" s="28"/>
      <c r="I272" s="25"/>
      <c r="J272" s="25"/>
      <c r="K272" s="26"/>
      <c r="L272" s="27"/>
      <c r="M272" s="27"/>
      <c r="N272" s="28"/>
      <c r="O272" s="25"/>
      <c r="P272" s="25"/>
      <c r="Q272" s="25"/>
      <c r="R272" s="26"/>
      <c r="S272" s="27"/>
      <c r="T272" s="27"/>
      <c r="U272" s="28"/>
      <c r="V272" s="25"/>
      <c r="W272" s="25"/>
      <c r="X272" s="25"/>
      <c r="Y272" s="26"/>
      <c r="Z272" s="27"/>
      <c r="AA272" s="27"/>
      <c r="AB272" s="28"/>
      <c r="AC272" s="25"/>
      <c r="AD272" s="25"/>
      <c r="AE272" s="25"/>
      <c r="AL272" s="25"/>
      <c r="AS272" s="25"/>
      <c r="AZ272" s="25"/>
      <c r="BF272" s="25"/>
      <c r="BG272" s="25"/>
      <c r="BN272" s="25"/>
      <c r="BU272" s="25"/>
      <c r="CB272" s="25"/>
      <c r="CH272" s="25"/>
      <c r="CI272" s="25"/>
      <c r="CP272" s="25"/>
      <c r="CW272" s="25"/>
      <c r="DD272" s="25"/>
      <c r="DJ272" s="25"/>
      <c r="DK272" s="25"/>
      <c r="DR272" s="25"/>
      <c r="DY272" s="25"/>
      <c r="EF272" s="25"/>
      <c r="EL272" s="25"/>
      <c r="EM272" s="25"/>
      <c r="ET272" s="25"/>
      <c r="FA272" s="25"/>
      <c r="FH272" s="25"/>
      <c r="FN272" s="25"/>
      <c r="FO272" s="25"/>
      <c r="FV272" s="25"/>
      <c r="GC272" s="25"/>
      <c r="GJ272" s="25"/>
      <c r="GP272" s="25"/>
      <c r="GQ272" s="25"/>
      <c r="GX272" s="25"/>
      <c r="HE272" s="25"/>
      <c r="HL272" s="25"/>
      <c r="HR272" s="25"/>
      <c r="HS272" s="25"/>
      <c r="HZ272" s="25"/>
      <c r="IG272" s="25"/>
      <c r="IN272" s="25"/>
      <c r="IT272" s="25"/>
      <c r="IU272" s="25"/>
      <c r="JB272" s="25"/>
      <c r="JI272" s="25"/>
      <c r="JP272" s="25"/>
      <c r="JV272" s="25"/>
      <c r="JW272" s="25"/>
      <c r="KD272" s="25"/>
      <c r="KK272" s="25"/>
      <c r="KR272" s="25"/>
      <c r="KY272" s="25"/>
      <c r="LF272" s="25"/>
      <c r="LM272" s="25"/>
      <c r="LT272" s="25"/>
      <c r="MA272" s="25"/>
      <c r="MH272" s="25"/>
      <c r="MO272" s="25"/>
      <c r="MV272" s="25"/>
      <c r="NC272" s="25"/>
      <c r="NJ272" s="25"/>
      <c r="NQ272" s="25"/>
      <c r="NX272" s="25"/>
      <c r="OE272" s="25"/>
      <c r="OL272" s="25"/>
      <c r="OS272" s="25"/>
      <c r="OZ272" s="25"/>
      <c r="PG272" s="25"/>
      <c r="PN272" s="25"/>
      <c r="PU272" s="25"/>
      <c r="QB272" s="25"/>
      <c r="QI272" s="25"/>
      <c r="QP272" s="25"/>
      <c r="QW272" s="25"/>
      <c r="RD272" s="25"/>
      <c r="RK272" s="25"/>
      <c r="RR272" s="25"/>
      <c r="RY272" s="25"/>
      <c r="SF272" s="25"/>
      <c r="SM272" s="25"/>
    </row>
    <row r="273" spans="5:507" x14ac:dyDescent="0.15">
      <c r="E273" s="25"/>
      <c r="F273" s="26"/>
      <c r="G273" s="27"/>
      <c r="H273" s="28"/>
      <c r="I273" s="25"/>
      <c r="J273" s="25"/>
      <c r="K273" s="26"/>
      <c r="L273" s="27"/>
      <c r="M273" s="27"/>
      <c r="N273" s="28"/>
      <c r="O273" s="25"/>
      <c r="P273" s="25"/>
      <c r="Q273" s="25"/>
      <c r="R273" s="26"/>
      <c r="S273" s="27"/>
      <c r="T273" s="27"/>
      <c r="U273" s="28"/>
      <c r="V273" s="25"/>
      <c r="W273" s="25"/>
      <c r="X273" s="25"/>
      <c r="Y273" s="26"/>
      <c r="Z273" s="27"/>
      <c r="AA273" s="27"/>
      <c r="AB273" s="28"/>
      <c r="AC273" s="25"/>
      <c r="AD273" s="25"/>
      <c r="AE273" s="25"/>
      <c r="AL273" s="25"/>
      <c r="AS273" s="25"/>
      <c r="AZ273" s="25"/>
      <c r="BF273" s="25"/>
      <c r="BG273" s="25"/>
      <c r="BN273" s="25"/>
      <c r="BU273" s="25"/>
      <c r="CB273" s="25"/>
      <c r="CH273" s="25"/>
      <c r="CI273" s="25"/>
      <c r="CP273" s="25"/>
      <c r="CW273" s="25"/>
      <c r="DD273" s="25"/>
      <c r="DJ273" s="25"/>
      <c r="DK273" s="25"/>
      <c r="DR273" s="25"/>
      <c r="DY273" s="25"/>
      <c r="EF273" s="25"/>
      <c r="EL273" s="25"/>
      <c r="EM273" s="25"/>
      <c r="ET273" s="25"/>
      <c r="FA273" s="25"/>
      <c r="FH273" s="25"/>
      <c r="FN273" s="25"/>
      <c r="FO273" s="25"/>
      <c r="FV273" s="25"/>
      <c r="GC273" s="25"/>
      <c r="GJ273" s="25"/>
      <c r="GP273" s="25"/>
      <c r="GQ273" s="25"/>
      <c r="GX273" s="25"/>
      <c r="HE273" s="25"/>
      <c r="HL273" s="25"/>
      <c r="HR273" s="25"/>
      <c r="HS273" s="25"/>
      <c r="HZ273" s="25"/>
      <c r="IG273" s="25"/>
      <c r="IN273" s="25"/>
      <c r="IT273" s="25"/>
      <c r="IU273" s="25"/>
      <c r="JB273" s="25"/>
      <c r="JI273" s="25"/>
      <c r="JP273" s="25"/>
      <c r="JV273" s="25"/>
      <c r="JW273" s="25"/>
      <c r="KD273" s="25"/>
      <c r="KK273" s="25"/>
      <c r="KR273" s="25"/>
      <c r="KY273" s="25"/>
      <c r="LF273" s="25"/>
      <c r="LM273" s="25"/>
      <c r="LT273" s="25"/>
      <c r="MA273" s="25"/>
      <c r="MH273" s="25"/>
      <c r="MO273" s="25"/>
      <c r="MV273" s="25"/>
      <c r="NC273" s="25"/>
      <c r="NJ273" s="25"/>
      <c r="NQ273" s="25"/>
      <c r="NX273" s="25"/>
      <c r="OE273" s="25"/>
      <c r="OL273" s="25"/>
      <c r="OS273" s="25"/>
      <c r="OZ273" s="25"/>
      <c r="PG273" s="25"/>
      <c r="PN273" s="25"/>
      <c r="PU273" s="25"/>
      <c r="QB273" s="25"/>
      <c r="QI273" s="25"/>
      <c r="QP273" s="25"/>
      <c r="QW273" s="25"/>
      <c r="RD273" s="25"/>
      <c r="RK273" s="25"/>
      <c r="RR273" s="25"/>
      <c r="RY273" s="25"/>
      <c r="SF273" s="25"/>
      <c r="SM273" s="25"/>
    </row>
    <row r="274" spans="5:507" x14ac:dyDescent="0.15">
      <c r="E274" s="25"/>
      <c r="F274" s="26"/>
      <c r="G274" s="27"/>
      <c r="H274" s="28"/>
      <c r="I274" s="25"/>
      <c r="J274" s="25"/>
      <c r="K274" s="26"/>
      <c r="L274" s="27"/>
      <c r="M274" s="27"/>
      <c r="N274" s="28"/>
      <c r="O274" s="25"/>
      <c r="P274" s="25"/>
      <c r="Q274" s="25"/>
      <c r="R274" s="26"/>
      <c r="S274" s="27"/>
      <c r="T274" s="27"/>
      <c r="U274" s="28"/>
      <c r="V274" s="25"/>
      <c r="W274" s="25"/>
      <c r="X274" s="25"/>
      <c r="Y274" s="26"/>
      <c r="Z274" s="27"/>
      <c r="AA274" s="27"/>
      <c r="AB274" s="28"/>
      <c r="AC274" s="25"/>
      <c r="AD274" s="25"/>
      <c r="AE274" s="25"/>
      <c r="AL274" s="25"/>
      <c r="AS274" s="25"/>
      <c r="AZ274" s="25"/>
      <c r="BF274" s="25"/>
      <c r="BG274" s="25"/>
      <c r="BN274" s="25"/>
      <c r="BU274" s="25"/>
      <c r="CB274" s="25"/>
      <c r="CH274" s="25"/>
      <c r="CI274" s="25"/>
      <c r="CP274" s="25"/>
      <c r="CW274" s="25"/>
      <c r="DD274" s="25"/>
      <c r="DJ274" s="25"/>
      <c r="DK274" s="25"/>
      <c r="DR274" s="25"/>
      <c r="DY274" s="25"/>
      <c r="EF274" s="25"/>
      <c r="EL274" s="25"/>
      <c r="EM274" s="25"/>
      <c r="ET274" s="25"/>
      <c r="FA274" s="25"/>
      <c r="FH274" s="25"/>
      <c r="FN274" s="25"/>
      <c r="FO274" s="25"/>
      <c r="FV274" s="25"/>
      <c r="GC274" s="25"/>
      <c r="GJ274" s="25"/>
      <c r="GP274" s="25"/>
      <c r="GQ274" s="25"/>
      <c r="GX274" s="25"/>
      <c r="HE274" s="25"/>
      <c r="HL274" s="25"/>
      <c r="HR274" s="25"/>
      <c r="HS274" s="25"/>
      <c r="HZ274" s="25"/>
      <c r="IG274" s="25"/>
      <c r="IN274" s="25"/>
      <c r="IT274" s="25"/>
      <c r="IU274" s="25"/>
      <c r="JB274" s="25"/>
      <c r="JI274" s="25"/>
      <c r="JP274" s="25"/>
      <c r="JV274" s="25"/>
      <c r="JW274" s="25"/>
      <c r="KD274" s="25"/>
      <c r="KK274" s="25"/>
      <c r="KR274" s="25"/>
      <c r="KY274" s="25"/>
      <c r="LF274" s="25"/>
      <c r="LM274" s="25"/>
      <c r="LT274" s="25"/>
      <c r="MA274" s="25"/>
      <c r="MH274" s="25"/>
      <c r="MO274" s="25"/>
      <c r="MV274" s="25"/>
      <c r="NC274" s="25"/>
      <c r="NJ274" s="25"/>
      <c r="NQ274" s="25"/>
      <c r="NX274" s="25"/>
      <c r="OE274" s="25"/>
      <c r="OL274" s="25"/>
      <c r="OS274" s="25"/>
      <c r="OZ274" s="25"/>
      <c r="PG274" s="25"/>
      <c r="PN274" s="25"/>
      <c r="PU274" s="25"/>
      <c r="QB274" s="25"/>
      <c r="QI274" s="25"/>
      <c r="QP274" s="25"/>
      <c r="QW274" s="25"/>
      <c r="RD274" s="25"/>
      <c r="RK274" s="25"/>
      <c r="RR274" s="25"/>
      <c r="RY274" s="25"/>
      <c r="SF274" s="25"/>
      <c r="SM274" s="25"/>
    </row>
    <row r="275" spans="5:507" x14ac:dyDescent="0.15">
      <c r="E275" s="25"/>
      <c r="F275" s="26"/>
      <c r="G275" s="27"/>
      <c r="H275" s="28"/>
      <c r="I275" s="25"/>
      <c r="J275" s="25"/>
      <c r="K275" s="26"/>
      <c r="L275" s="27"/>
      <c r="M275" s="27"/>
      <c r="N275" s="28"/>
      <c r="O275" s="25"/>
      <c r="P275" s="25"/>
      <c r="Q275" s="25"/>
      <c r="R275" s="26"/>
      <c r="S275" s="27"/>
      <c r="T275" s="27"/>
      <c r="U275" s="28"/>
      <c r="V275" s="25"/>
      <c r="W275" s="25"/>
      <c r="X275" s="25"/>
      <c r="Y275" s="26"/>
      <c r="Z275" s="27"/>
      <c r="AA275" s="27"/>
      <c r="AB275" s="28"/>
      <c r="AC275" s="25"/>
      <c r="AD275" s="25"/>
      <c r="AE275" s="25"/>
      <c r="AL275" s="25"/>
      <c r="AS275" s="25"/>
      <c r="AZ275" s="25"/>
      <c r="BF275" s="25"/>
      <c r="BG275" s="25"/>
      <c r="BN275" s="25"/>
      <c r="BU275" s="25"/>
      <c r="CB275" s="25"/>
      <c r="CH275" s="25"/>
      <c r="CI275" s="25"/>
      <c r="CP275" s="25"/>
      <c r="CW275" s="25"/>
      <c r="DD275" s="25"/>
      <c r="DJ275" s="25"/>
      <c r="DK275" s="25"/>
      <c r="DR275" s="25"/>
      <c r="DY275" s="25"/>
      <c r="EF275" s="25"/>
      <c r="EL275" s="25"/>
      <c r="EM275" s="25"/>
      <c r="ET275" s="25"/>
      <c r="FA275" s="25"/>
      <c r="FH275" s="25"/>
      <c r="FN275" s="25"/>
      <c r="FO275" s="25"/>
      <c r="FV275" s="25"/>
      <c r="GC275" s="25"/>
      <c r="GJ275" s="25"/>
      <c r="GP275" s="25"/>
      <c r="GQ275" s="25"/>
      <c r="GX275" s="25"/>
      <c r="HE275" s="25"/>
      <c r="HL275" s="25"/>
      <c r="HR275" s="25"/>
      <c r="HS275" s="25"/>
      <c r="HZ275" s="25"/>
      <c r="IG275" s="25"/>
      <c r="IN275" s="25"/>
      <c r="IT275" s="25"/>
      <c r="IU275" s="25"/>
      <c r="JB275" s="25"/>
      <c r="JI275" s="25"/>
      <c r="JP275" s="25"/>
      <c r="JV275" s="25"/>
      <c r="JW275" s="25"/>
      <c r="KD275" s="25"/>
      <c r="KK275" s="25"/>
      <c r="KR275" s="25"/>
      <c r="KY275" s="25"/>
      <c r="LF275" s="25"/>
      <c r="LM275" s="25"/>
      <c r="LT275" s="25"/>
      <c r="MA275" s="25"/>
      <c r="MH275" s="25"/>
      <c r="MO275" s="25"/>
      <c r="MV275" s="25"/>
      <c r="NC275" s="25"/>
      <c r="NJ275" s="25"/>
      <c r="NQ275" s="25"/>
      <c r="NX275" s="25"/>
      <c r="OE275" s="25"/>
      <c r="OL275" s="25"/>
      <c r="OS275" s="25"/>
      <c r="OZ275" s="25"/>
      <c r="PG275" s="25"/>
      <c r="PN275" s="25"/>
      <c r="PU275" s="25"/>
      <c r="QB275" s="25"/>
      <c r="QI275" s="25"/>
      <c r="QP275" s="25"/>
      <c r="QW275" s="25"/>
      <c r="RD275" s="25"/>
      <c r="RK275" s="25"/>
      <c r="RR275" s="25"/>
      <c r="RY275" s="25"/>
      <c r="SF275" s="25"/>
      <c r="SM275" s="25"/>
    </row>
    <row r="276" spans="5:507" x14ac:dyDescent="0.15">
      <c r="E276" s="25"/>
      <c r="F276" s="26"/>
      <c r="G276" s="27"/>
      <c r="H276" s="28"/>
      <c r="I276" s="25"/>
      <c r="J276" s="25"/>
      <c r="K276" s="26"/>
      <c r="L276" s="27"/>
      <c r="M276" s="27"/>
      <c r="N276" s="28"/>
      <c r="O276" s="25"/>
      <c r="P276" s="25"/>
      <c r="Q276" s="25"/>
      <c r="R276" s="26"/>
      <c r="S276" s="27"/>
      <c r="T276" s="27"/>
      <c r="U276" s="28"/>
      <c r="V276" s="25"/>
      <c r="W276" s="25"/>
      <c r="X276" s="25"/>
      <c r="Y276" s="26"/>
      <c r="Z276" s="27"/>
      <c r="AA276" s="27"/>
      <c r="AB276" s="28"/>
      <c r="AC276" s="25"/>
      <c r="AD276" s="25"/>
      <c r="AE276" s="25"/>
      <c r="AL276" s="25"/>
      <c r="AS276" s="25"/>
      <c r="AZ276" s="25"/>
      <c r="BF276" s="25"/>
      <c r="BG276" s="25"/>
      <c r="BN276" s="25"/>
      <c r="BU276" s="25"/>
      <c r="CB276" s="25"/>
      <c r="CH276" s="25"/>
      <c r="CI276" s="25"/>
      <c r="CP276" s="25"/>
      <c r="CW276" s="25"/>
      <c r="DD276" s="25"/>
      <c r="DJ276" s="25"/>
      <c r="DK276" s="25"/>
      <c r="DR276" s="25"/>
      <c r="DY276" s="25"/>
      <c r="EF276" s="25"/>
      <c r="EL276" s="25"/>
      <c r="EM276" s="25"/>
      <c r="ET276" s="25"/>
      <c r="FA276" s="25"/>
      <c r="FH276" s="25"/>
      <c r="FN276" s="25"/>
      <c r="FO276" s="25"/>
      <c r="FV276" s="25"/>
      <c r="GC276" s="25"/>
      <c r="GJ276" s="25"/>
      <c r="GP276" s="25"/>
      <c r="GQ276" s="25"/>
      <c r="GX276" s="25"/>
      <c r="HE276" s="25"/>
      <c r="HL276" s="25"/>
      <c r="HR276" s="25"/>
      <c r="HS276" s="25"/>
      <c r="HZ276" s="25"/>
      <c r="IG276" s="25"/>
      <c r="IN276" s="25"/>
      <c r="IT276" s="25"/>
      <c r="IU276" s="25"/>
      <c r="JB276" s="25"/>
      <c r="JI276" s="25"/>
      <c r="JP276" s="25"/>
      <c r="JV276" s="25"/>
      <c r="JW276" s="25"/>
      <c r="KD276" s="25"/>
      <c r="KK276" s="25"/>
      <c r="KR276" s="25"/>
      <c r="KY276" s="25"/>
      <c r="LF276" s="25"/>
      <c r="LM276" s="25"/>
      <c r="LT276" s="25"/>
      <c r="MA276" s="25"/>
      <c r="MH276" s="25"/>
      <c r="MO276" s="25"/>
      <c r="MV276" s="25"/>
      <c r="NC276" s="25"/>
      <c r="NJ276" s="25"/>
      <c r="NQ276" s="25"/>
      <c r="NX276" s="25"/>
      <c r="OE276" s="25"/>
      <c r="OL276" s="25"/>
      <c r="OS276" s="25"/>
      <c r="OZ276" s="25"/>
      <c r="PG276" s="25"/>
      <c r="PN276" s="25"/>
      <c r="PU276" s="25"/>
      <c r="QB276" s="25"/>
      <c r="QI276" s="25"/>
      <c r="QP276" s="25"/>
      <c r="QW276" s="25"/>
      <c r="RD276" s="25"/>
      <c r="RK276" s="25"/>
      <c r="RR276" s="25"/>
      <c r="RY276" s="25"/>
      <c r="SF276" s="25"/>
      <c r="SM276" s="25"/>
    </row>
    <row r="277" spans="5:507" x14ac:dyDescent="0.15">
      <c r="E277" s="25"/>
      <c r="F277" s="26"/>
      <c r="G277" s="27"/>
      <c r="H277" s="28"/>
      <c r="I277" s="25"/>
      <c r="J277" s="25"/>
      <c r="K277" s="26"/>
      <c r="L277" s="27"/>
      <c r="M277" s="27"/>
      <c r="N277" s="28"/>
      <c r="O277" s="25"/>
      <c r="P277" s="25"/>
      <c r="Q277" s="25"/>
      <c r="R277" s="26"/>
      <c r="S277" s="27"/>
      <c r="T277" s="27"/>
      <c r="U277" s="28"/>
      <c r="V277" s="25"/>
      <c r="W277" s="25"/>
      <c r="X277" s="25"/>
      <c r="Y277" s="26"/>
      <c r="Z277" s="27"/>
      <c r="AA277" s="27"/>
      <c r="AB277" s="28"/>
      <c r="AC277" s="25"/>
      <c r="AD277" s="25"/>
      <c r="AE277" s="25"/>
      <c r="AL277" s="25"/>
      <c r="AS277" s="25"/>
      <c r="AZ277" s="25"/>
      <c r="BF277" s="25"/>
      <c r="BG277" s="25"/>
      <c r="BN277" s="25"/>
      <c r="BU277" s="25"/>
      <c r="CB277" s="25"/>
      <c r="CH277" s="25"/>
      <c r="CI277" s="25"/>
      <c r="CP277" s="25"/>
      <c r="CW277" s="25"/>
      <c r="DD277" s="25"/>
      <c r="DJ277" s="25"/>
      <c r="DK277" s="25"/>
      <c r="DR277" s="25"/>
      <c r="DY277" s="25"/>
      <c r="EF277" s="25"/>
      <c r="EL277" s="25"/>
      <c r="EM277" s="25"/>
      <c r="ET277" s="25"/>
      <c r="FA277" s="25"/>
      <c r="FH277" s="25"/>
      <c r="FN277" s="25"/>
      <c r="FO277" s="25"/>
      <c r="FV277" s="25"/>
      <c r="GC277" s="25"/>
      <c r="GJ277" s="25"/>
      <c r="GP277" s="25"/>
      <c r="GQ277" s="25"/>
      <c r="GX277" s="25"/>
      <c r="HE277" s="25"/>
      <c r="HL277" s="25"/>
      <c r="HR277" s="25"/>
      <c r="HS277" s="25"/>
      <c r="HZ277" s="25"/>
      <c r="IG277" s="25"/>
      <c r="IN277" s="25"/>
      <c r="IT277" s="25"/>
      <c r="IU277" s="25"/>
      <c r="JB277" s="25"/>
      <c r="JI277" s="25"/>
      <c r="JP277" s="25"/>
      <c r="JV277" s="25"/>
      <c r="JW277" s="25"/>
      <c r="KD277" s="25"/>
      <c r="KK277" s="25"/>
      <c r="KR277" s="25"/>
      <c r="KY277" s="25"/>
      <c r="LF277" s="25"/>
      <c r="LM277" s="25"/>
      <c r="LT277" s="25"/>
      <c r="MA277" s="25"/>
      <c r="MH277" s="25"/>
      <c r="MO277" s="25"/>
      <c r="MV277" s="25"/>
      <c r="NC277" s="25"/>
      <c r="NJ277" s="25"/>
      <c r="NQ277" s="25"/>
      <c r="NX277" s="25"/>
      <c r="OE277" s="25"/>
      <c r="OL277" s="25"/>
      <c r="OS277" s="25"/>
      <c r="OZ277" s="25"/>
      <c r="PG277" s="25"/>
      <c r="PN277" s="25"/>
      <c r="PU277" s="25"/>
      <c r="QB277" s="25"/>
      <c r="QI277" s="25"/>
      <c r="QP277" s="25"/>
      <c r="QW277" s="25"/>
      <c r="RD277" s="25"/>
      <c r="RK277" s="25"/>
      <c r="RR277" s="25"/>
      <c r="RY277" s="25"/>
      <c r="SF277" s="25"/>
      <c r="SM277" s="25"/>
    </row>
    <row r="278" spans="5:507" x14ac:dyDescent="0.15">
      <c r="E278" s="25"/>
      <c r="F278" s="26"/>
      <c r="G278" s="27"/>
      <c r="H278" s="28"/>
      <c r="I278" s="25"/>
      <c r="J278" s="25"/>
      <c r="K278" s="26"/>
      <c r="L278" s="27"/>
      <c r="M278" s="27"/>
      <c r="N278" s="28"/>
      <c r="O278" s="25"/>
      <c r="P278" s="25"/>
      <c r="Q278" s="25"/>
      <c r="R278" s="26"/>
      <c r="S278" s="27"/>
      <c r="T278" s="27"/>
      <c r="U278" s="28"/>
      <c r="V278" s="25"/>
      <c r="W278" s="25"/>
      <c r="X278" s="25"/>
      <c r="Y278" s="26"/>
      <c r="Z278" s="27"/>
      <c r="AA278" s="27"/>
      <c r="AB278" s="28"/>
      <c r="AC278" s="25"/>
      <c r="AD278" s="25"/>
      <c r="AE278" s="25"/>
      <c r="AL278" s="25"/>
      <c r="AS278" s="25"/>
      <c r="AZ278" s="25"/>
      <c r="BF278" s="25"/>
      <c r="BG278" s="25"/>
      <c r="BN278" s="25"/>
      <c r="BU278" s="25"/>
      <c r="CB278" s="25"/>
      <c r="CH278" s="25"/>
      <c r="CI278" s="25"/>
      <c r="CP278" s="25"/>
      <c r="CW278" s="25"/>
      <c r="DD278" s="25"/>
      <c r="DJ278" s="25"/>
      <c r="DK278" s="25"/>
      <c r="DR278" s="25"/>
      <c r="DY278" s="25"/>
      <c r="EF278" s="25"/>
      <c r="EL278" s="25"/>
      <c r="EM278" s="25"/>
      <c r="ET278" s="25"/>
      <c r="FA278" s="25"/>
      <c r="FH278" s="25"/>
      <c r="FN278" s="25"/>
      <c r="FO278" s="25"/>
      <c r="FV278" s="25"/>
      <c r="GC278" s="25"/>
      <c r="GJ278" s="25"/>
      <c r="GP278" s="25"/>
      <c r="GQ278" s="25"/>
      <c r="GX278" s="25"/>
      <c r="HE278" s="25"/>
      <c r="HL278" s="25"/>
      <c r="HR278" s="25"/>
      <c r="HS278" s="25"/>
      <c r="HZ278" s="25"/>
      <c r="IG278" s="25"/>
      <c r="IN278" s="25"/>
      <c r="IT278" s="25"/>
      <c r="IU278" s="25"/>
      <c r="JB278" s="25"/>
      <c r="JI278" s="25"/>
      <c r="JP278" s="25"/>
      <c r="JV278" s="25"/>
      <c r="JW278" s="25"/>
      <c r="KD278" s="25"/>
      <c r="KK278" s="25"/>
      <c r="KR278" s="25"/>
      <c r="KY278" s="25"/>
      <c r="LF278" s="25"/>
      <c r="LM278" s="25"/>
      <c r="LT278" s="25"/>
      <c r="MA278" s="25"/>
      <c r="MH278" s="25"/>
      <c r="MO278" s="25"/>
      <c r="MV278" s="25"/>
      <c r="NC278" s="25"/>
      <c r="NJ278" s="25"/>
      <c r="NQ278" s="25"/>
      <c r="NX278" s="25"/>
      <c r="OE278" s="25"/>
      <c r="OL278" s="25"/>
      <c r="OS278" s="25"/>
      <c r="OZ278" s="25"/>
      <c r="PG278" s="25"/>
      <c r="PN278" s="25"/>
      <c r="PU278" s="25"/>
      <c r="QB278" s="25"/>
      <c r="QI278" s="25"/>
      <c r="QP278" s="25"/>
      <c r="QW278" s="25"/>
      <c r="RD278" s="25"/>
      <c r="RK278" s="25"/>
      <c r="RR278" s="25"/>
      <c r="RY278" s="25"/>
      <c r="SF278" s="25"/>
      <c r="SM278" s="25"/>
    </row>
    <row r="279" spans="5:507" x14ac:dyDescent="0.15">
      <c r="E279" s="25"/>
      <c r="F279" s="26"/>
      <c r="G279" s="27"/>
      <c r="H279" s="28"/>
      <c r="I279" s="25"/>
      <c r="J279" s="25"/>
      <c r="K279" s="26"/>
      <c r="L279" s="27"/>
      <c r="M279" s="27"/>
      <c r="N279" s="28"/>
      <c r="O279" s="25"/>
      <c r="P279" s="25"/>
      <c r="Q279" s="25"/>
      <c r="R279" s="26"/>
      <c r="S279" s="27"/>
      <c r="T279" s="27"/>
      <c r="U279" s="28"/>
      <c r="V279" s="25"/>
      <c r="W279" s="25"/>
      <c r="X279" s="25"/>
      <c r="Y279" s="26"/>
      <c r="Z279" s="27"/>
      <c r="AA279" s="27"/>
      <c r="AB279" s="28"/>
      <c r="AC279" s="25"/>
      <c r="AD279" s="25"/>
      <c r="AE279" s="25"/>
      <c r="AL279" s="25"/>
      <c r="AS279" s="25"/>
      <c r="AZ279" s="25"/>
      <c r="BF279" s="25"/>
      <c r="BG279" s="25"/>
      <c r="BN279" s="25"/>
      <c r="BU279" s="25"/>
      <c r="CB279" s="25"/>
      <c r="CH279" s="25"/>
      <c r="CI279" s="25"/>
      <c r="CP279" s="25"/>
      <c r="CW279" s="25"/>
      <c r="DD279" s="25"/>
      <c r="DJ279" s="25"/>
      <c r="DK279" s="25"/>
      <c r="DR279" s="25"/>
      <c r="DY279" s="25"/>
      <c r="EF279" s="25"/>
      <c r="EL279" s="25"/>
      <c r="EM279" s="25"/>
      <c r="ET279" s="25"/>
      <c r="FA279" s="25"/>
      <c r="FH279" s="25"/>
      <c r="FN279" s="25"/>
      <c r="FO279" s="25"/>
      <c r="FV279" s="25"/>
      <c r="GC279" s="25"/>
      <c r="GJ279" s="25"/>
      <c r="GP279" s="25"/>
      <c r="GQ279" s="25"/>
      <c r="GX279" s="25"/>
      <c r="HE279" s="25"/>
      <c r="HL279" s="25"/>
      <c r="HR279" s="25"/>
      <c r="HS279" s="25"/>
      <c r="HZ279" s="25"/>
      <c r="IG279" s="25"/>
      <c r="IN279" s="25"/>
      <c r="IT279" s="25"/>
      <c r="IU279" s="25"/>
      <c r="JB279" s="25"/>
      <c r="JI279" s="25"/>
      <c r="JP279" s="25"/>
      <c r="JV279" s="25"/>
      <c r="JW279" s="25"/>
      <c r="KD279" s="25"/>
      <c r="KK279" s="25"/>
      <c r="KR279" s="25"/>
      <c r="KY279" s="25"/>
      <c r="LF279" s="25"/>
      <c r="LM279" s="25"/>
      <c r="LT279" s="25"/>
      <c r="MA279" s="25"/>
      <c r="MH279" s="25"/>
      <c r="MO279" s="25"/>
      <c r="MV279" s="25"/>
      <c r="NC279" s="25"/>
      <c r="NJ279" s="25"/>
      <c r="NQ279" s="25"/>
      <c r="NX279" s="25"/>
      <c r="OE279" s="25"/>
      <c r="OL279" s="25"/>
      <c r="OS279" s="25"/>
      <c r="OZ279" s="25"/>
      <c r="PG279" s="25"/>
      <c r="PN279" s="25"/>
      <c r="PU279" s="25"/>
      <c r="QB279" s="25"/>
      <c r="QI279" s="25"/>
      <c r="QP279" s="25"/>
      <c r="QW279" s="25"/>
      <c r="RD279" s="25"/>
      <c r="RK279" s="25"/>
      <c r="RR279" s="25"/>
      <c r="RY279" s="25"/>
      <c r="SF279" s="25"/>
      <c r="SM279" s="25"/>
    </row>
    <row r="280" spans="5:507" x14ac:dyDescent="0.15">
      <c r="E280" s="25"/>
      <c r="F280" s="26"/>
      <c r="G280" s="27"/>
      <c r="H280" s="28"/>
      <c r="I280" s="25"/>
      <c r="J280" s="25"/>
      <c r="K280" s="26"/>
      <c r="L280" s="27"/>
      <c r="M280" s="27"/>
      <c r="N280" s="28"/>
      <c r="O280" s="25"/>
      <c r="P280" s="25"/>
      <c r="Q280" s="25"/>
      <c r="R280" s="26"/>
      <c r="S280" s="27"/>
      <c r="T280" s="27"/>
      <c r="U280" s="28"/>
      <c r="V280" s="25"/>
      <c r="W280" s="25"/>
      <c r="X280" s="25"/>
      <c r="Y280" s="26"/>
      <c r="Z280" s="27"/>
      <c r="AA280" s="27"/>
      <c r="AB280" s="28"/>
      <c r="AC280" s="25"/>
      <c r="AD280" s="25"/>
      <c r="AE280" s="25"/>
      <c r="AL280" s="25"/>
      <c r="AS280" s="25"/>
      <c r="AZ280" s="25"/>
      <c r="BF280" s="25"/>
      <c r="BG280" s="25"/>
      <c r="BN280" s="25"/>
      <c r="BU280" s="25"/>
      <c r="CB280" s="25"/>
      <c r="CH280" s="25"/>
      <c r="CI280" s="25"/>
      <c r="CP280" s="25"/>
      <c r="CW280" s="25"/>
      <c r="DD280" s="25"/>
      <c r="DJ280" s="25"/>
      <c r="DK280" s="25"/>
      <c r="DR280" s="25"/>
      <c r="DY280" s="25"/>
      <c r="EF280" s="25"/>
      <c r="EL280" s="25"/>
      <c r="EM280" s="25"/>
      <c r="ET280" s="25"/>
      <c r="FA280" s="25"/>
      <c r="FH280" s="25"/>
      <c r="FN280" s="25"/>
      <c r="FO280" s="25"/>
      <c r="FV280" s="25"/>
      <c r="GC280" s="25"/>
      <c r="GJ280" s="25"/>
      <c r="GP280" s="25"/>
      <c r="GQ280" s="25"/>
      <c r="GX280" s="25"/>
      <c r="HE280" s="25"/>
      <c r="HL280" s="25"/>
      <c r="HR280" s="25"/>
      <c r="HS280" s="25"/>
      <c r="HZ280" s="25"/>
      <c r="IG280" s="25"/>
      <c r="IN280" s="25"/>
      <c r="IT280" s="25"/>
      <c r="IU280" s="25"/>
      <c r="JB280" s="25"/>
      <c r="JI280" s="25"/>
      <c r="JP280" s="25"/>
      <c r="JV280" s="25"/>
      <c r="JW280" s="25"/>
      <c r="KD280" s="25"/>
      <c r="KK280" s="25"/>
      <c r="KR280" s="25"/>
      <c r="KY280" s="25"/>
      <c r="LF280" s="25"/>
      <c r="LM280" s="25"/>
      <c r="LT280" s="25"/>
      <c r="MA280" s="25"/>
      <c r="MH280" s="25"/>
      <c r="MO280" s="25"/>
      <c r="MV280" s="25"/>
      <c r="NC280" s="25"/>
      <c r="NJ280" s="25"/>
      <c r="NQ280" s="25"/>
      <c r="NX280" s="25"/>
      <c r="OE280" s="25"/>
      <c r="OL280" s="25"/>
      <c r="OS280" s="25"/>
      <c r="OZ280" s="25"/>
      <c r="PG280" s="25"/>
      <c r="PN280" s="25"/>
      <c r="PU280" s="25"/>
      <c r="QB280" s="25"/>
      <c r="QI280" s="25"/>
      <c r="QP280" s="25"/>
      <c r="QW280" s="25"/>
      <c r="RD280" s="25"/>
      <c r="RK280" s="25"/>
      <c r="RR280" s="25"/>
      <c r="RY280" s="25"/>
      <c r="SF280" s="25"/>
      <c r="SM280" s="25"/>
    </row>
    <row r="281" spans="5:507" x14ac:dyDescent="0.15">
      <c r="E281" s="25"/>
      <c r="F281" s="26"/>
      <c r="G281" s="27"/>
      <c r="H281" s="28"/>
      <c r="I281" s="25"/>
      <c r="J281" s="25"/>
      <c r="K281" s="26"/>
      <c r="L281" s="27"/>
      <c r="M281" s="27"/>
      <c r="N281" s="28"/>
      <c r="O281" s="25"/>
      <c r="P281" s="25"/>
      <c r="Q281" s="25"/>
      <c r="R281" s="26"/>
      <c r="S281" s="27"/>
      <c r="T281" s="27"/>
      <c r="U281" s="28"/>
      <c r="V281" s="25"/>
      <c r="W281" s="25"/>
      <c r="X281" s="25"/>
      <c r="Y281" s="26"/>
      <c r="Z281" s="27"/>
      <c r="AA281" s="27"/>
      <c r="AB281" s="28"/>
      <c r="AC281" s="25"/>
      <c r="AD281" s="25"/>
      <c r="AE281" s="25"/>
      <c r="AL281" s="25"/>
      <c r="AS281" s="25"/>
      <c r="AZ281" s="25"/>
      <c r="BF281" s="25"/>
      <c r="BG281" s="25"/>
      <c r="BN281" s="25"/>
      <c r="BU281" s="25"/>
      <c r="CB281" s="25"/>
      <c r="CH281" s="25"/>
      <c r="CI281" s="25"/>
      <c r="CP281" s="25"/>
      <c r="CW281" s="25"/>
      <c r="DD281" s="25"/>
      <c r="DJ281" s="25"/>
      <c r="DK281" s="25"/>
      <c r="DR281" s="25"/>
      <c r="DY281" s="25"/>
      <c r="EF281" s="25"/>
      <c r="EL281" s="25"/>
      <c r="EM281" s="25"/>
      <c r="ET281" s="25"/>
      <c r="FA281" s="25"/>
      <c r="FH281" s="25"/>
      <c r="FN281" s="25"/>
      <c r="FO281" s="25"/>
      <c r="FV281" s="25"/>
      <c r="GC281" s="25"/>
      <c r="GJ281" s="25"/>
      <c r="GP281" s="25"/>
      <c r="GQ281" s="25"/>
      <c r="GX281" s="25"/>
      <c r="HE281" s="25"/>
      <c r="HL281" s="25"/>
      <c r="HR281" s="25"/>
      <c r="HS281" s="25"/>
      <c r="HZ281" s="25"/>
      <c r="IG281" s="25"/>
      <c r="IN281" s="25"/>
      <c r="IT281" s="25"/>
      <c r="IU281" s="25"/>
      <c r="JB281" s="25"/>
      <c r="JI281" s="25"/>
      <c r="JP281" s="25"/>
      <c r="JV281" s="25"/>
      <c r="JW281" s="25"/>
      <c r="KD281" s="25"/>
      <c r="KK281" s="25"/>
      <c r="KR281" s="25"/>
      <c r="KY281" s="25"/>
      <c r="LF281" s="25"/>
      <c r="LM281" s="25"/>
      <c r="LT281" s="25"/>
      <c r="MA281" s="25"/>
      <c r="MH281" s="25"/>
      <c r="MO281" s="25"/>
      <c r="MV281" s="25"/>
      <c r="NC281" s="25"/>
      <c r="NJ281" s="25"/>
      <c r="NQ281" s="25"/>
      <c r="NX281" s="25"/>
      <c r="OE281" s="25"/>
      <c r="OL281" s="25"/>
      <c r="OS281" s="25"/>
      <c r="OZ281" s="25"/>
      <c r="PG281" s="25"/>
      <c r="PN281" s="25"/>
      <c r="PU281" s="25"/>
      <c r="QB281" s="25"/>
      <c r="QI281" s="25"/>
      <c r="QP281" s="25"/>
      <c r="QW281" s="25"/>
      <c r="RD281" s="25"/>
      <c r="RK281" s="25"/>
      <c r="RR281" s="25"/>
      <c r="RY281" s="25"/>
      <c r="SF281" s="25"/>
      <c r="SM281" s="25"/>
    </row>
    <row r="282" spans="5:507" x14ac:dyDescent="0.15">
      <c r="E282" s="25"/>
      <c r="F282" s="26"/>
      <c r="G282" s="27"/>
      <c r="H282" s="28"/>
      <c r="I282" s="25"/>
      <c r="J282" s="25"/>
      <c r="K282" s="26"/>
      <c r="L282" s="27"/>
      <c r="M282" s="27"/>
      <c r="N282" s="28"/>
      <c r="O282" s="25"/>
      <c r="P282" s="25"/>
      <c r="Q282" s="25"/>
      <c r="R282" s="26"/>
      <c r="S282" s="27"/>
      <c r="T282" s="27"/>
      <c r="U282" s="28"/>
      <c r="V282" s="25"/>
      <c r="W282" s="25"/>
      <c r="X282" s="25"/>
      <c r="Y282" s="26"/>
      <c r="Z282" s="27"/>
      <c r="AA282" s="27"/>
      <c r="AB282" s="28"/>
      <c r="AC282" s="25"/>
      <c r="AD282" s="25"/>
      <c r="AE282" s="25"/>
      <c r="AL282" s="25"/>
      <c r="AS282" s="25"/>
      <c r="AZ282" s="25"/>
      <c r="BF282" s="25"/>
      <c r="BG282" s="25"/>
      <c r="BN282" s="25"/>
      <c r="BU282" s="25"/>
      <c r="CB282" s="25"/>
      <c r="CH282" s="25"/>
      <c r="CI282" s="25"/>
      <c r="CP282" s="25"/>
      <c r="CW282" s="25"/>
      <c r="DD282" s="25"/>
      <c r="DJ282" s="25"/>
      <c r="DK282" s="25"/>
      <c r="DR282" s="25"/>
      <c r="DY282" s="25"/>
      <c r="EF282" s="25"/>
      <c r="EL282" s="25"/>
      <c r="EM282" s="25"/>
      <c r="ET282" s="25"/>
      <c r="FA282" s="25"/>
      <c r="FH282" s="25"/>
      <c r="FN282" s="25"/>
      <c r="FO282" s="25"/>
      <c r="FV282" s="25"/>
      <c r="GC282" s="25"/>
      <c r="GJ282" s="25"/>
      <c r="GP282" s="25"/>
      <c r="GQ282" s="25"/>
      <c r="GX282" s="25"/>
      <c r="HE282" s="25"/>
      <c r="HL282" s="25"/>
      <c r="HR282" s="25"/>
      <c r="HS282" s="25"/>
      <c r="HZ282" s="25"/>
      <c r="IG282" s="25"/>
      <c r="IN282" s="25"/>
      <c r="IT282" s="25"/>
      <c r="IU282" s="25"/>
      <c r="JB282" s="25"/>
      <c r="JI282" s="25"/>
      <c r="JP282" s="25"/>
      <c r="JV282" s="25"/>
      <c r="JW282" s="25"/>
      <c r="KD282" s="25"/>
      <c r="KK282" s="25"/>
      <c r="KR282" s="25"/>
      <c r="KY282" s="25"/>
      <c r="LF282" s="25"/>
      <c r="LM282" s="25"/>
      <c r="LT282" s="25"/>
      <c r="MA282" s="25"/>
      <c r="MH282" s="25"/>
      <c r="MO282" s="25"/>
      <c r="MV282" s="25"/>
      <c r="NC282" s="25"/>
      <c r="NJ282" s="25"/>
      <c r="NQ282" s="25"/>
      <c r="NX282" s="25"/>
      <c r="OE282" s="25"/>
      <c r="OL282" s="25"/>
      <c r="OS282" s="25"/>
      <c r="OZ282" s="25"/>
      <c r="PG282" s="25"/>
      <c r="PN282" s="25"/>
      <c r="PU282" s="25"/>
      <c r="QB282" s="25"/>
      <c r="QI282" s="25"/>
      <c r="QP282" s="25"/>
      <c r="QW282" s="25"/>
      <c r="RD282" s="25"/>
      <c r="RK282" s="25"/>
      <c r="RR282" s="25"/>
      <c r="RY282" s="25"/>
      <c r="SF282" s="25"/>
      <c r="SM282" s="25"/>
    </row>
    <row r="283" spans="5:507" x14ac:dyDescent="0.15">
      <c r="E283" s="25"/>
      <c r="F283" s="26"/>
      <c r="G283" s="27"/>
      <c r="H283" s="28"/>
      <c r="I283" s="25"/>
      <c r="J283" s="25"/>
      <c r="K283" s="26"/>
      <c r="L283" s="27"/>
      <c r="M283" s="27"/>
      <c r="N283" s="28"/>
      <c r="O283" s="25"/>
      <c r="P283" s="25"/>
      <c r="Q283" s="25"/>
      <c r="R283" s="26"/>
      <c r="S283" s="27"/>
      <c r="T283" s="27"/>
      <c r="U283" s="28"/>
      <c r="V283" s="25"/>
      <c r="W283" s="25"/>
      <c r="X283" s="25"/>
      <c r="Y283" s="26"/>
      <c r="Z283" s="27"/>
      <c r="AA283" s="27"/>
      <c r="AB283" s="28"/>
      <c r="AC283" s="25"/>
      <c r="AD283" s="25"/>
      <c r="AE283" s="25"/>
      <c r="AL283" s="25"/>
      <c r="AS283" s="25"/>
      <c r="AZ283" s="25"/>
      <c r="BF283" s="25"/>
      <c r="BG283" s="25"/>
      <c r="BN283" s="25"/>
      <c r="BU283" s="25"/>
      <c r="CB283" s="25"/>
      <c r="CH283" s="25"/>
      <c r="CI283" s="25"/>
      <c r="CP283" s="25"/>
      <c r="CW283" s="25"/>
      <c r="DD283" s="25"/>
      <c r="DJ283" s="25"/>
      <c r="DK283" s="25"/>
      <c r="DR283" s="25"/>
      <c r="DY283" s="25"/>
      <c r="EF283" s="25"/>
      <c r="EL283" s="25"/>
      <c r="EM283" s="25"/>
      <c r="ET283" s="25"/>
      <c r="FA283" s="25"/>
      <c r="FH283" s="25"/>
      <c r="FN283" s="25"/>
      <c r="FO283" s="25"/>
      <c r="FV283" s="25"/>
      <c r="GC283" s="25"/>
      <c r="GJ283" s="25"/>
      <c r="GP283" s="25"/>
      <c r="GQ283" s="25"/>
      <c r="GX283" s="25"/>
      <c r="HE283" s="25"/>
      <c r="HL283" s="25"/>
      <c r="HR283" s="25"/>
      <c r="HS283" s="25"/>
      <c r="HZ283" s="25"/>
      <c r="IG283" s="25"/>
      <c r="IN283" s="25"/>
      <c r="IT283" s="25"/>
      <c r="IU283" s="25"/>
      <c r="JB283" s="25"/>
      <c r="JI283" s="25"/>
      <c r="JP283" s="25"/>
      <c r="JV283" s="25"/>
      <c r="JW283" s="25"/>
      <c r="KD283" s="25"/>
      <c r="KK283" s="25"/>
      <c r="KR283" s="25"/>
      <c r="KY283" s="25"/>
      <c r="LF283" s="25"/>
      <c r="LM283" s="25"/>
      <c r="LT283" s="25"/>
      <c r="MA283" s="25"/>
      <c r="MH283" s="25"/>
      <c r="MO283" s="25"/>
      <c r="MV283" s="25"/>
      <c r="NC283" s="25"/>
      <c r="NJ283" s="25"/>
      <c r="NQ283" s="25"/>
      <c r="NX283" s="25"/>
      <c r="OE283" s="25"/>
      <c r="OL283" s="25"/>
      <c r="OS283" s="25"/>
      <c r="OZ283" s="25"/>
      <c r="PG283" s="25"/>
      <c r="PN283" s="25"/>
      <c r="PU283" s="25"/>
      <c r="QB283" s="25"/>
      <c r="QI283" s="25"/>
      <c r="QP283" s="25"/>
      <c r="QW283" s="25"/>
      <c r="RD283" s="25"/>
      <c r="RK283" s="25"/>
      <c r="RR283" s="25"/>
      <c r="RY283" s="25"/>
      <c r="SF283" s="25"/>
      <c r="SM283" s="25"/>
    </row>
    <row r="284" spans="5:507" x14ac:dyDescent="0.15">
      <c r="E284" s="25"/>
      <c r="F284" s="26"/>
      <c r="G284" s="27"/>
      <c r="H284" s="28"/>
      <c r="I284" s="25"/>
      <c r="J284" s="25"/>
      <c r="K284" s="26"/>
      <c r="L284" s="27"/>
      <c r="M284" s="27"/>
      <c r="N284" s="28"/>
      <c r="O284" s="25"/>
      <c r="P284" s="25"/>
      <c r="Q284" s="25"/>
      <c r="R284" s="26"/>
      <c r="S284" s="27"/>
      <c r="T284" s="27"/>
      <c r="U284" s="28"/>
      <c r="V284" s="25"/>
      <c r="W284" s="25"/>
      <c r="X284" s="25"/>
      <c r="Y284" s="26"/>
      <c r="Z284" s="27"/>
      <c r="AA284" s="27"/>
      <c r="AB284" s="28"/>
      <c r="AC284" s="25"/>
      <c r="AD284" s="25"/>
      <c r="AE284" s="25"/>
      <c r="AL284" s="25"/>
      <c r="AS284" s="25"/>
      <c r="AZ284" s="25"/>
      <c r="BF284" s="25"/>
      <c r="BG284" s="25"/>
      <c r="BN284" s="25"/>
      <c r="BU284" s="25"/>
      <c r="CB284" s="25"/>
      <c r="CH284" s="25"/>
      <c r="CI284" s="25"/>
      <c r="CP284" s="25"/>
      <c r="CW284" s="25"/>
      <c r="DD284" s="25"/>
      <c r="DJ284" s="25"/>
      <c r="DK284" s="25"/>
      <c r="DR284" s="25"/>
      <c r="DY284" s="25"/>
      <c r="EF284" s="25"/>
      <c r="EL284" s="25"/>
      <c r="EM284" s="25"/>
      <c r="ET284" s="25"/>
      <c r="FA284" s="25"/>
      <c r="FH284" s="25"/>
      <c r="FN284" s="25"/>
      <c r="FO284" s="25"/>
      <c r="FV284" s="25"/>
      <c r="GC284" s="25"/>
      <c r="GJ284" s="25"/>
      <c r="GP284" s="25"/>
      <c r="GQ284" s="25"/>
      <c r="GX284" s="25"/>
      <c r="HE284" s="25"/>
      <c r="HL284" s="25"/>
      <c r="HR284" s="25"/>
      <c r="HS284" s="25"/>
      <c r="HZ284" s="25"/>
      <c r="IG284" s="25"/>
      <c r="IN284" s="25"/>
      <c r="IT284" s="25"/>
      <c r="IU284" s="25"/>
      <c r="JB284" s="25"/>
      <c r="JI284" s="25"/>
      <c r="JP284" s="25"/>
      <c r="JV284" s="25"/>
      <c r="JW284" s="25"/>
      <c r="KD284" s="25"/>
      <c r="KK284" s="25"/>
      <c r="KR284" s="25"/>
      <c r="KY284" s="25"/>
      <c r="LF284" s="25"/>
      <c r="LM284" s="25"/>
      <c r="LT284" s="25"/>
      <c r="MA284" s="25"/>
      <c r="MH284" s="25"/>
      <c r="MO284" s="25"/>
      <c r="MV284" s="25"/>
      <c r="NC284" s="25"/>
      <c r="NJ284" s="25"/>
      <c r="NQ284" s="25"/>
      <c r="NX284" s="25"/>
      <c r="OE284" s="25"/>
      <c r="OL284" s="25"/>
      <c r="OS284" s="25"/>
      <c r="OZ284" s="25"/>
      <c r="PG284" s="25"/>
      <c r="PN284" s="25"/>
      <c r="PU284" s="25"/>
      <c r="QB284" s="25"/>
      <c r="QI284" s="25"/>
      <c r="QP284" s="25"/>
      <c r="QW284" s="25"/>
      <c r="RD284" s="25"/>
      <c r="RK284" s="25"/>
      <c r="RR284" s="25"/>
      <c r="RY284" s="25"/>
      <c r="SF284" s="25"/>
      <c r="SM284" s="25"/>
    </row>
    <row r="285" spans="5:507" x14ac:dyDescent="0.15">
      <c r="E285" s="25"/>
      <c r="F285" s="26"/>
      <c r="G285" s="27"/>
      <c r="H285" s="28"/>
      <c r="I285" s="25"/>
      <c r="J285" s="25"/>
      <c r="K285" s="26"/>
      <c r="L285" s="27"/>
      <c r="M285" s="27"/>
      <c r="N285" s="28"/>
      <c r="O285" s="25"/>
      <c r="P285" s="25"/>
      <c r="Q285" s="25"/>
      <c r="R285" s="26"/>
      <c r="S285" s="27"/>
      <c r="T285" s="27"/>
      <c r="U285" s="28"/>
      <c r="V285" s="25"/>
      <c r="W285" s="25"/>
      <c r="X285" s="25"/>
      <c r="Y285" s="26"/>
      <c r="Z285" s="27"/>
      <c r="AA285" s="27"/>
      <c r="AB285" s="28"/>
      <c r="AC285" s="25"/>
      <c r="AD285" s="25"/>
      <c r="AE285" s="25"/>
      <c r="AL285" s="25"/>
      <c r="AS285" s="25"/>
      <c r="AZ285" s="25"/>
      <c r="BF285" s="25"/>
      <c r="BG285" s="25"/>
      <c r="BN285" s="25"/>
      <c r="BU285" s="25"/>
      <c r="CB285" s="25"/>
      <c r="CH285" s="25"/>
      <c r="CI285" s="25"/>
      <c r="CP285" s="25"/>
      <c r="CW285" s="25"/>
      <c r="DD285" s="25"/>
      <c r="DJ285" s="25"/>
      <c r="DK285" s="25"/>
      <c r="DR285" s="25"/>
      <c r="DY285" s="25"/>
      <c r="EF285" s="25"/>
      <c r="EL285" s="25"/>
      <c r="EM285" s="25"/>
      <c r="ET285" s="25"/>
      <c r="FA285" s="25"/>
      <c r="FH285" s="25"/>
      <c r="FN285" s="25"/>
      <c r="FO285" s="25"/>
      <c r="FV285" s="25"/>
      <c r="GC285" s="25"/>
      <c r="GJ285" s="25"/>
      <c r="GP285" s="25"/>
      <c r="GQ285" s="25"/>
      <c r="GX285" s="25"/>
      <c r="HE285" s="25"/>
      <c r="HL285" s="25"/>
      <c r="HR285" s="25"/>
      <c r="HS285" s="25"/>
      <c r="HZ285" s="25"/>
      <c r="IG285" s="25"/>
      <c r="IN285" s="25"/>
      <c r="IT285" s="25"/>
      <c r="IU285" s="25"/>
      <c r="JB285" s="25"/>
      <c r="JI285" s="25"/>
      <c r="JP285" s="25"/>
      <c r="JV285" s="25"/>
      <c r="JW285" s="25"/>
      <c r="KD285" s="25"/>
      <c r="KK285" s="25"/>
      <c r="KR285" s="25"/>
      <c r="KY285" s="25"/>
      <c r="LF285" s="25"/>
      <c r="LM285" s="25"/>
      <c r="LT285" s="25"/>
      <c r="MA285" s="25"/>
      <c r="MH285" s="25"/>
      <c r="MO285" s="25"/>
      <c r="MV285" s="25"/>
      <c r="NC285" s="25"/>
      <c r="NJ285" s="25"/>
      <c r="NQ285" s="25"/>
      <c r="NX285" s="25"/>
      <c r="OE285" s="25"/>
      <c r="OL285" s="25"/>
      <c r="OS285" s="25"/>
      <c r="OZ285" s="25"/>
      <c r="PG285" s="25"/>
      <c r="PN285" s="25"/>
      <c r="PU285" s="25"/>
      <c r="QB285" s="25"/>
      <c r="QI285" s="25"/>
      <c r="QP285" s="25"/>
      <c r="QW285" s="25"/>
      <c r="RD285" s="25"/>
      <c r="RK285" s="25"/>
      <c r="RR285" s="25"/>
      <c r="RY285" s="25"/>
      <c r="SF285" s="25"/>
      <c r="SM285" s="25"/>
    </row>
    <row r="286" spans="5:507" x14ac:dyDescent="0.15">
      <c r="E286" s="25"/>
      <c r="F286" s="26"/>
      <c r="G286" s="27"/>
      <c r="H286" s="28"/>
      <c r="I286" s="25"/>
      <c r="J286" s="25"/>
      <c r="K286" s="26"/>
      <c r="L286" s="27"/>
      <c r="M286" s="27"/>
      <c r="N286" s="28"/>
      <c r="O286" s="25"/>
      <c r="P286" s="25"/>
      <c r="Q286" s="25"/>
      <c r="R286" s="26"/>
      <c r="S286" s="27"/>
      <c r="T286" s="27"/>
      <c r="U286" s="28"/>
      <c r="V286" s="25"/>
      <c r="W286" s="25"/>
      <c r="X286" s="25"/>
      <c r="Y286" s="26"/>
      <c r="Z286" s="27"/>
      <c r="AA286" s="27"/>
      <c r="AB286" s="28"/>
      <c r="AC286" s="25"/>
      <c r="AD286" s="25"/>
      <c r="AE286" s="25"/>
      <c r="AL286" s="25"/>
      <c r="AS286" s="25"/>
      <c r="AZ286" s="25"/>
      <c r="BF286" s="25"/>
      <c r="BG286" s="25"/>
      <c r="BN286" s="25"/>
      <c r="BU286" s="25"/>
      <c r="CB286" s="25"/>
      <c r="CH286" s="25"/>
      <c r="CI286" s="25"/>
      <c r="CP286" s="25"/>
      <c r="CW286" s="25"/>
      <c r="DD286" s="25"/>
      <c r="DJ286" s="25"/>
      <c r="DK286" s="25"/>
      <c r="DR286" s="25"/>
      <c r="DY286" s="25"/>
      <c r="EF286" s="25"/>
      <c r="EL286" s="25"/>
      <c r="EM286" s="25"/>
      <c r="ET286" s="25"/>
      <c r="FA286" s="25"/>
      <c r="FH286" s="25"/>
      <c r="FN286" s="25"/>
      <c r="FO286" s="25"/>
      <c r="FV286" s="25"/>
      <c r="GC286" s="25"/>
      <c r="GJ286" s="25"/>
      <c r="GP286" s="25"/>
      <c r="GQ286" s="25"/>
      <c r="GX286" s="25"/>
      <c r="HE286" s="25"/>
      <c r="HL286" s="25"/>
      <c r="HR286" s="25"/>
      <c r="HS286" s="25"/>
      <c r="HZ286" s="25"/>
      <c r="IG286" s="25"/>
      <c r="IN286" s="25"/>
      <c r="IT286" s="25"/>
      <c r="IU286" s="25"/>
      <c r="JB286" s="25"/>
      <c r="JI286" s="25"/>
      <c r="JP286" s="25"/>
      <c r="JV286" s="25"/>
      <c r="JW286" s="25"/>
      <c r="KD286" s="25"/>
      <c r="KK286" s="25"/>
      <c r="KR286" s="25"/>
      <c r="KY286" s="25"/>
      <c r="LF286" s="25"/>
      <c r="LM286" s="25"/>
      <c r="LT286" s="25"/>
      <c r="MA286" s="25"/>
      <c r="MH286" s="25"/>
      <c r="MO286" s="25"/>
      <c r="MV286" s="25"/>
      <c r="NC286" s="25"/>
      <c r="NJ286" s="25"/>
      <c r="NQ286" s="25"/>
      <c r="NX286" s="25"/>
      <c r="OE286" s="25"/>
      <c r="OL286" s="25"/>
      <c r="OS286" s="25"/>
      <c r="OZ286" s="25"/>
      <c r="PG286" s="25"/>
      <c r="PN286" s="25"/>
      <c r="PU286" s="25"/>
      <c r="QB286" s="25"/>
      <c r="QI286" s="25"/>
      <c r="QP286" s="25"/>
      <c r="QW286" s="25"/>
      <c r="RD286" s="25"/>
      <c r="RK286" s="25"/>
      <c r="RR286" s="25"/>
      <c r="RY286" s="25"/>
      <c r="SF286" s="25"/>
      <c r="SM286" s="25"/>
    </row>
    <row r="287" spans="5:507" x14ac:dyDescent="0.15">
      <c r="E287" s="25"/>
      <c r="F287" s="26"/>
      <c r="G287" s="27"/>
      <c r="H287" s="28"/>
      <c r="I287" s="25"/>
      <c r="J287" s="25"/>
      <c r="K287" s="26"/>
      <c r="L287" s="27"/>
      <c r="M287" s="27"/>
      <c r="N287" s="28"/>
      <c r="O287" s="25"/>
      <c r="P287" s="25"/>
      <c r="Q287" s="25"/>
      <c r="R287" s="26"/>
      <c r="S287" s="27"/>
      <c r="T287" s="27"/>
      <c r="U287" s="28"/>
      <c r="V287" s="25"/>
      <c r="W287" s="25"/>
      <c r="X287" s="25"/>
      <c r="Y287" s="26"/>
      <c r="Z287" s="27"/>
      <c r="AA287" s="27"/>
      <c r="AB287" s="28"/>
      <c r="AC287" s="25"/>
      <c r="AD287" s="25"/>
      <c r="AE287" s="25"/>
      <c r="AL287" s="25"/>
      <c r="AS287" s="25"/>
      <c r="AZ287" s="25"/>
      <c r="BF287" s="25"/>
      <c r="BG287" s="25"/>
      <c r="BN287" s="25"/>
      <c r="BU287" s="25"/>
      <c r="CB287" s="25"/>
      <c r="CH287" s="25"/>
      <c r="CI287" s="25"/>
      <c r="CP287" s="25"/>
      <c r="CW287" s="25"/>
      <c r="DD287" s="25"/>
      <c r="DJ287" s="25"/>
      <c r="DK287" s="25"/>
      <c r="DR287" s="25"/>
      <c r="DY287" s="25"/>
      <c r="EF287" s="25"/>
      <c r="EL287" s="25"/>
      <c r="EM287" s="25"/>
      <c r="ET287" s="25"/>
      <c r="FA287" s="25"/>
      <c r="FH287" s="25"/>
      <c r="FN287" s="25"/>
      <c r="FO287" s="25"/>
      <c r="FV287" s="25"/>
      <c r="GC287" s="25"/>
      <c r="GJ287" s="25"/>
      <c r="GP287" s="25"/>
      <c r="GQ287" s="25"/>
      <c r="GX287" s="25"/>
      <c r="HE287" s="25"/>
      <c r="HL287" s="25"/>
      <c r="HR287" s="25"/>
      <c r="HS287" s="25"/>
      <c r="HZ287" s="25"/>
      <c r="IG287" s="25"/>
      <c r="IN287" s="25"/>
      <c r="IT287" s="25"/>
      <c r="IU287" s="25"/>
      <c r="JB287" s="25"/>
      <c r="JI287" s="25"/>
      <c r="JP287" s="25"/>
      <c r="JV287" s="25"/>
      <c r="JW287" s="25"/>
      <c r="KD287" s="25"/>
      <c r="KK287" s="25"/>
      <c r="KR287" s="25"/>
      <c r="KY287" s="25"/>
      <c r="LF287" s="25"/>
      <c r="LM287" s="25"/>
      <c r="LT287" s="25"/>
      <c r="MA287" s="25"/>
      <c r="MH287" s="25"/>
      <c r="MO287" s="25"/>
      <c r="MV287" s="25"/>
      <c r="NC287" s="25"/>
      <c r="NJ287" s="25"/>
      <c r="NQ287" s="25"/>
      <c r="NX287" s="25"/>
      <c r="OE287" s="25"/>
      <c r="OL287" s="25"/>
      <c r="OS287" s="25"/>
      <c r="OZ287" s="25"/>
      <c r="PG287" s="25"/>
      <c r="PN287" s="25"/>
      <c r="PU287" s="25"/>
      <c r="QB287" s="25"/>
      <c r="QI287" s="25"/>
      <c r="QP287" s="25"/>
      <c r="QW287" s="25"/>
      <c r="RD287" s="25"/>
      <c r="RK287" s="25"/>
      <c r="RR287" s="25"/>
      <c r="RY287" s="25"/>
      <c r="SF287" s="25"/>
      <c r="SM287" s="25"/>
    </row>
    <row r="288" spans="5:507" x14ac:dyDescent="0.15">
      <c r="J288" s="25"/>
      <c r="K288" s="26"/>
      <c r="L288" s="27"/>
      <c r="M288" s="27"/>
      <c r="O288" s="25"/>
      <c r="Q288" s="25"/>
      <c r="R288" s="26"/>
      <c r="S288" s="27"/>
      <c r="T288" s="27"/>
      <c r="U288" s="28"/>
      <c r="V288" s="25"/>
      <c r="W288" s="25"/>
      <c r="X288" s="25"/>
      <c r="Y288" s="26"/>
      <c r="Z288" s="27"/>
      <c r="AA288" s="27"/>
      <c r="AB288" s="28"/>
      <c r="AC288" s="25"/>
      <c r="AD288" s="25"/>
      <c r="AE288" s="25"/>
      <c r="AL288" s="25"/>
      <c r="AS288" s="25"/>
      <c r="AZ288" s="25"/>
      <c r="BF288" s="25"/>
      <c r="BG288" s="25"/>
      <c r="BN288" s="25"/>
      <c r="BU288" s="25"/>
      <c r="CB288" s="25"/>
      <c r="CH288" s="25"/>
      <c r="CI288" s="25"/>
      <c r="CP288" s="25"/>
      <c r="CW288" s="25"/>
      <c r="DD288" s="25"/>
      <c r="DJ288" s="25"/>
      <c r="DK288" s="25"/>
      <c r="DR288" s="25"/>
      <c r="DY288" s="25"/>
      <c r="EF288" s="25"/>
      <c r="EL288" s="25"/>
      <c r="EM288" s="25"/>
      <c r="ET288" s="25"/>
      <c r="FA288" s="25"/>
      <c r="FH288" s="25"/>
      <c r="FN288" s="25"/>
      <c r="FO288" s="25"/>
      <c r="FV288" s="25"/>
      <c r="GC288" s="25"/>
      <c r="GJ288" s="25"/>
      <c r="GP288" s="25"/>
      <c r="GQ288" s="25"/>
      <c r="GX288" s="25"/>
      <c r="HE288" s="25"/>
      <c r="HL288" s="25"/>
      <c r="HR288" s="25"/>
      <c r="HS288" s="25"/>
      <c r="HZ288" s="25"/>
      <c r="IG288" s="25"/>
      <c r="IN288" s="25"/>
      <c r="IT288" s="25"/>
      <c r="IU288" s="25"/>
      <c r="JB288" s="25"/>
      <c r="JI288" s="25"/>
      <c r="JP288" s="25"/>
      <c r="JV288" s="25"/>
      <c r="JW288" s="25"/>
      <c r="KD288" s="25"/>
      <c r="KK288" s="25"/>
      <c r="KR288" s="25"/>
      <c r="KY288" s="25"/>
      <c r="LF288" s="25"/>
      <c r="LM288" s="25"/>
      <c r="LT288" s="25"/>
      <c r="MA288" s="25"/>
      <c r="MH288" s="25"/>
      <c r="MO288" s="25"/>
      <c r="MV288" s="25"/>
      <c r="NC288" s="25"/>
      <c r="NJ288" s="25"/>
      <c r="NQ288" s="25"/>
      <c r="NX288" s="25"/>
      <c r="OE288" s="25"/>
      <c r="OL288" s="25"/>
      <c r="OS288" s="25"/>
      <c r="OZ288" s="25"/>
      <c r="PG288" s="25"/>
      <c r="PN288" s="25"/>
      <c r="PU288" s="25"/>
      <c r="QB288" s="25"/>
      <c r="QI288" s="25"/>
      <c r="QP288" s="25"/>
      <c r="QW288" s="25"/>
      <c r="RD288" s="25"/>
      <c r="RK288" s="25"/>
      <c r="RR288" s="25"/>
      <c r="RY288" s="25"/>
      <c r="SF288" s="25"/>
      <c r="SM288" s="25"/>
    </row>
    <row r="289" spans="21:29" x14ac:dyDescent="0.15">
      <c r="U289" s="28"/>
      <c r="V289" s="25"/>
      <c r="X289" s="25"/>
      <c r="Y289" s="26"/>
      <c r="Z289" s="27"/>
      <c r="AA289" s="27"/>
      <c r="AB289" s="28"/>
      <c r="AC289" s="25"/>
    </row>
  </sheetData>
  <sheetProtection algorithmName="SHA-512" hashValue="Yz9ycy3ujATopCre919ubqgFFd3osZQy5UJZr/9udsaX0Hk9uJJWUu3mOBB4WWMe5M1mocWy9j0GXfUr9TMNKw==" saltValue="HStewWD3zJNeXzry/QJx9A==" spinCount="100000" sheet="1" selectLockedCells="1"/>
  <mergeCells count="296">
    <mergeCell ref="PN130:PQ130"/>
    <mergeCell ref="PU130:PX130"/>
    <mergeCell ref="QB130:QE130"/>
    <mergeCell ref="QI130:QL130"/>
    <mergeCell ref="QP130:QS130"/>
    <mergeCell ref="QW130:QZ130"/>
    <mergeCell ref="RD130:RG130"/>
    <mergeCell ref="PN132:PQ132"/>
    <mergeCell ref="PU132:PX132"/>
    <mergeCell ref="QB132:QE132"/>
    <mergeCell ref="QI132:QL132"/>
    <mergeCell ref="QP132:QS132"/>
    <mergeCell ref="QW132:QZ132"/>
    <mergeCell ref="RD132:RG132"/>
    <mergeCell ref="PN128:PQ128"/>
    <mergeCell ref="PU128:PX128"/>
    <mergeCell ref="QB128:QE128"/>
    <mergeCell ref="QI128:QL128"/>
    <mergeCell ref="QP128:QS128"/>
    <mergeCell ref="QW128:QZ128"/>
    <mergeCell ref="RD128:RG128"/>
    <mergeCell ref="PN2:PR2"/>
    <mergeCell ref="PU2:PY2"/>
    <mergeCell ref="QB2:QF2"/>
    <mergeCell ref="QI2:QM2"/>
    <mergeCell ref="QP2:QT2"/>
    <mergeCell ref="QW2:RA2"/>
    <mergeCell ref="RD2:RH2"/>
    <mergeCell ref="NJ130:NM130"/>
    <mergeCell ref="NQ130:NT130"/>
    <mergeCell ref="NX130:OA130"/>
    <mergeCell ref="OE130:OH130"/>
    <mergeCell ref="OL130:OO130"/>
    <mergeCell ref="OS130:OV130"/>
    <mergeCell ref="OZ130:PC130"/>
    <mergeCell ref="PG130:PJ130"/>
    <mergeCell ref="NJ132:NM132"/>
    <mergeCell ref="NQ132:NT132"/>
    <mergeCell ref="NX132:OA132"/>
    <mergeCell ref="OE132:OH132"/>
    <mergeCell ref="OL132:OO132"/>
    <mergeCell ref="OS132:OV132"/>
    <mergeCell ref="OZ132:PC132"/>
    <mergeCell ref="PG132:PJ132"/>
    <mergeCell ref="NJ2:NN2"/>
    <mergeCell ref="NQ2:NU2"/>
    <mergeCell ref="NX2:OB2"/>
    <mergeCell ref="OE2:OI2"/>
    <mergeCell ref="OL2:OP2"/>
    <mergeCell ref="OS2:OW2"/>
    <mergeCell ref="OZ2:PD2"/>
    <mergeCell ref="PG2:PK2"/>
    <mergeCell ref="NJ128:NM128"/>
    <mergeCell ref="NQ128:NT128"/>
    <mergeCell ref="NX128:OA128"/>
    <mergeCell ref="OE128:OH128"/>
    <mergeCell ref="OL128:OO128"/>
    <mergeCell ref="OS128:OV128"/>
    <mergeCell ref="OZ128:PC128"/>
    <mergeCell ref="PG128:PJ128"/>
    <mergeCell ref="MO132:MR132"/>
    <mergeCell ref="MV132:MY132"/>
    <mergeCell ref="NC132:NF132"/>
    <mergeCell ref="KY132:LB132"/>
    <mergeCell ref="LF132:LI132"/>
    <mergeCell ref="LM132:LP132"/>
    <mergeCell ref="LT130:LW130"/>
    <mergeCell ref="MA130:MD130"/>
    <mergeCell ref="MH130:MK130"/>
    <mergeCell ref="MO130:MR130"/>
    <mergeCell ref="MV130:MY130"/>
    <mergeCell ref="NC130:NF130"/>
    <mergeCell ref="LT132:LW132"/>
    <mergeCell ref="MA132:MD132"/>
    <mergeCell ref="MH132:MK132"/>
    <mergeCell ref="LT2:LX2"/>
    <mergeCell ref="MA2:ME2"/>
    <mergeCell ref="MH2:ML2"/>
    <mergeCell ref="MO2:MS2"/>
    <mergeCell ref="MV2:MZ2"/>
    <mergeCell ref="NC2:NG2"/>
    <mergeCell ref="LT128:LW128"/>
    <mergeCell ref="MA128:MD128"/>
    <mergeCell ref="MH128:MK128"/>
    <mergeCell ref="MO128:MR128"/>
    <mergeCell ref="MV128:MY128"/>
    <mergeCell ref="NC128:NF128"/>
    <mergeCell ref="KY2:LC2"/>
    <mergeCell ref="LF2:LJ2"/>
    <mergeCell ref="LM2:LQ2"/>
    <mergeCell ref="KY128:LB128"/>
    <mergeCell ref="LF128:LI128"/>
    <mergeCell ref="LM128:LP128"/>
    <mergeCell ref="KY130:LB130"/>
    <mergeCell ref="LF130:LI130"/>
    <mergeCell ref="LM130:LP130"/>
    <mergeCell ref="JP132:JS132"/>
    <mergeCell ref="JW132:JZ132"/>
    <mergeCell ref="KD132:KG132"/>
    <mergeCell ref="KK132:KN132"/>
    <mergeCell ref="KR132:KU132"/>
    <mergeCell ref="IU130:IX130"/>
    <mergeCell ref="JB130:JE130"/>
    <mergeCell ref="JI130:JL130"/>
    <mergeCell ref="JP130:JS130"/>
    <mergeCell ref="JW130:JZ130"/>
    <mergeCell ref="KD130:KG130"/>
    <mergeCell ref="KK130:KN130"/>
    <mergeCell ref="KR130:KU130"/>
    <mergeCell ref="IU132:IX132"/>
    <mergeCell ref="JB132:JE132"/>
    <mergeCell ref="JI132:JL132"/>
    <mergeCell ref="KD2:KH2"/>
    <mergeCell ref="KK2:KO2"/>
    <mergeCell ref="KR2:KV2"/>
    <mergeCell ref="IU128:IX128"/>
    <mergeCell ref="JB128:JE128"/>
    <mergeCell ref="JI128:JL128"/>
    <mergeCell ref="JP128:JS128"/>
    <mergeCell ref="JW128:JZ128"/>
    <mergeCell ref="KD128:KG128"/>
    <mergeCell ref="KK128:KN128"/>
    <mergeCell ref="KR128:KU128"/>
    <mergeCell ref="IU2:IY2"/>
    <mergeCell ref="JB2:JF2"/>
    <mergeCell ref="JI2:JM2"/>
    <mergeCell ref="JP2:JT2"/>
    <mergeCell ref="JW2:KA2"/>
    <mergeCell ref="HZ130:IC130"/>
    <mergeCell ref="IN130:IQ130"/>
    <mergeCell ref="GQ132:GT132"/>
    <mergeCell ref="GX132:HA132"/>
    <mergeCell ref="HE132:HH132"/>
    <mergeCell ref="HL132:HO132"/>
    <mergeCell ref="HS132:HV132"/>
    <mergeCell ref="HZ132:IC132"/>
    <mergeCell ref="IN132:IQ132"/>
    <mergeCell ref="GQ130:GT130"/>
    <mergeCell ref="GX130:HA130"/>
    <mergeCell ref="HE130:HH130"/>
    <mergeCell ref="HL130:HO130"/>
    <mergeCell ref="HS130:HV130"/>
    <mergeCell ref="IG130:IJ130"/>
    <mergeCell ref="IG132:IJ132"/>
    <mergeCell ref="HZ2:ID2"/>
    <mergeCell ref="IG2:IK2"/>
    <mergeCell ref="IN2:IR2"/>
    <mergeCell ref="GQ128:GT128"/>
    <mergeCell ref="GX128:HA128"/>
    <mergeCell ref="HE128:HH128"/>
    <mergeCell ref="HL128:HO128"/>
    <mergeCell ref="HS128:HV128"/>
    <mergeCell ref="HZ128:IC128"/>
    <mergeCell ref="IN128:IQ128"/>
    <mergeCell ref="GQ2:GU2"/>
    <mergeCell ref="GX2:HB2"/>
    <mergeCell ref="HE2:HI2"/>
    <mergeCell ref="HL2:HP2"/>
    <mergeCell ref="HS2:HW2"/>
    <mergeCell ref="IG128:IJ128"/>
    <mergeCell ref="FV130:FY130"/>
    <mergeCell ref="GC130:GF130"/>
    <mergeCell ref="GJ130:GM130"/>
    <mergeCell ref="EM132:EP132"/>
    <mergeCell ref="ET132:EW132"/>
    <mergeCell ref="FA132:FD132"/>
    <mergeCell ref="FH132:FK132"/>
    <mergeCell ref="FO132:FR132"/>
    <mergeCell ref="FV132:FY132"/>
    <mergeCell ref="GC132:GF132"/>
    <mergeCell ref="GJ132:GM132"/>
    <mergeCell ref="EM130:EP130"/>
    <mergeCell ref="ET130:EW130"/>
    <mergeCell ref="FA130:FD130"/>
    <mergeCell ref="FH130:FK130"/>
    <mergeCell ref="FO130:FR130"/>
    <mergeCell ref="FV2:FZ2"/>
    <mergeCell ref="GC2:GG2"/>
    <mergeCell ref="GJ2:GN2"/>
    <mergeCell ref="EM128:EP128"/>
    <mergeCell ref="ET128:EW128"/>
    <mergeCell ref="FA128:FD128"/>
    <mergeCell ref="FH128:FK128"/>
    <mergeCell ref="FO128:FR128"/>
    <mergeCell ref="FV128:FY128"/>
    <mergeCell ref="GC128:GF128"/>
    <mergeCell ref="GJ128:GM128"/>
    <mergeCell ref="EM2:EQ2"/>
    <mergeCell ref="ET2:EX2"/>
    <mergeCell ref="FA2:FE2"/>
    <mergeCell ref="FH2:FL2"/>
    <mergeCell ref="FO2:FS2"/>
    <mergeCell ref="DR130:DU130"/>
    <mergeCell ref="DY130:EB130"/>
    <mergeCell ref="EF130:EI130"/>
    <mergeCell ref="CI132:CL132"/>
    <mergeCell ref="CP132:CS132"/>
    <mergeCell ref="CW132:CZ132"/>
    <mergeCell ref="DD132:DG132"/>
    <mergeCell ref="DK132:DN132"/>
    <mergeCell ref="DR132:DU132"/>
    <mergeCell ref="DY132:EB132"/>
    <mergeCell ref="EF132:EI132"/>
    <mergeCell ref="CI130:CL130"/>
    <mergeCell ref="CP130:CS130"/>
    <mergeCell ref="CW130:CZ130"/>
    <mergeCell ref="DD130:DG130"/>
    <mergeCell ref="DK130:DN130"/>
    <mergeCell ref="DR2:DV2"/>
    <mergeCell ref="DY2:EC2"/>
    <mergeCell ref="EF2:EJ2"/>
    <mergeCell ref="CI128:CL128"/>
    <mergeCell ref="CP128:CS128"/>
    <mergeCell ref="CW128:CZ128"/>
    <mergeCell ref="DD128:DG128"/>
    <mergeCell ref="DK128:DN128"/>
    <mergeCell ref="DR128:DU128"/>
    <mergeCell ref="DY128:EB128"/>
    <mergeCell ref="EF128:EI128"/>
    <mergeCell ref="CI2:CM2"/>
    <mergeCell ref="CP2:CT2"/>
    <mergeCell ref="CW2:DA2"/>
    <mergeCell ref="DD2:DH2"/>
    <mergeCell ref="DK2:DO2"/>
    <mergeCell ref="BG130:BJ130"/>
    <mergeCell ref="BN130:BQ130"/>
    <mergeCell ref="BU130:BX130"/>
    <mergeCell ref="CB130:CE130"/>
    <mergeCell ref="BG132:BJ132"/>
    <mergeCell ref="BN132:BQ132"/>
    <mergeCell ref="BU132:BX132"/>
    <mergeCell ref="CB132:CE132"/>
    <mergeCell ref="BG2:BK2"/>
    <mergeCell ref="BN2:BR2"/>
    <mergeCell ref="BU2:BY2"/>
    <mergeCell ref="CB2:CF2"/>
    <mergeCell ref="BG128:BJ128"/>
    <mergeCell ref="BN128:BQ128"/>
    <mergeCell ref="BU128:BX128"/>
    <mergeCell ref="CB128:CE128"/>
    <mergeCell ref="A211:D211"/>
    <mergeCell ref="A137:D137"/>
    <mergeCell ref="A1:A3"/>
    <mergeCell ref="E128:H128"/>
    <mergeCell ref="E130:H130"/>
    <mergeCell ref="E2:G2"/>
    <mergeCell ref="E3:G3"/>
    <mergeCell ref="X2:AB2"/>
    <mergeCell ref="J128:M128"/>
    <mergeCell ref="J130:M130"/>
    <mergeCell ref="J132:M132"/>
    <mergeCell ref="Q128:T128"/>
    <mergeCell ref="Q130:T130"/>
    <mergeCell ref="Q132:T132"/>
    <mergeCell ref="J2:N2"/>
    <mergeCell ref="J3:N3"/>
    <mergeCell ref="Q2:U2"/>
    <mergeCell ref="X128:AA128"/>
    <mergeCell ref="X130:AA130"/>
    <mergeCell ref="X132:AA132"/>
    <mergeCell ref="AZ2:BD2"/>
    <mergeCell ref="AZ128:BC128"/>
    <mergeCell ref="AZ130:BC130"/>
    <mergeCell ref="AZ132:BC132"/>
    <mergeCell ref="AE2:AI2"/>
    <mergeCell ref="AE128:AH128"/>
    <mergeCell ref="AE130:AH130"/>
    <mergeCell ref="AE132:AH132"/>
    <mergeCell ref="AL2:AP2"/>
    <mergeCell ref="AL128:AO128"/>
    <mergeCell ref="AL130:AO130"/>
    <mergeCell ref="AL132:AO132"/>
    <mergeCell ref="AS2:AW2"/>
    <mergeCell ref="AS128:AV128"/>
    <mergeCell ref="AS130:AV130"/>
    <mergeCell ref="AS132:AV132"/>
    <mergeCell ref="RK132:RN132"/>
    <mergeCell ref="RR132:RU132"/>
    <mergeCell ref="RY132:SB132"/>
    <mergeCell ref="SF132:SI132"/>
    <mergeCell ref="SM2:SQ2"/>
    <mergeCell ref="SM128:SP128"/>
    <mergeCell ref="SM130:SP130"/>
    <mergeCell ref="SM132:SP132"/>
    <mergeCell ref="RK2:RO2"/>
    <mergeCell ref="RR2:RV2"/>
    <mergeCell ref="RY2:SC2"/>
    <mergeCell ref="SF2:SJ2"/>
    <mergeCell ref="RK128:RN128"/>
    <mergeCell ref="RR128:RU128"/>
    <mergeCell ref="RY128:SB128"/>
    <mergeCell ref="SF128:SI128"/>
    <mergeCell ref="RK130:RN130"/>
    <mergeCell ref="RR130:RU130"/>
    <mergeCell ref="RY130:SB130"/>
    <mergeCell ref="SF130:SI130"/>
  </mergeCells>
  <phoneticPr fontId="5" type="noConversion"/>
  <pageMargins left="0.74803149606299213" right="0.74803149606299213" top="0.98425196850393704" bottom="0.98425196850393704" header="0.51181102362204722" footer="0.51181102362204722"/>
  <pageSetup paperSize="9" scale="10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WM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dmannes</dc:creator>
  <cp:lastModifiedBy>Christina Hitzfeld</cp:lastModifiedBy>
  <cp:revision>0</cp:revision>
  <cp:lastPrinted>2018-06-30T22:02:47Z</cp:lastPrinted>
  <dcterms:created xsi:type="dcterms:W3CDTF">2006-05-19T11:24:14Z</dcterms:created>
  <dcterms:modified xsi:type="dcterms:W3CDTF">2026-07-04T19:18:52Z</dcterms:modified>
</cp:coreProperties>
</file>