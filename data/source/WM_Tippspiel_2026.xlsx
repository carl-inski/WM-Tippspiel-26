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7F06696A-444C-1A41-A9A9-51143F02C913}" xr6:coauthVersionLast="47" xr6:coauthVersionMax="47" xr10:uidLastSave="{00000000-0000-0000-0000-000000000000}"/>
  <bookViews>
    <workbookView xWindow="2920" yWindow="2300" windowWidth="35080" windowHeight="1764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R107" i="2"/>
  <c r="SR106" i="2"/>
  <c r="SQ106" i="2"/>
  <c r="SR105" i="2"/>
  <c r="SR104" i="2"/>
  <c r="SR103" i="2"/>
  <c r="SR102" i="2"/>
  <c r="SR101" i="2"/>
  <c r="SQ101" i="2" s="1"/>
  <c r="SR100" i="2"/>
  <c r="SQ100" i="2"/>
  <c r="SR97" i="2"/>
  <c r="SR96" i="2"/>
  <c r="SR95" i="2"/>
  <c r="SR94" i="2"/>
  <c r="SR93" i="2"/>
  <c r="SR92" i="2"/>
  <c r="SR91" i="2"/>
  <c r="SR90" i="2"/>
  <c r="SR89" i="2"/>
  <c r="SR88" i="2"/>
  <c r="SR87" i="2"/>
  <c r="SR86" i="2"/>
  <c r="SR85" i="2"/>
  <c r="SR84" i="2"/>
  <c r="SR83" i="2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D110" i="2"/>
  <c r="RW110" i="2"/>
  <c r="RV110" i="2"/>
  <c r="RP110" i="2"/>
  <c r="SK107" i="2"/>
  <c r="SD107" i="2"/>
  <c r="RW107" i="2"/>
  <c r="RP107" i="2"/>
  <c r="SK106" i="2"/>
  <c r="SD106" i="2"/>
  <c r="RW106" i="2"/>
  <c r="RP106" i="2"/>
  <c r="SK105" i="2"/>
  <c r="SD105" i="2"/>
  <c r="RW105" i="2"/>
  <c r="RP105" i="2"/>
  <c r="SK104" i="2"/>
  <c r="SD104" i="2"/>
  <c r="RW104" i="2"/>
  <c r="RP104" i="2"/>
  <c r="SK103" i="2"/>
  <c r="SD103" i="2"/>
  <c r="RW103" i="2"/>
  <c r="RP103" i="2"/>
  <c r="SK102" i="2"/>
  <c r="SD102" i="2"/>
  <c r="RW102" i="2"/>
  <c r="RP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D97" i="2"/>
  <c r="RW97" i="2"/>
  <c r="RP97" i="2"/>
  <c r="SK96" i="2"/>
  <c r="SD96" i="2"/>
  <c r="RW96" i="2"/>
  <c r="RP96" i="2"/>
  <c r="SK95" i="2"/>
  <c r="SD95" i="2"/>
  <c r="RW95" i="2"/>
  <c r="RP95" i="2"/>
  <c r="SK94" i="2"/>
  <c r="SD94" i="2"/>
  <c r="RW94" i="2"/>
  <c r="RP94" i="2"/>
  <c r="SK93" i="2"/>
  <c r="SD93" i="2"/>
  <c r="RW93" i="2"/>
  <c r="RP93" i="2"/>
  <c r="SK92" i="2"/>
  <c r="SD92" i="2"/>
  <c r="RW92" i="2"/>
  <c r="RP92" i="2"/>
  <c r="SK91" i="2"/>
  <c r="SD91" i="2"/>
  <c r="RW91" i="2"/>
  <c r="RP91" i="2"/>
  <c r="SK90" i="2"/>
  <c r="SD90" i="2"/>
  <c r="RW90" i="2"/>
  <c r="RP90" i="2"/>
  <c r="SK89" i="2"/>
  <c r="SD89" i="2"/>
  <c r="RW89" i="2"/>
  <c r="RP89" i="2"/>
  <c r="SK88" i="2"/>
  <c r="SD88" i="2"/>
  <c r="RW88" i="2"/>
  <c r="RP88" i="2"/>
  <c r="SK87" i="2"/>
  <c r="SD87" i="2"/>
  <c r="RW87" i="2"/>
  <c r="RP87" i="2"/>
  <c r="SK86" i="2"/>
  <c r="SJ86" i="2"/>
  <c r="SD86" i="2"/>
  <c r="SC86" i="2"/>
  <c r="RW86" i="2"/>
  <c r="RV86" i="2"/>
  <c r="RP86" i="2"/>
  <c r="SK85" i="2"/>
  <c r="SD85" i="2"/>
  <c r="RW85" i="2"/>
  <c r="RP85" i="2"/>
  <c r="SK84" i="2"/>
  <c r="SD84" i="2"/>
  <c r="RW84" i="2"/>
  <c r="RP84" i="2"/>
  <c r="SK83" i="2"/>
  <c r="SD83" i="2"/>
  <c r="RW83" i="2"/>
  <c r="RP83" i="2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QU110" i="2"/>
  <c r="QN110" i="2"/>
  <c r="QG110" i="2"/>
  <c r="PZ110" i="2"/>
  <c r="PS110" i="2"/>
  <c r="RI107" i="2"/>
  <c r="RH107" i="2"/>
  <c r="RB107" i="2"/>
  <c r="RA107" i="2"/>
  <c r="QU107" i="2"/>
  <c r="QT107" i="2"/>
  <c r="QN107" i="2"/>
  <c r="QG107" i="2"/>
  <c r="PZ107" i="2"/>
  <c r="PS107" i="2"/>
  <c r="RI106" i="2"/>
  <c r="RH106" i="2"/>
  <c r="RB106" i="2"/>
  <c r="RA106" i="2"/>
  <c r="QU106" i="2"/>
  <c r="QT106" i="2"/>
  <c r="QN106" i="2"/>
  <c r="QG106" i="2"/>
  <c r="QF106" i="2"/>
  <c r="PZ106" i="2"/>
  <c r="PS106" i="2"/>
  <c r="RI105" i="2"/>
  <c r="RH105" i="2"/>
  <c r="RB105" i="2"/>
  <c r="RA105" i="2" s="1"/>
  <c r="QU105" i="2"/>
  <c r="QT105" i="2"/>
  <c r="QN105" i="2"/>
  <c r="QG105" i="2"/>
  <c r="PZ105" i="2"/>
  <c r="PS105" i="2"/>
  <c r="RI104" i="2"/>
  <c r="RH104" i="2"/>
  <c r="RB104" i="2"/>
  <c r="RA104" i="2" s="1"/>
  <c r="QU104" i="2"/>
  <c r="QT104" i="2" s="1"/>
  <c r="QN104" i="2"/>
  <c r="QG104" i="2"/>
  <c r="PZ104" i="2"/>
  <c r="PS104" i="2"/>
  <c r="RI103" i="2"/>
  <c r="RH103" i="2"/>
  <c r="RB103" i="2"/>
  <c r="RA103" i="2"/>
  <c r="QU103" i="2"/>
  <c r="QT103" i="2" s="1"/>
  <c r="QN103" i="2"/>
  <c r="QG103" i="2"/>
  <c r="PZ103" i="2"/>
  <c r="PY103" i="2"/>
  <c r="PS103" i="2"/>
  <c r="RI102" i="2"/>
  <c r="RH102" i="2"/>
  <c r="RB102" i="2"/>
  <c r="RA102" i="2" s="1"/>
  <c r="QU102" i="2"/>
  <c r="QT102" i="2"/>
  <c r="QN102" i="2"/>
  <c r="QG102" i="2"/>
  <c r="PZ102" i="2"/>
  <c r="PY102" i="2"/>
  <c r="PS102" i="2"/>
  <c r="RI101" i="2"/>
  <c r="RH101" i="2"/>
  <c r="RB101" i="2"/>
  <c r="QU101" i="2"/>
  <c r="QN101" i="2"/>
  <c r="QG101" i="2"/>
  <c r="QF101" i="2"/>
  <c r="PZ101" i="2"/>
  <c r="PS101" i="2"/>
  <c r="RI100" i="2"/>
  <c r="RH100" i="2"/>
  <c r="RB100" i="2"/>
  <c r="QU100" i="2"/>
  <c r="QN100" i="2"/>
  <c r="QG100" i="2"/>
  <c r="PZ100" i="2"/>
  <c r="PS100" i="2"/>
  <c r="RI97" i="2"/>
  <c r="RH97" i="2"/>
  <c r="RB97" i="2"/>
  <c r="QU97" i="2"/>
  <c r="QN97" i="2"/>
  <c r="QG97" i="2"/>
  <c r="PZ97" i="2"/>
  <c r="PS97" i="2"/>
  <c r="RI96" i="2"/>
  <c r="RH96" i="2"/>
  <c r="RB96" i="2"/>
  <c r="QU96" i="2"/>
  <c r="QN96" i="2"/>
  <c r="QG96" i="2"/>
  <c r="PZ96" i="2"/>
  <c r="PS96" i="2"/>
  <c r="RI95" i="2"/>
  <c r="RH95" i="2"/>
  <c r="RB95" i="2"/>
  <c r="QU95" i="2"/>
  <c r="QN95" i="2"/>
  <c r="QG95" i="2"/>
  <c r="PZ95" i="2"/>
  <c r="PS95" i="2"/>
  <c r="RI94" i="2"/>
  <c r="RH94" i="2"/>
  <c r="RB94" i="2"/>
  <c r="QU94" i="2"/>
  <c r="QN94" i="2"/>
  <c r="QG94" i="2"/>
  <c r="PZ94" i="2"/>
  <c r="PS94" i="2"/>
  <c r="RI93" i="2"/>
  <c r="RH93" i="2"/>
  <c r="RB93" i="2"/>
  <c r="QU93" i="2"/>
  <c r="QN93" i="2"/>
  <c r="QG93" i="2"/>
  <c r="PZ93" i="2"/>
  <c r="PS93" i="2"/>
  <c r="RI92" i="2"/>
  <c r="RH92" i="2"/>
  <c r="RB92" i="2"/>
  <c r="QU92" i="2"/>
  <c r="QN92" i="2"/>
  <c r="QG92" i="2"/>
  <c r="PZ92" i="2"/>
  <c r="PS92" i="2"/>
  <c r="RI91" i="2"/>
  <c r="RH91" i="2"/>
  <c r="RB91" i="2"/>
  <c r="QU91" i="2"/>
  <c r="QN91" i="2"/>
  <c r="QG91" i="2"/>
  <c r="PZ91" i="2"/>
  <c r="PS91" i="2"/>
  <c r="RI90" i="2"/>
  <c r="RH90" i="2"/>
  <c r="RB90" i="2"/>
  <c r="QU90" i="2"/>
  <c r="QN90" i="2"/>
  <c r="QG90" i="2"/>
  <c r="PZ90" i="2"/>
  <c r="PS90" i="2"/>
  <c r="RI89" i="2"/>
  <c r="RH89" i="2"/>
  <c r="RB89" i="2"/>
  <c r="QU89" i="2"/>
  <c r="QN89" i="2"/>
  <c r="QG89" i="2"/>
  <c r="PZ89" i="2"/>
  <c r="PS89" i="2"/>
  <c r="RI88" i="2"/>
  <c r="RH88" i="2"/>
  <c r="RB88" i="2"/>
  <c r="QU88" i="2"/>
  <c r="QT88" i="2"/>
  <c r="QN88" i="2"/>
  <c r="QG88" i="2"/>
  <c r="PZ88" i="2"/>
  <c r="PY88" i="2"/>
  <c r="PS88" i="2"/>
  <c r="PR88" i="2"/>
  <c r="RI87" i="2"/>
  <c r="RH87" i="2"/>
  <c r="RB87" i="2"/>
  <c r="QU87" i="2"/>
  <c r="QN87" i="2"/>
  <c r="QG87" i="2"/>
  <c r="PZ87" i="2"/>
  <c r="PS87" i="2"/>
  <c r="RI86" i="2"/>
  <c r="RH86" i="2"/>
  <c r="RB86" i="2"/>
  <c r="QU86" i="2"/>
  <c r="QN86" i="2"/>
  <c r="QG86" i="2"/>
  <c r="PZ86" i="2"/>
  <c r="PS86" i="2"/>
  <c r="PR86" i="2"/>
  <c r="RI85" i="2"/>
  <c r="RH85" i="2"/>
  <c r="RB85" i="2"/>
  <c r="QU85" i="2"/>
  <c r="QN85" i="2"/>
  <c r="QG85" i="2"/>
  <c r="PZ85" i="2"/>
  <c r="PS85" i="2"/>
  <c r="RI84" i="2"/>
  <c r="RH84" i="2"/>
  <c r="RB84" i="2"/>
  <c r="QU84" i="2"/>
  <c r="QN84" i="2"/>
  <c r="QG84" i="2"/>
  <c r="PZ84" i="2"/>
  <c r="PS84" i="2"/>
  <c r="RI83" i="2"/>
  <c r="RH83" i="2"/>
  <c r="RB83" i="2"/>
  <c r="RA83" i="2"/>
  <c r="QU83" i="2"/>
  <c r="QN83" i="2"/>
  <c r="QG83" i="2"/>
  <c r="QF83" i="2"/>
  <c r="PZ83" i="2"/>
  <c r="PY83" i="2"/>
  <c r="PS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E110" i="2"/>
  <c r="OX110" i="2"/>
  <c r="OQ110" i="2"/>
  <c r="OJ110" i="2"/>
  <c r="OC110" i="2"/>
  <c r="NV110" i="2"/>
  <c r="NO110" i="2"/>
  <c r="PL107" i="2"/>
  <c r="PE107" i="2"/>
  <c r="OX107" i="2"/>
  <c r="OW107" i="2"/>
  <c r="OQ107" i="2"/>
  <c r="OJ107" i="2"/>
  <c r="OC107" i="2"/>
  <c r="NV107" i="2"/>
  <c r="NO107" i="2"/>
  <c r="PL106" i="2"/>
  <c r="PE106" i="2"/>
  <c r="OX106" i="2"/>
  <c r="OW106" i="2" s="1"/>
  <c r="OQ106" i="2"/>
  <c r="OJ106" i="2"/>
  <c r="OC106" i="2"/>
  <c r="NV106" i="2"/>
  <c r="NO106" i="2"/>
  <c r="NN106" i="2"/>
  <c r="PL105" i="2"/>
  <c r="PE105" i="2"/>
  <c r="OX105" i="2"/>
  <c r="OW105" i="2"/>
  <c r="OQ105" i="2"/>
  <c r="OJ105" i="2"/>
  <c r="OC105" i="2"/>
  <c r="NV105" i="2"/>
  <c r="NO105" i="2"/>
  <c r="PL104" i="2"/>
  <c r="PE104" i="2"/>
  <c r="OX104" i="2"/>
  <c r="OW104" i="2"/>
  <c r="OQ104" i="2"/>
  <c r="OJ104" i="2"/>
  <c r="OC104" i="2"/>
  <c r="NV104" i="2"/>
  <c r="NO104" i="2"/>
  <c r="PL103" i="2"/>
  <c r="PE103" i="2"/>
  <c r="OX103" i="2"/>
  <c r="OW103" i="2"/>
  <c r="OQ103" i="2"/>
  <c r="OJ103" i="2"/>
  <c r="OC103" i="2"/>
  <c r="NV103" i="2"/>
  <c r="NO103" i="2"/>
  <c r="PL102" i="2"/>
  <c r="PE102" i="2"/>
  <c r="OX102" i="2"/>
  <c r="OW102" i="2" s="1"/>
  <c r="OQ102" i="2"/>
  <c r="OJ102" i="2"/>
  <c r="OC102" i="2"/>
  <c r="NV102" i="2"/>
  <c r="NO102" i="2"/>
  <c r="PL101" i="2"/>
  <c r="PE101" i="2"/>
  <c r="OX101" i="2"/>
  <c r="OQ101" i="2"/>
  <c r="OJ101" i="2"/>
  <c r="OC101" i="2"/>
  <c r="NV101" i="2"/>
  <c r="NO101" i="2"/>
  <c r="PL100" i="2"/>
  <c r="PE100" i="2"/>
  <c r="OX100" i="2"/>
  <c r="OQ100" i="2"/>
  <c r="OJ100" i="2"/>
  <c r="OC100" i="2"/>
  <c r="NV100" i="2"/>
  <c r="NO100" i="2"/>
  <c r="PL97" i="2"/>
  <c r="PE97" i="2"/>
  <c r="OX97" i="2"/>
  <c r="OQ97" i="2"/>
  <c r="OP97" i="2"/>
  <c r="OJ97" i="2"/>
  <c r="OC97" i="2"/>
  <c r="NV97" i="2"/>
  <c r="NO97" i="2"/>
  <c r="PL96" i="2"/>
  <c r="PE96" i="2"/>
  <c r="OX96" i="2"/>
  <c r="OQ96" i="2"/>
  <c r="OJ96" i="2"/>
  <c r="OC96" i="2"/>
  <c r="NV96" i="2"/>
  <c r="NO96" i="2"/>
  <c r="PL95" i="2"/>
  <c r="PE95" i="2"/>
  <c r="OX95" i="2"/>
  <c r="OQ95" i="2"/>
  <c r="OJ95" i="2"/>
  <c r="OC95" i="2"/>
  <c r="NV95" i="2"/>
  <c r="NO95" i="2"/>
  <c r="PL94" i="2"/>
  <c r="PE94" i="2"/>
  <c r="OX94" i="2"/>
  <c r="OQ94" i="2"/>
  <c r="OJ94" i="2"/>
  <c r="OC94" i="2"/>
  <c r="NV94" i="2"/>
  <c r="NO94" i="2"/>
  <c r="PL93" i="2"/>
  <c r="PE93" i="2"/>
  <c r="OX93" i="2"/>
  <c r="OQ93" i="2"/>
  <c r="OJ93" i="2"/>
  <c r="OC93" i="2"/>
  <c r="NV93" i="2"/>
  <c r="NO93" i="2"/>
  <c r="PL92" i="2"/>
  <c r="PE92" i="2"/>
  <c r="OX92" i="2"/>
  <c r="OW92" i="2"/>
  <c r="OQ92" i="2"/>
  <c r="OJ92" i="2"/>
  <c r="OI92" i="2"/>
  <c r="OC92" i="2"/>
  <c r="NV92" i="2"/>
  <c r="NO92" i="2"/>
  <c r="PL91" i="2"/>
  <c r="PE91" i="2"/>
  <c r="OX91" i="2"/>
  <c r="OQ91" i="2"/>
  <c r="OJ91" i="2"/>
  <c r="OC91" i="2"/>
  <c r="NV91" i="2"/>
  <c r="NO91" i="2"/>
  <c r="PL90" i="2"/>
  <c r="PE90" i="2"/>
  <c r="OX90" i="2"/>
  <c r="OQ90" i="2"/>
  <c r="OJ90" i="2"/>
  <c r="OC90" i="2"/>
  <c r="NV90" i="2"/>
  <c r="NO90" i="2"/>
  <c r="PL89" i="2"/>
  <c r="PE89" i="2"/>
  <c r="OX89" i="2"/>
  <c r="OQ89" i="2"/>
  <c r="OJ89" i="2"/>
  <c r="OC89" i="2"/>
  <c r="NV89" i="2"/>
  <c r="NO89" i="2"/>
  <c r="PL88" i="2"/>
  <c r="PK88" i="2"/>
  <c r="PE88" i="2"/>
  <c r="OX88" i="2"/>
  <c r="OQ88" i="2"/>
  <c r="OJ88" i="2"/>
  <c r="OC88" i="2"/>
  <c r="NV88" i="2"/>
  <c r="NU88" i="2"/>
  <c r="NO88" i="2"/>
  <c r="PL87" i="2"/>
  <c r="PE87" i="2"/>
  <c r="OX87" i="2"/>
  <c r="OQ87" i="2"/>
  <c r="OJ87" i="2"/>
  <c r="OC87" i="2"/>
  <c r="NV87" i="2"/>
  <c r="NO87" i="2"/>
  <c r="PL86" i="2"/>
  <c r="PE86" i="2"/>
  <c r="PD86" i="2"/>
  <c r="OX86" i="2"/>
  <c r="OW86" i="2"/>
  <c r="OQ86" i="2"/>
  <c r="OJ86" i="2"/>
  <c r="OC86" i="2"/>
  <c r="OB86" i="2"/>
  <c r="NV86" i="2"/>
  <c r="NO86" i="2"/>
  <c r="PL85" i="2"/>
  <c r="PE85" i="2"/>
  <c r="OX85" i="2"/>
  <c r="OQ85" i="2"/>
  <c r="OJ85" i="2"/>
  <c r="OC85" i="2"/>
  <c r="NV85" i="2"/>
  <c r="NO85" i="2"/>
  <c r="PL84" i="2"/>
  <c r="PE84" i="2"/>
  <c r="OX84" i="2"/>
  <c r="OQ84" i="2"/>
  <c r="OJ84" i="2"/>
  <c r="OC84" i="2"/>
  <c r="NV84" i="2"/>
  <c r="NO84" i="2"/>
  <c r="PL83" i="2"/>
  <c r="PE83" i="2"/>
  <c r="OX83" i="2"/>
  <c r="OQ83" i="2"/>
  <c r="OJ83" i="2"/>
  <c r="OC83" i="2"/>
  <c r="NV83" i="2"/>
  <c r="NO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8" i="2"/>
  <c r="Q148" i="2"/>
  <c r="Q190" i="2"/>
  <c r="Q207" i="2"/>
  <c r="Q206" i="2"/>
  <c r="Q209" i="2"/>
  <c r="Q205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A110" i="2"/>
  <c r="MZ110" i="2"/>
  <c r="MT110" i="2"/>
  <c r="MM110" i="2"/>
  <c r="MF110" i="2"/>
  <c r="ME110" i="2"/>
  <c r="LY110" i="2"/>
  <c r="NH107" i="2"/>
  <c r="NA107" i="2"/>
  <c r="MT107" i="2"/>
  <c r="MM107" i="2"/>
  <c r="MF107" i="2"/>
  <c r="LY107" i="2"/>
  <c r="NH106" i="2"/>
  <c r="NA106" i="2"/>
  <c r="MT106" i="2"/>
  <c r="MM106" i="2"/>
  <c r="MF106" i="2"/>
  <c r="LY106" i="2"/>
  <c r="NH105" i="2"/>
  <c r="NA105" i="2"/>
  <c r="MT105" i="2"/>
  <c r="MM105" i="2"/>
  <c r="MF105" i="2"/>
  <c r="LY105" i="2"/>
  <c r="NH104" i="2"/>
  <c r="NA104" i="2"/>
  <c r="MT104" i="2"/>
  <c r="MM104" i="2"/>
  <c r="MF104" i="2"/>
  <c r="LY104" i="2"/>
  <c r="NH103" i="2"/>
  <c r="NA103" i="2"/>
  <c r="MT103" i="2"/>
  <c r="MM103" i="2"/>
  <c r="MF103" i="2"/>
  <c r="LY103" i="2"/>
  <c r="NH102" i="2"/>
  <c r="NA102" i="2"/>
  <c r="MT102" i="2"/>
  <c r="MM102" i="2"/>
  <c r="MF102" i="2"/>
  <c r="LY102" i="2"/>
  <c r="NH101" i="2"/>
  <c r="NA101" i="2"/>
  <c r="MT101" i="2"/>
  <c r="MM101" i="2"/>
  <c r="MF101" i="2"/>
  <c r="LY101" i="2"/>
  <c r="NH100" i="2"/>
  <c r="NA100" i="2"/>
  <c r="MT100" i="2"/>
  <c r="MM100" i="2"/>
  <c r="MF100" i="2"/>
  <c r="LY100" i="2"/>
  <c r="NH97" i="2"/>
  <c r="NA97" i="2"/>
  <c r="MT97" i="2"/>
  <c r="MM97" i="2"/>
  <c r="MF97" i="2"/>
  <c r="LY97" i="2"/>
  <c r="NH96" i="2"/>
  <c r="NA96" i="2"/>
  <c r="MT96" i="2"/>
  <c r="MM96" i="2"/>
  <c r="MF96" i="2"/>
  <c r="LY96" i="2"/>
  <c r="NH95" i="2"/>
  <c r="NA95" i="2"/>
  <c r="MT95" i="2"/>
  <c r="MM95" i="2"/>
  <c r="MF95" i="2"/>
  <c r="LY95" i="2"/>
  <c r="NH94" i="2"/>
  <c r="NA94" i="2"/>
  <c r="MT94" i="2"/>
  <c r="MM94" i="2"/>
  <c r="MF94" i="2"/>
  <c r="LY94" i="2"/>
  <c r="NH93" i="2"/>
  <c r="NA93" i="2"/>
  <c r="MT93" i="2"/>
  <c r="MM93" i="2"/>
  <c r="MF93" i="2"/>
  <c r="LY93" i="2"/>
  <c r="NH92" i="2"/>
  <c r="NA92" i="2"/>
  <c r="MT92" i="2"/>
  <c r="MS92" i="2"/>
  <c r="MM92" i="2"/>
  <c r="MF92" i="2"/>
  <c r="LY92" i="2"/>
  <c r="NH91" i="2"/>
  <c r="NA91" i="2"/>
  <c r="MT91" i="2"/>
  <c r="MM91" i="2"/>
  <c r="MF91" i="2"/>
  <c r="LY91" i="2"/>
  <c r="NH90" i="2"/>
  <c r="NA90" i="2"/>
  <c r="MT90" i="2"/>
  <c r="MM90" i="2"/>
  <c r="MF90" i="2"/>
  <c r="LY90" i="2"/>
  <c r="NH89" i="2"/>
  <c r="NA89" i="2"/>
  <c r="MT89" i="2"/>
  <c r="MM89" i="2"/>
  <c r="MF89" i="2"/>
  <c r="LY89" i="2"/>
  <c r="NH88" i="2"/>
  <c r="NA88" i="2"/>
  <c r="MT88" i="2"/>
  <c r="MM88" i="2"/>
  <c r="MF88" i="2"/>
  <c r="ME88" i="2"/>
  <c r="LY88" i="2"/>
  <c r="NH87" i="2"/>
  <c r="NA87" i="2"/>
  <c r="MT87" i="2"/>
  <c r="MM87" i="2"/>
  <c r="MF87" i="2"/>
  <c r="LY87" i="2"/>
  <c r="NH86" i="2"/>
  <c r="NA86" i="2"/>
  <c r="MT86" i="2"/>
  <c r="MM86" i="2"/>
  <c r="ML86" i="2"/>
  <c r="MF86" i="2"/>
  <c r="LY86" i="2"/>
  <c r="LX86" i="2"/>
  <c r="NH85" i="2"/>
  <c r="NA85" i="2"/>
  <c r="MT85" i="2"/>
  <c r="MM85" i="2"/>
  <c r="MF85" i="2"/>
  <c r="LY85" i="2"/>
  <c r="NH84" i="2"/>
  <c r="NA84" i="2"/>
  <c r="MT84" i="2"/>
  <c r="MM84" i="2"/>
  <c r="MF84" i="2"/>
  <c r="LY84" i="2"/>
  <c r="NH83" i="2"/>
  <c r="NA83" i="2"/>
  <c r="MT83" i="2"/>
  <c r="MM83" i="2"/>
  <c r="MF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K110" i="2"/>
  <c r="LD110" i="2"/>
  <c r="LR107" i="2"/>
  <c r="LK107" i="2"/>
  <c r="LD107" i="2"/>
  <c r="LR106" i="2"/>
  <c r="LK106" i="2"/>
  <c r="LD106" i="2"/>
  <c r="LR105" i="2"/>
  <c r="LK105" i="2"/>
  <c r="LD105" i="2"/>
  <c r="LR104" i="2"/>
  <c r="LK104" i="2"/>
  <c r="LD104" i="2"/>
  <c r="LR103" i="2"/>
  <c r="LK103" i="2"/>
  <c r="LD103" i="2"/>
  <c r="LR102" i="2"/>
  <c r="LK102" i="2"/>
  <c r="LD102" i="2"/>
  <c r="LR101" i="2"/>
  <c r="LK101" i="2"/>
  <c r="LD101" i="2"/>
  <c r="LR100" i="2"/>
  <c r="LK100" i="2"/>
  <c r="LD100" i="2"/>
  <c r="LR97" i="2"/>
  <c r="LK97" i="2"/>
  <c r="LD97" i="2"/>
  <c r="LR96" i="2"/>
  <c r="LK96" i="2"/>
  <c r="LD96" i="2"/>
  <c r="LR95" i="2"/>
  <c r="LK95" i="2"/>
  <c r="LD95" i="2"/>
  <c r="LR94" i="2"/>
  <c r="LK94" i="2"/>
  <c r="LD94" i="2"/>
  <c r="LR93" i="2"/>
  <c r="LK93" i="2"/>
  <c r="LD93" i="2"/>
  <c r="LR92" i="2"/>
  <c r="LK92" i="2"/>
  <c r="LD92" i="2"/>
  <c r="LR91" i="2"/>
  <c r="LK91" i="2"/>
  <c r="LD91" i="2"/>
  <c r="LR90" i="2"/>
  <c r="LK90" i="2"/>
  <c r="LD90" i="2"/>
  <c r="LR89" i="2"/>
  <c r="LK89" i="2"/>
  <c r="LD89" i="2"/>
  <c r="LR88" i="2"/>
  <c r="LK88" i="2"/>
  <c r="LD88" i="2"/>
  <c r="LR87" i="2"/>
  <c r="LK87" i="2"/>
  <c r="LD87" i="2"/>
  <c r="LR86" i="2"/>
  <c r="LK86" i="2"/>
  <c r="LJ86" i="2"/>
  <c r="LD86" i="2"/>
  <c r="LC86" i="2"/>
  <c r="LR85" i="2"/>
  <c r="LK85" i="2"/>
  <c r="LD85" i="2"/>
  <c r="LR84" i="2"/>
  <c r="LK84" i="2"/>
  <c r="LD84" i="2"/>
  <c r="LR83" i="2"/>
  <c r="LK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P110" i="2"/>
  <c r="KI110" i="2"/>
  <c r="KW107" i="2"/>
  <c r="KP107" i="2"/>
  <c r="KI107" i="2"/>
  <c r="KW106" i="2"/>
  <c r="KP106" i="2"/>
  <c r="KI106" i="2"/>
  <c r="KW105" i="2"/>
  <c r="KP105" i="2"/>
  <c r="KI105" i="2"/>
  <c r="KW104" i="2"/>
  <c r="KP104" i="2"/>
  <c r="KI104" i="2"/>
  <c r="KW103" i="2"/>
  <c r="KP103" i="2"/>
  <c r="KI103" i="2"/>
  <c r="KW102" i="2"/>
  <c r="KP102" i="2"/>
  <c r="KI102" i="2"/>
  <c r="KW101" i="2"/>
  <c r="KP101" i="2"/>
  <c r="KI101" i="2"/>
  <c r="KH101" i="2"/>
  <c r="KW100" i="2"/>
  <c r="KP100" i="2"/>
  <c r="KI100" i="2"/>
  <c r="KH100" i="2"/>
  <c r="KW97" i="2"/>
  <c r="KP97" i="2"/>
  <c r="KI97" i="2"/>
  <c r="KW96" i="2"/>
  <c r="KP96" i="2"/>
  <c r="KI96" i="2"/>
  <c r="KW95" i="2"/>
  <c r="KP95" i="2"/>
  <c r="KI95" i="2"/>
  <c r="KW94" i="2"/>
  <c r="KP94" i="2"/>
  <c r="KI94" i="2"/>
  <c r="KW93" i="2"/>
  <c r="KP93" i="2"/>
  <c r="KI93" i="2"/>
  <c r="KW92" i="2"/>
  <c r="KP92" i="2"/>
  <c r="KI92" i="2"/>
  <c r="KW91" i="2"/>
  <c r="KP91" i="2"/>
  <c r="KI91" i="2"/>
  <c r="KW90" i="2"/>
  <c r="KP90" i="2"/>
  <c r="KI90" i="2"/>
  <c r="KW89" i="2"/>
  <c r="KP89" i="2"/>
  <c r="KI89" i="2"/>
  <c r="KW88" i="2"/>
  <c r="KP88" i="2"/>
  <c r="KI88" i="2"/>
  <c r="KW87" i="2"/>
  <c r="KP87" i="2"/>
  <c r="KI87" i="2"/>
  <c r="KW86" i="2"/>
  <c r="KP86" i="2"/>
  <c r="KI86" i="2"/>
  <c r="KW85" i="2"/>
  <c r="KP85" i="2"/>
  <c r="KI85" i="2"/>
  <c r="KW84" i="2"/>
  <c r="KP84" i="2"/>
  <c r="KI84" i="2"/>
  <c r="KW83" i="2"/>
  <c r="KP83" i="2"/>
  <c r="KI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JU110" i="2"/>
  <c r="JN110" i="2"/>
  <c r="KB107" i="2"/>
  <c r="JU107" i="2"/>
  <c r="JN107" i="2"/>
  <c r="KB106" i="2"/>
  <c r="JU106" i="2"/>
  <c r="JN106" i="2"/>
  <c r="KB105" i="2"/>
  <c r="JU105" i="2"/>
  <c r="JN105" i="2"/>
  <c r="KB104" i="2"/>
  <c r="JU104" i="2"/>
  <c r="JN104" i="2"/>
  <c r="KB103" i="2"/>
  <c r="JU103" i="2"/>
  <c r="JN103" i="2"/>
  <c r="KB102" i="2"/>
  <c r="KA102" i="2"/>
  <c r="JU102" i="2"/>
  <c r="JN102" i="2"/>
  <c r="JM102" i="2"/>
  <c r="KB101" i="2"/>
  <c r="JU101" i="2"/>
  <c r="JN101" i="2"/>
  <c r="JM101" i="2"/>
  <c r="KB100" i="2"/>
  <c r="JU100" i="2"/>
  <c r="JN100" i="2"/>
  <c r="JM100" i="2"/>
  <c r="KB97" i="2"/>
  <c r="JU97" i="2"/>
  <c r="JN97" i="2"/>
  <c r="KB96" i="2"/>
  <c r="JU96" i="2"/>
  <c r="JN96" i="2"/>
  <c r="KB95" i="2"/>
  <c r="JU95" i="2"/>
  <c r="JN95" i="2"/>
  <c r="KB94" i="2"/>
  <c r="JU94" i="2"/>
  <c r="JN94" i="2"/>
  <c r="KB93" i="2"/>
  <c r="JU93" i="2"/>
  <c r="JN93" i="2"/>
  <c r="KB92" i="2"/>
  <c r="JU92" i="2"/>
  <c r="JN92" i="2"/>
  <c r="KB91" i="2"/>
  <c r="JU91" i="2"/>
  <c r="JN91" i="2"/>
  <c r="KB90" i="2"/>
  <c r="JU90" i="2"/>
  <c r="JN90" i="2"/>
  <c r="KB89" i="2"/>
  <c r="JU89" i="2"/>
  <c r="JN89" i="2"/>
  <c r="KB88" i="2"/>
  <c r="JU88" i="2"/>
  <c r="JN88" i="2"/>
  <c r="KB87" i="2"/>
  <c r="JU87" i="2"/>
  <c r="JN87" i="2"/>
  <c r="KB86" i="2"/>
  <c r="JU86" i="2"/>
  <c r="JN86" i="2"/>
  <c r="KB85" i="2"/>
  <c r="JU85" i="2"/>
  <c r="JN85" i="2"/>
  <c r="KB84" i="2"/>
  <c r="JU84" i="2"/>
  <c r="JN84" i="2"/>
  <c r="KB83" i="2"/>
  <c r="JU83" i="2"/>
  <c r="JN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IZ110" i="2"/>
  <c r="IS110" i="2"/>
  <c r="JG107" i="2"/>
  <c r="IZ107" i="2"/>
  <c r="IS107" i="2"/>
  <c r="JG106" i="2"/>
  <c r="IZ106" i="2"/>
  <c r="IS106" i="2"/>
  <c r="JG105" i="2"/>
  <c r="IZ105" i="2"/>
  <c r="IS105" i="2"/>
  <c r="JG104" i="2"/>
  <c r="IZ104" i="2"/>
  <c r="IS104" i="2"/>
  <c r="JG103" i="2"/>
  <c r="IZ103" i="2"/>
  <c r="IS103" i="2"/>
  <c r="JG102" i="2"/>
  <c r="JF102" i="2"/>
  <c r="IZ102" i="2"/>
  <c r="IY102" i="2"/>
  <c r="IS102" i="2"/>
  <c r="JG101" i="2"/>
  <c r="IZ101" i="2"/>
  <c r="IS101" i="2"/>
  <c r="JG100" i="2"/>
  <c r="IZ100" i="2"/>
  <c r="IS100" i="2"/>
  <c r="JG97" i="2"/>
  <c r="IZ97" i="2"/>
  <c r="IS97" i="2"/>
  <c r="JG96" i="2"/>
  <c r="IZ96" i="2"/>
  <c r="IS96" i="2"/>
  <c r="JG95" i="2"/>
  <c r="IZ95" i="2"/>
  <c r="IS95" i="2"/>
  <c r="JG94" i="2"/>
  <c r="IZ94" i="2"/>
  <c r="IS94" i="2"/>
  <c r="JG93" i="2"/>
  <c r="IZ93" i="2"/>
  <c r="IS93" i="2"/>
  <c r="JG92" i="2"/>
  <c r="IZ92" i="2"/>
  <c r="IS92" i="2"/>
  <c r="JG91" i="2"/>
  <c r="IZ91" i="2"/>
  <c r="IS91" i="2"/>
  <c r="JG90" i="2"/>
  <c r="IZ90" i="2"/>
  <c r="IS90" i="2"/>
  <c r="JG89" i="2"/>
  <c r="IZ89" i="2"/>
  <c r="IS89" i="2"/>
  <c r="JG88" i="2"/>
  <c r="IZ88" i="2"/>
  <c r="IS88" i="2"/>
  <c r="JG87" i="2"/>
  <c r="IZ87" i="2"/>
  <c r="IS87" i="2"/>
  <c r="JG86" i="2"/>
  <c r="JF86" i="2"/>
  <c r="IZ86" i="2"/>
  <c r="IS86" i="2"/>
  <c r="JG85" i="2"/>
  <c r="IZ85" i="2"/>
  <c r="IS85" i="2"/>
  <c r="JG84" i="2"/>
  <c r="IZ84" i="2"/>
  <c r="IS84" i="2"/>
  <c r="JG83" i="2"/>
  <c r="JF83" i="2"/>
  <c r="IZ83" i="2"/>
  <c r="IS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HX110" i="2"/>
  <c r="IL107" i="2"/>
  <c r="IE107" i="2"/>
  <c r="HX107" i="2"/>
  <c r="IL106" i="2"/>
  <c r="IE106" i="2"/>
  <c r="HX106" i="2"/>
  <c r="IL105" i="2"/>
  <c r="IE105" i="2"/>
  <c r="HX105" i="2"/>
  <c r="IL104" i="2"/>
  <c r="IE104" i="2"/>
  <c r="HX104" i="2"/>
  <c r="IL103" i="2"/>
  <c r="IE103" i="2"/>
  <c r="HX103" i="2"/>
  <c r="IL102" i="2"/>
  <c r="IE102" i="2"/>
  <c r="HX102" i="2"/>
  <c r="IL101" i="2"/>
  <c r="IE101" i="2"/>
  <c r="HX101" i="2"/>
  <c r="IL100" i="2"/>
  <c r="IE100" i="2"/>
  <c r="HX100" i="2"/>
  <c r="IL97" i="2"/>
  <c r="IE97" i="2"/>
  <c r="HX97" i="2"/>
  <c r="IL96" i="2"/>
  <c r="IE96" i="2"/>
  <c r="HX96" i="2"/>
  <c r="IL95" i="2"/>
  <c r="IE95" i="2"/>
  <c r="HX95" i="2"/>
  <c r="IL94" i="2"/>
  <c r="IE94" i="2"/>
  <c r="HX94" i="2"/>
  <c r="IL93" i="2"/>
  <c r="IE93" i="2"/>
  <c r="HX93" i="2"/>
  <c r="IL92" i="2"/>
  <c r="IE92" i="2"/>
  <c r="HX92" i="2"/>
  <c r="IL91" i="2"/>
  <c r="IE91" i="2"/>
  <c r="HX91" i="2"/>
  <c r="IL90" i="2"/>
  <c r="IE90" i="2"/>
  <c r="HX90" i="2"/>
  <c r="IL89" i="2"/>
  <c r="IE89" i="2"/>
  <c r="HX89" i="2"/>
  <c r="IL88" i="2"/>
  <c r="IK88" i="2"/>
  <c r="IE88" i="2"/>
  <c r="HX88" i="2"/>
  <c r="IL87" i="2"/>
  <c r="IE87" i="2"/>
  <c r="HX87" i="2"/>
  <c r="IL86" i="2"/>
  <c r="IE86" i="2"/>
  <c r="HX86" i="2"/>
  <c r="HW86" i="2"/>
  <c r="IL85" i="2"/>
  <c r="IE85" i="2"/>
  <c r="HX85" i="2"/>
  <c r="IL84" i="2"/>
  <c r="IE84" i="2"/>
  <c r="HX84" i="2"/>
  <c r="IL83" i="2"/>
  <c r="IE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J110" i="2"/>
  <c r="HC110" i="2"/>
  <c r="HQ107" i="2"/>
  <c r="HJ107" i="2"/>
  <c r="HC107" i="2"/>
  <c r="HQ106" i="2"/>
  <c r="HJ106" i="2"/>
  <c r="HC106" i="2"/>
  <c r="HQ105" i="2"/>
  <c r="HJ105" i="2"/>
  <c r="HC105" i="2"/>
  <c r="HQ104" i="2"/>
  <c r="HJ104" i="2"/>
  <c r="HC104" i="2"/>
  <c r="HQ103" i="2"/>
  <c r="HJ103" i="2"/>
  <c r="HC103" i="2"/>
  <c r="HQ102" i="2"/>
  <c r="HJ102" i="2"/>
  <c r="HC102" i="2"/>
  <c r="HB102" i="2"/>
  <c r="HQ101" i="2"/>
  <c r="HJ101" i="2"/>
  <c r="HC101" i="2"/>
  <c r="HQ100" i="2"/>
  <c r="HJ100" i="2"/>
  <c r="HC100" i="2"/>
  <c r="HQ97" i="2"/>
  <c r="HJ97" i="2"/>
  <c r="HC97" i="2"/>
  <c r="HQ96" i="2"/>
  <c r="HJ96" i="2"/>
  <c r="HC96" i="2"/>
  <c r="HQ95" i="2"/>
  <c r="HJ95" i="2"/>
  <c r="HC95" i="2"/>
  <c r="HQ94" i="2"/>
  <c r="HJ94" i="2"/>
  <c r="HC94" i="2"/>
  <c r="HQ93" i="2"/>
  <c r="HJ93" i="2"/>
  <c r="HC93" i="2"/>
  <c r="HQ92" i="2"/>
  <c r="HJ92" i="2"/>
  <c r="HC92" i="2"/>
  <c r="HQ91" i="2"/>
  <c r="HJ91" i="2"/>
  <c r="HC91" i="2"/>
  <c r="HQ90" i="2"/>
  <c r="HJ90" i="2"/>
  <c r="HC90" i="2"/>
  <c r="HQ89" i="2"/>
  <c r="HJ89" i="2"/>
  <c r="HC89" i="2"/>
  <c r="HQ88" i="2"/>
  <c r="HJ88" i="2"/>
  <c r="HI88" i="2"/>
  <c r="HC88" i="2"/>
  <c r="HQ87" i="2"/>
  <c r="HJ87" i="2"/>
  <c r="HC87" i="2"/>
  <c r="HQ86" i="2"/>
  <c r="HP86" i="2"/>
  <c r="HJ86" i="2"/>
  <c r="HC86" i="2"/>
  <c r="HQ85" i="2"/>
  <c r="HJ85" i="2"/>
  <c r="HC85" i="2"/>
  <c r="HQ84" i="2"/>
  <c r="HJ84" i="2"/>
  <c r="HC84" i="2"/>
  <c r="HQ83" i="2"/>
  <c r="HP83" i="2"/>
  <c r="HJ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O110" i="2"/>
  <c r="GN110" i="2"/>
  <c r="GH110" i="2"/>
  <c r="GV107" i="2"/>
  <c r="GO107" i="2"/>
  <c r="GH107" i="2"/>
  <c r="GV106" i="2"/>
  <c r="GO106" i="2"/>
  <c r="GH106" i="2"/>
  <c r="GV105" i="2"/>
  <c r="GO105" i="2"/>
  <c r="GH105" i="2"/>
  <c r="GV104" i="2"/>
  <c r="GO104" i="2"/>
  <c r="GH104" i="2"/>
  <c r="GV103" i="2"/>
  <c r="GO103" i="2"/>
  <c r="GN103" i="2"/>
  <c r="GH103" i="2"/>
  <c r="GV102" i="2"/>
  <c r="GO102" i="2"/>
  <c r="GH102" i="2"/>
  <c r="GG102" i="2"/>
  <c r="GV101" i="2"/>
  <c r="GO101" i="2"/>
  <c r="GH101" i="2"/>
  <c r="GV100" i="2"/>
  <c r="GO100" i="2"/>
  <c r="GH100" i="2"/>
  <c r="GV97" i="2"/>
  <c r="GO97" i="2"/>
  <c r="GH97" i="2"/>
  <c r="GG97" i="2"/>
  <c r="GV96" i="2"/>
  <c r="GO96" i="2"/>
  <c r="GH96" i="2"/>
  <c r="GV95" i="2"/>
  <c r="GO95" i="2"/>
  <c r="GH95" i="2"/>
  <c r="GV94" i="2"/>
  <c r="GO94" i="2"/>
  <c r="GH94" i="2"/>
  <c r="GV93" i="2"/>
  <c r="GO93" i="2"/>
  <c r="GH93" i="2"/>
  <c r="GV92" i="2"/>
  <c r="GO92" i="2"/>
  <c r="GH92" i="2"/>
  <c r="GV91" i="2"/>
  <c r="GO91" i="2"/>
  <c r="GH91" i="2"/>
  <c r="GV90" i="2"/>
  <c r="GO90" i="2"/>
  <c r="GH90" i="2"/>
  <c r="GV89" i="2"/>
  <c r="GO89" i="2"/>
  <c r="GH89" i="2"/>
  <c r="GV88" i="2"/>
  <c r="GO88" i="2"/>
  <c r="GH88" i="2"/>
  <c r="GV87" i="2"/>
  <c r="GO87" i="2"/>
  <c r="GH87" i="2"/>
  <c r="GV86" i="2"/>
  <c r="GU86" i="2"/>
  <c r="GO86" i="2"/>
  <c r="GH86" i="2"/>
  <c r="GG86" i="2"/>
  <c r="GV85" i="2"/>
  <c r="GO85" i="2"/>
  <c r="GH85" i="2"/>
  <c r="GV84" i="2"/>
  <c r="GO84" i="2"/>
  <c r="GH84" i="2"/>
  <c r="GV83" i="2"/>
  <c r="GO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GA107" i="2"/>
  <c r="GA106" i="2"/>
  <c r="GA105" i="2"/>
  <c r="GA104" i="2"/>
  <c r="GA103" i="2"/>
  <c r="GA102" i="2"/>
  <c r="FZ102" i="2"/>
  <c r="GA101" i="2"/>
  <c r="GA100" i="2"/>
  <c r="GA97" i="2"/>
  <c r="GA96" i="2"/>
  <c r="GA95" i="2"/>
  <c r="GA94" i="2"/>
  <c r="GA93" i="2"/>
  <c r="GA92" i="2"/>
  <c r="GA91" i="2"/>
  <c r="GA90" i="2"/>
  <c r="GA89" i="2"/>
  <c r="GA88" i="2"/>
  <c r="FZ88" i="2"/>
  <c r="GA87" i="2"/>
  <c r="GA86" i="2"/>
  <c r="GA85" i="2"/>
  <c r="GA84" i="2"/>
  <c r="GA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T107" i="2"/>
  <c r="FT106" i="2"/>
  <c r="FT105" i="2"/>
  <c r="FT104" i="2"/>
  <c r="FT103" i="2"/>
  <c r="FS103" i="2"/>
  <c r="FT102" i="2"/>
  <c r="FS102" i="2"/>
  <c r="FT101" i="2"/>
  <c r="FT100" i="2"/>
  <c r="FT97" i="2"/>
  <c r="FT96" i="2"/>
  <c r="FT95" i="2"/>
  <c r="FT94" i="2"/>
  <c r="FT93" i="2"/>
  <c r="FT92" i="2"/>
  <c r="FT91" i="2"/>
  <c r="FT90" i="2"/>
  <c r="FT89" i="2"/>
  <c r="FT88" i="2"/>
  <c r="FT87" i="2"/>
  <c r="FT86" i="2"/>
  <c r="FT85" i="2"/>
  <c r="FT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V83" i="2"/>
  <c r="AB83" i="2"/>
  <c r="AC83" i="2"/>
  <c r="V84" i="2"/>
  <c r="AB84" i="2"/>
  <c r="AC84" i="2"/>
  <c r="V85" i="2"/>
  <c r="AB85" i="2"/>
  <c r="AC85" i="2"/>
  <c r="V86" i="2"/>
  <c r="AB86" i="2"/>
  <c r="AC86" i="2"/>
  <c r="V87" i="2"/>
  <c r="AB87" i="2"/>
  <c r="AC87" i="2"/>
  <c r="U88" i="2"/>
  <c r="V88" i="2"/>
  <c r="AB88" i="2"/>
  <c r="AC88" i="2"/>
  <c r="V89" i="2"/>
  <c r="AB89" i="2"/>
  <c r="AC89" i="2"/>
  <c r="V90" i="2"/>
  <c r="AB90" i="2"/>
  <c r="AC90" i="2"/>
  <c r="V91" i="2"/>
  <c r="AB91" i="2"/>
  <c r="AC91" i="2"/>
  <c r="V92" i="2"/>
  <c r="AB92" i="2"/>
  <c r="AC92" i="2"/>
  <c r="V93" i="2"/>
  <c r="AB93" i="2"/>
  <c r="AC93" i="2"/>
  <c r="V94" i="2"/>
  <c r="AB94" i="2"/>
  <c r="AC94" i="2"/>
  <c r="V95" i="2"/>
  <c r="AB95" i="2"/>
  <c r="AC95" i="2"/>
  <c r="V96" i="2"/>
  <c r="AB96" i="2"/>
  <c r="AC96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F110" i="2"/>
  <c r="EY110" i="2"/>
  <c r="ER110" i="2"/>
  <c r="FM107" i="2"/>
  <c r="FF107" i="2"/>
  <c r="EY107" i="2"/>
  <c r="ER107" i="2"/>
  <c r="FM106" i="2"/>
  <c r="FF106" i="2"/>
  <c r="EY106" i="2"/>
  <c r="EX106" i="2"/>
  <c r="ER106" i="2"/>
  <c r="FM105" i="2"/>
  <c r="FF105" i="2"/>
  <c r="EY105" i="2"/>
  <c r="ER105" i="2"/>
  <c r="FM104" i="2"/>
  <c r="FF104" i="2"/>
  <c r="EY104" i="2"/>
  <c r="ER104" i="2"/>
  <c r="FM103" i="2"/>
  <c r="FF103" i="2"/>
  <c r="EY103" i="2"/>
  <c r="ER103" i="2"/>
  <c r="FM102" i="2"/>
  <c r="FL102" i="2"/>
  <c r="FF102" i="2"/>
  <c r="EY102" i="2"/>
  <c r="ER102" i="2"/>
  <c r="EQ102" i="2"/>
  <c r="FM101" i="2"/>
  <c r="FF101" i="2"/>
  <c r="EY101" i="2"/>
  <c r="ER101" i="2"/>
  <c r="FM100" i="2"/>
  <c r="FF100" i="2"/>
  <c r="EY100" i="2"/>
  <c r="ER100" i="2"/>
  <c r="FM97" i="2"/>
  <c r="FF97" i="2"/>
  <c r="EY97" i="2"/>
  <c r="ER97" i="2"/>
  <c r="FM96" i="2"/>
  <c r="FF96" i="2"/>
  <c r="EY96" i="2"/>
  <c r="ER96" i="2"/>
  <c r="FM95" i="2"/>
  <c r="FF95" i="2"/>
  <c r="EY95" i="2"/>
  <c r="ER95" i="2"/>
  <c r="FM94" i="2"/>
  <c r="FF94" i="2"/>
  <c r="EY94" i="2"/>
  <c r="ER94" i="2"/>
  <c r="FM93" i="2"/>
  <c r="FF93" i="2"/>
  <c r="EY93" i="2"/>
  <c r="ER93" i="2"/>
  <c r="FM92" i="2"/>
  <c r="FF92" i="2"/>
  <c r="EY92" i="2"/>
  <c r="ER92" i="2"/>
  <c r="FM91" i="2"/>
  <c r="FF91" i="2"/>
  <c r="EY91" i="2"/>
  <c r="ER91" i="2"/>
  <c r="FM90" i="2"/>
  <c r="FF90" i="2"/>
  <c r="EY90" i="2"/>
  <c r="ER90" i="2"/>
  <c r="FM89" i="2"/>
  <c r="FF89" i="2"/>
  <c r="EY89" i="2"/>
  <c r="ER89" i="2"/>
  <c r="FM88" i="2"/>
  <c r="FL88" i="2"/>
  <c r="FF88" i="2"/>
  <c r="EY88" i="2"/>
  <c r="ER88" i="2"/>
  <c r="FM87" i="2"/>
  <c r="FF87" i="2"/>
  <c r="EY87" i="2"/>
  <c r="ER87" i="2"/>
  <c r="FM86" i="2"/>
  <c r="FF86" i="2"/>
  <c r="EY86" i="2"/>
  <c r="EX86" i="2"/>
  <c r="ER86" i="2"/>
  <c r="FM85" i="2"/>
  <c r="FF85" i="2"/>
  <c r="EY85" i="2"/>
  <c r="ER85" i="2"/>
  <c r="FM84" i="2"/>
  <c r="FF84" i="2"/>
  <c r="EY84" i="2"/>
  <c r="ER84" i="2"/>
  <c r="FM83" i="2"/>
  <c r="FL83" i="2"/>
  <c r="FF83" i="2"/>
  <c r="EY83" i="2"/>
  <c r="ER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D110" i="2"/>
  <c r="EC110" i="2"/>
  <c r="DW110" i="2"/>
  <c r="DV110" i="2"/>
  <c r="DP110" i="2"/>
  <c r="DO110" i="2"/>
  <c r="DI110" i="2"/>
  <c r="DB110" i="2"/>
  <c r="CU110" i="2"/>
  <c r="CN110" i="2"/>
  <c r="CM110" i="2"/>
  <c r="EK107" i="2"/>
  <c r="ED107" i="2"/>
  <c r="DW107" i="2"/>
  <c r="DP107" i="2"/>
  <c r="DI107" i="2"/>
  <c r="DB107" i="2"/>
  <c r="CU107" i="2"/>
  <c r="CN107" i="2"/>
  <c r="EK106" i="2"/>
  <c r="ED106" i="2"/>
  <c r="EC106" i="2"/>
  <c r="DW106" i="2"/>
  <c r="DP106" i="2"/>
  <c r="DI106" i="2"/>
  <c r="DB106" i="2"/>
  <c r="CU106" i="2"/>
  <c r="CN106" i="2"/>
  <c r="EK105" i="2"/>
  <c r="ED105" i="2"/>
  <c r="DW105" i="2"/>
  <c r="DP105" i="2"/>
  <c r="DI105" i="2"/>
  <c r="DB105" i="2"/>
  <c r="CU105" i="2"/>
  <c r="CN105" i="2"/>
  <c r="EK104" i="2"/>
  <c r="ED104" i="2"/>
  <c r="DW104" i="2"/>
  <c r="DP104" i="2"/>
  <c r="DI104" i="2"/>
  <c r="DB104" i="2"/>
  <c r="CU104" i="2"/>
  <c r="CN104" i="2"/>
  <c r="EK103" i="2"/>
  <c r="ED103" i="2"/>
  <c r="EC103" i="2"/>
  <c r="DW103" i="2"/>
  <c r="DP103" i="2"/>
  <c r="DI103" i="2"/>
  <c r="DB103" i="2"/>
  <c r="DA103" i="2"/>
  <c r="CU103" i="2"/>
  <c r="CN103" i="2"/>
  <c r="EK102" i="2"/>
  <c r="ED102" i="2"/>
  <c r="EC102" i="2"/>
  <c r="DW102" i="2"/>
  <c r="DP102" i="2"/>
  <c r="DO102" i="2"/>
  <c r="DI102" i="2"/>
  <c r="DB102" i="2"/>
  <c r="CU102" i="2"/>
  <c r="CT102" i="2"/>
  <c r="CN102" i="2"/>
  <c r="EK101" i="2"/>
  <c r="ED101" i="2"/>
  <c r="DW101" i="2"/>
  <c r="DP101" i="2"/>
  <c r="DI101" i="2"/>
  <c r="DB101" i="2"/>
  <c r="CU101" i="2"/>
  <c r="CN101" i="2"/>
  <c r="EK100" i="2"/>
  <c r="ED100" i="2"/>
  <c r="DW100" i="2"/>
  <c r="DP100" i="2"/>
  <c r="DI100" i="2"/>
  <c r="DB100" i="2"/>
  <c r="CU100" i="2"/>
  <c r="CN100" i="2"/>
  <c r="EK97" i="2"/>
  <c r="ED97" i="2"/>
  <c r="DW97" i="2"/>
  <c r="DP97" i="2"/>
  <c r="DI97" i="2"/>
  <c r="DB97" i="2"/>
  <c r="CU97" i="2"/>
  <c r="CN97" i="2"/>
  <c r="EK96" i="2"/>
  <c r="ED96" i="2"/>
  <c r="DW96" i="2"/>
  <c r="DP96" i="2"/>
  <c r="DI96" i="2"/>
  <c r="DB96" i="2"/>
  <c r="CU96" i="2"/>
  <c r="CN96" i="2"/>
  <c r="EK95" i="2"/>
  <c r="ED95" i="2"/>
  <c r="DW95" i="2"/>
  <c r="DP95" i="2"/>
  <c r="DI95" i="2"/>
  <c r="DB95" i="2"/>
  <c r="CU95" i="2"/>
  <c r="CN95" i="2"/>
  <c r="EK94" i="2"/>
  <c r="ED94" i="2"/>
  <c r="DW94" i="2"/>
  <c r="DP94" i="2"/>
  <c r="DI94" i="2"/>
  <c r="DB94" i="2"/>
  <c r="CU94" i="2"/>
  <c r="CN94" i="2"/>
  <c r="EK93" i="2"/>
  <c r="ED93" i="2"/>
  <c r="DW93" i="2"/>
  <c r="DP93" i="2"/>
  <c r="DI93" i="2"/>
  <c r="DB93" i="2"/>
  <c r="CU93" i="2"/>
  <c r="CN93" i="2"/>
  <c r="EK92" i="2"/>
  <c r="ED92" i="2"/>
  <c r="DW92" i="2"/>
  <c r="DP92" i="2"/>
  <c r="DI92" i="2"/>
  <c r="DB92" i="2"/>
  <c r="CU92" i="2"/>
  <c r="CN92" i="2"/>
  <c r="EK91" i="2"/>
  <c r="ED91" i="2"/>
  <c r="DW91" i="2"/>
  <c r="DP91" i="2"/>
  <c r="DI91" i="2"/>
  <c r="DB91" i="2"/>
  <c r="CU91" i="2"/>
  <c r="CN91" i="2"/>
  <c r="EK90" i="2"/>
  <c r="ED90" i="2"/>
  <c r="DW90" i="2"/>
  <c r="DP90" i="2"/>
  <c r="DI90" i="2"/>
  <c r="DB90" i="2"/>
  <c r="CU90" i="2"/>
  <c r="CN90" i="2"/>
  <c r="EK89" i="2"/>
  <c r="ED89" i="2"/>
  <c r="DW89" i="2"/>
  <c r="DP89" i="2"/>
  <c r="DI89" i="2"/>
  <c r="DB89" i="2"/>
  <c r="CU89" i="2"/>
  <c r="CN89" i="2"/>
  <c r="EK88" i="2"/>
  <c r="EJ88" i="2"/>
  <c r="ED88" i="2"/>
  <c r="DW88" i="2"/>
  <c r="DV88" i="2"/>
  <c r="DP88" i="2"/>
  <c r="DI88" i="2"/>
  <c r="DB88" i="2"/>
  <c r="CU88" i="2"/>
  <c r="CN88" i="2"/>
  <c r="CM88" i="2"/>
  <c r="EK87" i="2"/>
  <c r="ED87" i="2"/>
  <c r="DW87" i="2"/>
  <c r="DP87" i="2"/>
  <c r="DI87" i="2"/>
  <c r="DB87" i="2"/>
  <c r="CU87" i="2"/>
  <c r="CN87" i="2"/>
  <c r="EK86" i="2"/>
  <c r="EJ86" i="2"/>
  <c r="ED86" i="2"/>
  <c r="EC86" i="2"/>
  <c r="DW86" i="2"/>
  <c r="DP86" i="2"/>
  <c r="DI86" i="2"/>
  <c r="DB86" i="2"/>
  <c r="CU86" i="2"/>
  <c r="CT86" i="2"/>
  <c r="CN86" i="2"/>
  <c r="CM86" i="2"/>
  <c r="EK85" i="2"/>
  <c r="ED85" i="2"/>
  <c r="DW85" i="2"/>
  <c r="DP85" i="2"/>
  <c r="DI85" i="2"/>
  <c r="DB85" i="2"/>
  <c r="CU85" i="2"/>
  <c r="CN85" i="2"/>
  <c r="EK84" i="2"/>
  <c r="ED84" i="2"/>
  <c r="DW84" i="2"/>
  <c r="DP84" i="2"/>
  <c r="DI84" i="2"/>
  <c r="DB84" i="2"/>
  <c r="CU84" i="2"/>
  <c r="CN84" i="2"/>
  <c r="EK83" i="2"/>
  <c r="ED83" i="2"/>
  <c r="EC83" i="2"/>
  <c r="DW83" i="2"/>
  <c r="DP83" i="2"/>
  <c r="DI83" i="2"/>
  <c r="DB83" i="2"/>
  <c r="CU83" i="2"/>
  <c r="CN83" i="2"/>
  <c r="EK82" i="2"/>
  <c r="ED82" i="2"/>
  <c r="DW82" i="2"/>
  <c r="DP82" i="2"/>
  <c r="DI82" i="2"/>
  <c r="DB82" i="2"/>
  <c r="CU82" i="2"/>
  <c r="CN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BZ110" i="2"/>
  <c r="BS110" i="2"/>
  <c r="BL110" i="2"/>
  <c r="CG107" i="2"/>
  <c r="BZ107" i="2"/>
  <c r="BS107" i="2"/>
  <c r="BL107" i="2"/>
  <c r="CG106" i="2"/>
  <c r="BZ106" i="2"/>
  <c r="BS106" i="2"/>
  <c r="BL106" i="2"/>
  <c r="CG105" i="2"/>
  <c r="BZ105" i="2"/>
  <c r="BS105" i="2"/>
  <c r="BL105" i="2"/>
  <c r="CG104" i="2"/>
  <c r="BZ104" i="2"/>
  <c r="BS104" i="2"/>
  <c r="BL104" i="2"/>
  <c r="CG103" i="2"/>
  <c r="BZ103" i="2"/>
  <c r="BS103" i="2"/>
  <c r="BL103" i="2"/>
  <c r="CG102" i="2"/>
  <c r="BZ102" i="2"/>
  <c r="BS102" i="2"/>
  <c r="BL102" i="2"/>
  <c r="CG101" i="2"/>
  <c r="BZ101" i="2"/>
  <c r="BS101" i="2"/>
  <c r="BL101" i="2"/>
  <c r="CG100" i="2"/>
  <c r="BZ100" i="2"/>
  <c r="BS100" i="2"/>
  <c r="BL100" i="2"/>
  <c r="CG97" i="2"/>
  <c r="CF97" i="2"/>
  <c r="BZ97" i="2"/>
  <c r="BS97" i="2"/>
  <c r="BL97" i="2"/>
  <c r="CG96" i="2"/>
  <c r="CF96" i="2"/>
  <c r="BZ96" i="2"/>
  <c r="BS96" i="2"/>
  <c r="BL96" i="2"/>
  <c r="CG95" i="2"/>
  <c r="CF95" i="2"/>
  <c r="BZ95" i="2"/>
  <c r="BS95" i="2"/>
  <c r="BL95" i="2"/>
  <c r="CG94" i="2"/>
  <c r="CF94" i="2"/>
  <c r="BZ94" i="2"/>
  <c r="BS94" i="2"/>
  <c r="BL94" i="2"/>
  <c r="CG93" i="2"/>
  <c r="CF93" i="2"/>
  <c r="BZ93" i="2"/>
  <c r="BS93" i="2"/>
  <c r="BL93" i="2"/>
  <c r="CG92" i="2"/>
  <c r="CF92" i="2"/>
  <c r="BZ92" i="2"/>
  <c r="BS92" i="2"/>
  <c r="BL92" i="2"/>
  <c r="CG91" i="2"/>
  <c r="CF91" i="2"/>
  <c r="BZ91" i="2"/>
  <c r="BS91" i="2"/>
  <c r="BL91" i="2"/>
  <c r="CG90" i="2"/>
  <c r="CF90" i="2"/>
  <c r="BZ90" i="2"/>
  <c r="BS90" i="2"/>
  <c r="BL90" i="2"/>
  <c r="CG89" i="2"/>
  <c r="CF89" i="2"/>
  <c r="BZ89" i="2"/>
  <c r="BS89" i="2"/>
  <c r="BL89" i="2"/>
  <c r="CG88" i="2"/>
  <c r="CF88" i="2"/>
  <c r="BZ88" i="2"/>
  <c r="BS88" i="2"/>
  <c r="BL88" i="2"/>
  <c r="CG87" i="2"/>
  <c r="CF87" i="2"/>
  <c r="BZ87" i="2"/>
  <c r="BS87" i="2"/>
  <c r="BL87" i="2"/>
  <c r="CG86" i="2"/>
  <c r="CF86" i="2"/>
  <c r="BZ86" i="2"/>
  <c r="BS86" i="2"/>
  <c r="BL86" i="2"/>
  <c r="CG85" i="2"/>
  <c r="CF85" i="2"/>
  <c r="BZ85" i="2"/>
  <c r="BS85" i="2"/>
  <c r="BL85" i="2"/>
  <c r="CG84" i="2"/>
  <c r="CF84" i="2"/>
  <c r="BZ84" i="2"/>
  <c r="BS84" i="2"/>
  <c r="BL84" i="2"/>
  <c r="CG83" i="2"/>
  <c r="CF83" i="2"/>
  <c r="BZ83" i="2"/>
  <c r="BS83" i="2"/>
  <c r="BL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E107" i="2"/>
  <c r="BE106" i="2"/>
  <c r="BE105" i="2"/>
  <c r="BE104" i="2"/>
  <c r="BD104" i="2"/>
  <c r="BE103" i="2"/>
  <c r="BE102" i="2"/>
  <c r="BD102" i="2"/>
  <c r="BE101" i="2"/>
  <c r="BE100" i="2"/>
  <c r="BE97" i="2"/>
  <c r="BE96" i="2"/>
  <c r="BE95" i="2"/>
  <c r="BE94" i="2"/>
  <c r="BE93" i="2"/>
  <c r="BE92" i="2"/>
  <c r="BE91" i="2"/>
  <c r="BE90" i="2"/>
  <c r="BE89" i="2"/>
  <c r="BE88" i="2"/>
  <c r="BE87" i="2"/>
  <c r="BE86" i="2"/>
  <c r="BD86" i="2"/>
  <c r="BE85" i="2"/>
  <c r="BE84" i="2"/>
  <c r="BE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X107" i="2"/>
  <c r="AX106" i="2"/>
  <c r="AX105" i="2"/>
  <c r="AX104" i="2"/>
  <c r="AX103" i="2"/>
  <c r="AX102" i="2"/>
  <c r="AX101" i="2"/>
  <c r="AX100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Q107" i="2"/>
  <c r="AQ106" i="2"/>
  <c r="AQ105" i="2"/>
  <c r="AQ104" i="2"/>
  <c r="AQ103" i="2"/>
  <c r="AQ102" i="2"/>
  <c r="AQ101" i="2"/>
  <c r="AQ100" i="2"/>
  <c r="AQ97" i="2"/>
  <c r="AQ96" i="2"/>
  <c r="AQ95" i="2"/>
  <c r="AQ94" i="2"/>
  <c r="AQ93" i="2"/>
  <c r="AQ92" i="2"/>
  <c r="AQ91" i="2"/>
  <c r="AQ90" i="2"/>
  <c r="AQ89" i="2"/>
  <c r="AQ88" i="2"/>
  <c r="AQ87" i="2"/>
  <c r="AQ86" i="2"/>
  <c r="AP86" i="2"/>
  <c r="AQ85" i="2"/>
  <c r="AQ84" i="2"/>
  <c r="AQ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J107" i="2"/>
  <c r="AJ106" i="2"/>
  <c r="AJ105" i="2"/>
  <c r="AJ104" i="2"/>
  <c r="AJ103" i="2"/>
  <c r="AJ102" i="2"/>
  <c r="AJ101" i="2"/>
  <c r="AJ100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82" i="2"/>
  <c r="Q185" i="2"/>
  <c r="Q198" i="2"/>
  <c r="Q181" i="2"/>
  <c r="Q184" i="2"/>
  <c r="Q174" i="2"/>
  <c r="Q142" i="2"/>
  <c r="Q143" i="2"/>
  <c r="Q178" i="2"/>
  <c r="Q145" i="2"/>
  <c r="Q172" i="2"/>
  <c r="Q203" i="2"/>
  <c r="Q177" i="2"/>
  <c r="Q159" i="2"/>
  <c r="Q200" i="2"/>
  <c r="Q139" i="2"/>
  <c r="Q197" i="2"/>
  <c r="Q193" i="2"/>
  <c r="Q175" i="2"/>
  <c r="Q138" i="2"/>
  <c r="Q196" i="2"/>
  <c r="Q151" i="2"/>
  <c r="Q149" i="2"/>
  <c r="Q156" i="2"/>
  <c r="Q165" i="2"/>
  <c r="Q202" i="2"/>
  <c r="Q163" i="2"/>
  <c r="Q179" i="2"/>
  <c r="Q161" i="2"/>
  <c r="Q176" i="2"/>
  <c r="Q168" i="2"/>
  <c r="Q201" i="2"/>
  <c r="Q171" i="2"/>
  <c r="Q187" i="2"/>
  <c r="Q183" i="2"/>
  <c r="Q153" i="2"/>
  <c r="Q199" i="2"/>
  <c r="Q195" i="2"/>
  <c r="Q167" i="2"/>
  <c r="Q170" i="2"/>
  <c r="Q166" i="2"/>
  <c r="Q147" i="2"/>
  <c r="Q162" i="2"/>
  <c r="Q192" i="2"/>
  <c r="Q157" i="2"/>
  <c r="Q173" i="2"/>
  <c r="Q154" i="2"/>
  <c r="Q204" i="2"/>
  <c r="Q169" i="2"/>
  <c r="Q146" i="2"/>
  <c r="Q144" i="2"/>
  <c r="Q164" i="2"/>
  <c r="Q155" i="2"/>
  <c r="Q150" i="2"/>
  <c r="Q194" i="2"/>
  <c r="Q140" i="2"/>
  <c r="Q189" i="2"/>
  <c r="Q186" i="2"/>
  <c r="Q188" i="2"/>
  <c r="Q180" i="2"/>
  <c r="Q152" i="2"/>
  <c r="Q191" i="2"/>
  <c r="Q160" i="2"/>
  <c r="Q158" i="2"/>
  <c r="Q141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CM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SJ110" i="2" l="1"/>
  <c r="RA110" i="2"/>
  <c r="QM110" i="2"/>
  <c r="PY110" i="2"/>
  <c r="PK110" i="2"/>
  <c r="OW110" i="2"/>
  <c r="OI110" i="2"/>
  <c r="NU110" i="2"/>
  <c r="SQ110" i="2"/>
  <c r="SC110" i="2"/>
  <c r="RO110" i="2"/>
  <c r="QT110" i="2"/>
  <c r="QF110" i="2"/>
  <c r="PR110" i="2"/>
  <c r="PD110" i="2"/>
  <c r="OP110" i="2"/>
  <c r="OB110" i="2"/>
  <c r="NN110" i="2"/>
  <c r="ML110" i="2"/>
  <c r="LX110" i="2"/>
  <c r="JT110" i="2"/>
  <c r="JF110" i="2"/>
  <c r="IR110" i="2"/>
  <c r="HW110" i="2"/>
  <c r="HI110" i="2"/>
  <c r="GU110" i="2"/>
  <c r="GG110" i="2"/>
  <c r="DA110" i="2"/>
  <c r="CF110" i="2"/>
  <c r="BR110" i="2"/>
  <c r="BD110" i="2"/>
  <c r="LQ110" i="2"/>
  <c r="LC110" i="2"/>
  <c r="KO110" i="2"/>
  <c r="FL110" i="2"/>
  <c r="EX110" i="2"/>
  <c r="AW110" i="2"/>
  <c r="NG110" i="2"/>
  <c r="MS110" i="2"/>
  <c r="KA110" i="2"/>
  <c r="JM110" i="2"/>
  <c r="IY110" i="2"/>
  <c r="ID110" i="2"/>
  <c r="HP110" i="2"/>
  <c r="HB110" i="2"/>
  <c r="FZ110" i="2"/>
  <c r="FS110" i="2"/>
  <c r="EJ110" i="2"/>
  <c r="DH110" i="2"/>
  <c r="CT110" i="2"/>
  <c r="BY110" i="2"/>
  <c r="BK110" i="2"/>
  <c r="AI110" i="2"/>
  <c r="LJ110" i="2"/>
  <c r="KV110" i="2"/>
  <c r="KH110" i="2"/>
  <c r="FE110" i="2"/>
  <c r="EQ110" i="2"/>
  <c r="AP110" i="2"/>
  <c r="SQ107" i="2"/>
  <c r="SC107" i="2"/>
  <c r="SJ107" i="2"/>
  <c r="RV107" i="2"/>
  <c r="QF107" i="2"/>
  <c r="PR107" i="2"/>
  <c r="PD107" i="2"/>
  <c r="OP107" i="2"/>
  <c r="OB107" i="2"/>
  <c r="NN107" i="2"/>
  <c r="RO107" i="2"/>
  <c r="QM107" i="2"/>
  <c r="PY107" i="2"/>
  <c r="PK107" i="2"/>
  <c r="OI107" i="2"/>
  <c r="NU107" i="2"/>
  <c r="MZ107" i="2"/>
  <c r="ML107" i="2"/>
  <c r="LX107" i="2"/>
  <c r="KO107" i="2"/>
  <c r="KA107" i="2"/>
  <c r="JM107" i="2"/>
  <c r="IK107" i="2"/>
  <c r="HW107" i="2"/>
  <c r="GN107" i="2"/>
  <c r="FS107" i="2"/>
  <c r="FE107" i="2"/>
  <c r="EQ107" i="2"/>
  <c r="AP107" i="2"/>
  <c r="AI107" i="2"/>
  <c r="LQ107" i="2"/>
  <c r="LC107" i="2"/>
  <c r="JF107" i="2"/>
  <c r="IR107" i="2"/>
  <c r="HP107" i="2"/>
  <c r="HB107" i="2"/>
  <c r="EC107" i="2"/>
  <c r="DO107" i="2"/>
  <c r="DA107" i="2"/>
  <c r="CM107" i="2"/>
  <c r="CF107" i="2"/>
  <c r="BR107" i="2"/>
  <c r="AW107" i="2"/>
  <c r="NG107" i="2"/>
  <c r="MS107" i="2"/>
  <c r="ME107" i="2"/>
  <c r="KV107" i="2"/>
  <c r="KH107" i="2"/>
  <c r="JT107" i="2"/>
  <c r="ID107" i="2"/>
  <c r="GU107" i="2"/>
  <c r="GG107" i="2"/>
  <c r="FL107" i="2"/>
  <c r="EX107" i="2"/>
  <c r="LJ107" i="2"/>
  <c r="IY107" i="2"/>
  <c r="HI107" i="2"/>
  <c r="FZ107" i="2"/>
  <c r="EJ107" i="2"/>
  <c r="DV107" i="2"/>
  <c r="DH107" i="2"/>
  <c r="CT107" i="2"/>
  <c r="BY107" i="2"/>
  <c r="BK107" i="2"/>
  <c r="BD107" i="2"/>
  <c r="PD106" i="2"/>
  <c r="OP106" i="2"/>
  <c r="OB106" i="2"/>
  <c r="SJ106" i="2"/>
  <c r="RV106" i="2"/>
  <c r="QM106" i="2"/>
  <c r="PY106" i="2"/>
  <c r="PK106" i="2"/>
  <c r="OI106" i="2"/>
  <c r="NU106" i="2"/>
  <c r="SC106" i="2"/>
  <c r="RO106" i="2"/>
  <c r="PR106" i="2"/>
  <c r="MZ106" i="2"/>
  <c r="ML106" i="2"/>
  <c r="LX106" i="2"/>
  <c r="JT106" i="2"/>
  <c r="IY106" i="2"/>
  <c r="IK106" i="2"/>
  <c r="HW106" i="2"/>
  <c r="HP106" i="2"/>
  <c r="HB106" i="2"/>
  <c r="GU106" i="2"/>
  <c r="GG106" i="2"/>
  <c r="FZ106" i="2"/>
  <c r="CF106" i="2"/>
  <c r="BR106" i="2"/>
  <c r="BD106" i="2"/>
  <c r="AI106" i="2"/>
  <c r="FL106" i="2"/>
  <c r="DV106" i="2"/>
  <c r="CT106" i="2"/>
  <c r="AP106" i="2"/>
  <c r="LQ106" i="2"/>
  <c r="LC106" i="2"/>
  <c r="KV106" i="2"/>
  <c r="KH106" i="2"/>
  <c r="FE106" i="2"/>
  <c r="EQ106" i="2"/>
  <c r="DO106" i="2"/>
  <c r="DA106" i="2"/>
  <c r="CM106" i="2"/>
  <c r="LJ106" i="2"/>
  <c r="EJ106" i="2"/>
  <c r="AW106" i="2"/>
  <c r="NG106" i="2"/>
  <c r="MS106" i="2"/>
  <c r="ME106" i="2"/>
  <c r="KA106" i="2"/>
  <c r="JM106" i="2"/>
  <c r="JF106" i="2"/>
  <c r="IR106" i="2"/>
  <c r="ID106" i="2"/>
  <c r="HI106" i="2"/>
  <c r="GN106" i="2"/>
  <c r="FS106" i="2"/>
  <c r="BY106" i="2"/>
  <c r="BK106" i="2"/>
  <c r="KO106" i="2"/>
  <c r="DH106" i="2"/>
  <c r="SC105" i="2"/>
  <c r="IK105" i="2"/>
  <c r="SQ105" i="2"/>
  <c r="RO105" i="2"/>
  <c r="QM105" i="2"/>
  <c r="PY105" i="2"/>
  <c r="OI105" i="2"/>
  <c r="PD105" i="2"/>
  <c r="OP105" i="2"/>
  <c r="OB105" i="2"/>
  <c r="NN105" i="2"/>
  <c r="SJ105" i="2"/>
  <c r="RV105" i="2"/>
  <c r="QF105" i="2"/>
  <c r="PR105" i="2"/>
  <c r="PK105" i="2"/>
  <c r="NU105" i="2"/>
  <c r="MZ105" i="2"/>
  <c r="ML105" i="2"/>
  <c r="LX105" i="2"/>
  <c r="KV105" i="2"/>
  <c r="KH105" i="2"/>
  <c r="KA105" i="2"/>
  <c r="JM105" i="2"/>
  <c r="HW105" i="2"/>
  <c r="GN105" i="2"/>
  <c r="FS105" i="2"/>
  <c r="FL105" i="2"/>
  <c r="EX105" i="2"/>
  <c r="EJ105" i="2"/>
  <c r="DV105" i="2"/>
  <c r="DH105" i="2"/>
  <c r="CT105" i="2"/>
  <c r="AP105" i="2"/>
  <c r="LQ105" i="2"/>
  <c r="LC105" i="2"/>
  <c r="IY105" i="2"/>
  <c r="HI105" i="2"/>
  <c r="FZ105" i="2"/>
  <c r="CF105" i="2"/>
  <c r="BR105" i="2"/>
  <c r="NG105" i="2"/>
  <c r="MS105" i="2"/>
  <c r="ME105" i="2"/>
  <c r="KO105" i="2"/>
  <c r="JT105" i="2"/>
  <c r="ID105" i="2"/>
  <c r="GU105" i="2"/>
  <c r="GG105" i="2"/>
  <c r="FE105" i="2"/>
  <c r="EQ105" i="2"/>
  <c r="EC105" i="2"/>
  <c r="DO105" i="2"/>
  <c r="DA105" i="2"/>
  <c r="CM105" i="2"/>
  <c r="AI105" i="2"/>
  <c r="LJ105" i="2"/>
  <c r="JF105" i="2"/>
  <c r="IR105" i="2"/>
  <c r="HP105" i="2"/>
  <c r="HB105" i="2"/>
  <c r="BY105" i="2"/>
  <c r="BK105" i="2"/>
  <c r="BD105" i="2"/>
  <c r="AW105" i="2"/>
  <c r="PK104" i="2"/>
  <c r="OI104" i="2"/>
  <c r="NU104" i="2"/>
  <c r="SC104" i="2"/>
  <c r="RO104" i="2"/>
  <c r="QF104" i="2"/>
  <c r="PR104" i="2"/>
  <c r="SQ104" i="2"/>
  <c r="PD104" i="2"/>
  <c r="OP104" i="2"/>
  <c r="OB104" i="2"/>
  <c r="NN104" i="2"/>
  <c r="SJ104" i="2"/>
  <c r="RV104" i="2"/>
  <c r="QM104" i="2"/>
  <c r="PY104" i="2"/>
  <c r="MZ104" i="2"/>
  <c r="ML104" i="2"/>
  <c r="LX104" i="2"/>
  <c r="JT104" i="2"/>
  <c r="JF104" i="2"/>
  <c r="IR104" i="2"/>
  <c r="IK104" i="2"/>
  <c r="HW104" i="2"/>
  <c r="HI104" i="2"/>
  <c r="GU104" i="2"/>
  <c r="GG104" i="2"/>
  <c r="BY104" i="2"/>
  <c r="BK104" i="2"/>
  <c r="AP104" i="2"/>
  <c r="LQ104" i="2"/>
  <c r="LC104" i="2"/>
  <c r="KO104" i="2"/>
  <c r="FL104" i="2"/>
  <c r="EX104" i="2"/>
  <c r="EJ104" i="2"/>
  <c r="DV104" i="2"/>
  <c r="DH104" i="2"/>
  <c r="CT104" i="2"/>
  <c r="NG104" i="2"/>
  <c r="MS104" i="2"/>
  <c r="ME104" i="2"/>
  <c r="KA104" i="2"/>
  <c r="JM104" i="2"/>
  <c r="IY104" i="2"/>
  <c r="ID104" i="2"/>
  <c r="HP104" i="2"/>
  <c r="HB104" i="2"/>
  <c r="GN104" i="2"/>
  <c r="FZ104" i="2"/>
  <c r="FS104" i="2"/>
  <c r="CF104" i="2"/>
  <c r="BR104" i="2"/>
  <c r="AW104" i="2"/>
  <c r="LJ104" i="2"/>
  <c r="KV104" i="2"/>
  <c r="KH104" i="2"/>
  <c r="FE104" i="2"/>
  <c r="EQ104" i="2"/>
  <c r="EC104" i="2"/>
  <c r="DO104" i="2"/>
  <c r="DA104" i="2"/>
  <c r="CM104" i="2"/>
  <c r="AI104" i="2"/>
  <c r="SQ103" i="2"/>
  <c r="SJ103" i="2"/>
  <c r="RV103" i="2"/>
  <c r="QF103" i="2"/>
  <c r="PR103" i="2"/>
  <c r="PK103" i="2"/>
  <c r="OI103" i="2"/>
  <c r="NU103" i="2"/>
  <c r="SC103" i="2"/>
  <c r="RO103" i="2"/>
  <c r="QM103" i="2"/>
  <c r="PD103" i="2"/>
  <c r="OP103" i="2"/>
  <c r="OB103" i="2"/>
  <c r="NN103" i="2"/>
  <c r="MZ103" i="2"/>
  <c r="ML103" i="2"/>
  <c r="LX103" i="2"/>
  <c r="KO103" i="2"/>
  <c r="KA103" i="2"/>
  <c r="JM103" i="2"/>
  <c r="IK103" i="2"/>
  <c r="HW103" i="2"/>
  <c r="FL103" i="2"/>
  <c r="EX103" i="2"/>
  <c r="EJ103" i="2"/>
  <c r="DV103" i="2"/>
  <c r="DH103" i="2"/>
  <c r="CT103" i="2"/>
  <c r="LQ103" i="2"/>
  <c r="LC103" i="2"/>
  <c r="JF103" i="2"/>
  <c r="IR103" i="2"/>
  <c r="HP103" i="2"/>
  <c r="HB103" i="2"/>
  <c r="BY103" i="2"/>
  <c r="BK103" i="2"/>
  <c r="BD103" i="2"/>
  <c r="AP103" i="2"/>
  <c r="AI103" i="2"/>
  <c r="NG103" i="2"/>
  <c r="MS103" i="2"/>
  <c r="ME103" i="2"/>
  <c r="KV103" i="2"/>
  <c r="KH103" i="2"/>
  <c r="JT103" i="2"/>
  <c r="ID103" i="2"/>
  <c r="GU103" i="2"/>
  <c r="GG103" i="2"/>
  <c r="FZ103" i="2"/>
  <c r="FE103" i="2"/>
  <c r="EQ103" i="2"/>
  <c r="DO103" i="2"/>
  <c r="CM103" i="2"/>
  <c r="AW103" i="2"/>
  <c r="LJ103" i="2"/>
  <c r="IY103" i="2"/>
  <c r="HI103" i="2"/>
  <c r="CF103" i="2"/>
  <c r="BR103" i="2"/>
  <c r="PK102" i="2"/>
  <c r="OI102" i="2"/>
  <c r="NU102" i="2"/>
  <c r="RV102" i="2"/>
  <c r="OP102" i="2"/>
  <c r="NN102" i="2"/>
  <c r="SJ102" i="2"/>
  <c r="SQ102" i="2"/>
  <c r="SC102" i="2"/>
  <c r="RO102" i="2"/>
  <c r="QF102" i="2"/>
  <c r="PR102" i="2"/>
  <c r="QM102" i="2"/>
  <c r="PD102" i="2"/>
  <c r="OB102" i="2"/>
  <c r="MZ102" i="2"/>
  <c r="ML102" i="2"/>
  <c r="LX102" i="2"/>
  <c r="JT102" i="2"/>
  <c r="IR102" i="2"/>
  <c r="IK102" i="2"/>
  <c r="HW102" i="2"/>
  <c r="HP102" i="2"/>
  <c r="AW102" i="2"/>
  <c r="AP102" i="2"/>
  <c r="LQ102" i="2"/>
  <c r="LC102" i="2"/>
  <c r="KV102" i="2"/>
  <c r="KH102" i="2"/>
  <c r="GN102" i="2"/>
  <c r="EX102" i="2"/>
  <c r="DA102" i="2"/>
  <c r="CM102" i="2"/>
  <c r="BY102" i="2"/>
  <c r="BK102" i="2"/>
  <c r="AI102" i="2"/>
  <c r="NG102" i="2"/>
  <c r="MS102" i="2"/>
  <c r="ME102" i="2"/>
  <c r="ID102" i="2"/>
  <c r="HI102" i="2"/>
  <c r="LJ102" i="2"/>
  <c r="KO102" i="2"/>
  <c r="GU102" i="2"/>
  <c r="FE102" i="2"/>
  <c r="EJ102" i="2"/>
  <c r="DV102" i="2"/>
  <c r="DH102" i="2"/>
  <c r="CF102" i="2"/>
  <c r="BR102" i="2"/>
  <c r="RA101" i="2"/>
  <c r="QM101" i="2"/>
  <c r="PY101" i="2"/>
  <c r="PD101" i="2"/>
  <c r="OP101" i="2"/>
  <c r="OB101" i="2"/>
  <c r="NN101" i="2"/>
  <c r="QT101" i="2"/>
  <c r="PR101" i="2"/>
  <c r="PK101" i="2"/>
  <c r="OW101" i="2"/>
  <c r="OI101" i="2"/>
  <c r="NU101" i="2"/>
  <c r="MZ101" i="2"/>
  <c r="ML101" i="2"/>
  <c r="LX101" i="2"/>
  <c r="KV101" i="2"/>
  <c r="ID101" i="2"/>
  <c r="FZ101" i="2"/>
  <c r="FL101" i="2"/>
  <c r="EX101" i="2"/>
  <c r="EC101" i="2"/>
  <c r="DO101" i="2"/>
  <c r="DA101" i="2"/>
  <c r="CM101" i="2"/>
  <c r="BY101" i="2"/>
  <c r="BK101" i="2"/>
  <c r="BD101" i="2"/>
  <c r="LQ101" i="2"/>
  <c r="LC101" i="2"/>
  <c r="JT101" i="2"/>
  <c r="IY101" i="2"/>
  <c r="HP101" i="2"/>
  <c r="HB101" i="2"/>
  <c r="GN101" i="2"/>
  <c r="AI101" i="2"/>
  <c r="NG101" i="2"/>
  <c r="MS101" i="2"/>
  <c r="ME101" i="2"/>
  <c r="KO101" i="2"/>
  <c r="IK101" i="2"/>
  <c r="HW101" i="2"/>
  <c r="FS101" i="2"/>
  <c r="FE101" i="2"/>
  <c r="EQ101" i="2"/>
  <c r="EJ101" i="2"/>
  <c r="DV101" i="2"/>
  <c r="DH101" i="2"/>
  <c r="CT101" i="2"/>
  <c r="CF101" i="2"/>
  <c r="BR101" i="2"/>
  <c r="AW101" i="2"/>
  <c r="LJ101" i="2"/>
  <c r="KA101" i="2"/>
  <c r="JF101" i="2"/>
  <c r="IR101" i="2"/>
  <c r="HI101" i="2"/>
  <c r="GU101" i="2"/>
  <c r="GG101" i="2"/>
  <c r="AP101" i="2"/>
  <c r="QT100" i="2"/>
  <c r="QF100" i="2"/>
  <c r="PR100" i="2"/>
  <c r="PK100" i="2"/>
  <c r="OW100" i="2"/>
  <c r="OI100" i="2"/>
  <c r="NU100" i="2"/>
  <c r="RA100" i="2"/>
  <c r="QM100" i="2"/>
  <c r="PY100" i="2"/>
  <c r="PD100" i="2"/>
  <c r="OP100" i="2"/>
  <c r="OB100" i="2"/>
  <c r="NN100" i="2"/>
  <c r="MZ100" i="2"/>
  <c r="ML100" i="2"/>
  <c r="LX100" i="2"/>
  <c r="KA100" i="2"/>
  <c r="IY100" i="2"/>
  <c r="IK100" i="2"/>
  <c r="HW100" i="2"/>
  <c r="HI100" i="2"/>
  <c r="AW100" i="2"/>
  <c r="LQ100" i="2"/>
  <c r="LC100" i="2"/>
  <c r="KO100" i="2"/>
  <c r="GN100" i="2"/>
  <c r="FE100" i="2"/>
  <c r="EQ100" i="2"/>
  <c r="EJ100" i="2"/>
  <c r="DV100" i="2"/>
  <c r="DH100" i="2"/>
  <c r="CT100" i="2"/>
  <c r="CF100" i="2"/>
  <c r="BR100" i="2"/>
  <c r="BD100" i="2"/>
  <c r="AI100" i="2"/>
  <c r="NG100" i="2"/>
  <c r="MS100" i="2"/>
  <c r="ME100" i="2"/>
  <c r="JT100" i="2"/>
  <c r="JF100" i="2"/>
  <c r="IR100" i="2"/>
  <c r="ID100" i="2"/>
  <c r="HP100" i="2"/>
  <c r="HB100" i="2"/>
  <c r="FS100" i="2"/>
  <c r="AP100" i="2"/>
  <c r="LJ100" i="2"/>
  <c r="KV100" i="2"/>
  <c r="GU100" i="2"/>
  <c r="GG100" i="2"/>
  <c r="FZ100" i="2"/>
  <c r="FL100" i="2"/>
  <c r="EX100" i="2"/>
  <c r="EC100" i="2"/>
  <c r="DO100" i="2"/>
  <c r="DA100" i="2"/>
  <c r="CM100" i="2"/>
  <c r="BY100" i="2"/>
  <c r="BK100" i="2"/>
  <c r="DH97" i="2"/>
  <c r="IY97" i="2"/>
  <c r="SQ97" i="2"/>
  <c r="SC97" i="2"/>
  <c r="QM97" i="2"/>
  <c r="NN97" i="2"/>
  <c r="RO97" i="2"/>
  <c r="RV97" i="2"/>
  <c r="QF97" i="2"/>
  <c r="PK97" i="2"/>
  <c r="OI97" i="2"/>
  <c r="RA97" i="2"/>
  <c r="PD97" i="2"/>
  <c r="PY97" i="2"/>
  <c r="SJ97" i="2"/>
  <c r="QT97" i="2"/>
  <c r="PR97" i="2"/>
  <c r="OW97" i="2"/>
  <c r="NU97" i="2"/>
  <c r="OB97" i="2"/>
  <c r="MZ97" i="2"/>
  <c r="LX97" i="2"/>
  <c r="KO97" i="2"/>
  <c r="JT97" i="2"/>
  <c r="IK97" i="2"/>
  <c r="EX97" i="2"/>
  <c r="EC97" i="2"/>
  <c r="DA97" i="2"/>
  <c r="BY97" i="2"/>
  <c r="KV97" i="2"/>
  <c r="FE97" i="2"/>
  <c r="LJ97" i="2"/>
  <c r="IR97" i="2"/>
  <c r="BD97" i="2"/>
  <c r="LC97" i="2"/>
  <c r="HP97" i="2"/>
  <c r="NG97" i="2"/>
  <c r="AP97" i="2"/>
  <c r="AW97" i="2"/>
  <c r="MS97" i="2"/>
  <c r="KH97" i="2"/>
  <c r="JM97" i="2"/>
  <c r="ID97" i="2"/>
  <c r="U97" i="2"/>
  <c r="EQ97" i="2"/>
  <c r="DV97" i="2"/>
  <c r="CT97" i="2"/>
  <c r="BR97" i="2"/>
  <c r="JF97" i="2"/>
  <c r="HI97" i="2"/>
  <c r="FS97" i="2"/>
  <c r="KA97" i="2"/>
  <c r="EJ97" i="2"/>
  <c r="GN97" i="2"/>
  <c r="FZ97" i="2"/>
  <c r="ML97" i="2"/>
  <c r="HW97" i="2"/>
  <c r="FL97" i="2"/>
  <c r="DO97" i="2"/>
  <c r="CM97" i="2"/>
  <c r="BK97" i="2"/>
  <c r="LQ97" i="2"/>
  <c r="HB97" i="2"/>
  <c r="GU97" i="2"/>
  <c r="ME97" i="2"/>
  <c r="AI97" i="2"/>
  <c r="SJ96" i="2"/>
  <c r="RA96" i="2"/>
  <c r="PY96" i="2"/>
  <c r="PD96" i="2"/>
  <c r="OB96" i="2"/>
  <c r="SC96" i="2"/>
  <c r="QT96" i="2"/>
  <c r="PR96" i="2"/>
  <c r="OW96" i="2"/>
  <c r="NU96" i="2"/>
  <c r="NN96" i="2"/>
  <c r="RV96" i="2"/>
  <c r="SQ96" i="2"/>
  <c r="RO96" i="2"/>
  <c r="QF96" i="2"/>
  <c r="PK96" i="2"/>
  <c r="OI96" i="2"/>
  <c r="OP96" i="2"/>
  <c r="QM96" i="2"/>
  <c r="ML96" i="2"/>
  <c r="KA96" i="2"/>
  <c r="JF96" i="2"/>
  <c r="IK96" i="2"/>
  <c r="HB96" i="2"/>
  <c r="EQ96" i="2"/>
  <c r="EJ96" i="2"/>
  <c r="DH96" i="2"/>
  <c r="AI96" i="2"/>
  <c r="AP96" i="2"/>
  <c r="LQ96" i="2"/>
  <c r="KH96" i="2"/>
  <c r="FS96" i="2"/>
  <c r="AW96" i="2"/>
  <c r="NG96" i="2"/>
  <c r="ME96" i="2"/>
  <c r="JT96" i="2"/>
  <c r="IY96" i="2"/>
  <c r="ID96" i="2"/>
  <c r="FL96" i="2"/>
  <c r="EC96" i="2"/>
  <c r="DA96" i="2"/>
  <c r="BY96" i="2"/>
  <c r="LJ96" i="2"/>
  <c r="GU96" i="2"/>
  <c r="MZ96" i="2"/>
  <c r="LX96" i="2"/>
  <c r="JM96" i="2"/>
  <c r="IR96" i="2"/>
  <c r="HW96" i="2"/>
  <c r="HP96" i="2"/>
  <c r="FZ96" i="2"/>
  <c r="U96" i="2"/>
  <c r="FE96" i="2"/>
  <c r="DV96" i="2"/>
  <c r="CT96" i="2"/>
  <c r="BR96" i="2"/>
  <c r="LC96" i="2"/>
  <c r="KV96" i="2"/>
  <c r="GN96" i="2"/>
  <c r="MS96" i="2"/>
  <c r="HI96" i="2"/>
  <c r="EX96" i="2"/>
  <c r="DO96" i="2"/>
  <c r="CM96" i="2"/>
  <c r="BK96" i="2"/>
  <c r="BD96" i="2"/>
  <c r="KO96" i="2"/>
  <c r="GG96" i="2"/>
  <c r="SQ95" i="2"/>
  <c r="SJ95" i="2"/>
  <c r="QF95" i="2"/>
  <c r="PK95" i="2"/>
  <c r="OI95" i="2"/>
  <c r="QM95" i="2"/>
  <c r="NN95" i="2"/>
  <c r="SC95" i="2"/>
  <c r="RA95" i="2"/>
  <c r="PY95" i="2"/>
  <c r="PD95" i="2"/>
  <c r="OB95" i="2"/>
  <c r="RV95" i="2"/>
  <c r="QT95" i="2"/>
  <c r="PR95" i="2"/>
  <c r="OW95" i="2"/>
  <c r="NU95" i="2"/>
  <c r="OP95" i="2"/>
  <c r="RO95" i="2"/>
  <c r="MZ95" i="2"/>
  <c r="LX95" i="2"/>
  <c r="KH95" i="2"/>
  <c r="IK95" i="2"/>
  <c r="FL95" i="2"/>
  <c r="DO95" i="2"/>
  <c r="CM95" i="2"/>
  <c r="BK95" i="2"/>
  <c r="AP95" i="2"/>
  <c r="U95" i="2"/>
  <c r="HP95" i="2"/>
  <c r="LC95" i="2"/>
  <c r="IR95" i="2"/>
  <c r="HI95" i="2"/>
  <c r="GU95" i="2"/>
  <c r="FZ95" i="2"/>
  <c r="DV95" i="2"/>
  <c r="BR95" i="2"/>
  <c r="LJ95" i="2"/>
  <c r="AW95" i="2"/>
  <c r="MS95" i="2"/>
  <c r="KA95" i="2"/>
  <c r="ID95" i="2"/>
  <c r="FE95" i="2"/>
  <c r="EJ95" i="2"/>
  <c r="DH95" i="2"/>
  <c r="AI95" i="2"/>
  <c r="HB95" i="2"/>
  <c r="GN95" i="2"/>
  <c r="CT95" i="2"/>
  <c r="FS95" i="2"/>
  <c r="ML95" i="2"/>
  <c r="KV95" i="2"/>
  <c r="JT95" i="2"/>
  <c r="HW95" i="2"/>
  <c r="EX95" i="2"/>
  <c r="EC95" i="2"/>
  <c r="DA95" i="2"/>
  <c r="BY95" i="2"/>
  <c r="LQ95" i="2"/>
  <c r="JF95" i="2"/>
  <c r="GG95" i="2"/>
  <c r="BD95" i="2"/>
  <c r="EQ95" i="2"/>
  <c r="IY95" i="2"/>
  <c r="NG95" i="2"/>
  <c r="ME95" i="2"/>
  <c r="KO95" i="2"/>
  <c r="JM95" i="2"/>
  <c r="SJ84" i="2"/>
  <c r="SC84" i="2"/>
  <c r="SQ84" i="2"/>
  <c r="BY84" i="2"/>
  <c r="RO84" i="2"/>
  <c r="RV84" i="2"/>
  <c r="SJ85" i="2"/>
  <c r="SQ85" i="2"/>
  <c r="SC85" i="2"/>
  <c r="RO85" i="2"/>
  <c r="BY85" i="2"/>
  <c r="RV85" i="2"/>
  <c r="SC83" i="2"/>
  <c r="SJ83" i="2"/>
  <c r="SQ83" i="2"/>
  <c r="BY83" i="2"/>
  <c r="RO83" i="2"/>
  <c r="RV83" i="2"/>
  <c r="RV94" i="2"/>
  <c r="NU94" i="2"/>
  <c r="RA94" i="2"/>
  <c r="RO94" i="2"/>
  <c r="MS94" i="2"/>
  <c r="HI94" i="2"/>
  <c r="BR94" i="2"/>
  <c r="HW94" i="2"/>
  <c r="DO94" i="2"/>
  <c r="CM94" i="2"/>
  <c r="BY94" i="2"/>
  <c r="FL94" i="2"/>
  <c r="SJ94" i="2"/>
  <c r="OI94" i="2"/>
  <c r="QM94" i="2"/>
  <c r="PY94" i="2"/>
  <c r="PD94" i="2"/>
  <c r="OP94" i="2"/>
  <c r="OB94" i="2"/>
  <c r="NN94" i="2"/>
  <c r="QT94" i="2"/>
  <c r="PR94" i="2"/>
  <c r="OW94" i="2"/>
  <c r="SQ94" i="2"/>
  <c r="SC94" i="2"/>
  <c r="QF94" i="2"/>
  <c r="PK94" i="2"/>
  <c r="MZ94" i="2"/>
  <c r="ML94" i="2"/>
  <c r="LX94" i="2"/>
  <c r="KA94" i="2"/>
  <c r="JM94" i="2"/>
  <c r="IY94" i="2"/>
  <c r="IK94" i="2"/>
  <c r="U94" i="2"/>
  <c r="FE94" i="2"/>
  <c r="EQ94" i="2"/>
  <c r="EJ94" i="2"/>
  <c r="DV94" i="2"/>
  <c r="DH94" i="2"/>
  <c r="CT94" i="2"/>
  <c r="AP94" i="2"/>
  <c r="BD94" i="2"/>
  <c r="LQ94" i="2"/>
  <c r="LC94" i="2"/>
  <c r="KO94" i="2"/>
  <c r="GN94" i="2"/>
  <c r="FS94" i="2"/>
  <c r="NG94" i="2"/>
  <c r="ME94" i="2"/>
  <c r="JT94" i="2"/>
  <c r="JF94" i="2"/>
  <c r="IR94" i="2"/>
  <c r="ID94" i="2"/>
  <c r="HP94" i="2"/>
  <c r="HB94" i="2"/>
  <c r="FZ94" i="2"/>
  <c r="EX94" i="2"/>
  <c r="EC94" i="2"/>
  <c r="DA94" i="2"/>
  <c r="BK94" i="2"/>
  <c r="AW94" i="2"/>
  <c r="LJ94" i="2"/>
  <c r="KV94" i="2"/>
  <c r="KH94" i="2"/>
  <c r="GU94" i="2"/>
  <c r="GG94" i="2"/>
  <c r="AI94" i="2"/>
  <c r="SQ93" i="2"/>
  <c r="RA93" i="2"/>
  <c r="QM93" i="2"/>
  <c r="PY93" i="2"/>
  <c r="PD93" i="2"/>
  <c r="OP93" i="2"/>
  <c r="OB93" i="2"/>
  <c r="NN93" i="2"/>
  <c r="RO93" i="2"/>
  <c r="SJ93" i="2"/>
  <c r="RV93" i="2"/>
  <c r="SC93" i="2"/>
  <c r="QT93" i="2"/>
  <c r="QF93" i="2"/>
  <c r="PR93" i="2"/>
  <c r="PK93" i="2"/>
  <c r="OW93" i="2"/>
  <c r="OI93" i="2"/>
  <c r="NU93" i="2"/>
  <c r="MZ93" i="2"/>
  <c r="ML93" i="2"/>
  <c r="LX93" i="2"/>
  <c r="KO93" i="2"/>
  <c r="JT93" i="2"/>
  <c r="IK93" i="2"/>
  <c r="HW93" i="2"/>
  <c r="FL93" i="2"/>
  <c r="EX93" i="2"/>
  <c r="EC93" i="2"/>
  <c r="DO93" i="2"/>
  <c r="DA93" i="2"/>
  <c r="CM93" i="2"/>
  <c r="BY93" i="2"/>
  <c r="BK93" i="2"/>
  <c r="LQ93" i="2"/>
  <c r="LC93" i="2"/>
  <c r="IY93" i="2"/>
  <c r="HP93" i="2"/>
  <c r="HB93" i="2"/>
  <c r="GU93" i="2"/>
  <c r="GG93" i="2"/>
  <c r="AP93" i="2"/>
  <c r="AI93" i="2"/>
  <c r="NG93" i="2"/>
  <c r="MS93" i="2"/>
  <c r="ME93" i="2"/>
  <c r="KV93" i="2"/>
  <c r="KH93" i="2"/>
  <c r="KA93" i="2"/>
  <c r="JM93" i="2"/>
  <c r="ID93" i="2"/>
  <c r="U93" i="2"/>
  <c r="FE93" i="2"/>
  <c r="EQ93" i="2"/>
  <c r="EJ93" i="2"/>
  <c r="DV93" i="2"/>
  <c r="DH93" i="2"/>
  <c r="CT93" i="2"/>
  <c r="BR93" i="2"/>
  <c r="BD93" i="2"/>
  <c r="AW93" i="2"/>
  <c r="LJ93" i="2"/>
  <c r="JF93" i="2"/>
  <c r="IR93" i="2"/>
  <c r="HI93" i="2"/>
  <c r="GN93" i="2"/>
  <c r="FZ93" i="2"/>
  <c r="FS93" i="2"/>
  <c r="SC92" i="2"/>
  <c r="RO92" i="2"/>
  <c r="NN92" i="2"/>
  <c r="QT92" i="2"/>
  <c r="QF92" i="2"/>
  <c r="PR92" i="2"/>
  <c r="PK92" i="2"/>
  <c r="NU92" i="2"/>
  <c r="PD92" i="2"/>
  <c r="SQ92" i="2"/>
  <c r="SJ92" i="2"/>
  <c r="RV92" i="2"/>
  <c r="OP92" i="2"/>
  <c r="RA92" i="2"/>
  <c r="QM92" i="2"/>
  <c r="PY92" i="2"/>
  <c r="OB92" i="2"/>
  <c r="MZ92" i="2"/>
  <c r="ML92" i="2"/>
  <c r="LX92" i="2"/>
  <c r="LQ92" i="2"/>
  <c r="LC92" i="2"/>
  <c r="KV92" i="2"/>
  <c r="KH92" i="2"/>
  <c r="GN92" i="2"/>
  <c r="FS92" i="2"/>
  <c r="BD92" i="2"/>
  <c r="JT92" i="2"/>
  <c r="IY92" i="2"/>
  <c r="ID92" i="2"/>
  <c r="HI92" i="2"/>
  <c r="FL92" i="2"/>
  <c r="EX92" i="2"/>
  <c r="EC92" i="2"/>
  <c r="DO92" i="2"/>
  <c r="DA92" i="2"/>
  <c r="CM92" i="2"/>
  <c r="BY92" i="2"/>
  <c r="BK92" i="2"/>
  <c r="AW92" i="2"/>
  <c r="AP92" i="2"/>
  <c r="NG92" i="2"/>
  <c r="ME92" i="2"/>
  <c r="LJ92" i="2"/>
  <c r="KO92" i="2"/>
  <c r="GU92" i="2"/>
  <c r="GG92" i="2"/>
  <c r="AI92" i="2"/>
  <c r="KA92" i="2"/>
  <c r="JM92" i="2"/>
  <c r="JF92" i="2"/>
  <c r="IR92" i="2"/>
  <c r="IK92" i="2"/>
  <c r="HW92" i="2"/>
  <c r="HP92" i="2"/>
  <c r="HB92" i="2"/>
  <c r="FZ92" i="2"/>
  <c r="U92" i="2"/>
  <c r="FE92" i="2"/>
  <c r="EQ92" i="2"/>
  <c r="EJ92" i="2"/>
  <c r="DV92" i="2"/>
  <c r="DH92" i="2"/>
  <c r="CT92" i="2"/>
  <c r="BR92" i="2"/>
  <c r="SQ91" i="2"/>
  <c r="QT91" i="2"/>
  <c r="QF91" i="2"/>
  <c r="PR91" i="2"/>
  <c r="PK91" i="2"/>
  <c r="OW91" i="2"/>
  <c r="OI91" i="2"/>
  <c r="NU91" i="2"/>
  <c r="SC91" i="2"/>
  <c r="RO91" i="2"/>
  <c r="RA91" i="2"/>
  <c r="QM91" i="2"/>
  <c r="PY91" i="2"/>
  <c r="PD91" i="2"/>
  <c r="OP91" i="2"/>
  <c r="OB91" i="2"/>
  <c r="NN91" i="2"/>
  <c r="SJ91" i="2"/>
  <c r="RV91" i="2"/>
  <c r="MZ91" i="2"/>
  <c r="ML91" i="2"/>
  <c r="LX91" i="2"/>
  <c r="LQ91" i="2"/>
  <c r="LC91" i="2"/>
  <c r="JF91" i="2"/>
  <c r="IR91" i="2"/>
  <c r="HI91" i="2"/>
  <c r="GU91" i="2"/>
  <c r="GG91" i="2"/>
  <c r="FZ91" i="2"/>
  <c r="AI91" i="2"/>
  <c r="KO91" i="2"/>
  <c r="KA91" i="2"/>
  <c r="JM91" i="2"/>
  <c r="ID91" i="2"/>
  <c r="U91" i="2"/>
  <c r="FE91" i="2"/>
  <c r="EQ91" i="2"/>
  <c r="EJ91" i="2"/>
  <c r="DV91" i="2"/>
  <c r="DH91" i="2"/>
  <c r="CT91" i="2"/>
  <c r="BR91" i="2"/>
  <c r="AW91" i="2"/>
  <c r="NG91" i="2"/>
  <c r="MS91" i="2"/>
  <c r="ME91" i="2"/>
  <c r="LJ91" i="2"/>
  <c r="IY91" i="2"/>
  <c r="HP91" i="2"/>
  <c r="HB91" i="2"/>
  <c r="GN91" i="2"/>
  <c r="FS91" i="2"/>
  <c r="AP91" i="2"/>
  <c r="KV91" i="2"/>
  <c r="KH91" i="2"/>
  <c r="JT91" i="2"/>
  <c r="IK91" i="2"/>
  <c r="HW91" i="2"/>
  <c r="FL91" i="2"/>
  <c r="EX91" i="2"/>
  <c r="EC91" i="2"/>
  <c r="DO91" i="2"/>
  <c r="DA91" i="2"/>
  <c r="CM91" i="2"/>
  <c r="BY91" i="2"/>
  <c r="BK91" i="2"/>
  <c r="BD91" i="2"/>
  <c r="BY90" i="2"/>
  <c r="AW90" i="2"/>
  <c r="LJ90" i="2"/>
  <c r="SJ90" i="2"/>
  <c r="RV90" i="2"/>
  <c r="RA90" i="2"/>
  <c r="QM90" i="2"/>
  <c r="PY90" i="2"/>
  <c r="PD90" i="2"/>
  <c r="OP90" i="2"/>
  <c r="OB90" i="2"/>
  <c r="NN90" i="2"/>
  <c r="SQ90" i="2"/>
  <c r="SC90" i="2"/>
  <c r="RO90" i="2"/>
  <c r="QT90" i="2"/>
  <c r="QF90" i="2"/>
  <c r="PR90" i="2"/>
  <c r="PK90" i="2"/>
  <c r="OW90" i="2"/>
  <c r="OI90" i="2"/>
  <c r="NU90" i="2"/>
  <c r="MZ90" i="2"/>
  <c r="ML90" i="2"/>
  <c r="LX90" i="2"/>
  <c r="LQ90" i="2"/>
  <c r="LC90" i="2"/>
  <c r="KO90" i="2"/>
  <c r="GN90" i="2"/>
  <c r="FS90" i="2"/>
  <c r="JT90" i="2"/>
  <c r="JF90" i="2"/>
  <c r="IR90" i="2"/>
  <c r="ID90" i="2"/>
  <c r="HP90" i="2"/>
  <c r="HB90" i="2"/>
  <c r="FZ90" i="2"/>
  <c r="FL90" i="2"/>
  <c r="EX90" i="2"/>
  <c r="EC90" i="2"/>
  <c r="DO90" i="2"/>
  <c r="DA90" i="2"/>
  <c r="CM90" i="2"/>
  <c r="BK90" i="2"/>
  <c r="NG90" i="2"/>
  <c r="MS90" i="2"/>
  <c r="ME90" i="2"/>
  <c r="KV90" i="2"/>
  <c r="KH90" i="2"/>
  <c r="GU90" i="2"/>
  <c r="GG90" i="2"/>
  <c r="BD90" i="2"/>
  <c r="AI90" i="2"/>
  <c r="KA90" i="2"/>
  <c r="JM90" i="2"/>
  <c r="IY90" i="2"/>
  <c r="IK90" i="2"/>
  <c r="HW90" i="2"/>
  <c r="HI90" i="2"/>
  <c r="U90" i="2"/>
  <c r="FE90" i="2"/>
  <c r="EQ90" i="2"/>
  <c r="EJ90" i="2"/>
  <c r="DV90" i="2"/>
  <c r="DH90" i="2"/>
  <c r="CT90" i="2"/>
  <c r="BR90" i="2"/>
  <c r="AP90" i="2"/>
  <c r="SQ89" i="2"/>
  <c r="RA89" i="2"/>
  <c r="QM89" i="2"/>
  <c r="PY89" i="2"/>
  <c r="PD89" i="2"/>
  <c r="OP89" i="2"/>
  <c r="OB89" i="2"/>
  <c r="NN89" i="2"/>
  <c r="SJ89" i="2"/>
  <c r="RV89" i="2"/>
  <c r="QT89" i="2"/>
  <c r="QF89" i="2"/>
  <c r="PR89" i="2"/>
  <c r="PK89" i="2"/>
  <c r="OW89" i="2"/>
  <c r="OI89" i="2"/>
  <c r="NU89" i="2"/>
  <c r="SC89" i="2"/>
  <c r="RO89" i="2"/>
  <c r="MZ89" i="2"/>
  <c r="ML89" i="2"/>
  <c r="LX89" i="2"/>
  <c r="LQ89" i="2"/>
  <c r="LC89" i="2"/>
  <c r="IY89" i="2"/>
  <c r="HP89" i="2"/>
  <c r="HB89" i="2"/>
  <c r="GU89" i="2"/>
  <c r="GG89" i="2"/>
  <c r="AP89" i="2"/>
  <c r="AI89" i="2"/>
  <c r="KV89" i="2"/>
  <c r="KH89" i="2"/>
  <c r="KA89" i="2"/>
  <c r="JM89" i="2"/>
  <c r="ID89" i="2"/>
  <c r="U89" i="2"/>
  <c r="FE89" i="2"/>
  <c r="EQ89" i="2"/>
  <c r="EJ89" i="2"/>
  <c r="DV89" i="2"/>
  <c r="DH89" i="2"/>
  <c r="CT89" i="2"/>
  <c r="BR89" i="2"/>
  <c r="BD89" i="2"/>
  <c r="AW89" i="2"/>
  <c r="NG89" i="2"/>
  <c r="MS89" i="2"/>
  <c r="ME89" i="2"/>
  <c r="LJ89" i="2"/>
  <c r="JF89" i="2"/>
  <c r="IR89" i="2"/>
  <c r="HI89" i="2"/>
  <c r="GN89" i="2"/>
  <c r="FZ89" i="2"/>
  <c r="FS89" i="2"/>
  <c r="KO89" i="2"/>
  <c r="JT89" i="2"/>
  <c r="IK89" i="2"/>
  <c r="HW89" i="2"/>
  <c r="FL89" i="2"/>
  <c r="EX89" i="2"/>
  <c r="EC89" i="2"/>
  <c r="DO89" i="2"/>
  <c r="DA89" i="2"/>
  <c r="CM89" i="2"/>
  <c r="BY89" i="2"/>
  <c r="BK89" i="2"/>
  <c r="SC88" i="2"/>
  <c r="RO88" i="2"/>
  <c r="PD88" i="2"/>
  <c r="OP88" i="2"/>
  <c r="OB88" i="2"/>
  <c r="NN88" i="2"/>
  <c r="QF88" i="2"/>
  <c r="SQ88" i="2"/>
  <c r="SJ88" i="2"/>
  <c r="RV88" i="2"/>
  <c r="OW88" i="2"/>
  <c r="OI88" i="2"/>
  <c r="RA88" i="2"/>
  <c r="QM88" i="2"/>
  <c r="MZ88" i="2"/>
  <c r="ML88" i="2"/>
  <c r="LX88" i="2"/>
  <c r="JT88" i="2"/>
  <c r="IY88" i="2"/>
  <c r="ID88" i="2"/>
  <c r="FS88" i="2"/>
  <c r="EX88" i="2"/>
  <c r="BY88" i="2"/>
  <c r="BK88" i="2"/>
  <c r="AW88" i="2"/>
  <c r="AP88" i="2"/>
  <c r="LJ88" i="2"/>
  <c r="KO88" i="2"/>
  <c r="HP88" i="2"/>
  <c r="HB88" i="2"/>
  <c r="GN88" i="2"/>
  <c r="DH88" i="2"/>
  <c r="CT88" i="2"/>
  <c r="AI88" i="2"/>
  <c r="NG88" i="2"/>
  <c r="MS88" i="2"/>
  <c r="KA88" i="2"/>
  <c r="JM88" i="2"/>
  <c r="JF88" i="2"/>
  <c r="IR88" i="2"/>
  <c r="HW88" i="2"/>
  <c r="FE88" i="2"/>
  <c r="EQ88" i="2"/>
  <c r="BR88" i="2"/>
  <c r="LQ88" i="2"/>
  <c r="LC88" i="2"/>
  <c r="KV88" i="2"/>
  <c r="KH88" i="2"/>
  <c r="GU88" i="2"/>
  <c r="GG88" i="2"/>
  <c r="EC88" i="2"/>
  <c r="DO88" i="2"/>
  <c r="DA88" i="2"/>
  <c r="BD88" i="2"/>
  <c r="SQ87" i="2"/>
  <c r="QT87" i="2"/>
  <c r="QF87" i="2"/>
  <c r="PR87" i="2"/>
  <c r="SC87" i="2"/>
  <c r="RO87" i="2"/>
  <c r="PK87" i="2"/>
  <c r="OW87" i="2"/>
  <c r="OI87" i="2"/>
  <c r="NU87" i="2"/>
  <c r="RA87" i="2"/>
  <c r="QM87" i="2"/>
  <c r="PY87" i="2"/>
  <c r="SJ87" i="2"/>
  <c r="RV87" i="2"/>
  <c r="PD87" i="2"/>
  <c r="OP87" i="2"/>
  <c r="OB87" i="2"/>
  <c r="NN87" i="2"/>
  <c r="MZ87" i="2"/>
  <c r="ML87" i="2"/>
  <c r="LX87" i="2"/>
  <c r="KO87" i="2"/>
  <c r="KA87" i="2"/>
  <c r="JM87" i="2"/>
  <c r="ID87" i="2"/>
  <c r="HP87" i="2"/>
  <c r="HB87" i="2"/>
  <c r="U87" i="2"/>
  <c r="FE87" i="2"/>
  <c r="EQ87" i="2"/>
  <c r="BR87" i="2"/>
  <c r="AW87" i="2"/>
  <c r="LJ87" i="2"/>
  <c r="IY87" i="2"/>
  <c r="GU87" i="2"/>
  <c r="GG87" i="2"/>
  <c r="FZ87" i="2"/>
  <c r="EC87" i="2"/>
  <c r="DO87" i="2"/>
  <c r="DA87" i="2"/>
  <c r="CM87" i="2"/>
  <c r="AP87" i="2"/>
  <c r="NG87" i="2"/>
  <c r="MS87" i="2"/>
  <c r="ME87" i="2"/>
  <c r="KV87" i="2"/>
  <c r="KH87" i="2"/>
  <c r="JT87" i="2"/>
  <c r="IK87" i="2"/>
  <c r="HW87" i="2"/>
  <c r="HI87" i="2"/>
  <c r="FS87" i="2"/>
  <c r="FL87" i="2"/>
  <c r="EX87" i="2"/>
  <c r="BY87" i="2"/>
  <c r="BK87" i="2"/>
  <c r="BD87" i="2"/>
  <c r="LQ87" i="2"/>
  <c r="LC87" i="2"/>
  <c r="JF87" i="2"/>
  <c r="IR87" i="2"/>
  <c r="GN87" i="2"/>
  <c r="EJ87" i="2"/>
  <c r="DV87" i="2"/>
  <c r="DH87" i="2"/>
  <c r="CT87" i="2"/>
  <c r="AI87" i="2"/>
  <c r="QT86" i="2"/>
  <c r="QF86" i="2"/>
  <c r="PK86" i="2"/>
  <c r="OI86" i="2"/>
  <c r="NU86" i="2"/>
  <c r="SQ86" i="2"/>
  <c r="RO86" i="2"/>
  <c r="RA86" i="2"/>
  <c r="QM86" i="2"/>
  <c r="PY86" i="2"/>
  <c r="OP86" i="2"/>
  <c r="NN86" i="2"/>
  <c r="MZ86" i="2"/>
  <c r="JT86" i="2"/>
  <c r="IR86" i="2"/>
  <c r="BR86" i="2"/>
  <c r="LQ86" i="2"/>
  <c r="KV86" i="2"/>
  <c r="KH86" i="2"/>
  <c r="IK86" i="2"/>
  <c r="HB86" i="2"/>
  <c r="FZ86" i="2"/>
  <c r="U86" i="2"/>
  <c r="FE86" i="2"/>
  <c r="EQ86" i="2"/>
  <c r="DO86" i="2"/>
  <c r="DA86" i="2"/>
  <c r="AW86" i="2"/>
  <c r="AI86" i="2"/>
  <c r="NG86" i="2"/>
  <c r="MS86" i="2"/>
  <c r="ME86" i="2"/>
  <c r="KA86" i="2"/>
  <c r="JM86" i="2"/>
  <c r="IY86" i="2"/>
  <c r="GN86" i="2"/>
  <c r="BY86" i="2"/>
  <c r="BK86" i="2"/>
  <c r="KO86" i="2"/>
  <c r="ID86" i="2"/>
  <c r="HI86" i="2"/>
  <c r="FS86" i="2"/>
  <c r="FL86" i="2"/>
  <c r="DV86" i="2"/>
  <c r="DH86" i="2"/>
  <c r="RA85" i="2"/>
  <c r="PY85" i="2"/>
  <c r="OP85" i="2"/>
  <c r="NN85" i="2"/>
  <c r="OW85" i="2"/>
  <c r="QT85" i="2"/>
  <c r="PR85" i="2"/>
  <c r="PK85" i="2"/>
  <c r="OI85" i="2"/>
  <c r="NU85" i="2"/>
  <c r="QM85" i="2"/>
  <c r="PD85" i="2"/>
  <c r="OB85" i="2"/>
  <c r="QF85" i="2"/>
  <c r="MZ85" i="2"/>
  <c r="LX85" i="2"/>
  <c r="KH85" i="2"/>
  <c r="KA85" i="2"/>
  <c r="HB85" i="2"/>
  <c r="AW85" i="2"/>
  <c r="NG85" i="2"/>
  <c r="KO85" i="2"/>
  <c r="FZ85" i="2"/>
  <c r="EC85" i="2"/>
  <c r="LQ85" i="2"/>
  <c r="JF85" i="2"/>
  <c r="IK85" i="2"/>
  <c r="EX85" i="2"/>
  <c r="DV85" i="2"/>
  <c r="CT85" i="2"/>
  <c r="MS85" i="2"/>
  <c r="JT85" i="2"/>
  <c r="GU85" i="2"/>
  <c r="BR85" i="2"/>
  <c r="ME85" i="2"/>
  <c r="HI85" i="2"/>
  <c r="GG85" i="2"/>
  <c r="AI85" i="2"/>
  <c r="FE85" i="2"/>
  <c r="DA85" i="2"/>
  <c r="LJ85" i="2"/>
  <c r="IY85" i="2"/>
  <c r="ID85" i="2"/>
  <c r="U85" i="2"/>
  <c r="EQ85" i="2"/>
  <c r="DO85" i="2"/>
  <c r="CM85" i="2"/>
  <c r="AP85" i="2"/>
  <c r="ML85" i="2"/>
  <c r="KV85" i="2"/>
  <c r="JM85" i="2"/>
  <c r="HP85" i="2"/>
  <c r="GN85" i="2"/>
  <c r="BK85" i="2"/>
  <c r="LC85" i="2"/>
  <c r="IR85" i="2"/>
  <c r="HW85" i="2"/>
  <c r="FS85" i="2"/>
  <c r="FL85" i="2"/>
  <c r="EJ85" i="2"/>
  <c r="DH85" i="2"/>
  <c r="BD85" i="2"/>
  <c r="QT84" i="2"/>
  <c r="PR84" i="2"/>
  <c r="PK84" i="2"/>
  <c r="OI84" i="2"/>
  <c r="QM84" i="2"/>
  <c r="PD84" i="2"/>
  <c r="OB84" i="2"/>
  <c r="QF84" i="2"/>
  <c r="OW84" i="2"/>
  <c r="NU84" i="2"/>
  <c r="RA84" i="2"/>
  <c r="PY84" i="2"/>
  <c r="OP84" i="2"/>
  <c r="NN84" i="2"/>
  <c r="ML84" i="2"/>
  <c r="IY84" i="2"/>
  <c r="GU84" i="2"/>
  <c r="AW84" i="2"/>
  <c r="LC84" i="2"/>
  <c r="IK84" i="2"/>
  <c r="HI84" i="2"/>
  <c r="EQ84" i="2"/>
  <c r="EC84" i="2"/>
  <c r="DA84" i="2"/>
  <c r="DH84" i="2"/>
  <c r="NG84" i="2"/>
  <c r="ME84" i="2"/>
  <c r="KA84" i="2"/>
  <c r="IR84" i="2"/>
  <c r="GN84" i="2"/>
  <c r="LJ84" i="2"/>
  <c r="KV84" i="2"/>
  <c r="ID84" i="2"/>
  <c r="HB84" i="2"/>
  <c r="FZ84" i="2"/>
  <c r="FS84" i="2"/>
  <c r="FL84" i="2"/>
  <c r="DV84" i="2"/>
  <c r="CT84" i="2"/>
  <c r="BD84" i="2"/>
  <c r="AP84" i="2"/>
  <c r="KH84" i="2"/>
  <c r="MZ84" i="2"/>
  <c r="LX84" i="2"/>
  <c r="JT84" i="2"/>
  <c r="GG84" i="2"/>
  <c r="BR84" i="2"/>
  <c r="LQ84" i="2"/>
  <c r="KO84" i="2"/>
  <c r="HW84" i="2"/>
  <c r="U84" i="2"/>
  <c r="FE84" i="2"/>
  <c r="DO84" i="2"/>
  <c r="CM84" i="2"/>
  <c r="HP84" i="2"/>
  <c r="EX84" i="2"/>
  <c r="AI84" i="2"/>
  <c r="MS84" i="2"/>
  <c r="JM84" i="2"/>
  <c r="JF84" i="2"/>
  <c r="BK84" i="2"/>
  <c r="EJ84" i="2"/>
  <c r="QM83" i="2"/>
  <c r="OW83" i="2"/>
  <c r="OP83" i="2"/>
  <c r="NN83" i="2"/>
  <c r="NU83" i="2"/>
  <c r="PK83" i="2"/>
  <c r="OI83" i="2"/>
  <c r="PD83" i="2"/>
  <c r="OB83" i="2"/>
  <c r="QT83" i="2"/>
  <c r="PR83" i="2"/>
  <c r="MZ83" i="2"/>
  <c r="LQ83" i="2"/>
  <c r="KV83" i="2"/>
  <c r="ID83" i="2"/>
  <c r="HI83" i="2"/>
  <c r="GU83" i="2"/>
  <c r="EJ83" i="2"/>
  <c r="DH83" i="2"/>
  <c r="FZ83" i="2"/>
  <c r="AP83" i="2"/>
  <c r="EQ83" i="2"/>
  <c r="BD83" i="2"/>
  <c r="MS83" i="2"/>
  <c r="LJ83" i="2"/>
  <c r="KO83" i="2"/>
  <c r="KA83" i="2"/>
  <c r="GN83" i="2"/>
  <c r="DA83" i="2"/>
  <c r="IY83" i="2"/>
  <c r="FE83" i="2"/>
  <c r="U83" i="2"/>
  <c r="ML83" i="2"/>
  <c r="KH83" i="2"/>
  <c r="JT83" i="2"/>
  <c r="DV83" i="2"/>
  <c r="CT83" i="2"/>
  <c r="BR83" i="2"/>
  <c r="AW83" i="2"/>
  <c r="IR83" i="2"/>
  <c r="EX83" i="2"/>
  <c r="NG83" i="2"/>
  <c r="ME83" i="2"/>
  <c r="JM83" i="2"/>
  <c r="IK83" i="2"/>
  <c r="DO83" i="2"/>
  <c r="CM83" i="2"/>
  <c r="BK83" i="2"/>
  <c r="AI83" i="2"/>
  <c r="SC82" i="2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62" i="2"/>
  <c r="R160" i="2"/>
  <c r="R193" i="2"/>
  <c r="R180" i="2"/>
  <c r="R179" i="2"/>
  <c r="R198" i="2"/>
  <c r="R155" i="2"/>
  <c r="R203" i="2"/>
  <c r="R147" i="2"/>
  <c r="R150" i="2"/>
  <c r="R189" i="2"/>
  <c r="R169" i="2"/>
  <c r="R177" i="2"/>
  <c r="R152" i="2"/>
  <c r="R144" i="2"/>
  <c r="R153" i="2"/>
  <c r="R205" i="2"/>
  <c r="R165" i="2"/>
  <c r="R194" i="2"/>
  <c r="R145" i="2"/>
  <c r="R173" i="2"/>
  <c r="R191" i="2"/>
  <c r="R201" i="2"/>
  <c r="R168" i="2"/>
  <c r="R183" i="2"/>
  <c r="R185" i="2"/>
  <c r="R154" i="2"/>
  <c r="R192" i="2"/>
  <c r="R166" i="2"/>
  <c r="R178" i="2"/>
  <c r="R200" i="2"/>
  <c r="R190" i="2"/>
  <c r="R159" i="2"/>
  <c r="R186" i="2"/>
  <c r="R188" i="2"/>
  <c r="R148" i="2"/>
  <c r="R149" i="2"/>
  <c r="R187" i="2"/>
  <c r="R164" i="2"/>
  <c r="R171" i="2"/>
  <c r="R151" i="2"/>
  <c r="R176" i="2"/>
  <c r="R167" i="2"/>
  <c r="R202" i="2"/>
  <c r="R199" i="2"/>
  <c r="R204" i="2"/>
  <c r="R158" i="2"/>
  <c r="R157" i="2"/>
  <c r="R146" i="2"/>
  <c r="R174" i="2"/>
  <c r="R172" i="2"/>
  <c r="R181" i="2"/>
  <c r="R182" i="2"/>
  <c r="R175" i="2"/>
  <c r="R196" i="2"/>
  <c r="R156" i="2"/>
  <c r="R208" i="2"/>
  <c r="R207" i="2"/>
  <c r="R184" i="2"/>
  <c r="R161" i="2"/>
  <c r="R206" i="2"/>
  <c r="R197" i="2"/>
  <c r="R209" i="2"/>
  <c r="R170" i="2"/>
  <c r="R163" i="2"/>
  <c r="R195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1" i="2"/>
  <c r="R142" i="2"/>
  <c r="R143" i="2"/>
  <c r="R139" i="2"/>
  <c r="R140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<sst xmlns="http://schemas.openxmlformats.org/spreadsheetml/2006/main" count="8930" uniqueCount="631">
  <si>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</si>
  <si>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</si>
  <si>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</si>
  <si>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</si>
  <si>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</si>
  <si>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</si>
  <si>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</si>
  <si>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</si>
  <si>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</si>
  <si>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</si>
  <si>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</si>
  <si>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</si>
  <si>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</si>
  <si>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</si>
  <si>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</si>
  <si>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</si>
  <si>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</si>
  <si>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</si>
  <si>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</si>
  <si>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</si>
  <si>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</si>
  <si>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</si>
  <si>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</si>
  <si>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</si>
  <si>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</si>
  <si>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</si>
  <si>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</si>
  <si>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</si>
  <si>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</si>
  <si>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</si>
  <si>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</si>
  <si>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</si>
  <si>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</si>
  <si>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</si>
  <si>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</si>
  <si>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</si>
  <si>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</si>
  <si>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</si>
  <si>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</si>
  <si>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</si>
  <si>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</si>
  <si>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</si>
  <si>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</si>
  <si>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</si>
  <si>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</si>
  <si>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</si>
  <si>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</si>
  <si>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</si>
  <si>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</si>
  <si>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</si>
  <si>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</si>
  <si>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</si>
  <si>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</si>
  <si>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</si>
  <si>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</si>
  <si>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</si>
  <si>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</si>
  <si>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</si>
  <si>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</si>
  <si>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</si>
  <si>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</si>
  <si>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</si>
  <si>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</si>
  <si>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</si>
  <si>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</si>
  <si>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</si>
  <si>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</si>
  <si>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</si>
  <si>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</si>
  <si>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</si>
  <si>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</si>
  <si>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</si>
  <si>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</si>
  <si>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</si>
  <si>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</si>
  <si>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</si>
  <si>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</si>
  <si>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</si>
  <si>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</si>
  <si>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</si>
  <si>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</si>
  <si>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</si>
  <si>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</si>
  <si>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</si>
  <si>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</si>
  <si>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</si>
  <si>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</si>
  <si>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</si>
  <si>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</si>
  <si>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</si>
  <si>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</si>
  <si>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</si>
  <si>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</si>
  <si>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</si>
  <si>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</si>
  <si>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</si>
  <si>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</si>
  <si>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</si>
  <si>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</si>
  <si>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</si>
  <si>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</si>
  <si>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</si>
  <si>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</si>
  <si>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</si>
  <si>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</si>
  <si>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</si>
  <si>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</si>
  <si>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</si>
  <si>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</si>
  <si>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</si>
  <si>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</si>
  <si>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</si>
  <si>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</si>
  <si>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</si>
  <si>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</si>
  <si>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</si>
  <si>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</si>
  <si>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</si>
  <si>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</si>
  <si>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</si>
  <si>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</si>
  <si>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</si>
  <si>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</si>
  <si>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</si>
  <si>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</si>
  <si>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</si>
  <si>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</si>
  <si>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</si>
  <si>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</si>
  <si>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</si>
  <si>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</si>
  <si>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</si>
  <si>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</si>
  <si>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</si>
  <si>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</si>
  <si>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</si>
  <si>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</si>
  <si>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</si>
  <si>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</si>
  <si>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</si>
  <si>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</si>
  <si>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</si>
  <si>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</si>
  <si>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</si>
  <si>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</si>
  <si>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</si>
  <si>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</si>
  <si>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</si>
  <si>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</si>
  <si>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</si>
  <si>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</si>
  <si>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</si>
  <si>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</si>
  <si>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</si>
  <si>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</si>
  <si>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</si>
  <si>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</si>
  <si>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</si>
  <si>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</si>
  <si>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</si>
  <si>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</si>
  <si>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</si>
  <si>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</si>
  <si>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</si>
  <si>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</si>
  <si>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</si>
  <si>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</si>
  <si>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</si>
  <si>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</si>
  <si>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</si>
  <si>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</si>
  <si>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</si>
  <si>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</si>
  <si>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</si>
  <si>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</si>
  <si>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</si>
  <si>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</si>
  <si>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</si>
  <si>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</si>
  <si>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</si>
  <si>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</si>
  <si>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</si>
  <si>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</si>
  <si>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</si>
  <si>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</si>
  <si>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</si>
  <si>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</si>
  <si>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</si>
  <si>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</si>
  <si>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</si>
  <si>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</si>
  <si>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</si>
  <si>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</si>
  <si>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</si>
  <si>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</si>
  <si>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</si>
  <si>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</si>
  <si>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</si>
  <si>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</si>
  <si>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</si>
  <si>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</si>
  <si>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</si>
  <si>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</si>
  <si>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</si>
  <si>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</si>
  <si>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</si>
  <si>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</si>
  <si>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</si>
  <si>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</si>
  <si>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</si>
  <si>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</si>
  <si>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</si>
  <si>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</si>
  <si>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</si>
  <si>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</si>
  <si>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</si>
  <si>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</si>
  <si>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</si>
  <si>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</si>
  <si>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</si>
  <si>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</si>
  <si>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</si>
  <si>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</si>
  <si>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</si>
  <si>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</si>
  <si>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</si>
  <si>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</si>
  <si>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</si>
  <si>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</si>
  <si>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</si>
  <si>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</si>
  <si>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</si>
  <si>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</si>
  <si>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</si>
  <si>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</si>
  <si>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</si>
  <si>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</si>
  <si>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</si>
  <si>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</si>
  <si>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</si>
  <si>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</si>
  <si>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</si>
  <si>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</si>
  <si>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</si>
  <si>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</si>
  <si>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</si>
  <si>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</si>
  <si>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</si>
  <si>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</si>
  <si>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</si>
  <si>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</si>
  <si>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</si>
  <si>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</si>
  <si>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</si>
  <si>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</si>
  <si>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</si>
  <si>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</si>
  <si>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</si>
  <si>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</si>
  <si>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</si>
  <si>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</si>
  <si>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</si>
  <si>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</si>
  <si>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</si>
  <si>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</si>
  <si>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</si>
  <si>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</si>
  <si>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</si>
  <si>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</si>
  <si>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</si>
  <si>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</si>
  <si>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</si>
  <si>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</si>
  <si>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</si>
  <si>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</si>
  <si>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</si>
  <si>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</si>
  <si>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</si>
  <si>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</si>
  <si>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</si>
  <si>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</si>
  <si>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</si>
  <si>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</si>
  <si>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</si>
  <si>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</si>
  <si>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</si>
  <si>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</si>
  <si>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</si>
  <si>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</si>
  <si>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</si>
  <si>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</si>
  <si>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</si>
  <si>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</si>
  <si>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</si>
  <si>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</si>
  <si>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</si>
  <si>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</si>
  <si>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</si>
  <si>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</si>
  <si>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</si>
  <si>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</si>
  <si>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</si>
  <si>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</si>
  <si>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</si>
  <si>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</si>
  <si>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</si>
  <si>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</si>
  <si>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</si>
  <si>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</si>
  <si>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</si>
  <si>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</si>
  <si>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</si>
  <si>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</si>
  <si>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</si>
  <si>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</si>
  <si>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</si>
  <si>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</si>
  <si>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</si>
  <si>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</si>
  <si>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</si>
  <si>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</si>
  <si>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</si>
  <si>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</si>
  <si>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</si>
  <si>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</si>
  <si>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</si>
  <si>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</si>
  <si>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</si>
  <si>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</si>
  <si>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</si>
  <si>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</si>
  <si>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</si>
  <si>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</si>
  <si>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</si>
  <si>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</si>
  <si>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</si>
  <si>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</si>
  <si>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</si>
  <si>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</si>
  <si>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</si>
  <si>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</si>
  <si>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</si>
  <si>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</si>
  <si>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</si>
  <si>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</si>
  <si>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</si>
  <si>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</si>
  <si>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</si>
  <si>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</si>
  <si>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</si>
  <si>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</si>
  <si>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</si>
  <si>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</si>
  <si>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</si>
  <si>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</si>
  <si>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</si>
  <si>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</si>
  <si>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</si>
  <si>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</si>
  <si>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</si>
  <si>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</si>
  <si>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</si>
  <si>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</si>
  <si>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</si>
  <si>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</si>
  <si>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</si>
  <si>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</si>
  <si>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</si>
  <si>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</si>
  <si>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</si>
  <si>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</si>
  <si>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</si>
  <si>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</si>
  <si>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</si>
  <si>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</si>
  <si>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</si>
  <si>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</si>
  <si>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</si>
  <si>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</si>
  <si>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</si>
  <si>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</si>
  <si>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</si>
  <si>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</si>
  <si>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</si>
  <si>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</si>
  <si>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</si>
  <si>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</si>
  <si>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</si>
  <si>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</si>
  <si>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</si>
  <si>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</si>
  <si>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</si>
  <si>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</si>
  <si>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</si>
  <si>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</si>
  <si>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</si>
  <si>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</si>
  <si>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</si>
  <si>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</si>
  <si>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</si>
  <si>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</si>
  <si>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</si>
  <si>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</si>
  <si>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</si>
  <si>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</si>
  <si>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</si>
  <si>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</si>
  <si>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</si>
  <si>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</si>
  <si>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</si>
  <si>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</si>
  <si>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</si>
  <si>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</si>
  <si>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</si>
  <si>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</si>
  <si>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</si>
  <si>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</si>
  <si>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</si>
  <si>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</si>
  <si>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</si>
  <si>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</si>
  <si>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</si>
  <si>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</si>
  <si>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</si>
  <si>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</si>
  <si>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</si>
  <si>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</si>
  <si>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</si>
  <si>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</si>
  <si>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</si>
  <si>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</si>
  <si>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</si>
  <si>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</si>
  <si>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</si>
  <si>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</si>
  <si>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</si>
  <si>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</si>
  <si>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</si>
  <si>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</si>
  <si>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</si>
  <si>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</si>
  <si>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</si>
  <si>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</si>
  <si>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</si>
  <si>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</si>
  <si>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</si>
  <si>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</si>
  <si>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</si>
  <si>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</si>
  <si>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</si>
  <si>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</si>
  <si>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</si>
  <si>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</si>
  <si>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</si>
  <si>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</si>
  <si>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</si>
  <si>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</si>
  <si>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</si>
  <si>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</si>
  <si>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</si>
  <si>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</si>
  <si>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</si>
  <si>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</si>
  <si>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</si>
  <si>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</si>
  <si>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</si>
  <si>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</si>
  <si>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</si>
  <si>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</si>
  <si>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</si>
  <si>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</si>
  <si>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</si>
  <si>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</si>
  <si>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</si>
  <si>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</si>
  <si>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</si>
  <si>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</si>
  <si>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</si>
  <si>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</si>
  <si>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</si>
  <si>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</si>
  <si>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</si>
  <si>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</si>
  <si>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</si>
  <si>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</si>
  <si>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</si>
  <si>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</si>
  <si>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</si>
  <si>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</si>
  <si>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</si>
  <si>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</si>
  <si>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</si>
  <si>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</si>
  <si>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</si>
  <si>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</si>
  <si>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</si>
  <si>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</si>
  <si>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</si>
  <si>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</si>
  <si>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</si>
  <si>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</si>
  <si>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</si>
  <si>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</si>
  <si>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</si>
  <si>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</si>
  <si>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</si>
  <si>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</si>
  <si>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</si>
  <si>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</si>
  <si>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</si>
  <si>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</si>
  <si>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</si>
  <si>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</si>
  <si>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</si>
  <si>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</si>
  <si>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</si>
  <si>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</si>
  <si>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</si>
  <si>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</si>
  <si>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</si>
  <si>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</si>
  <si>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</si>
  <si>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</si>
  <si>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</si>
  <si>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</si>
  <si>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</si>
  <si>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</si>
  <si>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</si>
  <si>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</si>
  <si>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</si>
  <si>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</si>
  <si>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</si>
  <si>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</si>
  <si>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</si>
  <si>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</si>
  <si>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</si>
  <si>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</si>
  <si>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</si>
  <si>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</si>
  <si>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</si>
  <si>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</si>
  <si>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</si>
  <si>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</si>
  <si>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</si>
  <si>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</si>
  <si>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</si>
  <si>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</si>
  <si>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</si>
  <si>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</si>
  <si>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</si>
  <si>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</si>
  <si>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</si>
  <si>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</si>
  <si>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</si>
  <si>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</si>
  <si>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</si>
  <si>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</si>
  <si>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</si>
  <si>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</si>
  <si>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</si>
  <si>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</si>
  <si>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</si>
  <si>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</si>
  <si>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</si>
  <si>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</si>
  <si>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</si>
  <si>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</si>
  <si>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</si>
  <si>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</si>
  <si>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</si>
  <si>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</si>
  <si>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</si>
  <si>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</si>
  <si>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</si>
  <si>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</si>
  <si>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</si>
  <si>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</si>
  <si>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</si>
  <si>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</si>
  <si>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</si>
  <si>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</si>
  <si>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</si>
  <si>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</si>
  <si>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</si>
  <si>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</si>
  <si>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</si>
  <si>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</si>
  <si>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</si>
  <si>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</si>
  <si>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</si>
  <si>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</si>
  <si>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</si>
  <si>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</si>
  <si>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</si>
  <si>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</si>
  <si>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</si>
  <si>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</si>
  <si>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</si>
  <si>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</si>
  <si>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</si>
  <si>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</si>
  <si>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</si>
  <si>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</si>
  <si>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</si>
  <si>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</si>
  <si>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</si>
  <si>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</si>
  <si>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</si>
  <si>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</si>
  <si>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</si>
  <si>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</si>
  <si>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</si>
  <si>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</si>
  <si>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</si>
  <si>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</si>
  <si>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</si>
  <si>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</si>
  <si>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</si>
  <si>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</si>
  <si>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</si>
  <si>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</si>
  <si>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</si>
  <si>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</si>
  <si>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</si>
  <si>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</si>
  <si>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</si>
  <si>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</si>
  <si>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</si>
  <si>
    <t xml:space="preserve">USA </t>
  </si>
  <si>
    <t>Argentinen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</si>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</sst>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H144" sqref="H144"/>
    </sheetView>
  </sheetViews>
  <sheetFormatPr baseColWidth="10" defaultColWidth="4.1640625" defaultRowHeight="13" x14ac:dyDescent="0.15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 x14ac:dyDescent="0.2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15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2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147.6</v>
      </c>
      <c r="P3" s="19"/>
      <c r="Q3" s="20" t="s">
        <v>1</v>
      </c>
      <c r="R3" s="21"/>
      <c r="S3" s="21"/>
      <c r="T3" s="21"/>
      <c r="U3" s="21"/>
      <c r="V3" s="77">
        <f>SUM(U6:U132)</f>
        <v>217.49999999999994</v>
      </c>
      <c r="X3" s="20" t="s">
        <v>1</v>
      </c>
      <c r="Y3" s="21"/>
      <c r="Z3" s="21"/>
      <c r="AA3" s="21"/>
      <c r="AB3" s="21"/>
      <c r="AC3" s="77">
        <f>SUM(AB6:AB132)</f>
        <v>150</v>
      </c>
      <c r="AE3" s="20" t="s">
        <v>1</v>
      </c>
      <c r="AF3" s="21"/>
      <c r="AG3" s="21"/>
      <c r="AH3" s="21"/>
      <c r="AI3" s="21"/>
      <c r="AJ3" s="77">
        <f>SUM(AI6:AI132)</f>
        <v>250.99999999999994</v>
      </c>
      <c r="AL3" s="20" t="s">
        <v>1</v>
      </c>
      <c r="AM3" s="21"/>
      <c r="AN3" s="21"/>
      <c r="AO3" s="21"/>
      <c r="AP3" s="21"/>
      <c r="AQ3" s="77">
        <f>SUM(AP6:AP132)</f>
        <v>304.29999999999995</v>
      </c>
      <c r="AS3" s="20" t="s">
        <v>1</v>
      </c>
      <c r="AT3" s="21"/>
      <c r="AU3" s="21"/>
      <c r="AV3" s="21"/>
      <c r="AW3" s="21"/>
      <c r="AX3" s="77">
        <f>SUM(AW6:AW132)</f>
        <v>254.5</v>
      </c>
      <c r="AZ3" s="20" t="s">
        <v>1</v>
      </c>
      <c r="BA3" s="21"/>
      <c r="BB3" s="21"/>
      <c r="BC3" s="21"/>
      <c r="BD3" s="21"/>
      <c r="BE3" s="77">
        <f>SUM(BD6:BD132)</f>
        <v>285.7999999999999</v>
      </c>
      <c r="BG3" s="20" t="s">
        <v>1</v>
      </c>
      <c r="BH3" s="21"/>
      <c r="BI3" s="21"/>
      <c r="BJ3" s="21"/>
      <c r="BK3" s="21"/>
      <c r="BL3" s="77">
        <f>SUM(BK6:BK132)</f>
        <v>252.99999999999994</v>
      </c>
      <c r="BN3" s="20" t="s">
        <v>1</v>
      </c>
      <c r="BO3" s="21"/>
      <c r="BP3" s="21"/>
      <c r="BQ3" s="21"/>
      <c r="BR3" s="21"/>
      <c r="BS3" s="77">
        <f>SUM(BR6:BR132)</f>
        <v>259.70000000000005</v>
      </c>
      <c r="BU3" s="20" t="s">
        <v>1</v>
      </c>
      <c r="BV3" s="21"/>
      <c r="BW3" s="21"/>
      <c r="BX3" s="21"/>
      <c r="BY3" s="21"/>
      <c r="BZ3" s="77">
        <f>SUM(BY6:BY132)</f>
        <v>265.60000000000002</v>
      </c>
      <c r="CB3" s="20" t="s">
        <v>1</v>
      </c>
      <c r="CC3" s="21"/>
      <c r="CD3" s="21"/>
      <c r="CE3" s="21"/>
      <c r="CF3" s="21"/>
      <c r="CG3" s="77">
        <f>SUM(CF6:CF132)</f>
        <v>180.60000000000002</v>
      </c>
      <c r="CI3" s="20" t="s">
        <v>1</v>
      </c>
      <c r="CJ3" s="21"/>
      <c r="CK3" s="21"/>
      <c r="CL3" s="21"/>
      <c r="CM3" s="21"/>
      <c r="CN3" s="77">
        <f>SUM(CM6:CM132)</f>
        <v>275.39999999999998</v>
      </c>
      <c r="CP3" s="20" t="s">
        <v>1</v>
      </c>
      <c r="CQ3" s="21"/>
      <c r="CR3" s="21"/>
      <c r="CS3" s="21"/>
      <c r="CT3" s="21"/>
      <c r="CU3" s="77">
        <f>SUM(CT6:CT132)</f>
        <v>286.79999999999995</v>
      </c>
      <c r="CW3" s="20" t="s">
        <v>1</v>
      </c>
      <c r="CX3" s="21"/>
      <c r="CY3" s="21"/>
      <c r="CZ3" s="21"/>
      <c r="DA3" s="21"/>
      <c r="DB3" s="77">
        <f>SUM(DA6:DA132)</f>
        <v>306.89999999999998</v>
      </c>
      <c r="DD3" s="20" t="s">
        <v>1</v>
      </c>
      <c r="DE3" s="21"/>
      <c r="DF3" s="21"/>
      <c r="DG3" s="21"/>
      <c r="DH3" s="21"/>
      <c r="DI3" s="77">
        <f>SUM(DH6:DH132)</f>
        <v>268.39999999999998</v>
      </c>
      <c r="DK3" s="20" t="s">
        <v>1</v>
      </c>
      <c r="DL3" s="21"/>
      <c r="DM3" s="21"/>
      <c r="DN3" s="21"/>
      <c r="DO3" s="21"/>
      <c r="DP3" s="77">
        <f>SUM(DO6:DO132)</f>
        <v>293.2</v>
      </c>
      <c r="DR3" s="20" t="s">
        <v>1</v>
      </c>
      <c r="DS3" s="21"/>
      <c r="DT3" s="21"/>
      <c r="DU3" s="21"/>
      <c r="DV3" s="21"/>
      <c r="DW3" s="77">
        <f>SUM(DV6:DV132)</f>
        <v>320.7999999999999</v>
      </c>
      <c r="DY3" s="20" t="s">
        <v>1</v>
      </c>
      <c r="DZ3" s="21"/>
      <c r="EA3" s="21"/>
      <c r="EB3" s="21"/>
      <c r="EC3" s="21"/>
      <c r="ED3" s="77">
        <f>SUM(EC6:EC132)</f>
        <v>314</v>
      </c>
      <c r="EF3" s="20" t="s">
        <v>1</v>
      </c>
      <c r="EG3" s="21"/>
      <c r="EH3" s="21"/>
      <c r="EI3" s="21"/>
      <c r="EJ3" s="21"/>
      <c r="EK3" s="77">
        <f>SUM(EJ6:EJ132)</f>
        <v>270.29999999999995</v>
      </c>
      <c r="EM3" s="20" t="s">
        <v>1</v>
      </c>
      <c r="EN3" s="21"/>
      <c r="EO3" s="21"/>
      <c r="EP3" s="21"/>
      <c r="EQ3" s="21"/>
      <c r="ER3" s="77">
        <f>SUM(EQ6:EQ132)</f>
        <v>305.99999999999989</v>
      </c>
      <c r="ET3" s="20" t="s">
        <v>1</v>
      </c>
      <c r="EU3" s="21"/>
      <c r="EV3" s="21"/>
      <c r="EW3" s="21"/>
      <c r="EX3" s="21"/>
      <c r="EY3" s="77">
        <f>SUM(EX6:EX132)</f>
        <v>274.69999999999993</v>
      </c>
      <c r="FA3" s="20" t="s">
        <v>1</v>
      </c>
      <c r="FB3" s="21"/>
      <c r="FC3" s="21"/>
      <c r="FD3" s="21"/>
      <c r="FE3" s="21"/>
      <c r="FF3" s="77">
        <f>SUM(FE6:FE132)</f>
        <v>277.79999999999995</v>
      </c>
      <c r="FH3" s="20" t="s">
        <v>1</v>
      </c>
      <c r="FI3" s="21"/>
      <c r="FJ3" s="21"/>
      <c r="FK3" s="21"/>
      <c r="FL3" s="21"/>
      <c r="FM3" s="77">
        <f>SUM(FL6:FL132)</f>
        <v>316.7</v>
      </c>
      <c r="FO3" s="20" t="s">
        <v>1</v>
      </c>
      <c r="FP3" s="21"/>
      <c r="FQ3" s="21"/>
      <c r="FR3" s="21"/>
      <c r="FS3" s="21"/>
      <c r="FT3" s="77">
        <f>SUM(FS6:FS132)</f>
        <v>277.10000000000002</v>
      </c>
      <c r="FV3" s="20" t="s">
        <v>1</v>
      </c>
      <c r="FW3" s="21"/>
      <c r="FX3" s="21"/>
      <c r="FY3" s="21"/>
      <c r="FZ3" s="21"/>
      <c r="GA3" s="77">
        <f>SUM(FZ6:FZ132)</f>
        <v>265.39999999999992</v>
      </c>
      <c r="GC3" s="20" t="s">
        <v>1</v>
      </c>
      <c r="GD3" s="21"/>
      <c r="GE3" s="21"/>
      <c r="GF3" s="21"/>
      <c r="GG3" s="21"/>
      <c r="GH3" s="77">
        <f>SUM(GG6:GG132)</f>
        <v>261.5</v>
      </c>
      <c r="GJ3" s="20" t="s">
        <v>1</v>
      </c>
      <c r="GK3" s="21"/>
      <c r="GL3" s="21"/>
      <c r="GM3" s="21"/>
      <c r="GN3" s="21"/>
      <c r="GO3" s="77">
        <f>SUM(GN6:GN132)</f>
        <v>275.19999999999993</v>
      </c>
      <c r="GQ3" s="20" t="s">
        <v>1</v>
      </c>
      <c r="GR3" s="21"/>
      <c r="GS3" s="21"/>
      <c r="GT3" s="21"/>
      <c r="GU3" s="21"/>
      <c r="GV3" s="77">
        <f>SUM(GU6:GU132)</f>
        <v>273.69999999999993</v>
      </c>
      <c r="GX3" s="20" t="s">
        <v>1</v>
      </c>
      <c r="GY3" s="21"/>
      <c r="GZ3" s="21"/>
      <c r="HA3" s="21"/>
      <c r="HB3" s="21"/>
      <c r="HC3" s="77">
        <f>SUM(HB6:HB132)</f>
        <v>308.09999999999997</v>
      </c>
      <c r="HE3" s="20" t="s">
        <v>1</v>
      </c>
      <c r="HF3" s="21"/>
      <c r="HG3" s="21"/>
      <c r="HH3" s="21"/>
      <c r="HI3" s="21"/>
      <c r="HJ3" s="77">
        <f>SUM(HI6:HI132)</f>
        <v>291.39999999999998</v>
      </c>
      <c r="HL3" s="20" t="s">
        <v>1</v>
      </c>
      <c r="HM3" s="21"/>
      <c r="HN3" s="21"/>
      <c r="HO3" s="21"/>
      <c r="HP3" s="21"/>
      <c r="HQ3" s="77">
        <f>SUM(HP6:HP132)</f>
        <v>317.59999999999997</v>
      </c>
      <c r="HS3" s="20" t="s">
        <v>1</v>
      </c>
      <c r="HT3" s="21"/>
      <c r="HU3" s="21"/>
      <c r="HV3" s="21"/>
      <c r="HW3" s="21"/>
      <c r="HX3" s="77">
        <f>SUM(HW6:HW132)</f>
        <v>287.10000000000002</v>
      </c>
      <c r="HZ3" s="20" t="s">
        <v>1</v>
      </c>
      <c r="IA3" s="21"/>
      <c r="IB3" s="21"/>
      <c r="IC3" s="21"/>
      <c r="ID3" s="21"/>
      <c r="IE3" s="77">
        <f>SUM(ID6:ID132)</f>
        <v>292.79999999999995</v>
      </c>
      <c r="IG3" s="20" t="s">
        <v>1</v>
      </c>
      <c r="IH3" s="21"/>
      <c r="II3" s="21"/>
      <c r="IJ3" s="21"/>
      <c r="IK3" s="21"/>
      <c r="IL3" s="77">
        <f>SUM(IK6:IK132)</f>
        <v>200.99999999999994</v>
      </c>
      <c r="IN3" s="20" t="s">
        <v>1</v>
      </c>
      <c r="IO3" s="21"/>
      <c r="IP3" s="21"/>
      <c r="IQ3" s="21"/>
      <c r="IR3" s="21"/>
      <c r="IS3" s="77">
        <f>SUM(IR6:IR132)</f>
        <v>266.09999999999997</v>
      </c>
      <c r="IU3" s="20" t="s">
        <v>1</v>
      </c>
      <c r="IV3" s="21"/>
      <c r="IW3" s="21"/>
      <c r="IX3" s="21"/>
      <c r="IY3" s="21"/>
      <c r="IZ3" s="77">
        <f>SUM(IY6:IY132)</f>
        <v>304.2999999999999</v>
      </c>
      <c r="JB3" s="20" t="s">
        <v>1</v>
      </c>
      <c r="JC3" s="21"/>
      <c r="JD3" s="21"/>
      <c r="JE3" s="21"/>
      <c r="JF3" s="21"/>
      <c r="JG3" s="77">
        <f>SUM(JF6:JF132)</f>
        <v>280.10000000000002</v>
      </c>
      <c r="JI3" s="20" t="s">
        <v>1</v>
      </c>
      <c r="JJ3" s="21"/>
      <c r="JK3" s="21"/>
      <c r="JL3" s="21"/>
      <c r="JM3" s="21"/>
      <c r="JN3" s="77">
        <f>SUM(JM6:JM132)</f>
        <v>269.7</v>
      </c>
      <c r="JP3" s="20" t="s">
        <v>1</v>
      </c>
      <c r="JQ3" s="21"/>
      <c r="JR3" s="21"/>
      <c r="JS3" s="21"/>
      <c r="JT3" s="21"/>
      <c r="JU3" s="77">
        <f>SUM(JT6:JT132)</f>
        <v>267</v>
      </c>
      <c r="JW3" s="20" t="s">
        <v>1</v>
      </c>
      <c r="JX3" s="21"/>
      <c r="JY3" s="21"/>
      <c r="JZ3" s="21"/>
      <c r="KA3" s="21"/>
      <c r="KB3" s="77">
        <f>SUM(KA6:KA132)</f>
        <v>259.20000000000005</v>
      </c>
      <c r="KD3" s="20" t="s">
        <v>1</v>
      </c>
      <c r="KE3" s="21"/>
      <c r="KF3" s="21"/>
      <c r="KG3" s="21"/>
      <c r="KH3" s="21"/>
      <c r="KI3" s="77">
        <f>SUM(KH6:KH132)</f>
        <v>277.19999999999993</v>
      </c>
      <c r="KK3" s="20" t="s">
        <v>1</v>
      </c>
      <c r="KL3" s="21"/>
      <c r="KM3" s="21"/>
      <c r="KN3" s="21"/>
      <c r="KO3" s="21"/>
      <c r="KP3" s="77">
        <f>SUM(KO6:KO132)</f>
        <v>268.29999999999995</v>
      </c>
      <c r="KR3" s="20" t="s">
        <v>1</v>
      </c>
      <c r="KS3" s="21"/>
      <c r="KT3" s="21"/>
      <c r="KU3" s="21"/>
      <c r="KV3" s="21"/>
      <c r="KW3" s="77">
        <f>SUM(KV6:KV132)</f>
        <v>265.79999999999995</v>
      </c>
      <c r="KY3" s="20" t="s">
        <v>1</v>
      </c>
      <c r="KZ3" s="21"/>
      <c r="LA3" s="21"/>
      <c r="LB3" s="21"/>
      <c r="LC3" s="21"/>
      <c r="LD3" s="77">
        <f>SUM(LC6:LC132)</f>
        <v>248.3</v>
      </c>
      <c r="LF3" s="20" t="s">
        <v>1</v>
      </c>
      <c r="LG3" s="21"/>
      <c r="LH3" s="21"/>
      <c r="LI3" s="21"/>
      <c r="LJ3" s="21"/>
      <c r="LK3" s="77">
        <f>SUM(LJ6:LJ132)</f>
        <v>293.89999999999998</v>
      </c>
      <c r="LM3" s="20" t="s">
        <v>1</v>
      </c>
      <c r="LN3" s="21"/>
      <c r="LO3" s="21"/>
      <c r="LP3" s="21"/>
      <c r="LQ3" s="21"/>
      <c r="LR3" s="77">
        <f>SUM(LQ6:LQ132)</f>
        <v>263.60000000000002</v>
      </c>
      <c r="LT3" s="20" t="s">
        <v>1</v>
      </c>
      <c r="LU3" s="21"/>
      <c r="LV3" s="21"/>
      <c r="LW3" s="21"/>
      <c r="LX3" s="21"/>
      <c r="LY3" s="77">
        <f>SUM(LX6:LX132)</f>
        <v>282.09999999999997</v>
      </c>
      <c r="MA3" s="20" t="s">
        <v>1</v>
      </c>
      <c r="MB3" s="21"/>
      <c r="MC3" s="21"/>
      <c r="MD3" s="21"/>
      <c r="ME3" s="21"/>
      <c r="MF3" s="77">
        <f>SUM(ME6:ME132)</f>
        <v>237.69999999999996</v>
      </c>
      <c r="MH3" s="20" t="s">
        <v>1</v>
      </c>
      <c r="MI3" s="21"/>
      <c r="MJ3" s="21"/>
      <c r="MK3" s="21"/>
      <c r="ML3" s="21"/>
      <c r="MM3" s="77">
        <f>SUM(ML6:ML132)</f>
        <v>283.59999999999997</v>
      </c>
      <c r="MO3" s="20" t="s">
        <v>1</v>
      </c>
      <c r="MP3" s="21"/>
      <c r="MQ3" s="21"/>
      <c r="MR3" s="21"/>
      <c r="MS3" s="21"/>
      <c r="MT3" s="77">
        <f>SUM(MS6:MS132)</f>
        <v>271.39999999999998</v>
      </c>
      <c r="MV3" s="20" t="s">
        <v>1</v>
      </c>
      <c r="MW3" s="21"/>
      <c r="MX3" s="21"/>
      <c r="MY3" s="21"/>
      <c r="MZ3" s="21"/>
      <c r="NA3" s="77">
        <f>SUM(MZ6:MZ132)</f>
        <v>288.49999999999994</v>
      </c>
      <c r="NC3" s="20" t="s">
        <v>1</v>
      </c>
      <c r="ND3" s="21"/>
      <c r="NE3" s="21"/>
      <c r="NF3" s="21"/>
      <c r="NG3" s="21"/>
      <c r="NH3" s="77">
        <f>SUM(NG6:NG132)</f>
        <v>212.2</v>
      </c>
      <c r="NJ3" s="20" t="s">
        <v>1</v>
      </c>
      <c r="NK3" s="21"/>
      <c r="NL3" s="21"/>
      <c r="NM3" s="21"/>
      <c r="NN3" s="21"/>
      <c r="NO3" s="77">
        <f>SUM(NN6:NN132)</f>
        <v>207.49999999999994</v>
      </c>
      <c r="NQ3" s="20" t="s">
        <v>1</v>
      </c>
      <c r="NR3" s="21"/>
      <c r="NS3" s="21"/>
      <c r="NT3" s="21"/>
      <c r="NU3" s="21"/>
      <c r="NV3" s="77">
        <f>SUM(NU6:NU132)</f>
        <v>270.39999999999998</v>
      </c>
      <c r="NX3" s="20" t="s">
        <v>1</v>
      </c>
      <c r="NY3" s="21"/>
      <c r="NZ3" s="21"/>
      <c r="OA3" s="21"/>
      <c r="OB3" s="21"/>
      <c r="OC3" s="77">
        <f>SUM(OB6:OB132)</f>
        <v>312.2</v>
      </c>
      <c r="OE3" s="20" t="s">
        <v>1</v>
      </c>
      <c r="OF3" s="21"/>
      <c r="OG3" s="21"/>
      <c r="OH3" s="21"/>
      <c r="OI3" s="21"/>
      <c r="OJ3" s="77">
        <f>SUM(OI6:OI132)</f>
        <v>251.99999999999997</v>
      </c>
      <c r="OL3" s="20" t="s">
        <v>1</v>
      </c>
      <c r="OM3" s="21"/>
      <c r="ON3" s="21"/>
      <c r="OO3" s="21"/>
      <c r="OP3" s="21"/>
      <c r="OQ3" s="77">
        <f>SUM(OP6:OP132)</f>
        <v>289.19999999999993</v>
      </c>
      <c r="OS3" s="20" t="s">
        <v>1</v>
      </c>
      <c r="OT3" s="21"/>
      <c r="OU3" s="21"/>
      <c r="OV3" s="21"/>
      <c r="OW3" s="21"/>
      <c r="OX3" s="77">
        <f>SUM(OW6:OW132)</f>
        <v>236.49999999999997</v>
      </c>
      <c r="OZ3" s="20" t="s">
        <v>1</v>
      </c>
      <c r="PA3" s="21"/>
      <c r="PB3" s="21"/>
      <c r="PC3" s="21"/>
      <c r="PD3" s="21"/>
      <c r="PE3" s="77">
        <f>SUM(PD6:PD132)</f>
        <v>288.2</v>
      </c>
      <c r="PG3" s="20" t="s">
        <v>1</v>
      </c>
      <c r="PH3" s="21"/>
      <c r="PI3" s="21"/>
      <c r="PJ3" s="21"/>
      <c r="PK3" s="21"/>
      <c r="PL3" s="77">
        <f>SUM(PK6:PK132)</f>
        <v>268.89999999999998</v>
      </c>
      <c r="PN3" s="20" t="s">
        <v>1</v>
      </c>
      <c r="PO3" s="21"/>
      <c r="PP3" s="21"/>
      <c r="PQ3" s="21"/>
      <c r="PR3" s="21"/>
      <c r="PS3" s="77">
        <f>SUM(PR6:PR132)</f>
        <v>295.19999999999993</v>
      </c>
      <c r="PU3" s="20" t="s">
        <v>1</v>
      </c>
      <c r="PV3" s="21"/>
      <c r="PW3" s="21"/>
      <c r="PX3" s="21"/>
      <c r="PY3" s="21"/>
      <c r="PZ3" s="77">
        <f>SUM(PY6:PY132)</f>
        <v>244.39999999999998</v>
      </c>
      <c r="QB3" s="20" t="s">
        <v>1</v>
      </c>
      <c r="QC3" s="21"/>
      <c r="QD3" s="21"/>
      <c r="QE3" s="21"/>
      <c r="QF3" s="21"/>
      <c r="QG3" s="77">
        <f>SUM(QF6:QF132)</f>
        <v>255.9</v>
      </c>
      <c r="QI3" s="20" t="s">
        <v>1</v>
      </c>
      <c r="QJ3" s="21"/>
      <c r="QK3" s="21"/>
      <c r="QL3" s="21"/>
      <c r="QM3" s="21"/>
      <c r="QN3" s="77">
        <f>SUM(QM6:QM132)</f>
        <v>288.49999999999989</v>
      </c>
      <c r="QP3" s="20" t="s">
        <v>1</v>
      </c>
      <c r="QQ3" s="21"/>
      <c r="QR3" s="21"/>
      <c r="QS3" s="21"/>
      <c r="QT3" s="21"/>
      <c r="QU3" s="77">
        <f>SUM(QT6:QT132)</f>
        <v>252.4</v>
      </c>
      <c r="QW3" s="20" t="s">
        <v>1</v>
      </c>
      <c r="QX3" s="21"/>
      <c r="QY3" s="21"/>
      <c r="QZ3" s="21"/>
      <c r="RA3" s="21"/>
      <c r="RB3" s="77">
        <f>SUM(RA6:RA132)</f>
        <v>228.69999999999996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214.3</v>
      </c>
      <c r="RR3" s="20" t="s">
        <v>1</v>
      </c>
      <c r="RS3" s="21"/>
      <c r="RT3" s="21"/>
      <c r="RU3" s="21"/>
      <c r="RV3" s="21"/>
      <c r="RW3" s="77">
        <f>SUM(RV6:RV132)</f>
        <v>247</v>
      </c>
      <c r="RY3" s="20" t="s">
        <v>1</v>
      </c>
      <c r="RZ3" s="21"/>
      <c r="SA3" s="21"/>
      <c r="SB3" s="21"/>
      <c r="SC3" s="21"/>
      <c r="SD3" s="77">
        <f>SUM(SC6:SC132)</f>
        <v>215.39999999999998</v>
      </c>
      <c r="SF3" s="20" t="s">
        <v>1</v>
      </c>
      <c r="SG3" s="21"/>
      <c r="SH3" s="21"/>
      <c r="SI3" s="21"/>
      <c r="SJ3" s="21"/>
      <c r="SK3" s="77">
        <f>SUM(SJ6:SJ132)</f>
        <v>174.9</v>
      </c>
      <c r="SM3" s="20" t="s">
        <v>1</v>
      </c>
      <c r="SN3" s="21"/>
      <c r="SO3" s="21"/>
      <c r="SP3" s="21"/>
      <c r="SQ3" s="21"/>
      <c r="SR3" s="77">
        <f>SUM(SQ6:SQ132)</f>
        <v>208.29999999999998</v>
      </c>
    </row>
    <row r="4" spans="1:512" customFormat="1" x14ac:dyDescent="0.15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 x14ac:dyDescent="0.2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2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2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2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2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2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2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2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2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2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2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2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2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2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2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2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2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2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2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2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2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2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2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2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2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15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15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15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15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15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15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15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15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15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15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15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15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15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15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15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15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15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15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15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15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15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15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15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15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15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2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15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15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15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15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15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15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15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15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15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15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15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15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15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15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15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15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15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15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15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15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15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15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15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15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15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/>
      <c r="S80" s="49"/>
      <c r="U80" s="42"/>
      <c r="V80" s="43"/>
      <c r="W80" s="5"/>
      <c r="X80" s="47"/>
      <c r="Y80" s="48"/>
      <c r="Z80" s="49"/>
      <c r="AB80" s="42"/>
      <c r="AC80" s="43"/>
      <c r="AD80" s="5"/>
      <c r="AE80" s="47"/>
      <c r="AF80" s="48"/>
      <c r="AG80" s="49"/>
      <c r="AI80" s="42"/>
      <c r="AJ80" s="43"/>
      <c r="AL80" s="47"/>
      <c r="AM80" s="48"/>
      <c r="AN80" s="49"/>
      <c r="AP80" s="42"/>
      <c r="AQ80" s="43"/>
      <c r="AS80" s="47"/>
      <c r="AT80" s="48"/>
      <c r="AU80" s="49"/>
      <c r="AW80" s="42"/>
      <c r="AX80" s="43"/>
      <c r="AZ80" s="47"/>
      <c r="BA80" s="48"/>
      <c r="BB80" s="49"/>
      <c r="BD80" s="42"/>
      <c r="BE80" s="43"/>
      <c r="BF80" s="5"/>
      <c r="BG80" s="47"/>
      <c r="BH80" s="48"/>
      <c r="BI80" s="49"/>
      <c r="BK80" s="42"/>
      <c r="BL80" s="43"/>
      <c r="BN80" s="47"/>
      <c r="BO80" s="48"/>
      <c r="BP80" s="49"/>
      <c r="BR80" s="42"/>
      <c r="BS80" s="43"/>
      <c r="BU80" s="47"/>
      <c r="BV80" s="48"/>
      <c r="BW80" s="49"/>
      <c r="BY80" s="42"/>
      <c r="BZ80" s="43"/>
      <c r="CB80" s="47"/>
      <c r="CC80" s="48"/>
      <c r="CD80" s="49"/>
      <c r="CF80" s="42"/>
      <c r="CG80" s="43"/>
      <c r="CH80" s="5"/>
      <c r="CI80" s="47"/>
      <c r="CJ80" s="48"/>
      <c r="CK80" s="49"/>
      <c r="CM80" s="42"/>
      <c r="CN80" s="43"/>
      <c r="CP80" s="47"/>
      <c r="CQ80" s="48"/>
      <c r="CR80" s="49"/>
      <c r="CT80" s="42"/>
      <c r="CU80" s="43"/>
      <c r="CW80" s="47"/>
      <c r="CX80" s="48"/>
      <c r="CY80" s="49"/>
      <c r="DA80" s="42"/>
      <c r="DB80" s="43"/>
      <c r="DD80" s="47"/>
      <c r="DE80" s="48"/>
      <c r="DF80" s="49"/>
      <c r="DH80" s="42"/>
      <c r="DI80" s="43"/>
      <c r="DJ80" s="5"/>
      <c r="DK80" s="47"/>
      <c r="DL80" s="48"/>
      <c r="DM80" s="49"/>
      <c r="DO80" s="42"/>
      <c r="DP80" s="43"/>
      <c r="DR80" s="47"/>
      <c r="DS80" s="48"/>
      <c r="DT80" s="49"/>
      <c r="DV80" s="42"/>
      <c r="DW80" s="43"/>
      <c r="DY80" s="47"/>
      <c r="DZ80" s="48"/>
      <c r="EA80" s="49"/>
      <c r="EC80" s="42"/>
      <c r="ED80" s="43"/>
      <c r="EF80" s="47"/>
      <c r="EG80" s="48"/>
      <c r="EH80" s="49"/>
      <c r="EJ80" s="42"/>
      <c r="EK80" s="43"/>
      <c r="EL80" s="5"/>
      <c r="EM80" s="47"/>
      <c r="EN80" s="48"/>
      <c r="EO80" s="49"/>
      <c r="EQ80" s="42"/>
      <c r="ER80" s="43"/>
      <c r="ET80" s="47"/>
      <c r="EU80" s="48"/>
      <c r="EV80" s="49"/>
      <c r="EX80" s="42"/>
      <c r="EY80" s="43"/>
      <c r="FA80" s="47"/>
      <c r="FB80" s="48"/>
      <c r="FC80" s="49"/>
      <c r="FE80" s="42"/>
      <c r="FF80" s="43"/>
      <c r="FH80" s="47"/>
      <c r="FI80" s="48"/>
      <c r="FJ80" s="49"/>
      <c r="FL80" s="42"/>
      <c r="FM80" s="43"/>
      <c r="FN80" s="5"/>
      <c r="FO80" s="47"/>
      <c r="FP80" s="48"/>
      <c r="FQ80" s="49"/>
      <c r="FS80" s="42"/>
      <c r="FT80" s="43"/>
      <c r="FV80" s="47"/>
      <c r="FW80" s="48"/>
      <c r="FX80" s="49"/>
      <c r="FZ80" s="42"/>
      <c r="GA80" s="43"/>
      <c r="GC80" s="47"/>
      <c r="GD80" s="48"/>
      <c r="GE80" s="49"/>
      <c r="GG80" s="42"/>
      <c r="GH80" s="43"/>
      <c r="GJ80" s="47"/>
      <c r="GK80" s="48"/>
      <c r="GL80" s="49"/>
      <c r="GN80" s="42"/>
      <c r="GO80" s="43"/>
      <c r="GP80" s="5"/>
      <c r="GQ80" s="47"/>
      <c r="GR80" s="48"/>
      <c r="GS80" s="49"/>
      <c r="GU80" s="42"/>
      <c r="GV80" s="43"/>
      <c r="GX80" s="47"/>
      <c r="GY80" s="48"/>
      <c r="GZ80" s="49"/>
      <c r="HB80" s="42"/>
      <c r="HC80" s="43"/>
      <c r="HE80" s="47"/>
      <c r="HF80" s="48"/>
      <c r="HG80" s="49"/>
      <c r="HI80" s="42"/>
      <c r="HJ80" s="43"/>
      <c r="HL80" s="47"/>
      <c r="HM80" s="48"/>
      <c r="HN80" s="49"/>
      <c r="HP80" s="42"/>
      <c r="HQ80" s="43"/>
      <c r="HR80" s="5"/>
      <c r="HS80" s="47"/>
      <c r="HT80" s="48"/>
      <c r="HU80" s="49"/>
      <c r="HW80" s="42"/>
      <c r="HX80" s="43"/>
      <c r="HZ80" s="47"/>
      <c r="IA80" s="48"/>
      <c r="IB80" s="49"/>
      <c r="ID80" s="42"/>
      <c r="IE80" s="43"/>
      <c r="IG80" s="47"/>
      <c r="IH80" s="48"/>
      <c r="II80" s="49"/>
      <c r="IK80" s="42"/>
      <c r="IL80" s="43"/>
      <c r="IN80" s="47"/>
      <c r="IO80" s="48"/>
      <c r="IP80" s="49"/>
      <c r="IR80" s="42"/>
      <c r="IS80" s="43"/>
      <c r="IT80" s="5"/>
      <c r="IU80" s="47"/>
      <c r="IV80" s="48"/>
      <c r="IW80" s="49"/>
      <c r="IY80" s="42"/>
      <c r="IZ80" s="43"/>
      <c r="JB80" s="47"/>
      <c r="JC80" s="48"/>
      <c r="JD80" s="49"/>
      <c r="JF80" s="42"/>
      <c r="JG80" s="43"/>
      <c r="JI80" s="47"/>
      <c r="JJ80" s="48"/>
      <c r="JK80" s="49"/>
      <c r="JM80" s="42"/>
      <c r="JN80" s="43"/>
      <c r="JP80" s="47"/>
      <c r="JQ80" s="48"/>
      <c r="JR80" s="49"/>
      <c r="JT80" s="42"/>
      <c r="JU80" s="43"/>
      <c r="JV80" s="5"/>
      <c r="JW80" s="47"/>
      <c r="JX80" s="48"/>
      <c r="JY80" s="49"/>
      <c r="KA80" s="42"/>
      <c r="KB80" s="43"/>
      <c r="KD80" s="47"/>
      <c r="KE80" s="48"/>
      <c r="KF80" s="49"/>
      <c r="KH80" s="42"/>
      <c r="KI80" s="43"/>
      <c r="KK80" s="47"/>
      <c r="KL80" s="48"/>
      <c r="KM80" s="49"/>
      <c r="KO80" s="42"/>
      <c r="KP80" s="43"/>
      <c r="KR80" s="47"/>
      <c r="KS80" s="48"/>
      <c r="KT80" s="49"/>
      <c r="KV80" s="42"/>
      <c r="KW80" s="43"/>
      <c r="KY80" s="47"/>
      <c r="KZ80" s="48"/>
      <c r="LA80" s="49"/>
      <c r="LC80" s="42"/>
      <c r="LD80" s="43"/>
      <c r="LF80" s="47"/>
      <c r="LG80" s="48"/>
      <c r="LH80" s="49"/>
      <c r="LJ80" s="42"/>
      <c r="LK80" s="43"/>
      <c r="LM80" s="47"/>
      <c r="LN80" s="48"/>
      <c r="LO80" s="49"/>
      <c r="LQ80" s="42"/>
      <c r="LR80" s="43"/>
      <c r="LT80" s="47"/>
      <c r="LU80" s="48"/>
      <c r="LV80" s="49"/>
      <c r="LX80" s="42"/>
      <c r="LY80" s="43"/>
      <c r="MA80" s="47"/>
      <c r="MB80" s="48"/>
      <c r="MC80" s="49"/>
      <c r="ME80" s="42"/>
      <c r="MF80" s="43"/>
      <c r="MH80" s="47"/>
      <c r="MI80" s="48"/>
      <c r="MJ80" s="49"/>
      <c r="ML80" s="42"/>
      <c r="MM80" s="43"/>
      <c r="MO80" s="47"/>
      <c r="MP80" s="48"/>
      <c r="MQ80" s="49"/>
      <c r="MS80" s="42"/>
      <c r="MT80" s="43"/>
      <c r="MV80" s="47"/>
      <c r="MW80" s="48"/>
      <c r="MX80" s="49"/>
      <c r="MZ80" s="42"/>
      <c r="NA80" s="43"/>
      <c r="NC80" s="47"/>
      <c r="ND80" s="48"/>
      <c r="NE80" s="49"/>
      <c r="NG80" s="42"/>
      <c r="NH80" s="43"/>
      <c r="NJ80" s="47"/>
      <c r="NK80" s="48"/>
      <c r="NL80" s="49"/>
      <c r="NN80" s="42"/>
      <c r="NO80" s="43"/>
      <c r="NQ80" s="47"/>
      <c r="NR80" s="48"/>
      <c r="NS80" s="49"/>
      <c r="NU80" s="42"/>
      <c r="NV80" s="43"/>
      <c r="NX80" s="47"/>
      <c r="NY80" s="48"/>
      <c r="NZ80" s="49"/>
      <c r="OB80" s="42"/>
      <c r="OC80" s="43"/>
      <c r="OE80" s="47"/>
      <c r="OF80" s="48"/>
      <c r="OG80" s="49"/>
      <c r="OI80" s="42"/>
      <c r="OJ80" s="43"/>
      <c r="OL80" s="47"/>
      <c r="OM80" s="48"/>
      <c r="ON80" s="49"/>
      <c r="OP80" s="42"/>
      <c r="OQ80" s="43"/>
      <c r="OS80" s="47"/>
      <c r="OT80" s="48"/>
      <c r="OU80" s="49"/>
      <c r="OW80" s="42"/>
      <c r="OX80" s="43"/>
      <c r="OZ80" s="47"/>
      <c r="PA80" s="48"/>
      <c r="PB80" s="49"/>
      <c r="PD80" s="42"/>
      <c r="PE80" s="43"/>
      <c r="PG80" s="47"/>
      <c r="PH80" s="48"/>
      <c r="PI80" s="49"/>
      <c r="PK80" s="42"/>
      <c r="PL80" s="43"/>
      <c r="PN80" s="47"/>
      <c r="PO80" s="48"/>
      <c r="PP80" s="49"/>
      <c r="PR80" s="42"/>
      <c r="PS80" s="43"/>
      <c r="PU80" s="47"/>
      <c r="PV80" s="48"/>
      <c r="PW80" s="49"/>
      <c r="PY80" s="42"/>
      <c r="PZ80" s="43"/>
      <c r="QB80" s="47"/>
      <c r="QC80" s="48"/>
      <c r="QD80" s="49"/>
      <c r="QF80" s="42"/>
      <c r="QG80" s="43"/>
      <c r="QI80" s="47"/>
      <c r="QJ80" s="48"/>
      <c r="QK80" s="49"/>
      <c r="QM80" s="42"/>
      <c r="QN80" s="43"/>
      <c r="QP80" s="47"/>
      <c r="QQ80" s="48"/>
      <c r="QR80" s="49"/>
      <c r="QT80" s="42"/>
      <c r="QU80" s="43"/>
      <c r="QW80" s="47"/>
      <c r="QX80" s="48"/>
      <c r="QY80" s="49"/>
      <c r="RA80" s="42"/>
      <c r="RB80" s="43"/>
      <c r="RD80" s="47"/>
      <c r="RE80" s="48"/>
      <c r="RF80" s="49"/>
      <c r="RH80" s="42"/>
      <c r="RI80" s="43"/>
      <c r="RK80" s="47"/>
      <c r="RL80" s="48"/>
      <c r="RM80" s="49"/>
      <c r="RO80" s="42"/>
      <c r="RP80" s="43"/>
      <c r="RR80" s="47"/>
      <c r="RS80" s="48"/>
      <c r="RT80" s="49"/>
      <c r="RV80" s="42"/>
      <c r="RW80" s="43"/>
      <c r="RY80" s="47"/>
      <c r="RZ80" s="48"/>
      <c r="SA80" s="49"/>
      <c r="SC80" s="42"/>
      <c r="SD80" s="43"/>
      <c r="SF80" s="47"/>
      <c r="SG80" s="48"/>
      <c r="SH80" s="49"/>
      <c r="SJ80" s="42"/>
      <c r="SK80" s="43"/>
      <c r="SM80" s="47"/>
      <c r="SN80" s="48"/>
      <c r="SO80" s="49"/>
      <c r="SQ80" s="42"/>
      <c r="SR80" s="43"/>
    </row>
    <row r="81" spans="1:512" ht="16" customHeight="1" x14ac:dyDescent="0.15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15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>
        <v>0</v>
      </c>
      <c r="BV82" s="48" t="s">
        <v>4</v>
      </c>
      <c r="BW82" s="49">
        <v>1</v>
      </c>
      <c r="BY82" s="42">
        <f t="shared" ref="BY82:BY97" si="448">IF(OR($G82="",BW82=""),"",IF(AND($E82=BU82,$G82=BW82),$H82*1.5,IF(AND($I82&gt;0,BZ82&gt;0),$H82,IF(AND($I82&lt;0,BZ82&lt;0),$H82,IF(AND($I82=0,BZ82=0),$H82,0)))))</f>
        <v>7.1999999999999993</v>
      </c>
      <c r="BZ82" s="43">
        <f t="shared" ref="BZ82:BZ97" si="449">BU82-BW82</f>
        <v>-1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>
        <v>2</v>
      </c>
      <c r="CJ82" s="48" t="s">
        <v>4</v>
      </c>
      <c r="CK82" s="49">
        <v>1</v>
      </c>
      <c r="CM82" s="42">
        <f t="shared" ref="CM82:CM97" si="452">IF(OR($G82="",CK82=""),"",IF(AND($E82=CI82,$G82=CK82),$H82*1.5,IF(AND($I82&gt;0,CN82&gt;0),$H82,IF(AND($I82&lt;0,CN82&lt;0),$H82,IF(AND($I82=0,CN82=0),$H82,0)))))</f>
        <v>0</v>
      </c>
      <c r="CN82" s="43">
        <f t="shared" ref="CN82:CN97" si="453">CI82-CK82</f>
        <v>1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0</v>
      </c>
      <c r="OM82" s="48" t="s">
        <v>4</v>
      </c>
      <c r="ON82" s="49">
        <v>3</v>
      </c>
      <c r="OP82" s="42">
        <f t="shared" ref="OP82:OP97" si="542">IF(OR($G82="",ON82=""),"",IF(AND($E82=OL82,$G82=ON82),$H82*1.5,IF(AND($I82&gt;0,OQ82&gt;0),$H82,IF(AND($I82&lt;0,OQ82&lt;0),$H82,IF(AND($I82=0,OQ82=0),$H82,0)))))</f>
        <v>4.8</v>
      </c>
      <c r="OQ82" s="43">
        <f t="shared" ref="OQ82:OQ97" si="543">OL82-ON82</f>
        <v>-3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1</v>
      </c>
      <c r="PA82" s="48" t="s">
        <v>4</v>
      </c>
      <c r="PB82" s="49">
        <v>2</v>
      </c>
      <c r="PD82" s="42">
        <f t="shared" ref="PD82:PD97" si="546">IF(OR($G82="",PB82=""),"",IF(AND($E82=OZ82,$G82=PB82),$H82*1.5,IF(AND($I82&gt;0,PE82&gt;0),$H82,IF(AND($I82&lt;0,PE82&lt;0),$H82,IF(AND($I82=0,PE82=0),$H82,0)))))</f>
        <v>4.8</v>
      </c>
      <c r="PE82" s="43">
        <f t="shared" ref="PE82:PE97" si="547">OZ82-PB82</f>
        <v>-1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5</v>
      </c>
      <c r="SG82" s="48" t="s">
        <v>4</v>
      </c>
      <c r="SH82" s="49">
        <v>3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15">
      <c r="A83" s="51">
        <v>46202</v>
      </c>
      <c r="B83" s="46">
        <v>0.79166666666666663</v>
      </c>
      <c r="C83" s="82" t="s">
        <v>35</v>
      </c>
      <c r="D83" s="83" t="s">
        <v>40</v>
      </c>
      <c r="E83" s="2">
        <v>2</v>
      </c>
      <c r="F83" s="50" t="s">
        <v>4</v>
      </c>
      <c r="G83" s="1">
        <v>1</v>
      </c>
      <c r="H83" s="16">
        <v>5.2</v>
      </c>
      <c r="I83" s="32">
        <f t="shared" si="429"/>
        <v>1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>
        <f t="shared" si="432"/>
        <v>5.2</v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>
        <f t="shared" si="436"/>
        <v>5.2</v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>
        <f t="shared" si="438"/>
        <v>5.2</v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>
        <f t="shared" si="440"/>
        <v>5.2</v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>
        <f t="shared" si="442"/>
        <v>5.2</v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>
        <f t="shared" si="444"/>
        <v>5.2</v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>
        <f t="shared" si="446"/>
        <v>0</v>
      </c>
      <c r="BS83" s="43">
        <f t="shared" si="447"/>
        <v>-1</v>
      </c>
      <c r="BT83" s="8"/>
      <c r="BU83" s="47">
        <v>3</v>
      </c>
      <c r="BV83" s="48" t="s">
        <v>4</v>
      </c>
      <c r="BW83" s="49">
        <v>0</v>
      </c>
      <c r="BX83" s="8"/>
      <c r="BY83" s="42">
        <f t="shared" si="448"/>
        <v>5.2</v>
      </c>
      <c r="BZ83" s="43">
        <f t="shared" si="449"/>
        <v>3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>
        <v>2</v>
      </c>
      <c r="CJ83" s="48" t="s">
        <v>4</v>
      </c>
      <c r="CK83" s="49">
        <v>0</v>
      </c>
      <c r="CL83" s="8"/>
      <c r="CM83" s="42">
        <f t="shared" si="452"/>
        <v>5.2</v>
      </c>
      <c r="CN83" s="43">
        <f t="shared" si="453"/>
        <v>2</v>
      </c>
      <c r="CO83" s="8"/>
      <c r="CP83" s="47">
        <v>1</v>
      </c>
      <c r="CQ83" s="48" t="s">
        <v>4</v>
      </c>
      <c r="CR83" s="49">
        <v>0</v>
      </c>
      <c r="CS83" s="8"/>
      <c r="CT83" s="42">
        <f t="shared" si="454"/>
        <v>5.2</v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>
        <f t="shared" si="456"/>
        <v>5.2</v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>
        <f t="shared" si="458"/>
        <v>5.2</v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>
        <f t="shared" si="460"/>
        <v>0</v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>
        <f t="shared" si="462"/>
        <v>5.2</v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>
        <f t="shared" si="464"/>
        <v>7.8000000000000007</v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>
        <f t="shared" si="466"/>
        <v>5.2</v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>
        <f t="shared" si="468"/>
        <v>5.2</v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>
        <f t="shared" si="470"/>
        <v>5.2</v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>
        <f t="shared" si="472"/>
        <v>5.2</v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>
        <f t="shared" si="474"/>
        <v>7.8000000000000007</v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>
        <f t="shared" si="476"/>
        <v>7.8000000000000007</v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>
        <f t="shared" si="478"/>
        <v>5.2</v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>
        <f t="shared" si="480"/>
        <v>7.8000000000000007</v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>
        <f t="shared" si="482"/>
        <v>5.2</v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>
        <f t="shared" si="484"/>
        <v>5.2</v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>
        <f t="shared" si="486"/>
        <v>7.8000000000000007</v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>
        <f t="shared" si="488"/>
        <v>5.2</v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>
        <f t="shared" si="490"/>
        <v>7.8000000000000007</v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>
        <f t="shared" si="492"/>
        <v>7.8000000000000007</v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>
        <f t="shared" si="494"/>
        <v>5.2</v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>
        <f t="shared" si="496"/>
        <v>5.2</v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>
        <f t="shared" si="498"/>
        <v>0</v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>
        <f t="shared" si="500"/>
        <v>5.2</v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>
        <f t="shared" si="502"/>
        <v>7.8000000000000007</v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>
        <f t="shared" si="504"/>
        <v>5.2</v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>
        <f t="shared" si="506"/>
        <v>0</v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>
        <f t="shared" si="508"/>
        <v>5.2</v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>
        <f t="shared" si="510"/>
        <v>5.2</v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>
        <f t="shared" si="512"/>
        <v>5.2</v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>
        <f t="shared" si="514"/>
        <v>0</v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>
        <f t="shared" si="516"/>
        <v>7.8000000000000007</v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>
        <f t="shared" si="518"/>
        <v>5.2</v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>
        <f t="shared" si="520"/>
        <v>5.2</v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>
        <f t="shared" si="522"/>
        <v>7.8000000000000007</v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>
        <f t="shared" si="524"/>
        <v>5.2</v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>
        <f t="shared" si="526"/>
        <v>5.2</v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>
        <f t="shared" si="528"/>
        <v>5.2</v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>
        <f t="shared" si="530"/>
        <v>5.2</v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>
        <f t="shared" si="532"/>
        <v>5.2</v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>
        <f t="shared" si="534"/>
        <v>5.2</v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>
        <f t="shared" si="536"/>
        <v>5.2</v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>
        <f t="shared" si="538"/>
        <v>5.2</v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>
        <f t="shared" si="540"/>
        <v>0</v>
      </c>
      <c r="OJ83" s="43">
        <f t="shared" si="541"/>
        <v>-1</v>
      </c>
      <c r="OK83" s="8"/>
      <c r="OL83" s="47">
        <v>2</v>
      </c>
      <c r="OM83" s="48" t="s">
        <v>4</v>
      </c>
      <c r="ON83" s="49">
        <v>1</v>
      </c>
      <c r="OO83" s="8"/>
      <c r="OP83" s="42">
        <f t="shared" si="542"/>
        <v>7.8000000000000007</v>
      </c>
      <c r="OQ83" s="43">
        <f t="shared" si="543"/>
        <v>1</v>
      </c>
      <c r="OR83" s="8"/>
      <c r="OS83" s="47">
        <v>3</v>
      </c>
      <c r="OT83" s="48" t="s">
        <v>4</v>
      </c>
      <c r="OU83" s="49">
        <v>1</v>
      </c>
      <c r="OV83" s="8"/>
      <c r="OW83" s="42">
        <f t="shared" si="544"/>
        <v>5.2</v>
      </c>
      <c r="OX83" s="43">
        <f t="shared" si="545"/>
        <v>2</v>
      </c>
      <c r="OY83" s="8"/>
      <c r="OZ83" s="47">
        <v>2</v>
      </c>
      <c r="PA83" s="48" t="s">
        <v>4</v>
      </c>
      <c r="PB83" s="49">
        <v>3</v>
      </c>
      <c r="PC83" s="8"/>
      <c r="PD83" s="42">
        <f t="shared" si="546"/>
        <v>0</v>
      </c>
      <c r="PE83" s="43">
        <f t="shared" si="547"/>
        <v>-1</v>
      </c>
      <c r="PF83" s="8"/>
      <c r="PG83" s="47">
        <v>1</v>
      </c>
      <c r="PH83" s="48" t="s">
        <v>4</v>
      </c>
      <c r="PI83" s="49">
        <v>0</v>
      </c>
      <c r="PJ83" s="8"/>
      <c r="PK83" s="42">
        <f t="shared" si="548"/>
        <v>5.2</v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>
        <f t="shared" si="550"/>
        <v>5.2</v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>
        <f t="shared" si="552"/>
        <v>7.8000000000000007</v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>
        <f t="shared" si="554"/>
        <v>7.8000000000000007</v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>
        <f t="shared" si="556"/>
        <v>5.2</v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>
        <f t="shared" si="558"/>
        <v>5.2</v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>
        <f t="shared" si="560"/>
        <v>7.8000000000000007</v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>
        <v>2</v>
      </c>
      <c r="RL83" s="48" t="s">
        <v>4</v>
      </c>
      <c r="RM83" s="49">
        <v>0</v>
      </c>
      <c r="RN83" s="8"/>
      <c r="RO83" s="42">
        <f t="shared" si="564"/>
        <v>5.2</v>
      </c>
      <c r="RP83" s="43">
        <f t="shared" si="565"/>
        <v>2</v>
      </c>
      <c r="RQ83" s="8"/>
      <c r="RR83" s="47">
        <v>2</v>
      </c>
      <c r="RS83" s="48" t="s">
        <v>4</v>
      </c>
      <c r="RT83" s="49">
        <v>0</v>
      </c>
      <c r="RU83" s="8"/>
      <c r="RV83" s="42">
        <f t="shared" si="566"/>
        <v>5.2</v>
      </c>
      <c r="RW83" s="43">
        <f t="shared" si="567"/>
        <v>2</v>
      </c>
      <c r="RX83" s="8"/>
      <c r="RY83" s="47">
        <v>2</v>
      </c>
      <c r="RZ83" s="48" t="s">
        <v>4</v>
      </c>
      <c r="SA83" s="49">
        <v>0</v>
      </c>
      <c r="SB83" s="8"/>
      <c r="SC83" s="42">
        <f t="shared" si="568"/>
        <v>5.2</v>
      </c>
      <c r="SD83" s="43">
        <f t="shared" si="569"/>
        <v>2</v>
      </c>
      <c r="SE83" s="8"/>
      <c r="SF83" s="47">
        <v>2</v>
      </c>
      <c r="SG83" s="48" t="s">
        <v>4</v>
      </c>
      <c r="SH83" s="49">
        <v>0</v>
      </c>
      <c r="SI83" s="8"/>
      <c r="SJ83" s="42">
        <f t="shared" si="570"/>
        <v>5.2</v>
      </c>
      <c r="SK83" s="43">
        <f t="shared" si="571"/>
        <v>2</v>
      </c>
      <c r="SL83" s="8"/>
      <c r="SM83" s="47">
        <v>2</v>
      </c>
      <c r="SN83" s="48" t="s">
        <v>4</v>
      </c>
      <c r="SO83" s="49">
        <v>0</v>
      </c>
      <c r="SP83" s="8"/>
      <c r="SQ83" s="42">
        <f t="shared" si="572"/>
        <v>5.2</v>
      </c>
      <c r="SR83" s="43">
        <f t="shared" si="573"/>
        <v>2</v>
      </c>
    </row>
    <row r="84" spans="1:512" ht="16" customHeight="1" x14ac:dyDescent="0.15">
      <c r="A84" s="51">
        <v>46202</v>
      </c>
      <c r="B84" s="46">
        <v>0.9375</v>
      </c>
      <c r="C84" t="s">
        <v>5</v>
      </c>
      <c r="D84" t="s">
        <v>33</v>
      </c>
      <c r="E84" s="2">
        <v>4</v>
      </c>
      <c r="F84" s="50" t="s">
        <v>4</v>
      </c>
      <c r="G84" s="1">
        <v>5</v>
      </c>
      <c r="H84" s="16">
        <v>5.2</v>
      </c>
      <c r="I84" s="32">
        <f t="shared" si="429"/>
        <v>-1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>
        <f t="shared" si="432"/>
        <v>0</v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>
        <f t="shared" si="436"/>
        <v>0</v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>
        <f t="shared" si="438"/>
        <v>0</v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>
        <f t="shared" si="440"/>
        <v>0</v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>
        <f t="shared" si="442"/>
        <v>0</v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>
        <f t="shared" si="444"/>
        <v>0</v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>
        <f t="shared" si="446"/>
        <v>0</v>
      </c>
      <c r="BS84" s="43">
        <f t="shared" si="447"/>
        <v>1</v>
      </c>
      <c r="BT84" s="8"/>
      <c r="BU84" s="47">
        <v>2</v>
      </c>
      <c r="BV84" s="48" t="s">
        <v>4</v>
      </c>
      <c r="BW84" s="49">
        <v>0</v>
      </c>
      <c r="BX84" s="8"/>
      <c r="BY84" s="42">
        <f t="shared" si="448"/>
        <v>0</v>
      </c>
      <c r="BZ84" s="43">
        <f t="shared" si="449"/>
        <v>2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>
        <v>2</v>
      </c>
      <c r="CJ84" s="48" t="s">
        <v>4</v>
      </c>
      <c r="CK84" s="49">
        <v>1</v>
      </c>
      <c r="CL84" s="8"/>
      <c r="CM84" s="42">
        <f t="shared" si="452"/>
        <v>0</v>
      </c>
      <c r="CN84" s="43">
        <f t="shared" si="453"/>
        <v>1</v>
      </c>
      <c r="CO84" s="8"/>
      <c r="CP84" s="47">
        <v>2</v>
      </c>
      <c r="CQ84" s="48" t="s">
        <v>4</v>
      </c>
      <c r="CR84" s="49">
        <v>1</v>
      </c>
      <c r="CS84" s="8"/>
      <c r="CT84" s="42">
        <f t="shared" si="454"/>
        <v>0</v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>
        <f t="shared" si="456"/>
        <v>0</v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>
        <f t="shared" si="458"/>
        <v>0</v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>
        <f t="shared" si="460"/>
        <v>0</v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>
        <f t="shared" si="462"/>
        <v>0</v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>
        <f t="shared" si="464"/>
        <v>0</v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>
        <f t="shared" si="466"/>
        <v>0</v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>
        <f t="shared" si="468"/>
        <v>0</v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>
        <f t="shared" si="470"/>
        <v>0</v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>
        <f t="shared" si="472"/>
        <v>0</v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>
        <f t="shared" si="474"/>
        <v>0</v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>
        <f t="shared" si="476"/>
        <v>0</v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>
        <f t="shared" si="478"/>
        <v>0</v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>
        <f t="shared" si="480"/>
        <v>0</v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>
        <f t="shared" si="482"/>
        <v>0</v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>
        <f t="shared" si="484"/>
        <v>0</v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>
        <f t="shared" si="486"/>
        <v>0</v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>
        <f t="shared" si="488"/>
        <v>0</v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>
        <f t="shared" si="490"/>
        <v>0</v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>
        <f t="shared" si="492"/>
        <v>0</v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>
        <f t="shared" si="494"/>
        <v>0</v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>
        <f t="shared" si="496"/>
        <v>0</v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>
        <f t="shared" si="498"/>
        <v>0</v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>
        <f t="shared" si="500"/>
        <v>0</v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>
        <f t="shared" si="502"/>
        <v>0</v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>
        <f t="shared" si="504"/>
        <v>0</v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>
        <f t="shared" si="506"/>
        <v>0</v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>
        <f t="shared" si="508"/>
        <v>0</v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>
        <f t="shared" si="510"/>
        <v>0</v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>
        <f t="shared" si="512"/>
        <v>0</v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>
        <f t="shared" si="514"/>
        <v>0</v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>
        <f t="shared" si="516"/>
        <v>0</v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>
        <f t="shared" si="518"/>
        <v>0</v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>
        <f t="shared" si="520"/>
        <v>0</v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>
        <f t="shared" si="522"/>
        <v>0</v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>
        <f t="shared" si="524"/>
        <v>0</v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>
        <f t="shared" si="526"/>
        <v>0</v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>
        <f t="shared" si="528"/>
        <v>0</v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>
        <f t="shared" si="530"/>
        <v>0</v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>
        <f t="shared" si="532"/>
        <v>0</v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>
        <f t="shared" si="534"/>
        <v>5.2</v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>
        <f t="shared" si="536"/>
        <v>0</v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>
        <f t="shared" si="538"/>
        <v>0</v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>
        <f t="shared" si="540"/>
        <v>0</v>
      </c>
      <c r="OJ84" s="43">
        <f t="shared" si="541"/>
        <v>2</v>
      </c>
      <c r="OK84" s="8"/>
      <c r="OL84" s="47">
        <v>3</v>
      </c>
      <c r="OM84" s="48" t="s">
        <v>4</v>
      </c>
      <c r="ON84" s="49">
        <v>1</v>
      </c>
      <c r="OO84" s="8"/>
      <c r="OP84" s="42">
        <f t="shared" si="542"/>
        <v>0</v>
      </c>
      <c r="OQ84" s="43">
        <f t="shared" si="543"/>
        <v>2</v>
      </c>
      <c r="OR84" s="8"/>
      <c r="OS84" s="47">
        <v>3</v>
      </c>
      <c r="OT84" s="48" t="s">
        <v>4</v>
      </c>
      <c r="OU84" s="49">
        <v>1</v>
      </c>
      <c r="OV84" s="8"/>
      <c r="OW84" s="42">
        <f t="shared" si="544"/>
        <v>0</v>
      </c>
      <c r="OX84" s="43">
        <f t="shared" si="545"/>
        <v>2</v>
      </c>
      <c r="OY84" s="8"/>
      <c r="OZ84" s="47">
        <v>2</v>
      </c>
      <c r="PA84" s="48" t="s">
        <v>4</v>
      </c>
      <c r="PB84" s="49">
        <v>0</v>
      </c>
      <c r="PC84" s="8"/>
      <c r="PD84" s="42">
        <f t="shared" si="546"/>
        <v>0</v>
      </c>
      <c r="PE84" s="43">
        <f t="shared" si="547"/>
        <v>2</v>
      </c>
      <c r="PF84" s="8"/>
      <c r="PG84" s="47">
        <v>3</v>
      </c>
      <c r="PH84" s="48" t="s">
        <v>4</v>
      </c>
      <c r="PI84" s="49">
        <v>1</v>
      </c>
      <c r="PJ84" s="8"/>
      <c r="PK84" s="42">
        <f t="shared" si="548"/>
        <v>0</v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>
        <f t="shared" si="550"/>
        <v>0</v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>
        <f t="shared" si="552"/>
        <v>0</v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>
        <f t="shared" si="554"/>
        <v>0</v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>
        <f t="shared" si="556"/>
        <v>0</v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>
        <f t="shared" si="558"/>
        <v>0</v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>
        <f t="shared" si="560"/>
        <v>0</v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>
        <v>3</v>
      </c>
      <c r="RL84" s="48" t="s">
        <v>4</v>
      </c>
      <c r="RM84" s="49">
        <v>1</v>
      </c>
      <c r="RN84" s="8"/>
      <c r="RO84" s="42">
        <f t="shared" si="564"/>
        <v>0</v>
      </c>
      <c r="RP84" s="43">
        <f t="shared" si="565"/>
        <v>2</v>
      </c>
      <c r="RQ84" s="8"/>
      <c r="RR84" s="47">
        <v>3</v>
      </c>
      <c r="RS84" s="48" t="s">
        <v>4</v>
      </c>
      <c r="RT84" s="49">
        <v>1</v>
      </c>
      <c r="RU84" s="8"/>
      <c r="RV84" s="42">
        <f t="shared" si="566"/>
        <v>0</v>
      </c>
      <c r="RW84" s="43">
        <f t="shared" si="567"/>
        <v>2</v>
      </c>
      <c r="RX84" s="8"/>
      <c r="RY84" s="47">
        <v>2</v>
      </c>
      <c r="RZ84" s="48" t="s">
        <v>4</v>
      </c>
      <c r="SA84" s="49">
        <v>1</v>
      </c>
      <c r="SB84" s="8"/>
      <c r="SC84" s="42">
        <f t="shared" si="568"/>
        <v>0</v>
      </c>
      <c r="SD84" s="43">
        <f t="shared" si="569"/>
        <v>1</v>
      </c>
      <c r="SE84" s="8"/>
      <c r="SF84" s="47">
        <v>2</v>
      </c>
      <c r="SG84" s="48" t="s">
        <v>4</v>
      </c>
      <c r="SH84" s="49">
        <v>1</v>
      </c>
      <c r="SI84" s="8"/>
      <c r="SJ84" s="42">
        <f t="shared" si="570"/>
        <v>0</v>
      </c>
      <c r="SK84" s="43">
        <f t="shared" si="571"/>
        <v>1</v>
      </c>
      <c r="SL84" s="8"/>
      <c r="SM84" s="47">
        <v>5</v>
      </c>
      <c r="SN84" s="48" t="s">
        <v>4</v>
      </c>
      <c r="SO84" s="49">
        <v>4</v>
      </c>
      <c r="SP84" s="8"/>
      <c r="SQ84" s="42">
        <f t="shared" si="572"/>
        <v>0</v>
      </c>
      <c r="SR84" s="43">
        <f t="shared" si="573"/>
        <v>1</v>
      </c>
    </row>
    <row r="85" spans="1:512" ht="16" customHeight="1" x14ac:dyDescent="0.15">
      <c r="A85" s="51">
        <v>46203</v>
      </c>
      <c r="B85" s="46">
        <v>0.125</v>
      </c>
      <c r="C85" s="82" t="s">
        <v>23</v>
      </c>
      <c r="D85" s="82" t="s">
        <v>36</v>
      </c>
      <c r="E85" s="2">
        <v>3</v>
      </c>
      <c r="F85" s="50" t="s">
        <v>4</v>
      </c>
      <c r="G85" s="1">
        <v>4</v>
      </c>
      <c r="H85" s="16">
        <v>5.6</v>
      </c>
      <c r="I85" s="32">
        <f t="shared" si="429"/>
        <v>-1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>
        <f t="shared" si="432"/>
        <v>5.6</v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>
        <f t="shared" si="436"/>
        <v>0</v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>
        <f t="shared" si="438"/>
        <v>0</v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>
        <f t="shared" si="440"/>
        <v>0</v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>
        <f t="shared" si="442"/>
        <v>5.6</v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>
        <f t="shared" si="444"/>
        <v>0</v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>
        <f t="shared" si="446"/>
        <v>5.6</v>
      </c>
      <c r="BS85" s="43">
        <f t="shared" si="447"/>
        <v>-1</v>
      </c>
      <c r="BT85" s="8"/>
      <c r="BU85" s="47">
        <v>1</v>
      </c>
      <c r="BV85" s="48" t="s">
        <v>4</v>
      </c>
      <c r="BW85" s="49">
        <v>0</v>
      </c>
      <c r="BX85" s="8"/>
      <c r="BY85" s="42">
        <f t="shared" si="448"/>
        <v>0</v>
      </c>
      <c r="BZ85" s="43">
        <f t="shared" si="449"/>
        <v>1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>
        <v>2</v>
      </c>
      <c r="CJ85" s="48" t="s">
        <v>4</v>
      </c>
      <c r="CK85" s="49">
        <v>1</v>
      </c>
      <c r="CL85" s="8"/>
      <c r="CM85" s="42">
        <f t="shared" si="452"/>
        <v>0</v>
      </c>
      <c r="CN85" s="43">
        <f t="shared" si="453"/>
        <v>1</v>
      </c>
      <c r="CO85" s="8"/>
      <c r="CP85" s="47">
        <v>2</v>
      </c>
      <c r="CQ85" s="48" t="s">
        <v>4</v>
      </c>
      <c r="CR85" s="49">
        <v>1</v>
      </c>
      <c r="CS85" s="8"/>
      <c r="CT85" s="42">
        <f t="shared" si="454"/>
        <v>0</v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>
        <f t="shared" si="456"/>
        <v>0</v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>
        <f t="shared" si="458"/>
        <v>5.6</v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>
        <f t="shared" si="460"/>
        <v>5.6</v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>
        <f t="shared" si="462"/>
        <v>0</v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>
        <f t="shared" si="464"/>
        <v>5.6</v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>
        <f t="shared" si="466"/>
        <v>0</v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>
        <f t="shared" si="468"/>
        <v>0</v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>
        <f t="shared" si="470"/>
        <v>5.6</v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>
        <f t="shared" si="472"/>
        <v>0</v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>
        <f t="shared" si="474"/>
        <v>5.6</v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>
        <f t="shared" si="476"/>
        <v>0</v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>
        <f t="shared" si="478"/>
        <v>0</v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>
        <f t="shared" si="480"/>
        <v>0</v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>
        <f t="shared" si="482"/>
        <v>0</v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>
        <f t="shared" si="484"/>
        <v>5.6</v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>
        <f t="shared" si="486"/>
        <v>0</v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>
        <f t="shared" si="488"/>
        <v>0</v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>
        <f t="shared" si="490"/>
        <v>0</v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>
        <f t="shared" si="492"/>
        <v>0</v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>
        <f t="shared" si="494"/>
        <v>0</v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>
        <f t="shared" si="496"/>
        <v>0</v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>
        <f t="shared" si="498"/>
        <v>5.6</v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>
        <f t="shared" si="500"/>
        <v>0</v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>
        <f t="shared" si="502"/>
        <v>0</v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>
        <f t="shared" si="504"/>
        <v>0</v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>
        <f t="shared" si="506"/>
        <v>5.6</v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>
        <f t="shared" si="508"/>
        <v>0</v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>
        <f t="shared" si="510"/>
        <v>0</v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>
        <f t="shared" si="512"/>
        <v>0</v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>
        <f t="shared" si="514"/>
        <v>0</v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>
        <f t="shared" si="516"/>
        <v>0</v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>
        <f t="shared" si="518"/>
        <v>0</v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>
        <f t="shared" si="520"/>
        <v>0</v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>
        <f t="shared" si="522"/>
        <v>5.6</v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>
        <f t="shared" si="524"/>
        <v>5.6</v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>
        <f t="shared" si="526"/>
        <v>5.6</v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>
        <f t="shared" si="528"/>
        <v>0</v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>
        <f t="shared" si="530"/>
        <v>0</v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>
        <f t="shared" si="532"/>
        <v>5.6</v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>
        <f t="shared" si="534"/>
        <v>0</v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>
        <f t="shared" si="536"/>
        <v>0</v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>
        <f t="shared" si="538"/>
        <v>0</v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>
        <f t="shared" si="540"/>
        <v>0</v>
      </c>
      <c r="OJ85" s="43">
        <f t="shared" si="541"/>
        <v>1</v>
      </c>
      <c r="OK85" s="8"/>
      <c r="OL85" s="47">
        <v>2</v>
      </c>
      <c r="OM85" s="48" t="s">
        <v>4</v>
      </c>
      <c r="ON85" s="49">
        <v>1</v>
      </c>
      <c r="OO85" s="8"/>
      <c r="OP85" s="42">
        <f t="shared" si="542"/>
        <v>0</v>
      </c>
      <c r="OQ85" s="43">
        <f t="shared" si="543"/>
        <v>1</v>
      </c>
      <c r="OR85" s="8"/>
      <c r="OS85" s="47">
        <v>2</v>
      </c>
      <c r="OT85" s="48" t="s">
        <v>4</v>
      </c>
      <c r="OU85" s="49">
        <v>1</v>
      </c>
      <c r="OV85" s="8"/>
      <c r="OW85" s="42">
        <f t="shared" si="544"/>
        <v>0</v>
      </c>
      <c r="OX85" s="43">
        <f t="shared" si="545"/>
        <v>1</v>
      </c>
      <c r="OY85" s="8"/>
      <c r="OZ85" s="47">
        <v>3</v>
      </c>
      <c r="PA85" s="48" t="s">
        <v>4</v>
      </c>
      <c r="PB85" s="49">
        <v>2</v>
      </c>
      <c r="PC85" s="8"/>
      <c r="PD85" s="42">
        <f t="shared" si="546"/>
        <v>0</v>
      </c>
      <c r="PE85" s="43">
        <f t="shared" si="547"/>
        <v>1</v>
      </c>
      <c r="PF85" s="8"/>
      <c r="PG85" s="47">
        <v>2</v>
      </c>
      <c r="PH85" s="48" t="s">
        <v>4</v>
      </c>
      <c r="PI85" s="49">
        <v>1</v>
      </c>
      <c r="PJ85" s="8"/>
      <c r="PK85" s="42">
        <f t="shared" si="548"/>
        <v>0</v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>
        <f t="shared" si="550"/>
        <v>0</v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>
        <f t="shared" si="552"/>
        <v>0</v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>
        <f t="shared" si="554"/>
        <v>0</v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>
        <f t="shared" si="556"/>
        <v>5.6</v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>
        <f t="shared" si="558"/>
        <v>5.6</v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>
        <f t="shared" si="560"/>
        <v>0</v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>
        <v>5</v>
      </c>
      <c r="RL85" s="48" t="s">
        <v>4</v>
      </c>
      <c r="RM85" s="49">
        <v>3</v>
      </c>
      <c r="RN85" s="8"/>
      <c r="RO85" s="42">
        <f t="shared" si="564"/>
        <v>0</v>
      </c>
      <c r="RP85" s="43">
        <f t="shared" si="565"/>
        <v>2</v>
      </c>
      <c r="RQ85" s="8"/>
      <c r="RR85" s="47">
        <v>1</v>
      </c>
      <c r="RS85" s="48" t="s">
        <v>4</v>
      </c>
      <c r="RT85" s="49">
        <v>2</v>
      </c>
      <c r="RU85" s="8"/>
      <c r="RV85" s="42">
        <f t="shared" si="566"/>
        <v>5.6</v>
      </c>
      <c r="RW85" s="43">
        <f t="shared" si="567"/>
        <v>-1</v>
      </c>
      <c r="RX85" s="8"/>
      <c r="RY85" s="47">
        <v>3</v>
      </c>
      <c r="RZ85" s="48" t="s">
        <v>4</v>
      </c>
      <c r="SA85" s="49">
        <v>0</v>
      </c>
      <c r="SB85" s="8"/>
      <c r="SC85" s="42">
        <f t="shared" si="568"/>
        <v>0</v>
      </c>
      <c r="SD85" s="43">
        <f t="shared" si="569"/>
        <v>3</v>
      </c>
      <c r="SE85" s="8"/>
      <c r="SF85" s="47">
        <v>1</v>
      </c>
      <c r="SG85" s="48" t="s">
        <v>4</v>
      </c>
      <c r="SH85" s="49">
        <v>2</v>
      </c>
      <c r="SI85" s="8"/>
      <c r="SJ85" s="42">
        <f t="shared" si="570"/>
        <v>5.6</v>
      </c>
      <c r="SK85" s="43">
        <f t="shared" si="571"/>
        <v>-1</v>
      </c>
      <c r="SL85" s="8"/>
      <c r="SM85" s="47">
        <v>2</v>
      </c>
      <c r="SN85" s="48" t="s">
        <v>4</v>
      </c>
      <c r="SO85" s="49">
        <v>1</v>
      </c>
      <c r="SP85" s="8"/>
      <c r="SQ85" s="42">
        <f t="shared" si="572"/>
        <v>0</v>
      </c>
      <c r="SR85" s="43">
        <f t="shared" si="573"/>
        <v>1</v>
      </c>
    </row>
    <row r="86" spans="1:512" ht="16" customHeight="1" x14ac:dyDescent="0.15">
      <c r="A86" s="51">
        <v>46203</v>
      </c>
      <c r="B86" s="46">
        <v>0.79166666666666663</v>
      </c>
      <c r="C86" s="82" t="s">
        <v>41</v>
      </c>
      <c r="D86" s="83" t="s">
        <v>53</v>
      </c>
      <c r="E86" s="2">
        <v>1</v>
      </c>
      <c r="F86" s="50" t="s">
        <v>4</v>
      </c>
      <c r="G86" s="1">
        <v>2</v>
      </c>
      <c r="H86" s="16">
        <v>5.6</v>
      </c>
      <c r="I86" s="32">
        <f t="shared" si="429"/>
        <v>-1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>
        <f t="shared" si="432"/>
        <v>5.6</v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>
        <f t="shared" si="436"/>
        <v>0</v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>
        <f t="shared" si="438"/>
        <v>8.3999999999999986</v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>
        <f t="shared" si="440"/>
        <v>0</v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>
        <f t="shared" si="442"/>
        <v>8.3999999999999986</v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>
        <f t="shared" si="444"/>
        <v>5.6</v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>
        <f t="shared" si="446"/>
        <v>0</v>
      </c>
      <c r="BS86" s="43">
        <f t="shared" si="447"/>
        <v>1</v>
      </c>
      <c r="BT86" s="8"/>
      <c r="BU86" s="47">
        <v>2</v>
      </c>
      <c r="BV86" s="48" t="s">
        <v>4</v>
      </c>
      <c r="BW86" s="49">
        <v>0</v>
      </c>
      <c r="BX86" s="8"/>
      <c r="BY86" s="42">
        <f t="shared" si="448"/>
        <v>0</v>
      </c>
      <c r="BZ86" s="43">
        <f t="shared" si="449"/>
        <v>2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>
        <v>1</v>
      </c>
      <c r="CJ86" s="48" t="s">
        <v>4</v>
      </c>
      <c r="CK86" s="49">
        <v>2</v>
      </c>
      <c r="CL86" s="8"/>
      <c r="CM86" s="42">
        <f t="shared" si="452"/>
        <v>8.3999999999999986</v>
      </c>
      <c r="CN86" s="43">
        <f t="shared" si="453"/>
        <v>-1</v>
      </c>
      <c r="CO86" s="8"/>
      <c r="CP86" s="47">
        <v>1</v>
      </c>
      <c r="CQ86" s="48" t="s">
        <v>4</v>
      </c>
      <c r="CR86" s="49">
        <v>2</v>
      </c>
      <c r="CS86" s="8"/>
      <c r="CT86" s="42">
        <f t="shared" si="454"/>
        <v>8.3999999999999986</v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>
        <f t="shared" si="456"/>
        <v>5.6</v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>
        <f t="shared" si="458"/>
        <v>0</v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>
        <f t="shared" si="460"/>
        <v>0</v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>
        <f t="shared" si="462"/>
        <v>5.6</v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>
        <f t="shared" si="464"/>
        <v>8.3999999999999986</v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>
        <f t="shared" si="466"/>
        <v>8.3999999999999986</v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>
        <f t="shared" si="468"/>
        <v>5.6</v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>
        <f t="shared" si="470"/>
        <v>8.3999999999999986</v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>
        <f t="shared" si="472"/>
        <v>5.6</v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>
        <f t="shared" si="474"/>
        <v>5.6</v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>
        <f t="shared" si="476"/>
        <v>5.6</v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>
        <f t="shared" si="478"/>
        <v>5.6</v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>
        <f t="shared" si="480"/>
        <v>8.3999999999999986</v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>
        <f t="shared" si="482"/>
        <v>0</v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>
        <f t="shared" si="484"/>
        <v>8.3999999999999986</v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>
        <f t="shared" si="486"/>
        <v>5.6</v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>
        <f t="shared" si="488"/>
        <v>5.6</v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>
        <f t="shared" si="490"/>
        <v>8.3999999999999986</v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>
        <f t="shared" si="492"/>
        <v>8.3999999999999986</v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>
        <f t="shared" si="494"/>
        <v>5.6</v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>
        <f t="shared" si="496"/>
        <v>5.6</v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>
        <f t="shared" si="498"/>
        <v>5.6</v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>
        <f t="shared" si="500"/>
        <v>5.6</v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>
        <f t="shared" si="502"/>
        <v>8.3999999999999986</v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>
        <f t="shared" si="504"/>
        <v>5.6</v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>
        <f t="shared" si="506"/>
        <v>0</v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>
        <f t="shared" si="508"/>
        <v>0</v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>
        <f t="shared" si="510"/>
        <v>0</v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>
        <f t="shared" si="512"/>
        <v>5.6</v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>
        <f t="shared" si="514"/>
        <v>5.6</v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>
        <f t="shared" si="516"/>
        <v>8.3999999999999986</v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>
        <f t="shared" si="518"/>
        <v>8.3999999999999986</v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>
        <f t="shared" si="520"/>
        <v>5.6</v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>
        <f t="shared" si="522"/>
        <v>8.3999999999999986</v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>
        <f t="shared" si="524"/>
        <v>5.6</v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>
        <f t="shared" si="526"/>
        <v>8.3999999999999986</v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>
        <f t="shared" si="528"/>
        <v>5.6</v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>
        <f t="shared" si="530"/>
        <v>5.6</v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>
        <f t="shared" si="532"/>
        <v>0</v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>
        <f t="shared" si="534"/>
        <v>5.6</v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>
        <f t="shared" si="536"/>
        <v>5.6</v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>
        <f t="shared" si="538"/>
        <v>8.3999999999999986</v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>
        <f t="shared" si="540"/>
        <v>5.6</v>
      </c>
      <c r="OJ86" s="43">
        <f t="shared" si="541"/>
        <v>-1</v>
      </c>
      <c r="OK86" s="8"/>
      <c r="OL86" s="47">
        <v>1</v>
      </c>
      <c r="OM86" s="48" t="s">
        <v>4</v>
      </c>
      <c r="ON86" s="49">
        <v>2</v>
      </c>
      <c r="OO86" s="8"/>
      <c r="OP86" s="42">
        <f t="shared" si="542"/>
        <v>8.3999999999999986</v>
      </c>
      <c r="OQ86" s="43">
        <f t="shared" si="543"/>
        <v>-1</v>
      </c>
      <c r="OR86" s="8"/>
      <c r="OS86" s="47">
        <v>1</v>
      </c>
      <c r="OT86" s="48" t="s">
        <v>4</v>
      </c>
      <c r="OU86" s="49">
        <v>2</v>
      </c>
      <c r="OV86" s="8"/>
      <c r="OW86" s="42">
        <f t="shared" si="544"/>
        <v>8.3999999999999986</v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>
        <f t="shared" si="546"/>
        <v>8.3999999999999986</v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>
        <f t="shared" si="548"/>
        <v>5.6</v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>
        <f t="shared" si="550"/>
        <v>8.3999999999999986</v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>
        <f t="shared" si="552"/>
        <v>5.6</v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>
        <f t="shared" si="554"/>
        <v>0</v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>
        <f t="shared" si="556"/>
        <v>5.6</v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>
        <f t="shared" si="558"/>
        <v>0</v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>
        <f t="shared" si="560"/>
        <v>0</v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>
        <v>2</v>
      </c>
      <c r="RL86" s="48" t="s">
        <v>4</v>
      </c>
      <c r="RM86" s="49">
        <v>1</v>
      </c>
      <c r="RN86" s="8"/>
      <c r="RO86" s="42">
        <f t="shared" si="564"/>
        <v>0</v>
      </c>
      <c r="RP86" s="43">
        <f t="shared" si="565"/>
        <v>1</v>
      </c>
      <c r="RQ86" s="8"/>
      <c r="RR86" s="47">
        <v>1</v>
      </c>
      <c r="RS86" s="48" t="s">
        <v>4</v>
      </c>
      <c r="RT86" s="49">
        <v>2</v>
      </c>
      <c r="RU86" s="8"/>
      <c r="RV86" s="42">
        <f t="shared" si="566"/>
        <v>8.3999999999999986</v>
      </c>
      <c r="RW86" s="43">
        <f t="shared" si="567"/>
        <v>-1</v>
      </c>
      <c r="RX86" s="8"/>
      <c r="RY86" s="47">
        <v>1</v>
      </c>
      <c r="RZ86" s="48" t="s">
        <v>4</v>
      </c>
      <c r="SA86" s="49">
        <v>2</v>
      </c>
      <c r="SB86" s="8"/>
      <c r="SC86" s="42">
        <f t="shared" si="568"/>
        <v>8.3999999999999986</v>
      </c>
      <c r="SD86" s="43">
        <f t="shared" si="569"/>
        <v>-1</v>
      </c>
      <c r="SE86" s="8"/>
      <c r="SF86" s="47">
        <v>1</v>
      </c>
      <c r="SG86" s="48" t="s">
        <v>4</v>
      </c>
      <c r="SH86" s="49">
        <v>2</v>
      </c>
      <c r="SI86" s="8"/>
      <c r="SJ86" s="42">
        <f t="shared" si="570"/>
        <v>8.3999999999999986</v>
      </c>
      <c r="SK86" s="43">
        <f t="shared" si="571"/>
        <v>-1</v>
      </c>
      <c r="SL86" s="8"/>
      <c r="SM86" s="47">
        <v>3</v>
      </c>
      <c r="SN86" s="48" t="s">
        <v>4</v>
      </c>
      <c r="SO86" s="49">
        <v>0</v>
      </c>
      <c r="SP86" s="8"/>
      <c r="SQ86" s="42">
        <f t="shared" si="572"/>
        <v>0</v>
      </c>
      <c r="SR86" s="43">
        <f t="shared" si="573"/>
        <v>3</v>
      </c>
    </row>
    <row r="87" spans="1:512" ht="16" customHeight="1" x14ac:dyDescent="0.15">
      <c r="A87" s="51">
        <v>46203</v>
      </c>
      <c r="B87" s="46">
        <v>0.95833333333333337</v>
      </c>
      <c r="C87" s="82" t="s">
        <v>10</v>
      </c>
      <c r="D87" s="82" t="s">
        <v>43</v>
      </c>
      <c r="E87" s="2">
        <v>3</v>
      </c>
      <c r="F87" s="50" t="s">
        <v>4</v>
      </c>
      <c r="G87" s="1">
        <v>0</v>
      </c>
      <c r="H87" s="16">
        <v>5.6</v>
      </c>
      <c r="I87" s="32">
        <f t="shared" si="429"/>
        <v>3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>
        <f t="shared" si="432"/>
        <v>5.6</v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>
        <f t="shared" si="436"/>
        <v>5.6</v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>
        <f t="shared" si="438"/>
        <v>5.6</v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>
        <f t="shared" si="440"/>
        <v>5.6</v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>
        <f t="shared" si="442"/>
        <v>8.3999999999999986</v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>
        <f t="shared" si="444"/>
        <v>5.6</v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>
        <f t="shared" si="446"/>
        <v>8.3999999999999986</v>
      </c>
      <c r="BS87" s="43">
        <f t="shared" si="447"/>
        <v>3</v>
      </c>
      <c r="BT87" s="8"/>
      <c r="BU87" s="47">
        <v>3</v>
      </c>
      <c r="BV87" s="48" t="s">
        <v>4</v>
      </c>
      <c r="BW87" s="49">
        <v>0</v>
      </c>
      <c r="BX87" s="8"/>
      <c r="BY87" s="42">
        <f t="shared" si="448"/>
        <v>8.3999999999999986</v>
      </c>
      <c r="BZ87" s="43">
        <f t="shared" si="449"/>
        <v>3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>
        <v>2</v>
      </c>
      <c r="CJ87" s="48" t="s">
        <v>4</v>
      </c>
      <c r="CK87" s="49">
        <v>0</v>
      </c>
      <c r="CL87" s="8"/>
      <c r="CM87" s="42">
        <f t="shared" si="452"/>
        <v>5.6</v>
      </c>
      <c r="CN87" s="43">
        <f t="shared" si="453"/>
        <v>2</v>
      </c>
      <c r="CO87" s="8"/>
      <c r="CP87" s="47">
        <v>3</v>
      </c>
      <c r="CQ87" s="48" t="s">
        <v>4</v>
      </c>
      <c r="CR87" s="49">
        <v>0</v>
      </c>
      <c r="CS87" s="8"/>
      <c r="CT87" s="42">
        <f t="shared" si="454"/>
        <v>8.3999999999999986</v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>
        <f t="shared" si="456"/>
        <v>8.3999999999999986</v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>
        <f t="shared" si="458"/>
        <v>5.6</v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>
        <f t="shared" si="460"/>
        <v>5.6</v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>
        <f t="shared" si="462"/>
        <v>5.6</v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>
        <f t="shared" si="464"/>
        <v>8.3999999999999986</v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>
        <f t="shared" si="466"/>
        <v>5.6</v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>
        <f t="shared" si="468"/>
        <v>5.6</v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>
        <f t="shared" si="470"/>
        <v>5.6</v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>
        <f t="shared" si="472"/>
        <v>5.6</v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>
        <f t="shared" si="474"/>
        <v>8.3999999999999986</v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>
        <f t="shared" si="476"/>
        <v>5.6</v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>
        <f t="shared" si="478"/>
        <v>5.6</v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>
        <f t="shared" si="480"/>
        <v>5.6</v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>
        <f t="shared" si="482"/>
        <v>5.6</v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>
        <f t="shared" si="484"/>
        <v>8.3999999999999986</v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>
        <f t="shared" si="486"/>
        <v>5.6</v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>
        <f t="shared" si="488"/>
        <v>5.6</v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>
        <f t="shared" si="490"/>
        <v>8.3999999999999986</v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>
        <f t="shared" si="492"/>
        <v>5.6</v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>
        <f t="shared" si="494"/>
        <v>5.6</v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>
        <f t="shared" si="496"/>
        <v>5.6</v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>
        <f t="shared" si="498"/>
        <v>5.6</v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>
        <f t="shared" si="500"/>
        <v>5.6</v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>
        <f t="shared" si="502"/>
        <v>5.6</v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>
        <f t="shared" si="504"/>
        <v>8.3999999999999986</v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>
        <f t="shared" si="506"/>
        <v>5.6</v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>
        <f t="shared" si="508"/>
        <v>8.3999999999999986</v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>
        <f t="shared" si="510"/>
        <v>5.6</v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>
        <f t="shared" si="512"/>
        <v>5.6</v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>
        <f t="shared" si="514"/>
        <v>8.3999999999999986</v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>
        <f t="shared" si="516"/>
        <v>5.6</v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>
        <f t="shared" si="518"/>
        <v>8.3999999999999986</v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>
        <f t="shared" si="520"/>
        <v>8.3999999999999986</v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>
        <f t="shared" si="522"/>
        <v>5.6</v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>
        <f t="shared" si="524"/>
        <v>8.3999999999999986</v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>
        <f t="shared" si="526"/>
        <v>5.6</v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>
        <f t="shared" si="528"/>
        <v>5.6</v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>
        <f t="shared" si="530"/>
        <v>5.6</v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>
        <f t="shared" si="532"/>
        <v>5.6</v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>
        <f t="shared" si="534"/>
        <v>5.6</v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>
        <f t="shared" si="536"/>
        <v>5.6</v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>
        <f t="shared" si="538"/>
        <v>8.3999999999999986</v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>
        <f t="shared" si="540"/>
        <v>5.6</v>
      </c>
      <c r="OJ87" s="43">
        <f t="shared" si="541"/>
        <v>2</v>
      </c>
      <c r="OK87" s="8"/>
      <c r="OL87" s="47">
        <v>4</v>
      </c>
      <c r="OM87" s="48" t="s">
        <v>4</v>
      </c>
      <c r="ON87" s="49">
        <v>0</v>
      </c>
      <c r="OO87" s="8"/>
      <c r="OP87" s="42">
        <f t="shared" si="542"/>
        <v>5.6</v>
      </c>
      <c r="OQ87" s="43">
        <f t="shared" si="543"/>
        <v>4</v>
      </c>
      <c r="OR87" s="8"/>
      <c r="OS87" s="47">
        <v>3</v>
      </c>
      <c r="OT87" s="48" t="s">
        <v>4</v>
      </c>
      <c r="OU87" s="49">
        <v>0</v>
      </c>
      <c r="OV87" s="8"/>
      <c r="OW87" s="42">
        <f t="shared" si="544"/>
        <v>8.3999999999999986</v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>
        <f t="shared" si="546"/>
        <v>8.3999999999999986</v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>
        <f t="shared" si="548"/>
        <v>5.6</v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>
        <f t="shared" si="550"/>
        <v>5.6</v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>
        <f t="shared" si="552"/>
        <v>5.6</v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>
        <f t="shared" si="554"/>
        <v>5.6</v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>
        <f t="shared" si="556"/>
        <v>5.6</v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>
        <f t="shared" si="558"/>
        <v>0</v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>
        <f t="shared" si="560"/>
        <v>5.6</v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>
        <v>3</v>
      </c>
      <c r="RL87" s="48" t="s">
        <v>4</v>
      </c>
      <c r="RM87" s="49">
        <v>0</v>
      </c>
      <c r="RN87" s="8"/>
      <c r="RO87" s="42">
        <f t="shared" si="564"/>
        <v>8.3999999999999986</v>
      </c>
      <c r="RP87" s="43">
        <f t="shared" si="565"/>
        <v>3</v>
      </c>
      <c r="RQ87" s="8"/>
      <c r="RR87" s="47">
        <v>2</v>
      </c>
      <c r="RS87" s="48" t="s">
        <v>4</v>
      </c>
      <c r="RT87" s="49">
        <v>0</v>
      </c>
      <c r="RU87" s="8"/>
      <c r="RV87" s="42">
        <f t="shared" si="566"/>
        <v>5.6</v>
      </c>
      <c r="RW87" s="43">
        <f t="shared" si="567"/>
        <v>2</v>
      </c>
      <c r="RX87" s="8"/>
      <c r="RY87" s="47">
        <v>2</v>
      </c>
      <c r="RZ87" s="48" t="s">
        <v>4</v>
      </c>
      <c r="SA87" s="49">
        <v>1</v>
      </c>
      <c r="SB87" s="8"/>
      <c r="SC87" s="42">
        <f t="shared" si="568"/>
        <v>5.6</v>
      </c>
      <c r="SD87" s="43">
        <f t="shared" si="569"/>
        <v>1</v>
      </c>
      <c r="SE87" s="8"/>
      <c r="SF87" s="47">
        <v>2</v>
      </c>
      <c r="SG87" s="48" t="s">
        <v>4</v>
      </c>
      <c r="SH87" s="49">
        <v>0</v>
      </c>
      <c r="SI87" s="8"/>
      <c r="SJ87" s="42">
        <f t="shared" si="570"/>
        <v>5.6</v>
      </c>
      <c r="SK87" s="43">
        <f t="shared" si="571"/>
        <v>2</v>
      </c>
      <c r="SL87" s="8"/>
      <c r="SM87" s="47">
        <v>2</v>
      </c>
      <c r="SN87" s="48" t="s">
        <v>4</v>
      </c>
      <c r="SO87" s="49">
        <v>1</v>
      </c>
      <c r="SP87" s="8"/>
      <c r="SQ87" s="42">
        <f t="shared" si="572"/>
        <v>5.6</v>
      </c>
      <c r="SR87" s="43">
        <f t="shared" si="573"/>
        <v>1</v>
      </c>
    </row>
    <row r="88" spans="1:512" ht="16" customHeight="1" x14ac:dyDescent="0.15">
      <c r="A88" s="51">
        <v>46204</v>
      </c>
      <c r="B88" s="46">
        <v>0.125</v>
      </c>
      <c r="C88" s="82" t="s">
        <v>626</v>
      </c>
      <c r="D88" s="82" t="s">
        <v>42</v>
      </c>
      <c r="E88" s="2">
        <v>2</v>
      </c>
      <c r="F88" s="50" t="s">
        <v>4</v>
      </c>
      <c r="G88" s="1">
        <v>0</v>
      </c>
      <c r="H88" s="16">
        <v>6</v>
      </c>
      <c r="I88" s="32">
        <f t="shared" si="429"/>
        <v>2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>
        <f t="shared" si="432"/>
        <v>9</v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>
        <f t="shared" si="436"/>
        <v>0</v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>
        <f t="shared" si="438"/>
        <v>6</v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>
        <f t="shared" si="440"/>
        <v>6</v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>
        <f t="shared" si="442"/>
        <v>6</v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>
        <f t="shared" si="444"/>
        <v>6</v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>
        <f t="shared" si="446"/>
        <v>6</v>
      </c>
      <c r="BS88" s="43">
        <f t="shared" si="447"/>
        <v>1</v>
      </c>
      <c r="BT88" s="8"/>
      <c r="BU88" s="47">
        <v>1</v>
      </c>
      <c r="BV88" s="48" t="s">
        <v>4</v>
      </c>
      <c r="BW88" s="49">
        <v>0</v>
      </c>
      <c r="BX88" s="8"/>
      <c r="BY88" s="42">
        <f t="shared" si="448"/>
        <v>6</v>
      </c>
      <c r="BZ88" s="43">
        <f t="shared" si="449"/>
        <v>1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>
        <v>2</v>
      </c>
      <c r="CJ88" s="48" t="s">
        <v>4</v>
      </c>
      <c r="CK88" s="49">
        <v>0</v>
      </c>
      <c r="CL88" s="8"/>
      <c r="CM88" s="42">
        <f t="shared" si="452"/>
        <v>9</v>
      </c>
      <c r="CN88" s="43">
        <f t="shared" si="453"/>
        <v>2</v>
      </c>
      <c r="CO88" s="8"/>
      <c r="CP88" s="47">
        <v>1</v>
      </c>
      <c r="CQ88" s="48" t="s">
        <v>4</v>
      </c>
      <c r="CR88" s="49">
        <v>0</v>
      </c>
      <c r="CS88" s="8"/>
      <c r="CT88" s="42">
        <f t="shared" si="454"/>
        <v>6</v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>
        <f t="shared" si="456"/>
        <v>6</v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>
        <f t="shared" si="458"/>
        <v>6</v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>
        <f t="shared" si="460"/>
        <v>6</v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>
        <f t="shared" si="462"/>
        <v>9</v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>
        <f t="shared" si="464"/>
        <v>6</v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>
        <f t="shared" si="466"/>
        <v>9</v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>
        <f t="shared" si="468"/>
        <v>6</v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>
        <f t="shared" si="470"/>
        <v>0</v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>
        <f t="shared" si="472"/>
        <v>0</v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>
        <f t="shared" si="474"/>
        <v>9</v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>
        <f t="shared" si="476"/>
        <v>0</v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>
        <f t="shared" si="478"/>
        <v>9</v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>
        <f t="shared" si="480"/>
        <v>0</v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>
        <f t="shared" si="482"/>
        <v>6</v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>
        <f t="shared" si="484"/>
        <v>6</v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>
        <f t="shared" si="486"/>
        <v>0</v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>
        <f t="shared" si="488"/>
        <v>9</v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>
        <f t="shared" si="490"/>
        <v>6</v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>
        <f t="shared" si="492"/>
        <v>6</v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>
        <f t="shared" si="494"/>
        <v>6</v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>
        <f t="shared" si="496"/>
        <v>9</v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>
        <f t="shared" si="498"/>
        <v>0</v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>
        <f t="shared" si="500"/>
        <v>0</v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>
        <f t="shared" si="502"/>
        <v>6</v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>
        <f t="shared" si="504"/>
        <v>6</v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>
        <f t="shared" si="506"/>
        <v>6</v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>
        <f t="shared" si="508"/>
        <v>6</v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>
        <f t="shared" si="510"/>
        <v>6</v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>
        <f t="shared" si="512"/>
        <v>6</v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>
        <f t="shared" si="514"/>
        <v>6</v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>
        <f t="shared" si="516"/>
        <v>0</v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>
        <f t="shared" si="518"/>
        <v>6</v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>
        <f t="shared" si="520"/>
        <v>6</v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>
        <f t="shared" si="522"/>
        <v>6</v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>
        <f t="shared" si="524"/>
        <v>9</v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>
        <f t="shared" si="526"/>
        <v>0</v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>
        <f t="shared" si="528"/>
        <v>6</v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>
        <f t="shared" si="530"/>
        <v>6</v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>
        <f t="shared" si="532"/>
        <v>6</v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>
        <f t="shared" si="534"/>
        <v>0</v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>
        <f t="shared" si="536"/>
        <v>9</v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>
        <f t="shared" si="538"/>
        <v>0</v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>
        <f t="shared" si="540"/>
        <v>0</v>
      </c>
      <c r="OJ88" s="43">
        <f t="shared" si="541"/>
        <v>-1</v>
      </c>
      <c r="OK88" s="8"/>
      <c r="OL88" s="47">
        <v>3</v>
      </c>
      <c r="OM88" s="48" t="s">
        <v>4</v>
      </c>
      <c r="ON88" s="49">
        <v>1</v>
      </c>
      <c r="OO88" s="8"/>
      <c r="OP88" s="42">
        <f t="shared" si="542"/>
        <v>6</v>
      </c>
      <c r="OQ88" s="43">
        <f t="shared" si="543"/>
        <v>2</v>
      </c>
      <c r="OR88" s="8"/>
      <c r="OS88" s="47">
        <v>2</v>
      </c>
      <c r="OT88" s="48" t="s">
        <v>4</v>
      </c>
      <c r="OU88" s="49">
        <v>1</v>
      </c>
      <c r="OV88" s="8"/>
      <c r="OW88" s="42">
        <f t="shared" si="544"/>
        <v>6</v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>
        <f t="shared" si="546"/>
        <v>0</v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>
        <f t="shared" si="548"/>
        <v>9</v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>
        <f t="shared" si="550"/>
        <v>9</v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>
        <f t="shared" si="552"/>
        <v>9</v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>
        <f t="shared" si="554"/>
        <v>0</v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>
        <f t="shared" si="556"/>
        <v>6</v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>
        <f t="shared" si="558"/>
        <v>9</v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>
        <f t="shared" si="560"/>
        <v>0</v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>
        <v>2</v>
      </c>
      <c r="RL88" s="48" t="s">
        <v>4</v>
      </c>
      <c r="RM88" s="49">
        <v>1</v>
      </c>
      <c r="RN88" s="8"/>
      <c r="RO88" s="42">
        <f t="shared" si="564"/>
        <v>6</v>
      </c>
      <c r="RP88" s="43">
        <f t="shared" si="565"/>
        <v>1</v>
      </c>
      <c r="RQ88" s="8"/>
      <c r="RR88" s="47">
        <v>2</v>
      </c>
      <c r="RS88" s="48" t="s">
        <v>4</v>
      </c>
      <c r="RT88" s="49">
        <v>1</v>
      </c>
      <c r="RU88" s="8"/>
      <c r="RV88" s="42">
        <f t="shared" si="566"/>
        <v>6</v>
      </c>
      <c r="RW88" s="43">
        <f t="shared" si="567"/>
        <v>1</v>
      </c>
      <c r="RX88" s="8"/>
      <c r="RY88" s="47">
        <v>3</v>
      </c>
      <c r="RZ88" s="48" t="s">
        <v>4</v>
      </c>
      <c r="SA88" s="49">
        <v>4</v>
      </c>
      <c r="SB88" s="8"/>
      <c r="SC88" s="42">
        <f t="shared" si="568"/>
        <v>0</v>
      </c>
      <c r="SD88" s="43">
        <f t="shared" si="569"/>
        <v>-1</v>
      </c>
      <c r="SE88" s="8"/>
      <c r="SF88" s="47">
        <v>1</v>
      </c>
      <c r="SG88" s="48" t="s">
        <v>4</v>
      </c>
      <c r="SH88" s="49">
        <v>2</v>
      </c>
      <c r="SI88" s="8"/>
      <c r="SJ88" s="42">
        <f t="shared" si="570"/>
        <v>0</v>
      </c>
      <c r="SK88" s="43">
        <f t="shared" si="571"/>
        <v>-1</v>
      </c>
      <c r="SL88" s="8"/>
      <c r="SM88" s="47">
        <v>3</v>
      </c>
      <c r="SN88" s="48" t="s">
        <v>4</v>
      </c>
      <c r="SO88" s="49">
        <v>0</v>
      </c>
      <c r="SP88" s="8"/>
      <c r="SQ88" s="42">
        <f t="shared" si="572"/>
        <v>6</v>
      </c>
      <c r="SR88" s="43">
        <f t="shared" si="573"/>
        <v>3</v>
      </c>
    </row>
    <row r="89" spans="1:512" ht="16" customHeight="1" x14ac:dyDescent="0.15">
      <c r="A89" s="51">
        <v>46204</v>
      </c>
      <c r="B89" s="46">
        <v>0.75</v>
      </c>
      <c r="C89" s="82" t="s">
        <v>8</v>
      </c>
      <c r="D89" s="83" t="s">
        <v>57</v>
      </c>
      <c r="E89" s="2">
        <v>2</v>
      </c>
      <c r="F89" s="50" t="s">
        <v>4</v>
      </c>
      <c r="G89" s="1">
        <v>1</v>
      </c>
      <c r="H89" s="16">
        <v>6</v>
      </c>
      <c r="I89" s="32">
        <f t="shared" si="429"/>
        <v>1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>
        <f t="shared" si="432"/>
        <v>6</v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>
        <f t="shared" si="436"/>
        <v>6</v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>
        <f t="shared" si="438"/>
        <v>6</v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>
        <f t="shared" si="440"/>
        <v>6</v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>
        <f t="shared" si="442"/>
        <v>9</v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>
        <f t="shared" si="444"/>
        <v>6</v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>
        <f t="shared" si="446"/>
        <v>6</v>
      </c>
      <c r="BS89" s="43">
        <f t="shared" si="447"/>
        <v>2</v>
      </c>
      <c r="BT89" s="8"/>
      <c r="BU89" s="47">
        <v>3</v>
      </c>
      <c r="BV89" s="48" t="s">
        <v>4</v>
      </c>
      <c r="BW89" s="49">
        <v>0</v>
      </c>
      <c r="BX89" s="8"/>
      <c r="BY89" s="42">
        <f t="shared" si="448"/>
        <v>6</v>
      </c>
      <c r="BZ89" s="43">
        <f t="shared" si="449"/>
        <v>3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>
        <v>3</v>
      </c>
      <c r="CJ89" s="48" t="s">
        <v>4</v>
      </c>
      <c r="CK89" s="49">
        <v>1</v>
      </c>
      <c r="CL89" s="8"/>
      <c r="CM89" s="42">
        <f t="shared" si="452"/>
        <v>6</v>
      </c>
      <c r="CN89" s="43">
        <f t="shared" si="453"/>
        <v>2</v>
      </c>
      <c r="CO89" s="8"/>
      <c r="CP89" s="47">
        <v>2</v>
      </c>
      <c r="CQ89" s="48" t="s">
        <v>4</v>
      </c>
      <c r="CR89" s="49">
        <v>0</v>
      </c>
      <c r="CS89" s="8"/>
      <c r="CT89" s="42">
        <f t="shared" si="454"/>
        <v>6</v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>
        <f t="shared" si="456"/>
        <v>6</v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>
        <f t="shared" si="458"/>
        <v>6</v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>
        <f t="shared" si="460"/>
        <v>6</v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>
        <f t="shared" si="462"/>
        <v>6</v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>
        <f t="shared" si="464"/>
        <v>6</v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>
        <f t="shared" si="466"/>
        <v>6</v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>
        <f t="shared" si="468"/>
        <v>9</v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>
        <f t="shared" si="470"/>
        <v>6</v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>
        <f t="shared" si="472"/>
        <v>6</v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>
        <f t="shared" si="474"/>
        <v>9</v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>
        <f t="shared" si="476"/>
        <v>6</v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>
        <f t="shared" si="478"/>
        <v>6</v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>
        <f t="shared" si="480"/>
        <v>6</v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>
        <f t="shared" si="482"/>
        <v>6</v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>
        <f t="shared" si="484"/>
        <v>6</v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>
        <f t="shared" si="486"/>
        <v>6</v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>
        <f t="shared" si="488"/>
        <v>6</v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>
        <f t="shared" si="490"/>
        <v>6</v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>
        <f t="shared" si="492"/>
        <v>6</v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>
        <f t="shared" si="494"/>
        <v>9</v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>
        <f t="shared" si="496"/>
        <v>6</v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>
        <f t="shared" si="498"/>
        <v>6</v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>
        <f t="shared" si="500"/>
        <v>6</v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>
        <f t="shared" si="502"/>
        <v>6</v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>
        <f t="shared" si="504"/>
        <v>6</v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>
        <f t="shared" si="506"/>
        <v>6</v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>
        <f t="shared" si="508"/>
        <v>6</v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>
        <f t="shared" si="510"/>
        <v>6</v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>
        <f t="shared" si="512"/>
        <v>9</v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>
        <f t="shared" si="514"/>
        <v>6</v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>
        <f t="shared" si="516"/>
        <v>9</v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>
        <f t="shared" si="518"/>
        <v>6</v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>
        <f t="shared" si="520"/>
        <v>6</v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>
        <f t="shared" si="522"/>
        <v>6</v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>
        <f t="shared" si="524"/>
        <v>6</v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>
        <f t="shared" si="526"/>
        <v>6</v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>
        <f t="shared" si="528"/>
        <v>6</v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>
        <f t="shared" si="530"/>
        <v>6</v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>
        <f t="shared" si="532"/>
        <v>9</v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>
        <f t="shared" si="534"/>
        <v>9</v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>
        <f t="shared" si="536"/>
        <v>6</v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>
        <f t="shared" si="538"/>
        <v>6</v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>
        <f t="shared" si="540"/>
        <v>6</v>
      </c>
      <c r="OJ89" s="43">
        <f t="shared" si="541"/>
        <v>3</v>
      </c>
      <c r="OK89" s="8"/>
      <c r="OL89" s="47">
        <v>3</v>
      </c>
      <c r="OM89" s="48" t="s">
        <v>4</v>
      </c>
      <c r="ON89" s="49">
        <v>0</v>
      </c>
      <c r="OO89" s="8"/>
      <c r="OP89" s="42">
        <f t="shared" si="542"/>
        <v>6</v>
      </c>
      <c r="OQ89" s="43">
        <f t="shared" si="543"/>
        <v>3</v>
      </c>
      <c r="OR89" s="8"/>
      <c r="OS89" s="47">
        <v>2</v>
      </c>
      <c r="OT89" s="48" t="s">
        <v>4</v>
      </c>
      <c r="OU89" s="49">
        <v>0</v>
      </c>
      <c r="OV89" s="8"/>
      <c r="OW89" s="42">
        <f t="shared" si="544"/>
        <v>6</v>
      </c>
      <c r="OX89" s="43">
        <f t="shared" si="545"/>
        <v>2</v>
      </c>
      <c r="OY89" s="8"/>
      <c r="OZ89" s="47">
        <v>3</v>
      </c>
      <c r="PA89" s="48" t="s">
        <v>4</v>
      </c>
      <c r="PB89" s="49">
        <v>0</v>
      </c>
      <c r="PC89" s="8"/>
      <c r="PD89" s="42">
        <f t="shared" si="546"/>
        <v>6</v>
      </c>
      <c r="PE89" s="43">
        <f t="shared" si="547"/>
        <v>3</v>
      </c>
      <c r="PF89" s="8"/>
      <c r="PG89" s="47">
        <v>2</v>
      </c>
      <c r="PH89" s="48" t="s">
        <v>4</v>
      </c>
      <c r="PI89" s="49">
        <v>0</v>
      </c>
      <c r="PJ89" s="8"/>
      <c r="PK89" s="42">
        <f t="shared" si="548"/>
        <v>6</v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>
        <f t="shared" si="550"/>
        <v>6</v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>
        <f t="shared" si="552"/>
        <v>6</v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>
        <f t="shared" si="554"/>
        <v>6</v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>
        <f t="shared" si="556"/>
        <v>6</v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>
        <f t="shared" si="558"/>
        <v>6</v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>
        <f t="shared" si="560"/>
        <v>6</v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>
        <v>3</v>
      </c>
      <c r="RL89" s="48" t="s">
        <v>4</v>
      </c>
      <c r="RM89" s="49">
        <v>0</v>
      </c>
      <c r="RN89" s="8"/>
      <c r="RO89" s="42">
        <f t="shared" si="564"/>
        <v>6</v>
      </c>
      <c r="RP89" s="43">
        <f t="shared" si="565"/>
        <v>3</v>
      </c>
      <c r="RQ89" s="8"/>
      <c r="RR89" s="47">
        <v>2</v>
      </c>
      <c r="RS89" s="48" t="s">
        <v>4</v>
      </c>
      <c r="RT89" s="49">
        <v>0</v>
      </c>
      <c r="RU89" s="8"/>
      <c r="RV89" s="42">
        <f t="shared" si="566"/>
        <v>6</v>
      </c>
      <c r="RW89" s="43">
        <f t="shared" si="567"/>
        <v>2</v>
      </c>
      <c r="RX89" s="8"/>
      <c r="RY89" s="47">
        <v>2</v>
      </c>
      <c r="RZ89" s="48" t="s">
        <v>4</v>
      </c>
      <c r="SA89" s="49">
        <v>1</v>
      </c>
      <c r="SB89" s="8"/>
      <c r="SC89" s="42">
        <f t="shared" si="568"/>
        <v>9</v>
      </c>
      <c r="SD89" s="43">
        <f t="shared" si="569"/>
        <v>1</v>
      </c>
      <c r="SE89" s="8"/>
      <c r="SF89" s="47">
        <v>6</v>
      </c>
      <c r="SG89" s="48" t="s">
        <v>4</v>
      </c>
      <c r="SH89" s="49">
        <v>7</v>
      </c>
      <c r="SI89" s="8"/>
      <c r="SJ89" s="42">
        <f t="shared" si="570"/>
        <v>0</v>
      </c>
      <c r="SK89" s="43">
        <f t="shared" si="571"/>
        <v>-1</v>
      </c>
      <c r="SL89" s="8"/>
      <c r="SM89" s="47">
        <v>1</v>
      </c>
      <c r="SN89" s="48" t="s">
        <v>4</v>
      </c>
      <c r="SO89" s="49">
        <v>2</v>
      </c>
      <c r="SP89" s="8"/>
      <c r="SQ89" s="42">
        <f t="shared" si="572"/>
        <v>0</v>
      </c>
      <c r="SR89" s="43">
        <f t="shared" si="573"/>
        <v>-1</v>
      </c>
    </row>
    <row r="90" spans="1:512" ht="16" customHeight="1" x14ac:dyDescent="0.15">
      <c r="A90" s="51">
        <v>46204</v>
      </c>
      <c r="B90" s="46">
        <v>0.91666666666666663</v>
      </c>
      <c r="C90" s="82" t="s">
        <v>11</v>
      </c>
      <c r="D90" s="83" t="s">
        <v>51</v>
      </c>
      <c r="E90" s="2">
        <v>3</v>
      </c>
      <c r="F90" s="50" t="s">
        <v>4</v>
      </c>
      <c r="G90" s="1">
        <v>2</v>
      </c>
      <c r="H90" s="16">
        <v>6</v>
      </c>
      <c r="I90" s="32">
        <f t="shared" si="429"/>
        <v>1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>
        <f t="shared" si="432"/>
        <v>6</v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>
        <f t="shared" si="436"/>
        <v>0</v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>
        <f t="shared" si="438"/>
        <v>6</v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>
        <f t="shared" si="440"/>
        <v>0</v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>
        <f t="shared" si="442"/>
        <v>0</v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>
        <f t="shared" si="444"/>
        <v>0</v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>
        <f t="shared" si="446"/>
        <v>0</v>
      </c>
      <c r="BS90" s="43">
        <f t="shared" si="447"/>
        <v>-2</v>
      </c>
      <c r="BT90" s="8"/>
      <c r="BU90" s="47">
        <v>0</v>
      </c>
      <c r="BV90" s="48" t="s">
        <v>4</v>
      </c>
      <c r="BW90" s="49">
        <v>1</v>
      </c>
      <c r="BX90" s="8"/>
      <c r="BY90" s="42">
        <f t="shared" si="448"/>
        <v>0</v>
      </c>
      <c r="BZ90" s="43">
        <f t="shared" si="449"/>
        <v>-1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>
        <v>2</v>
      </c>
      <c r="CJ90" s="48" t="s">
        <v>4</v>
      </c>
      <c r="CK90" s="49">
        <v>4</v>
      </c>
      <c r="CL90" s="8"/>
      <c r="CM90" s="42">
        <f t="shared" si="452"/>
        <v>0</v>
      </c>
      <c r="CN90" s="43">
        <f t="shared" si="453"/>
        <v>-2</v>
      </c>
      <c r="CO90" s="8"/>
      <c r="CP90" s="47">
        <v>1</v>
      </c>
      <c r="CQ90" s="48" t="s">
        <v>4</v>
      </c>
      <c r="CR90" s="49">
        <v>0</v>
      </c>
      <c r="CS90" s="8"/>
      <c r="CT90" s="42">
        <f t="shared" si="454"/>
        <v>6</v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>
        <f t="shared" si="456"/>
        <v>6</v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>
        <f t="shared" si="458"/>
        <v>0</v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>
        <f t="shared" si="460"/>
        <v>6</v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>
        <f t="shared" si="462"/>
        <v>6</v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>
        <f t="shared" si="464"/>
        <v>9</v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>
        <f t="shared" si="466"/>
        <v>0</v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>
        <f t="shared" si="468"/>
        <v>0</v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>
        <f t="shared" si="470"/>
        <v>0</v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>
        <f t="shared" si="472"/>
        <v>6</v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>
        <f t="shared" si="474"/>
        <v>0</v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>
        <f t="shared" si="476"/>
        <v>6</v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>
        <f t="shared" si="478"/>
        <v>0</v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>
        <f t="shared" si="480"/>
        <v>6</v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>
        <f t="shared" si="482"/>
        <v>6</v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>
        <f t="shared" si="484"/>
        <v>6</v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>
        <f t="shared" si="486"/>
        <v>6</v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>
        <f t="shared" si="488"/>
        <v>6</v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>
        <f t="shared" si="490"/>
        <v>6</v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>
        <f t="shared" si="492"/>
        <v>6</v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>
        <f t="shared" si="494"/>
        <v>0</v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>
        <f t="shared" si="496"/>
        <v>6</v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>
        <f t="shared" si="498"/>
        <v>0</v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>
        <f t="shared" si="500"/>
        <v>6</v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>
        <f t="shared" si="502"/>
        <v>6</v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>
        <f t="shared" si="504"/>
        <v>9</v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>
        <f t="shared" si="506"/>
        <v>0</v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>
        <f t="shared" si="508"/>
        <v>6</v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>
        <f t="shared" si="510"/>
        <v>6</v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>
        <f t="shared" si="512"/>
        <v>6</v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>
        <f t="shared" si="514"/>
        <v>6</v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>
        <f t="shared" si="516"/>
        <v>6</v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>
        <f t="shared" si="518"/>
        <v>0</v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>
        <f t="shared" si="520"/>
        <v>6</v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>
        <f t="shared" si="522"/>
        <v>0</v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>
        <f t="shared" si="524"/>
        <v>0</v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>
        <f t="shared" si="526"/>
        <v>6</v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>
        <f t="shared" si="528"/>
        <v>6</v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>
        <f t="shared" si="530"/>
        <v>6</v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>
        <f t="shared" si="532"/>
        <v>6</v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>
        <f t="shared" si="534"/>
        <v>6</v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>
        <f t="shared" si="536"/>
        <v>6</v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>
        <f t="shared" si="538"/>
        <v>6</v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>
        <f t="shared" si="540"/>
        <v>6</v>
      </c>
      <c r="OJ90" s="43">
        <f t="shared" si="541"/>
        <v>2</v>
      </c>
      <c r="OK90" s="8"/>
      <c r="OL90" s="47">
        <v>2</v>
      </c>
      <c r="OM90" s="48" t="s">
        <v>4</v>
      </c>
      <c r="ON90" s="49">
        <v>1</v>
      </c>
      <c r="OO90" s="8"/>
      <c r="OP90" s="42">
        <f t="shared" si="542"/>
        <v>6</v>
      </c>
      <c r="OQ90" s="43">
        <f t="shared" si="543"/>
        <v>1</v>
      </c>
      <c r="OR90" s="8"/>
      <c r="OS90" s="47">
        <v>4</v>
      </c>
      <c r="OT90" s="48" t="s">
        <v>4</v>
      </c>
      <c r="OU90" s="49">
        <v>0</v>
      </c>
      <c r="OV90" s="8"/>
      <c r="OW90" s="42">
        <f t="shared" si="544"/>
        <v>6</v>
      </c>
      <c r="OX90" s="43">
        <f t="shared" si="545"/>
        <v>4</v>
      </c>
      <c r="OY90" s="8"/>
      <c r="OZ90" s="47">
        <v>1</v>
      </c>
      <c r="PA90" s="48" t="s">
        <v>4</v>
      </c>
      <c r="PB90" s="49">
        <v>2</v>
      </c>
      <c r="PC90" s="8"/>
      <c r="PD90" s="42">
        <f t="shared" si="546"/>
        <v>0</v>
      </c>
      <c r="PE90" s="43">
        <f t="shared" si="547"/>
        <v>-1</v>
      </c>
      <c r="PF90" s="8"/>
      <c r="PG90" s="47">
        <v>1</v>
      </c>
      <c r="PH90" s="48" t="s">
        <v>4</v>
      </c>
      <c r="PI90" s="49">
        <v>2</v>
      </c>
      <c r="PJ90" s="8"/>
      <c r="PK90" s="42">
        <f t="shared" si="548"/>
        <v>0</v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>
        <f t="shared" si="550"/>
        <v>6</v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>
        <f t="shared" si="552"/>
        <v>0</v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>
        <f t="shared" si="554"/>
        <v>6</v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>
        <f t="shared" si="556"/>
        <v>6</v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>
        <f t="shared" si="558"/>
        <v>0</v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>
        <f t="shared" si="560"/>
        <v>6</v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>
        <v>2</v>
      </c>
      <c r="RL90" s="48" t="s">
        <v>4</v>
      </c>
      <c r="RM90" s="49">
        <v>1</v>
      </c>
      <c r="RN90" s="8"/>
      <c r="RO90" s="42">
        <f t="shared" si="564"/>
        <v>6</v>
      </c>
      <c r="RP90" s="43">
        <f t="shared" si="565"/>
        <v>1</v>
      </c>
      <c r="RQ90" s="8"/>
      <c r="RR90" s="47">
        <v>1</v>
      </c>
      <c r="RS90" s="48" t="s">
        <v>4</v>
      </c>
      <c r="RT90" s="49">
        <v>2</v>
      </c>
      <c r="RU90" s="8"/>
      <c r="RV90" s="42">
        <f t="shared" si="566"/>
        <v>0</v>
      </c>
      <c r="RW90" s="43">
        <f t="shared" si="567"/>
        <v>-1</v>
      </c>
      <c r="RX90" s="8"/>
      <c r="RY90" s="47">
        <v>1</v>
      </c>
      <c r="RZ90" s="48" t="s">
        <v>4</v>
      </c>
      <c r="SA90" s="49">
        <v>4</v>
      </c>
      <c r="SB90" s="8"/>
      <c r="SC90" s="42">
        <f t="shared" si="568"/>
        <v>0</v>
      </c>
      <c r="SD90" s="43">
        <f t="shared" si="569"/>
        <v>-3</v>
      </c>
      <c r="SE90" s="8"/>
      <c r="SF90" s="47">
        <v>1</v>
      </c>
      <c r="SG90" s="48" t="s">
        <v>4</v>
      </c>
      <c r="SH90" s="49">
        <v>3</v>
      </c>
      <c r="SI90" s="8"/>
      <c r="SJ90" s="42">
        <f t="shared" si="570"/>
        <v>0</v>
      </c>
      <c r="SK90" s="43">
        <f t="shared" si="571"/>
        <v>-2</v>
      </c>
      <c r="SL90" s="8"/>
      <c r="SM90" s="47">
        <v>1</v>
      </c>
      <c r="SN90" s="48" t="s">
        <v>4</v>
      </c>
      <c r="SO90" s="49">
        <v>3</v>
      </c>
      <c r="SP90" s="8"/>
      <c r="SQ90" s="42">
        <f t="shared" si="572"/>
        <v>0</v>
      </c>
      <c r="SR90" s="43">
        <f t="shared" si="573"/>
        <v>-2</v>
      </c>
    </row>
    <row r="91" spans="1:512" ht="16" customHeight="1" x14ac:dyDescent="0.15">
      <c r="A91" s="51">
        <v>46205</v>
      </c>
      <c r="B91" s="46">
        <v>8.3333333333333329E-2</v>
      </c>
      <c r="C91" s="82" t="s">
        <v>32</v>
      </c>
      <c r="D91" s="82" t="s">
        <v>627</v>
      </c>
      <c r="E91" s="2">
        <v>2</v>
      </c>
      <c r="F91" s="50" t="s">
        <v>4</v>
      </c>
      <c r="G91" s="1">
        <v>0</v>
      </c>
      <c r="H91" s="45">
        <v>0.2</v>
      </c>
      <c r="I91" s="32">
        <f t="shared" si="429"/>
        <v>2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>
        <f t="shared" si="432"/>
        <v>0</v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>
        <f t="shared" si="436"/>
        <v>0</v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>
        <f t="shared" si="438"/>
        <v>0.30000000000000004</v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>
        <f t="shared" si="440"/>
        <v>0</v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>
        <f t="shared" si="442"/>
        <v>0.2</v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>
        <f t="shared" si="444"/>
        <v>0.2</v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>
        <f t="shared" si="446"/>
        <v>0.30000000000000004</v>
      </c>
      <c r="BS91" s="43">
        <f t="shared" si="447"/>
        <v>2</v>
      </c>
      <c r="BT91" s="8"/>
      <c r="BU91" s="47">
        <v>0</v>
      </c>
      <c r="BV91" s="48" t="s">
        <v>4</v>
      </c>
      <c r="BW91" s="49">
        <v>2</v>
      </c>
      <c r="BX91" s="8"/>
      <c r="BY91" s="42">
        <f t="shared" si="448"/>
        <v>0</v>
      </c>
      <c r="BZ91" s="43">
        <f t="shared" si="449"/>
        <v>-2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>
        <v>2</v>
      </c>
      <c r="CJ91" s="48" t="s">
        <v>4</v>
      </c>
      <c r="CK91" s="49">
        <v>0</v>
      </c>
      <c r="CL91" s="8"/>
      <c r="CM91" s="42">
        <f t="shared" si="452"/>
        <v>0.30000000000000004</v>
      </c>
      <c r="CN91" s="43">
        <f t="shared" si="453"/>
        <v>2</v>
      </c>
      <c r="CO91" s="8"/>
      <c r="CP91" s="47">
        <v>6</v>
      </c>
      <c r="CQ91" s="48" t="s">
        <v>4</v>
      </c>
      <c r="CR91" s="49">
        <v>7</v>
      </c>
      <c r="CS91" s="8"/>
      <c r="CT91" s="42">
        <f t="shared" si="454"/>
        <v>0</v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>
        <f t="shared" si="456"/>
        <v>0.30000000000000004</v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>
        <f t="shared" si="458"/>
        <v>0</v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>
        <f t="shared" si="460"/>
        <v>0</v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>
        <f t="shared" si="462"/>
        <v>0.2</v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>
        <f t="shared" si="464"/>
        <v>0</v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>
        <f t="shared" si="466"/>
        <v>0.30000000000000004</v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>
        <f t="shared" si="468"/>
        <v>0.2</v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>
        <f t="shared" si="470"/>
        <v>0.2</v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>
        <f t="shared" si="472"/>
        <v>0</v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>
        <f t="shared" si="474"/>
        <v>0.30000000000000004</v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>
        <f t="shared" si="476"/>
        <v>0.2</v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>
        <f t="shared" si="478"/>
        <v>0.2</v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>
        <f t="shared" si="480"/>
        <v>0</v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>
        <f t="shared" si="482"/>
        <v>0</v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>
        <f t="shared" si="484"/>
        <v>0.2</v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>
        <f t="shared" si="486"/>
        <v>0.30000000000000004</v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>
        <f t="shared" si="488"/>
        <v>0.30000000000000004</v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>
        <f t="shared" si="490"/>
        <v>0</v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>
        <f t="shared" si="492"/>
        <v>0.30000000000000004</v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>
        <f t="shared" si="494"/>
        <v>0.2</v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>
        <f t="shared" si="496"/>
        <v>0</v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>
        <f t="shared" si="498"/>
        <v>0.2</v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>
        <f t="shared" si="500"/>
        <v>0</v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>
        <f t="shared" si="502"/>
        <v>0.2</v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>
        <f t="shared" si="504"/>
        <v>0</v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>
        <f t="shared" si="506"/>
        <v>0.30000000000000004</v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>
        <f t="shared" si="508"/>
        <v>0.2</v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>
        <f t="shared" si="510"/>
        <v>0.2</v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>
        <f t="shared" si="512"/>
        <v>0.30000000000000004</v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>
        <f t="shared" si="514"/>
        <v>0.2</v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>
        <f t="shared" si="516"/>
        <v>0</v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>
        <f t="shared" si="518"/>
        <v>0.2</v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>
        <f t="shared" si="520"/>
        <v>0.2</v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>
        <f t="shared" si="522"/>
        <v>0.2</v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>
        <f t="shared" si="524"/>
        <v>0.2</v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>
        <f t="shared" si="526"/>
        <v>0.30000000000000004</v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>
        <f t="shared" si="528"/>
        <v>0.2</v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>
        <f t="shared" si="530"/>
        <v>0.2</v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>
        <f t="shared" si="532"/>
        <v>0.2</v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>
        <f t="shared" si="534"/>
        <v>0.30000000000000004</v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>
        <f t="shared" si="536"/>
        <v>0</v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>
        <f t="shared" si="538"/>
        <v>0.2</v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>
        <f t="shared" si="540"/>
        <v>0.2</v>
      </c>
      <c r="OJ91" s="43">
        <f t="shared" si="541"/>
        <v>1</v>
      </c>
      <c r="OK91" s="8"/>
      <c r="OL91" s="47">
        <v>3</v>
      </c>
      <c r="OM91" s="48" t="s">
        <v>4</v>
      </c>
      <c r="ON91" s="49">
        <v>0</v>
      </c>
      <c r="OO91" s="8"/>
      <c r="OP91" s="42">
        <f t="shared" si="542"/>
        <v>0.2</v>
      </c>
      <c r="OQ91" s="43">
        <f t="shared" si="543"/>
        <v>3</v>
      </c>
      <c r="OR91" s="8"/>
      <c r="OS91" s="47">
        <v>2</v>
      </c>
      <c r="OT91" s="48" t="s">
        <v>4</v>
      </c>
      <c r="OU91" s="49">
        <v>1</v>
      </c>
      <c r="OV91" s="8"/>
      <c r="OW91" s="42">
        <f t="shared" si="544"/>
        <v>0.2</v>
      </c>
      <c r="OX91" s="43">
        <f t="shared" si="545"/>
        <v>1</v>
      </c>
      <c r="OY91" s="8"/>
      <c r="OZ91" s="47">
        <v>1</v>
      </c>
      <c r="PA91" s="48" t="s">
        <v>4</v>
      </c>
      <c r="PB91" s="49">
        <v>0</v>
      </c>
      <c r="PC91" s="8"/>
      <c r="PD91" s="42">
        <f t="shared" si="546"/>
        <v>0.2</v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>
        <f t="shared" si="548"/>
        <v>0.30000000000000004</v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>
        <f t="shared" si="550"/>
        <v>0.2</v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>
        <f t="shared" si="552"/>
        <v>0</v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>
        <f t="shared" si="554"/>
        <v>0.30000000000000004</v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>
        <f t="shared" si="556"/>
        <v>0.2</v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>
        <f t="shared" si="558"/>
        <v>0</v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>
        <f t="shared" si="560"/>
        <v>0.2</v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>
        <v>2</v>
      </c>
      <c r="RL91" s="48" t="s">
        <v>4</v>
      </c>
      <c r="RM91" s="49">
        <v>0</v>
      </c>
      <c r="RN91" s="8"/>
      <c r="RO91" s="42">
        <f t="shared" si="564"/>
        <v>0.30000000000000004</v>
      </c>
      <c r="RP91" s="43">
        <f t="shared" si="565"/>
        <v>2</v>
      </c>
      <c r="RQ91" s="8"/>
      <c r="RR91" s="47">
        <v>2</v>
      </c>
      <c r="RS91" s="48" t="s">
        <v>4</v>
      </c>
      <c r="RT91" s="49">
        <v>1</v>
      </c>
      <c r="RU91" s="8"/>
      <c r="RV91" s="42">
        <f t="shared" si="566"/>
        <v>0.2</v>
      </c>
      <c r="RW91" s="43">
        <f t="shared" si="567"/>
        <v>1</v>
      </c>
      <c r="RX91" s="8"/>
      <c r="RY91" s="47">
        <v>1</v>
      </c>
      <c r="RZ91" s="48" t="s">
        <v>4</v>
      </c>
      <c r="SA91" s="49">
        <v>2</v>
      </c>
      <c r="SB91" s="8"/>
      <c r="SC91" s="42">
        <f t="shared" si="568"/>
        <v>0</v>
      </c>
      <c r="SD91" s="43">
        <f t="shared" si="569"/>
        <v>-1</v>
      </c>
      <c r="SE91" s="8"/>
      <c r="SF91" s="47">
        <v>4</v>
      </c>
      <c r="SG91" s="48" t="s">
        <v>4</v>
      </c>
      <c r="SH91" s="49">
        <v>6</v>
      </c>
      <c r="SI91" s="8"/>
      <c r="SJ91" s="42">
        <f t="shared" si="570"/>
        <v>0</v>
      </c>
      <c r="SK91" s="43">
        <f t="shared" si="571"/>
        <v>-2</v>
      </c>
      <c r="SL91" s="8"/>
      <c r="SM91" s="47">
        <v>0</v>
      </c>
      <c r="SN91" s="48" t="s">
        <v>4</v>
      </c>
      <c r="SO91" s="49">
        <v>1</v>
      </c>
      <c r="SP91" s="8"/>
      <c r="SQ91" s="42">
        <f t="shared" si="572"/>
        <v>0</v>
      </c>
      <c r="SR91" s="43">
        <f t="shared" si="573"/>
        <v>-1</v>
      </c>
    </row>
    <row r="92" spans="1:512" ht="16" customHeight="1" x14ac:dyDescent="0.15">
      <c r="A92" s="51">
        <v>46205</v>
      </c>
      <c r="B92" s="46">
        <v>0.875</v>
      </c>
      <c r="C92" s="82" t="s">
        <v>3</v>
      </c>
      <c r="D92" s="83" t="s">
        <v>24</v>
      </c>
      <c r="E92" s="2">
        <v>3</v>
      </c>
      <c r="F92" s="50" t="s">
        <v>4</v>
      </c>
      <c r="G92" s="1">
        <v>0</v>
      </c>
      <c r="H92" s="16">
        <v>6.4</v>
      </c>
      <c r="I92" s="32">
        <f t="shared" si="429"/>
        <v>3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>
        <f t="shared" si="432"/>
        <v>6.4</v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>
        <f t="shared" si="436"/>
        <v>6.4</v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>
        <f t="shared" si="438"/>
        <v>6.4</v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>
        <f t="shared" si="440"/>
        <v>6.4</v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>
        <f t="shared" si="442"/>
        <v>6.4</v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>
        <f t="shared" si="444"/>
        <v>0</v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>
        <f t="shared" si="446"/>
        <v>6.4</v>
      </c>
      <c r="BS92" s="43">
        <f t="shared" si="447"/>
        <v>1</v>
      </c>
      <c r="BT92" s="8"/>
      <c r="BU92" s="47">
        <v>3</v>
      </c>
      <c r="BV92" s="48" t="s">
        <v>4</v>
      </c>
      <c r="BW92" s="49">
        <v>1</v>
      </c>
      <c r="BX92" s="8"/>
      <c r="BY92" s="42">
        <f t="shared" si="448"/>
        <v>6.4</v>
      </c>
      <c r="BZ92" s="43">
        <f t="shared" si="449"/>
        <v>2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>
        <v>2</v>
      </c>
      <c r="CJ92" s="48" t="s">
        <v>4</v>
      </c>
      <c r="CK92" s="49">
        <v>1</v>
      </c>
      <c r="CL92" s="8"/>
      <c r="CM92" s="42">
        <f t="shared" si="452"/>
        <v>6.4</v>
      </c>
      <c r="CN92" s="43">
        <f t="shared" si="453"/>
        <v>1</v>
      </c>
      <c r="CO92" s="8"/>
      <c r="CP92" s="47">
        <v>2</v>
      </c>
      <c r="CQ92" s="48" t="s">
        <v>4</v>
      </c>
      <c r="CR92" s="49">
        <v>1</v>
      </c>
      <c r="CS92" s="8"/>
      <c r="CT92" s="42">
        <f t="shared" si="454"/>
        <v>6.4</v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>
        <f t="shared" si="456"/>
        <v>6.4</v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>
        <f t="shared" si="458"/>
        <v>6.4</v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>
        <f t="shared" si="460"/>
        <v>6.4</v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>
        <f t="shared" si="462"/>
        <v>6.4</v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>
        <f t="shared" si="464"/>
        <v>6.4</v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>
        <f t="shared" si="466"/>
        <v>6.4</v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>
        <f t="shared" si="468"/>
        <v>6.4</v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>
        <f t="shared" si="470"/>
        <v>0</v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>
        <f t="shared" si="472"/>
        <v>6.4</v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>
        <f t="shared" si="474"/>
        <v>6.4</v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>
        <f t="shared" si="476"/>
        <v>6.4</v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>
        <f t="shared" si="478"/>
        <v>6.4</v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>
        <f t="shared" si="480"/>
        <v>6.4</v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>
        <f t="shared" si="482"/>
        <v>6.4</v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>
        <f t="shared" si="484"/>
        <v>6.4</v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>
        <f t="shared" si="486"/>
        <v>6.4</v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>
        <f t="shared" si="488"/>
        <v>6.4</v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>
        <f t="shared" si="490"/>
        <v>6.4</v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>
        <f t="shared" si="492"/>
        <v>6.4</v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>
        <f t="shared" si="494"/>
        <v>6.4</v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>
        <f t="shared" si="496"/>
        <v>6.4</v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>
        <f t="shared" si="498"/>
        <v>0</v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>
        <f t="shared" si="500"/>
        <v>6.4</v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>
        <f t="shared" si="502"/>
        <v>6.4</v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>
        <f t="shared" si="504"/>
        <v>6.4</v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>
        <f t="shared" si="506"/>
        <v>6.4</v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>
        <f t="shared" si="508"/>
        <v>6.4</v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>
        <f t="shared" si="510"/>
        <v>6.4</v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>
        <f t="shared" si="512"/>
        <v>6.4</v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>
        <f t="shared" si="514"/>
        <v>6.4</v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>
        <f t="shared" si="516"/>
        <v>6.4</v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>
        <f t="shared" si="518"/>
        <v>6.4</v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>
        <f t="shared" si="520"/>
        <v>6.4</v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>
        <f t="shared" si="522"/>
        <v>6.4</v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>
        <f t="shared" si="524"/>
        <v>6.4</v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>
        <f t="shared" si="526"/>
        <v>6.4</v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>
        <f t="shared" si="528"/>
        <v>9.6000000000000014</v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>
        <f t="shared" si="530"/>
        <v>0</v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>
        <f t="shared" si="532"/>
        <v>6.4</v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>
        <f t="shared" si="534"/>
        <v>6.4</v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>
        <f t="shared" si="536"/>
        <v>6.4</v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>
        <f t="shared" si="538"/>
        <v>6.4</v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>
        <f t="shared" si="540"/>
        <v>9.6000000000000014</v>
      </c>
      <c r="OJ92" s="43">
        <f t="shared" si="541"/>
        <v>3</v>
      </c>
      <c r="OK92" s="8"/>
      <c r="OL92" s="47">
        <v>3</v>
      </c>
      <c r="OM92" s="48" t="s">
        <v>4</v>
      </c>
      <c r="ON92" s="49">
        <v>1</v>
      </c>
      <c r="OO92" s="8"/>
      <c r="OP92" s="42">
        <f t="shared" si="542"/>
        <v>6.4</v>
      </c>
      <c r="OQ92" s="43">
        <f t="shared" si="543"/>
        <v>2</v>
      </c>
      <c r="OR92" s="8"/>
      <c r="OS92" s="47">
        <v>3</v>
      </c>
      <c r="OT92" s="48" t="s">
        <v>4</v>
      </c>
      <c r="OU92" s="49">
        <v>0</v>
      </c>
      <c r="OV92" s="8"/>
      <c r="OW92" s="42">
        <f t="shared" si="544"/>
        <v>9.6000000000000014</v>
      </c>
      <c r="OX92" s="43">
        <f t="shared" si="545"/>
        <v>3</v>
      </c>
      <c r="OY92" s="8"/>
      <c r="OZ92" s="47">
        <v>3</v>
      </c>
      <c r="PA92" s="48" t="s">
        <v>4</v>
      </c>
      <c r="PB92" s="49">
        <v>2</v>
      </c>
      <c r="PC92" s="8"/>
      <c r="PD92" s="42">
        <f t="shared" si="546"/>
        <v>6.4</v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>
        <f t="shared" si="548"/>
        <v>6.4</v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>
        <f t="shared" si="550"/>
        <v>6.4</v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>
        <f t="shared" si="552"/>
        <v>6.4</v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>
        <f t="shared" si="554"/>
        <v>6.4</v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>
        <f t="shared" si="556"/>
        <v>6.4</v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>
        <f t="shared" si="558"/>
        <v>6.4</v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>
        <f t="shared" si="560"/>
        <v>6.4</v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>
        <v>3</v>
      </c>
      <c r="RL92" s="48" t="s">
        <v>4</v>
      </c>
      <c r="RM92" s="49">
        <v>1</v>
      </c>
      <c r="RN92" s="8"/>
      <c r="RO92" s="42">
        <f t="shared" si="564"/>
        <v>6.4</v>
      </c>
      <c r="RP92" s="43">
        <f t="shared" si="565"/>
        <v>2</v>
      </c>
      <c r="RQ92" s="8"/>
      <c r="RR92" s="47">
        <v>2</v>
      </c>
      <c r="RS92" s="48" t="s">
        <v>4</v>
      </c>
      <c r="RT92" s="49">
        <v>1</v>
      </c>
      <c r="RU92" s="8"/>
      <c r="RV92" s="42">
        <f t="shared" si="566"/>
        <v>6.4</v>
      </c>
      <c r="RW92" s="43">
        <f t="shared" si="567"/>
        <v>1</v>
      </c>
      <c r="RX92" s="8"/>
      <c r="RY92" s="47">
        <v>2</v>
      </c>
      <c r="RZ92" s="48" t="s">
        <v>4</v>
      </c>
      <c r="SA92" s="49">
        <v>1</v>
      </c>
      <c r="SB92" s="8"/>
      <c r="SC92" s="42">
        <f t="shared" si="568"/>
        <v>6.4</v>
      </c>
      <c r="SD92" s="43">
        <f t="shared" si="569"/>
        <v>1</v>
      </c>
      <c r="SE92" s="8"/>
      <c r="SF92" s="47">
        <v>2</v>
      </c>
      <c r="SG92" s="48" t="s">
        <v>4</v>
      </c>
      <c r="SH92" s="49">
        <v>0</v>
      </c>
      <c r="SI92" s="8"/>
      <c r="SJ92" s="42">
        <f t="shared" si="570"/>
        <v>6.4</v>
      </c>
      <c r="SK92" s="43">
        <f t="shared" si="571"/>
        <v>2</v>
      </c>
      <c r="SL92" s="8"/>
      <c r="SM92" s="47">
        <v>2</v>
      </c>
      <c r="SN92" s="48" t="s">
        <v>4</v>
      </c>
      <c r="SO92" s="49">
        <v>0</v>
      </c>
      <c r="SP92" s="8"/>
      <c r="SQ92" s="42">
        <f t="shared" si="572"/>
        <v>6.4</v>
      </c>
      <c r="SR92" s="43">
        <f t="shared" si="573"/>
        <v>2</v>
      </c>
    </row>
    <row r="93" spans="1:512" ht="16" customHeight="1" x14ac:dyDescent="0.15">
      <c r="A93" s="51">
        <v>46206</v>
      </c>
      <c r="B93" s="46">
        <v>4.1666666666666664E-2</v>
      </c>
      <c r="C93" s="82" t="s">
        <v>9</v>
      </c>
      <c r="D93" s="82" t="s">
        <v>22</v>
      </c>
      <c r="E93" s="2">
        <v>2</v>
      </c>
      <c r="F93" s="50" t="s">
        <v>4</v>
      </c>
      <c r="G93" s="1">
        <v>1</v>
      </c>
      <c r="H93" s="16">
        <v>6.8</v>
      </c>
      <c r="I93" s="32">
        <f t="shared" si="429"/>
        <v>1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>
        <f t="shared" si="432"/>
        <v>0</v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>
        <f t="shared" si="436"/>
        <v>10.199999999999999</v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>
        <f t="shared" si="438"/>
        <v>10.199999999999999</v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>
        <f t="shared" si="440"/>
        <v>6.8</v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>
        <f t="shared" si="442"/>
        <v>10.199999999999999</v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>
        <f t="shared" si="444"/>
        <v>6.8</v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>
        <f t="shared" si="446"/>
        <v>6.8</v>
      </c>
      <c r="BS93" s="43">
        <f t="shared" si="447"/>
        <v>1</v>
      </c>
      <c r="BT93" s="8"/>
      <c r="BU93" s="47">
        <v>2</v>
      </c>
      <c r="BV93" s="48" t="s">
        <v>4</v>
      </c>
      <c r="BW93" s="49">
        <v>0</v>
      </c>
      <c r="BX93" s="8"/>
      <c r="BY93" s="42">
        <f t="shared" si="448"/>
        <v>6.8</v>
      </c>
      <c r="BZ93" s="43">
        <f t="shared" si="449"/>
        <v>2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>
        <v>3</v>
      </c>
      <c r="CJ93" s="48" t="s">
        <v>4</v>
      </c>
      <c r="CK93" s="49">
        <v>2</v>
      </c>
      <c r="CL93" s="8"/>
      <c r="CM93" s="42">
        <f t="shared" si="452"/>
        <v>6.8</v>
      </c>
      <c r="CN93" s="43">
        <f t="shared" si="453"/>
        <v>1</v>
      </c>
      <c r="CO93" s="8"/>
      <c r="CP93" s="47">
        <v>1</v>
      </c>
      <c r="CQ93" s="48" t="s">
        <v>4</v>
      </c>
      <c r="CR93" s="49">
        <v>2</v>
      </c>
      <c r="CS93" s="8"/>
      <c r="CT93" s="42">
        <f t="shared" si="454"/>
        <v>0</v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>
        <f t="shared" si="456"/>
        <v>6.8</v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>
        <f t="shared" si="458"/>
        <v>10.199999999999999</v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>
        <f t="shared" si="460"/>
        <v>6.8</v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>
        <f t="shared" si="462"/>
        <v>6.8</v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>
        <f t="shared" si="464"/>
        <v>10.199999999999999</v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>
        <f t="shared" si="466"/>
        <v>6.8</v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>
        <f t="shared" si="468"/>
        <v>10.199999999999999</v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>
        <f t="shared" si="470"/>
        <v>6.8</v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>
        <f t="shared" si="472"/>
        <v>6.8</v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>
        <f t="shared" si="474"/>
        <v>6.8</v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>
        <f t="shared" si="476"/>
        <v>0</v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>
        <f t="shared" si="478"/>
        <v>10.199999999999999</v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>
        <f t="shared" si="480"/>
        <v>10.199999999999999</v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>
        <f t="shared" si="482"/>
        <v>0</v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>
        <f t="shared" si="484"/>
        <v>0</v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>
        <f t="shared" si="486"/>
        <v>10.199999999999999</v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>
        <f t="shared" si="488"/>
        <v>10.199999999999999</v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>
        <f t="shared" si="490"/>
        <v>10.199999999999999</v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>
        <f t="shared" si="492"/>
        <v>0</v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>
        <f t="shared" si="494"/>
        <v>0</v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>
        <f t="shared" si="496"/>
        <v>0</v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>
        <f t="shared" si="498"/>
        <v>0</v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>
        <f t="shared" si="500"/>
        <v>6.8</v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>
        <f t="shared" si="502"/>
        <v>6.8</v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>
        <f t="shared" si="504"/>
        <v>0</v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>
        <f t="shared" si="506"/>
        <v>6.8</v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>
        <f t="shared" si="508"/>
        <v>6.8</v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>
        <f t="shared" si="510"/>
        <v>6.8</v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>
        <f t="shared" si="512"/>
        <v>6.8</v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>
        <f t="shared" si="514"/>
        <v>0</v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>
        <f t="shared" si="516"/>
        <v>10.199999999999999</v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>
        <f t="shared" si="518"/>
        <v>6.8</v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>
        <f t="shared" si="520"/>
        <v>0</v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>
        <f t="shared" si="522"/>
        <v>0</v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>
        <f t="shared" si="524"/>
        <v>0</v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>
        <f t="shared" si="526"/>
        <v>0</v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>
        <f t="shared" si="528"/>
        <v>0</v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>
        <f t="shared" si="530"/>
        <v>0</v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>
        <f t="shared" si="532"/>
        <v>6.8</v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>
        <f t="shared" si="534"/>
        <v>10.199999999999999</v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>
        <f t="shared" si="536"/>
        <v>6.8</v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>
        <f t="shared" si="538"/>
        <v>6.8</v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>
        <f t="shared" si="540"/>
        <v>6.8</v>
      </c>
      <c r="OJ93" s="43">
        <f t="shared" si="541"/>
        <v>1</v>
      </c>
      <c r="OK93" s="8"/>
      <c r="OL93" s="47">
        <v>2</v>
      </c>
      <c r="OM93" s="48" t="s">
        <v>4</v>
      </c>
      <c r="ON93" s="49">
        <v>1</v>
      </c>
      <c r="OO93" s="8"/>
      <c r="OP93" s="42">
        <f t="shared" si="542"/>
        <v>10.199999999999999</v>
      </c>
      <c r="OQ93" s="43">
        <f t="shared" si="543"/>
        <v>1</v>
      </c>
      <c r="OR93" s="8"/>
      <c r="OS93" s="47">
        <v>4</v>
      </c>
      <c r="OT93" s="48" t="s">
        <v>4</v>
      </c>
      <c r="OU93" s="49">
        <v>1</v>
      </c>
      <c r="OV93" s="8"/>
      <c r="OW93" s="42">
        <f t="shared" si="544"/>
        <v>6.8</v>
      </c>
      <c r="OX93" s="43">
        <f t="shared" si="545"/>
        <v>3</v>
      </c>
      <c r="OY93" s="8"/>
      <c r="OZ93" s="47">
        <v>2</v>
      </c>
      <c r="PA93" s="48" t="s">
        <v>4</v>
      </c>
      <c r="PB93" s="49">
        <v>1</v>
      </c>
      <c r="PC93" s="8"/>
      <c r="PD93" s="42">
        <f t="shared" si="546"/>
        <v>10.199999999999999</v>
      </c>
      <c r="PE93" s="43">
        <f t="shared" si="547"/>
        <v>1</v>
      </c>
      <c r="PF93" s="8"/>
      <c r="PG93" s="47">
        <v>5</v>
      </c>
      <c r="PH93" s="48" t="s">
        <v>4</v>
      </c>
      <c r="PI93" s="49">
        <v>4</v>
      </c>
      <c r="PJ93" s="8"/>
      <c r="PK93" s="42">
        <f t="shared" si="548"/>
        <v>6.8</v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>
        <f t="shared" si="550"/>
        <v>10.199999999999999</v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>
        <f t="shared" si="552"/>
        <v>6.8</v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>
        <f t="shared" si="554"/>
        <v>10.199999999999999</v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>
        <f t="shared" si="556"/>
        <v>10.199999999999999</v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>
        <f t="shared" si="558"/>
        <v>6.8</v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>
        <f t="shared" si="560"/>
        <v>10.199999999999999</v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>
        <v>6</v>
      </c>
      <c r="RL93" s="48" t="s">
        <v>4</v>
      </c>
      <c r="RM93" s="49">
        <v>5</v>
      </c>
      <c r="RN93" s="8"/>
      <c r="RO93" s="42">
        <f t="shared" si="564"/>
        <v>6.8</v>
      </c>
      <c r="RP93" s="43">
        <f t="shared" si="565"/>
        <v>1</v>
      </c>
      <c r="RQ93" s="8"/>
      <c r="RR93" s="47">
        <v>6</v>
      </c>
      <c r="RS93" s="48" t="s">
        <v>4</v>
      </c>
      <c r="RT93" s="49">
        <v>5</v>
      </c>
      <c r="RU93" s="8"/>
      <c r="RV93" s="42">
        <f t="shared" si="566"/>
        <v>6.8</v>
      </c>
      <c r="RW93" s="43">
        <f t="shared" si="567"/>
        <v>1</v>
      </c>
      <c r="RX93" s="8"/>
      <c r="RY93" s="47">
        <v>1</v>
      </c>
      <c r="RZ93" s="48" t="s">
        <v>4</v>
      </c>
      <c r="SA93" s="49">
        <v>0</v>
      </c>
      <c r="SB93" s="8"/>
      <c r="SC93" s="42">
        <f t="shared" si="568"/>
        <v>6.8</v>
      </c>
      <c r="SD93" s="43">
        <f t="shared" si="569"/>
        <v>1</v>
      </c>
      <c r="SE93" s="8"/>
      <c r="SF93" s="47">
        <v>1</v>
      </c>
      <c r="SG93" s="48" t="s">
        <v>4</v>
      </c>
      <c r="SH93" s="49">
        <v>2</v>
      </c>
      <c r="SI93" s="8"/>
      <c r="SJ93" s="42">
        <f t="shared" si="570"/>
        <v>0</v>
      </c>
      <c r="SK93" s="43">
        <f t="shared" si="571"/>
        <v>-1</v>
      </c>
      <c r="SL93" s="8"/>
      <c r="SM93" s="47">
        <v>2</v>
      </c>
      <c r="SN93" s="48" t="s">
        <v>4</v>
      </c>
      <c r="SO93" s="49">
        <v>0</v>
      </c>
      <c r="SP93" s="8"/>
      <c r="SQ93" s="42">
        <f t="shared" si="572"/>
        <v>6.8</v>
      </c>
      <c r="SR93" s="43">
        <f t="shared" si="573"/>
        <v>2</v>
      </c>
    </row>
    <row r="94" spans="1:512" ht="16" customHeight="1" x14ac:dyDescent="0.15">
      <c r="A94" s="51">
        <v>46206</v>
      </c>
      <c r="B94" s="46">
        <v>0.20833333333333334</v>
      </c>
      <c r="C94" s="82" t="s">
        <v>21</v>
      </c>
      <c r="D94" s="82" t="s">
        <v>55</v>
      </c>
      <c r="E94" s="2">
        <v>2</v>
      </c>
      <c r="F94" s="50" t="s">
        <v>4</v>
      </c>
      <c r="G94" s="1">
        <v>0</v>
      </c>
      <c r="H94" s="16">
        <v>6.8</v>
      </c>
      <c r="I94" s="32">
        <f t="shared" si="429"/>
        <v>2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>
        <f t="shared" si="432"/>
        <v>10.199999999999999</v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>
        <f t="shared" si="436"/>
        <v>10.199999999999999</v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>
        <f t="shared" si="438"/>
        <v>10.199999999999999</v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>
        <f t="shared" si="440"/>
        <v>6.8</v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>
        <f t="shared" si="442"/>
        <v>6.8</v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>
        <f t="shared" si="444"/>
        <v>10.199999999999999</v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>
        <f t="shared" si="446"/>
        <v>6.8</v>
      </c>
      <c r="BS94" s="43">
        <f t="shared" si="447"/>
        <v>1</v>
      </c>
      <c r="BT94" s="8"/>
      <c r="BU94" s="47">
        <v>1</v>
      </c>
      <c r="BV94" s="48" t="s">
        <v>4</v>
      </c>
      <c r="BW94" s="49">
        <v>0</v>
      </c>
      <c r="BX94" s="8"/>
      <c r="BY94" s="42">
        <f t="shared" si="448"/>
        <v>6.8</v>
      </c>
      <c r="BZ94" s="43">
        <f t="shared" si="449"/>
        <v>1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>
        <v>1</v>
      </c>
      <c r="CJ94" s="48" t="s">
        <v>4</v>
      </c>
      <c r="CK94" s="49">
        <v>0</v>
      </c>
      <c r="CL94" s="8"/>
      <c r="CM94" s="42">
        <f t="shared" si="452"/>
        <v>6.8</v>
      </c>
      <c r="CN94" s="43">
        <f t="shared" si="453"/>
        <v>1</v>
      </c>
      <c r="CO94" s="8"/>
      <c r="CP94" s="47">
        <v>0</v>
      </c>
      <c r="CQ94" s="48" t="s">
        <v>4</v>
      </c>
      <c r="CR94" s="49">
        <v>1</v>
      </c>
      <c r="CS94" s="8"/>
      <c r="CT94" s="42">
        <f t="shared" si="454"/>
        <v>0</v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>
        <f t="shared" si="456"/>
        <v>6.8</v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>
        <f t="shared" si="458"/>
        <v>6.8</v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>
        <f t="shared" si="460"/>
        <v>6.8</v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>
        <f t="shared" si="462"/>
        <v>10.199999999999999</v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>
        <f t="shared" si="464"/>
        <v>6.8</v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>
        <f t="shared" si="466"/>
        <v>0</v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>
        <f t="shared" si="468"/>
        <v>6.8</v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>
        <f t="shared" si="470"/>
        <v>6.8</v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>
        <f t="shared" si="472"/>
        <v>6.8</v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>
        <f t="shared" si="474"/>
        <v>6.8</v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>
        <f t="shared" si="476"/>
        <v>6.8</v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>
        <f t="shared" si="478"/>
        <v>10.199999999999999</v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>
        <f t="shared" si="480"/>
        <v>6.8</v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>
        <f t="shared" si="482"/>
        <v>0</v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>
        <f t="shared" si="484"/>
        <v>6.8</v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>
        <f t="shared" si="486"/>
        <v>6.8</v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>
        <f t="shared" si="488"/>
        <v>6.8</v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>
        <f t="shared" si="490"/>
        <v>6.8</v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>
        <f t="shared" si="492"/>
        <v>6.8</v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>
        <f t="shared" si="494"/>
        <v>6.8</v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>
        <f t="shared" si="496"/>
        <v>6.8</v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>
        <f t="shared" si="498"/>
        <v>6.8</v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>
        <f t="shared" si="500"/>
        <v>10.199999999999999</v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>
        <f t="shared" si="502"/>
        <v>6.8</v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>
        <f t="shared" si="504"/>
        <v>6.8</v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>
        <f t="shared" si="506"/>
        <v>6.8</v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>
        <f t="shared" si="508"/>
        <v>6.8</v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>
        <f t="shared" si="510"/>
        <v>6.8</v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>
        <f t="shared" si="512"/>
        <v>0</v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>
        <f t="shared" si="514"/>
        <v>10.199999999999999</v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>
        <f t="shared" si="516"/>
        <v>6.8</v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>
        <f t="shared" si="518"/>
        <v>6.8</v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>
        <f t="shared" si="520"/>
        <v>6.8</v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>
        <f t="shared" si="522"/>
        <v>6.8</v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>
        <f t="shared" si="524"/>
        <v>0</v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>
        <f t="shared" si="526"/>
        <v>6.8</v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>
        <f t="shared" si="528"/>
        <v>6.8</v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>
        <f t="shared" si="530"/>
        <v>6.8</v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>
        <f t="shared" si="532"/>
        <v>0</v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>
        <f t="shared" si="534"/>
        <v>6.8</v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>
        <f t="shared" si="536"/>
        <v>6.8</v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>
        <f t="shared" si="538"/>
        <v>6.8</v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>
        <f t="shared" si="540"/>
        <v>6.8</v>
      </c>
      <c r="OJ94" s="43">
        <f t="shared" si="541"/>
        <v>1</v>
      </c>
      <c r="OK94" s="8"/>
      <c r="OL94" s="47">
        <v>2</v>
      </c>
      <c r="OM94" s="48" t="s">
        <v>4</v>
      </c>
      <c r="ON94" s="49">
        <v>0</v>
      </c>
      <c r="OO94" s="8"/>
      <c r="OP94" s="42">
        <f t="shared" si="542"/>
        <v>10.199999999999999</v>
      </c>
      <c r="OQ94" s="43">
        <f t="shared" si="543"/>
        <v>2</v>
      </c>
      <c r="OR94" s="8"/>
      <c r="OS94" s="47">
        <v>2</v>
      </c>
      <c r="OT94" s="48" t="s">
        <v>4</v>
      </c>
      <c r="OU94" s="49">
        <v>0</v>
      </c>
      <c r="OV94" s="8"/>
      <c r="OW94" s="42">
        <f t="shared" si="544"/>
        <v>10.199999999999999</v>
      </c>
      <c r="OX94" s="43">
        <f t="shared" si="545"/>
        <v>2</v>
      </c>
      <c r="OY94" s="8"/>
      <c r="OZ94" s="47">
        <v>4</v>
      </c>
      <c r="PA94" s="48" t="s">
        <v>4</v>
      </c>
      <c r="PB94" s="49">
        <v>3</v>
      </c>
      <c r="PC94" s="8"/>
      <c r="PD94" s="42">
        <f t="shared" si="546"/>
        <v>6.8</v>
      </c>
      <c r="PE94" s="43">
        <f t="shared" si="547"/>
        <v>1</v>
      </c>
      <c r="PF94" s="8"/>
      <c r="PG94" s="47">
        <v>1</v>
      </c>
      <c r="PH94" s="48" t="s">
        <v>4</v>
      </c>
      <c r="PI94" s="49">
        <v>2</v>
      </c>
      <c r="PJ94" s="8"/>
      <c r="PK94" s="42">
        <f t="shared" si="548"/>
        <v>0</v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>
        <f t="shared" si="550"/>
        <v>6.8</v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>
        <f t="shared" si="552"/>
        <v>6.8</v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>
        <f t="shared" si="554"/>
        <v>0</v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>
        <f t="shared" si="556"/>
        <v>6.8</v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>
        <f t="shared" si="558"/>
        <v>6.8</v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>
        <f t="shared" si="560"/>
        <v>6.8</v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>
        <v>1</v>
      </c>
      <c r="RL94" s="48" t="s">
        <v>4</v>
      </c>
      <c r="RM94" s="49">
        <v>0</v>
      </c>
      <c r="RN94" s="8"/>
      <c r="RO94" s="42">
        <f t="shared" si="564"/>
        <v>6.8</v>
      </c>
      <c r="RP94" s="43">
        <f t="shared" si="565"/>
        <v>1</v>
      </c>
      <c r="RQ94" s="8"/>
      <c r="RR94" s="47">
        <v>1</v>
      </c>
      <c r="RS94" s="48" t="s">
        <v>4</v>
      </c>
      <c r="RT94" s="49">
        <v>0</v>
      </c>
      <c r="RU94" s="8"/>
      <c r="RV94" s="42">
        <f t="shared" si="566"/>
        <v>6.8</v>
      </c>
      <c r="RW94" s="43">
        <f t="shared" si="567"/>
        <v>1</v>
      </c>
      <c r="RX94" s="8"/>
      <c r="RY94" s="47">
        <v>0</v>
      </c>
      <c r="RZ94" s="48" t="s">
        <v>4</v>
      </c>
      <c r="SA94" s="49">
        <v>2</v>
      </c>
      <c r="SB94" s="8"/>
      <c r="SC94" s="42">
        <f t="shared" si="568"/>
        <v>0</v>
      </c>
      <c r="SD94" s="43">
        <f t="shared" si="569"/>
        <v>-2</v>
      </c>
      <c r="SE94" s="8"/>
      <c r="SF94" s="47">
        <v>1</v>
      </c>
      <c r="SG94" s="48" t="s">
        <v>4</v>
      </c>
      <c r="SH94" s="49">
        <v>2</v>
      </c>
      <c r="SI94" s="8"/>
      <c r="SJ94" s="42">
        <f t="shared" si="570"/>
        <v>0</v>
      </c>
      <c r="SK94" s="43">
        <f t="shared" si="571"/>
        <v>-1</v>
      </c>
      <c r="SL94" s="8"/>
      <c r="SM94" s="47">
        <v>0</v>
      </c>
      <c r="SN94" s="48" t="s">
        <v>4</v>
      </c>
      <c r="SO94" s="49">
        <v>2</v>
      </c>
      <c r="SP94" s="8"/>
      <c r="SQ94" s="42">
        <f t="shared" si="572"/>
        <v>0</v>
      </c>
      <c r="SR94" s="43">
        <f t="shared" si="573"/>
        <v>-2</v>
      </c>
    </row>
    <row r="95" spans="1:512" ht="16" customHeight="1" x14ac:dyDescent="0.15">
      <c r="A95" s="51">
        <v>46206</v>
      </c>
      <c r="B95" s="46">
        <v>0.83333333333333337</v>
      </c>
      <c r="C95" s="82" t="s">
        <v>38</v>
      </c>
      <c r="D95" s="83" t="s">
        <v>46</v>
      </c>
      <c r="E95" s="2">
        <v>3</v>
      </c>
      <c r="F95" s="50" t="s">
        <v>4</v>
      </c>
      <c r="G95" s="1">
        <v>5</v>
      </c>
      <c r="H95" s="16">
        <v>6.8</v>
      </c>
      <c r="I95" s="32">
        <f t="shared" si="429"/>
        <v>-2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>
        <f t="shared" si="432"/>
        <v>0</v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>
        <f t="shared" si="436"/>
        <v>0</v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>
        <f t="shared" si="438"/>
        <v>0</v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>
        <f t="shared" si="440"/>
        <v>6.8</v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>
        <f t="shared" si="442"/>
        <v>6.8</v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>
        <f t="shared" si="444"/>
        <v>0</v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>
        <f t="shared" si="446"/>
        <v>6.8</v>
      </c>
      <c r="BS95" s="43">
        <f t="shared" si="447"/>
        <v>-2</v>
      </c>
      <c r="BT95" s="8"/>
      <c r="BU95" s="47">
        <v>0</v>
      </c>
      <c r="BV95" s="48" t="s">
        <v>4</v>
      </c>
      <c r="BW95" s="49">
        <v>1</v>
      </c>
      <c r="BX95" s="8"/>
      <c r="BY95" s="42">
        <f t="shared" si="448"/>
        <v>6.8</v>
      </c>
      <c r="BZ95" s="43">
        <f t="shared" si="449"/>
        <v>-1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>
        <v>0</v>
      </c>
      <c r="CJ95" s="48" t="s">
        <v>4</v>
      </c>
      <c r="CK95" s="49">
        <v>2</v>
      </c>
      <c r="CL95" s="8"/>
      <c r="CM95" s="42">
        <f t="shared" si="452"/>
        <v>6.8</v>
      </c>
      <c r="CN95" s="43">
        <f t="shared" si="453"/>
        <v>-2</v>
      </c>
      <c r="CO95" s="8"/>
      <c r="CP95" s="47">
        <v>1</v>
      </c>
      <c r="CQ95" s="48" t="s">
        <v>4</v>
      </c>
      <c r="CR95" s="49">
        <v>2</v>
      </c>
      <c r="CS95" s="8"/>
      <c r="CT95" s="42">
        <f t="shared" si="454"/>
        <v>6.8</v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>
        <f t="shared" si="456"/>
        <v>6.8</v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>
        <f t="shared" si="458"/>
        <v>6.8</v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>
        <f t="shared" si="460"/>
        <v>6.8</v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>
        <f t="shared" si="462"/>
        <v>6.8</v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>
        <f t="shared" si="464"/>
        <v>6.8</v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>
        <f t="shared" si="466"/>
        <v>6.8</v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>
        <f t="shared" si="468"/>
        <v>6.8</v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>
        <f t="shared" si="470"/>
        <v>6.8</v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>
        <f t="shared" si="472"/>
        <v>0</v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>
        <f t="shared" si="474"/>
        <v>6.8</v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>
        <f t="shared" si="476"/>
        <v>0</v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>
        <f t="shared" si="478"/>
        <v>0</v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>
        <f t="shared" si="480"/>
        <v>6.8</v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>
        <f t="shared" si="482"/>
        <v>0</v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>
        <f t="shared" si="484"/>
        <v>6.8</v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>
        <f t="shared" si="486"/>
        <v>6.8</v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>
        <f t="shared" si="488"/>
        <v>6.8</v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>
        <f t="shared" si="490"/>
        <v>6.8</v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>
        <f t="shared" si="492"/>
        <v>6.8</v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>
        <f t="shared" si="494"/>
        <v>6.8</v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>
        <f t="shared" si="496"/>
        <v>0</v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>
        <f t="shared" si="498"/>
        <v>6.8</v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>
        <f t="shared" si="500"/>
        <v>0</v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>
        <f t="shared" si="502"/>
        <v>0</v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>
        <f t="shared" si="504"/>
        <v>6.8</v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>
        <f t="shared" si="506"/>
        <v>6.8</v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>
        <f t="shared" si="508"/>
        <v>6.8</v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>
        <f t="shared" si="510"/>
        <v>0</v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>
        <f t="shared" si="512"/>
        <v>0</v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>
        <f t="shared" si="514"/>
        <v>6.8</v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>
        <f t="shared" si="516"/>
        <v>6.8</v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>
        <f t="shared" si="518"/>
        <v>6.8</v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>
        <f t="shared" si="520"/>
        <v>6.8</v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>
        <f t="shared" si="522"/>
        <v>6.8</v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>
        <f t="shared" si="524"/>
        <v>0</v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>
        <f t="shared" si="526"/>
        <v>6.8</v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>
        <f t="shared" si="528"/>
        <v>0</v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>
        <f t="shared" si="530"/>
        <v>6.8</v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>
        <f t="shared" si="532"/>
        <v>6.8</v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>
        <f t="shared" si="534"/>
        <v>0</v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>
        <f t="shared" si="536"/>
        <v>6.8</v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>
        <f t="shared" si="538"/>
        <v>6.8</v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>
        <f t="shared" si="540"/>
        <v>0</v>
      </c>
      <c r="OJ95" s="43">
        <f t="shared" si="541"/>
        <v>1</v>
      </c>
      <c r="OK95" s="8"/>
      <c r="OL95" s="47">
        <v>0</v>
      </c>
      <c r="OM95" s="48" t="s">
        <v>4</v>
      </c>
      <c r="ON95" s="49">
        <v>1</v>
      </c>
      <c r="OO95" s="8"/>
      <c r="OP95" s="42">
        <f t="shared" si="542"/>
        <v>6.8</v>
      </c>
      <c r="OQ95" s="43">
        <f t="shared" si="543"/>
        <v>-1</v>
      </c>
      <c r="OR95" s="8"/>
      <c r="OS95" s="47">
        <v>0</v>
      </c>
      <c r="OT95" s="48" t="s">
        <v>4</v>
      </c>
      <c r="OU95" s="49">
        <v>1</v>
      </c>
      <c r="OV95" s="8"/>
      <c r="OW95" s="42">
        <f t="shared" si="544"/>
        <v>6.8</v>
      </c>
      <c r="OX95" s="43">
        <f t="shared" si="545"/>
        <v>-1</v>
      </c>
      <c r="OY95" s="8"/>
      <c r="OZ95" s="47">
        <v>1</v>
      </c>
      <c r="PA95" s="48" t="s">
        <v>4</v>
      </c>
      <c r="PB95" s="49">
        <v>2</v>
      </c>
      <c r="PC95" s="8"/>
      <c r="PD95" s="42">
        <f t="shared" si="546"/>
        <v>6.8</v>
      </c>
      <c r="PE95" s="43">
        <f t="shared" si="547"/>
        <v>-1</v>
      </c>
      <c r="PF95" s="8"/>
      <c r="PG95" s="47">
        <v>0</v>
      </c>
      <c r="PH95" s="48" t="s">
        <v>4</v>
      </c>
      <c r="PI95" s="49">
        <v>1</v>
      </c>
      <c r="PJ95" s="8"/>
      <c r="PK95" s="42">
        <f t="shared" si="548"/>
        <v>6.8</v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>
        <f t="shared" si="550"/>
        <v>6.8</v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>
        <f t="shared" si="552"/>
        <v>6.8</v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>
        <f t="shared" si="554"/>
        <v>6.8</v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>
        <f t="shared" si="556"/>
        <v>6.8</v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>
        <f t="shared" si="558"/>
        <v>0</v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>
        <f t="shared" si="560"/>
        <v>0</v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>
        <v>5</v>
      </c>
      <c r="RL95" s="48" t="s">
        <v>4</v>
      </c>
      <c r="RM95" s="49">
        <v>3</v>
      </c>
      <c r="RN95" s="8"/>
      <c r="RO95" s="42">
        <f t="shared" si="564"/>
        <v>0</v>
      </c>
      <c r="RP95" s="43">
        <f t="shared" si="565"/>
        <v>2</v>
      </c>
      <c r="RQ95" s="8"/>
      <c r="RR95" s="47">
        <v>0</v>
      </c>
      <c r="RS95" s="48" t="s">
        <v>4</v>
      </c>
      <c r="RT95" s="49">
        <v>1</v>
      </c>
      <c r="RU95" s="8"/>
      <c r="RV95" s="42">
        <f t="shared" si="566"/>
        <v>6.8</v>
      </c>
      <c r="RW95" s="43">
        <f t="shared" si="567"/>
        <v>-1</v>
      </c>
      <c r="RX95" s="8"/>
      <c r="RY95" s="47">
        <v>2</v>
      </c>
      <c r="RZ95" s="48" t="s">
        <v>4</v>
      </c>
      <c r="SA95" s="49">
        <v>0</v>
      </c>
      <c r="SB95" s="8"/>
      <c r="SC95" s="42">
        <f t="shared" si="568"/>
        <v>0</v>
      </c>
      <c r="SD95" s="43">
        <f t="shared" si="569"/>
        <v>2</v>
      </c>
      <c r="SE95" s="8"/>
      <c r="SF95" s="47">
        <v>2</v>
      </c>
      <c r="SG95" s="48" t="s">
        <v>4</v>
      </c>
      <c r="SH95" s="49">
        <v>1</v>
      </c>
      <c r="SI95" s="8"/>
      <c r="SJ95" s="42">
        <f t="shared" si="570"/>
        <v>0</v>
      </c>
      <c r="SK95" s="43">
        <f t="shared" si="571"/>
        <v>1</v>
      </c>
      <c r="SL95" s="8"/>
      <c r="SM95" s="47">
        <v>2</v>
      </c>
      <c r="SN95" s="48" t="s">
        <v>4</v>
      </c>
      <c r="SO95" s="49">
        <v>1</v>
      </c>
      <c r="SP95" s="8"/>
      <c r="SQ95" s="42">
        <f t="shared" si="572"/>
        <v>0</v>
      </c>
      <c r="SR95" s="43">
        <f t="shared" si="573"/>
        <v>1</v>
      </c>
    </row>
    <row r="96" spans="1:512" ht="16" customHeight="1" x14ac:dyDescent="0.15">
      <c r="A96" s="51">
        <v>46207</v>
      </c>
      <c r="B96" s="46">
        <v>0</v>
      </c>
      <c r="C96" s="82" t="s">
        <v>54</v>
      </c>
      <c r="D96" s="83" t="s">
        <v>45</v>
      </c>
      <c r="E96" s="2">
        <v>3</v>
      </c>
      <c r="F96" s="50" t="s">
        <v>4</v>
      </c>
      <c r="G96" s="1">
        <v>2</v>
      </c>
      <c r="H96" s="16">
        <v>7.2</v>
      </c>
      <c r="I96" s="32">
        <f t="shared" si="429"/>
        <v>1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>
        <f t="shared" si="432"/>
        <v>7.2</v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>
        <f t="shared" si="436"/>
        <v>7.2</v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>
        <f t="shared" si="438"/>
        <v>7.2</v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>
        <f t="shared" si="440"/>
        <v>0</v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>
        <f t="shared" si="442"/>
        <v>7.2</v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>
        <f t="shared" si="444"/>
        <v>7.2</v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>
        <f t="shared" si="446"/>
        <v>7.2</v>
      </c>
      <c r="BS96" s="43">
        <f t="shared" si="447"/>
        <v>1</v>
      </c>
      <c r="BT96" s="8"/>
      <c r="BU96" s="47">
        <v>3</v>
      </c>
      <c r="BV96" s="48" t="s">
        <v>4</v>
      </c>
      <c r="BW96" s="49">
        <v>0</v>
      </c>
      <c r="BX96" s="8"/>
      <c r="BY96" s="42">
        <f t="shared" si="448"/>
        <v>7.2</v>
      </c>
      <c r="BZ96" s="43">
        <f t="shared" si="449"/>
        <v>3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>
        <v>3</v>
      </c>
      <c r="CJ96" s="48" t="s">
        <v>4</v>
      </c>
      <c r="CK96" s="49">
        <v>0</v>
      </c>
      <c r="CL96" s="8"/>
      <c r="CM96" s="42">
        <f t="shared" si="452"/>
        <v>7.2</v>
      </c>
      <c r="CN96" s="43">
        <f t="shared" si="453"/>
        <v>3</v>
      </c>
      <c r="CO96" s="8"/>
      <c r="CP96" s="47">
        <v>2</v>
      </c>
      <c r="CQ96" s="48" t="s">
        <v>4</v>
      </c>
      <c r="CR96" s="49">
        <v>0</v>
      </c>
      <c r="CS96" s="8"/>
      <c r="CT96" s="42">
        <f t="shared" si="454"/>
        <v>7.2</v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>
        <f t="shared" si="456"/>
        <v>7.2</v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>
        <f t="shared" si="458"/>
        <v>7.2</v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>
        <f t="shared" si="460"/>
        <v>7.2</v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>
        <f t="shared" si="462"/>
        <v>7.2</v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>
        <f t="shared" si="464"/>
        <v>7.2</v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>
        <f t="shared" si="466"/>
        <v>7.2</v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>
        <f t="shared" si="468"/>
        <v>7.2</v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>
        <f t="shared" si="470"/>
        <v>7.2</v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>
        <f t="shared" si="472"/>
        <v>7.2</v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>
        <f t="shared" si="474"/>
        <v>7.2</v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>
        <f t="shared" si="476"/>
        <v>7.2</v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>
        <f t="shared" si="478"/>
        <v>7.2</v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>
        <f t="shared" si="480"/>
        <v>7.2</v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>
        <f t="shared" si="482"/>
        <v>7.2</v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>
        <f t="shared" si="484"/>
        <v>7.2</v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>
        <f t="shared" si="486"/>
        <v>7.2</v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>
        <f t="shared" si="488"/>
        <v>7.2</v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>
        <f t="shared" si="490"/>
        <v>7.2</v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>
        <f t="shared" si="492"/>
        <v>7.2</v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>
        <f t="shared" si="494"/>
        <v>7.2</v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>
        <f t="shared" si="496"/>
        <v>7.2</v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>
        <f t="shared" si="498"/>
        <v>7.2</v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>
        <f t="shared" si="500"/>
        <v>7.2</v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>
        <f t="shared" si="502"/>
        <v>7.2</v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>
        <f t="shared" si="504"/>
        <v>7.2</v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>
        <f t="shared" si="506"/>
        <v>7.2</v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>
        <f t="shared" si="508"/>
        <v>7.2</v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>
        <f t="shared" si="510"/>
        <v>7.2</v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>
        <f t="shared" si="512"/>
        <v>7.2</v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>
        <f t="shared" si="514"/>
        <v>7.2</v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>
        <f t="shared" si="516"/>
        <v>7.2</v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>
        <f t="shared" si="518"/>
        <v>7.2</v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>
        <f t="shared" si="520"/>
        <v>7.2</v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>
        <f t="shared" si="522"/>
        <v>7.2</v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>
        <f t="shared" si="524"/>
        <v>7.2</v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>
        <f t="shared" si="526"/>
        <v>7.2</v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>
        <f t="shared" si="528"/>
        <v>7.2</v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>
        <f t="shared" si="530"/>
        <v>7.2</v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>
        <f t="shared" si="532"/>
        <v>7.2</v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>
        <f t="shared" si="534"/>
        <v>7.2</v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>
        <f t="shared" si="536"/>
        <v>7.2</v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>
        <f t="shared" si="538"/>
        <v>7.2</v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>
        <f t="shared" si="540"/>
        <v>7.2</v>
      </c>
      <c r="OJ96" s="43">
        <f t="shared" si="541"/>
        <v>4</v>
      </c>
      <c r="OK96" s="8"/>
      <c r="OL96" s="47">
        <v>5</v>
      </c>
      <c r="OM96" s="48" t="s">
        <v>4</v>
      </c>
      <c r="ON96" s="49">
        <v>0</v>
      </c>
      <c r="OO96" s="8"/>
      <c r="OP96" s="42">
        <f t="shared" si="542"/>
        <v>7.2</v>
      </c>
      <c r="OQ96" s="43">
        <f t="shared" si="543"/>
        <v>5</v>
      </c>
      <c r="OR96" s="8"/>
      <c r="OS96" s="47">
        <v>3</v>
      </c>
      <c r="OT96" s="48" t="s">
        <v>4</v>
      </c>
      <c r="OU96" s="49">
        <v>0</v>
      </c>
      <c r="OV96" s="8"/>
      <c r="OW96" s="42">
        <f t="shared" si="544"/>
        <v>7.2</v>
      </c>
      <c r="OX96" s="43">
        <f t="shared" si="545"/>
        <v>3</v>
      </c>
      <c r="OY96" s="8"/>
      <c r="OZ96" s="47">
        <v>4</v>
      </c>
      <c r="PA96" s="48" t="s">
        <v>4</v>
      </c>
      <c r="PB96" s="49">
        <v>0</v>
      </c>
      <c r="PC96" s="8"/>
      <c r="PD96" s="42">
        <f t="shared" si="546"/>
        <v>7.2</v>
      </c>
      <c r="PE96" s="43">
        <f t="shared" si="547"/>
        <v>4</v>
      </c>
      <c r="PF96" s="8"/>
      <c r="PG96" s="47">
        <v>2</v>
      </c>
      <c r="PH96" s="48" t="s">
        <v>4</v>
      </c>
      <c r="PI96" s="49">
        <v>0</v>
      </c>
      <c r="PJ96" s="8"/>
      <c r="PK96" s="42">
        <f t="shared" si="548"/>
        <v>7.2</v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>
        <f t="shared" si="550"/>
        <v>7.2</v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>
        <f t="shared" si="552"/>
        <v>7.2</v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>
        <f t="shared" si="554"/>
        <v>7.2</v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>
        <f t="shared" si="556"/>
        <v>7.2</v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>
        <f t="shared" si="558"/>
        <v>7.2</v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>
        <f t="shared" si="560"/>
        <v>7.2</v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>
        <v>3</v>
      </c>
      <c r="RL96" s="48" t="s">
        <v>4</v>
      </c>
      <c r="RM96" s="49">
        <v>0</v>
      </c>
      <c r="RN96" s="8"/>
      <c r="RO96" s="42">
        <f t="shared" si="564"/>
        <v>7.2</v>
      </c>
      <c r="RP96" s="43">
        <f t="shared" si="565"/>
        <v>3</v>
      </c>
      <c r="RQ96" s="8"/>
      <c r="RR96" s="47">
        <v>3</v>
      </c>
      <c r="RS96" s="48" t="s">
        <v>4</v>
      </c>
      <c r="RT96" s="49">
        <v>0</v>
      </c>
      <c r="RU96" s="8"/>
      <c r="RV96" s="42">
        <f t="shared" si="566"/>
        <v>7.2</v>
      </c>
      <c r="RW96" s="43">
        <f t="shared" si="567"/>
        <v>3</v>
      </c>
      <c r="RX96" s="8"/>
      <c r="RY96" s="47">
        <v>2</v>
      </c>
      <c r="RZ96" s="48" t="s">
        <v>4</v>
      </c>
      <c r="SA96" s="49">
        <v>0</v>
      </c>
      <c r="SB96" s="8"/>
      <c r="SC96" s="42">
        <f t="shared" si="568"/>
        <v>7.2</v>
      </c>
      <c r="SD96" s="43">
        <f t="shared" si="569"/>
        <v>2</v>
      </c>
      <c r="SE96" s="8"/>
      <c r="SF96" s="47">
        <v>4</v>
      </c>
      <c r="SG96" s="48" t="s">
        <v>4</v>
      </c>
      <c r="SH96" s="49">
        <v>0</v>
      </c>
      <c r="SI96" s="8"/>
      <c r="SJ96" s="42">
        <f t="shared" si="570"/>
        <v>7.2</v>
      </c>
      <c r="SK96" s="43">
        <f t="shared" si="571"/>
        <v>4</v>
      </c>
      <c r="SL96" s="8"/>
      <c r="SM96" s="47">
        <v>4</v>
      </c>
      <c r="SN96" s="48" t="s">
        <v>4</v>
      </c>
      <c r="SO96" s="49">
        <v>0</v>
      </c>
      <c r="SP96" s="8"/>
      <c r="SQ96" s="42">
        <f t="shared" si="572"/>
        <v>7.2</v>
      </c>
      <c r="SR96" s="43">
        <f t="shared" si="573"/>
        <v>4</v>
      </c>
    </row>
    <row r="97" spans="1:512" ht="16" customHeight="1" x14ac:dyDescent="0.15">
      <c r="A97" s="51">
        <v>46207</v>
      </c>
      <c r="B97" s="46">
        <v>0.14583333333333334</v>
      </c>
      <c r="C97" s="82" t="s">
        <v>61</v>
      </c>
      <c r="D97" s="82" t="s">
        <v>58</v>
      </c>
      <c r="E97" s="2">
        <v>1</v>
      </c>
      <c r="F97" s="50" t="s">
        <v>4</v>
      </c>
      <c r="G97" s="1">
        <v>0</v>
      </c>
      <c r="H97" s="16">
        <v>7.2</v>
      </c>
      <c r="I97" s="32">
        <f t="shared" si="429"/>
        <v>1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>
        <f t="shared" si="432"/>
        <v>0</v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>
        <f t="shared" si="436"/>
        <v>7.2</v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>
        <f t="shared" si="438"/>
        <v>7.2</v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>
        <f t="shared" si="440"/>
        <v>0</v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>
        <f t="shared" si="442"/>
        <v>7.2</v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>
        <f t="shared" si="444"/>
        <v>7.2</v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>
        <f t="shared" si="446"/>
        <v>7.2</v>
      </c>
      <c r="BS97" s="43">
        <f t="shared" si="447"/>
        <v>1</v>
      </c>
      <c r="BT97" s="8"/>
      <c r="BU97" s="47">
        <v>0</v>
      </c>
      <c r="BV97" s="48" t="s">
        <v>4</v>
      </c>
      <c r="BW97" s="49">
        <v>1</v>
      </c>
      <c r="BX97" s="8"/>
      <c r="BY97" s="42">
        <f t="shared" si="448"/>
        <v>0</v>
      </c>
      <c r="BZ97" s="43">
        <f t="shared" si="449"/>
        <v>-1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>
        <v>2</v>
      </c>
      <c r="CJ97" s="48" t="s">
        <v>4</v>
      </c>
      <c r="CK97" s="49">
        <v>1</v>
      </c>
      <c r="CL97" s="8"/>
      <c r="CM97" s="42">
        <f t="shared" si="452"/>
        <v>7.2</v>
      </c>
      <c r="CN97" s="43">
        <f t="shared" si="453"/>
        <v>1</v>
      </c>
      <c r="CO97" s="8"/>
      <c r="CP97" s="47">
        <v>2</v>
      </c>
      <c r="CQ97" s="48" t="s">
        <v>4</v>
      </c>
      <c r="CR97" s="49">
        <v>1</v>
      </c>
      <c r="CS97" s="8"/>
      <c r="CT97" s="42">
        <f t="shared" si="454"/>
        <v>7.2</v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>
        <f t="shared" si="456"/>
        <v>7.2</v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>
        <f t="shared" si="458"/>
        <v>0</v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>
        <f t="shared" si="460"/>
        <v>10.8</v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>
        <f t="shared" si="462"/>
        <v>7.2</v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>
        <f t="shared" si="464"/>
        <v>0</v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>
        <f t="shared" si="466"/>
        <v>7.2</v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>
        <f t="shared" si="468"/>
        <v>7.2</v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>
        <f t="shared" si="470"/>
        <v>7.2</v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>
        <f t="shared" si="472"/>
        <v>7.2</v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>
        <f t="shared" si="474"/>
        <v>7.2</v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>
        <f t="shared" si="476"/>
        <v>10.8</v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>
        <f t="shared" si="478"/>
        <v>7.2</v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>
        <f t="shared" si="482"/>
        <v>7.2</v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>
        <f t="shared" si="484"/>
        <v>7.2</v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>
        <f t="shared" si="486"/>
        <v>7.2</v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>
        <f t="shared" si="488"/>
        <v>7.2</v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>
        <f t="shared" si="490"/>
        <v>7.2</v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>
        <f t="shared" si="492"/>
        <v>7.2</v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>
        <f t="shared" si="494"/>
        <v>7.2</v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>
        <f t="shared" si="496"/>
        <v>7.2</v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>
        <f t="shared" si="498"/>
        <v>7.2</v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>
        <f t="shared" si="500"/>
        <v>0</v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>
        <f t="shared" si="502"/>
        <v>7.2</v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>
        <f t="shared" si="504"/>
        <v>7.2</v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>
        <f t="shared" si="506"/>
        <v>10.8</v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>
        <f t="shared" si="508"/>
        <v>7.2</v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>
        <f t="shared" si="510"/>
        <v>7.2</v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>
        <f t="shared" si="512"/>
        <v>10.8</v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>
        <f t="shared" si="514"/>
        <v>10.8</v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>
        <f t="shared" si="516"/>
        <v>0</v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>
        <f t="shared" si="518"/>
        <v>10.8</v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>
        <f t="shared" si="520"/>
        <v>0</v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>
        <f t="shared" si="522"/>
        <v>7.2</v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>
        <f t="shared" si="524"/>
        <v>10.8</v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>
        <f t="shared" si="526"/>
        <v>7.2</v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>
        <f t="shared" si="528"/>
        <v>10.8</v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>
        <f t="shared" si="530"/>
        <v>7.2</v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>
        <f t="shared" si="532"/>
        <v>0</v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>
        <f t="shared" si="534"/>
        <v>7.2</v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>
        <f t="shared" si="536"/>
        <v>7.2</v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>
        <f t="shared" si="538"/>
        <v>7.2</v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>
        <f t="shared" si="540"/>
        <v>7.2</v>
      </c>
      <c r="OJ97" s="43">
        <f t="shared" si="541"/>
        <v>3</v>
      </c>
      <c r="OK97" s="8"/>
      <c r="OL97" s="47">
        <v>2</v>
      </c>
      <c r="OM97" s="48" t="s">
        <v>4</v>
      </c>
      <c r="ON97" s="49">
        <v>0</v>
      </c>
      <c r="OO97" s="8"/>
      <c r="OP97" s="42">
        <f t="shared" si="542"/>
        <v>7.2</v>
      </c>
      <c r="OQ97" s="43">
        <f t="shared" si="543"/>
        <v>2</v>
      </c>
      <c r="OR97" s="8"/>
      <c r="OS97" s="47">
        <v>2</v>
      </c>
      <c r="OT97" s="48" t="s">
        <v>4</v>
      </c>
      <c r="OU97" s="49">
        <v>0</v>
      </c>
      <c r="OV97" s="8"/>
      <c r="OW97" s="42">
        <f t="shared" si="544"/>
        <v>7.2</v>
      </c>
      <c r="OX97" s="43">
        <f t="shared" si="545"/>
        <v>2</v>
      </c>
      <c r="OY97" s="8"/>
      <c r="OZ97" s="47">
        <v>2</v>
      </c>
      <c r="PA97" s="48" t="s">
        <v>4</v>
      </c>
      <c r="PB97" s="49">
        <v>0</v>
      </c>
      <c r="PC97" s="8"/>
      <c r="PD97" s="42">
        <f t="shared" si="546"/>
        <v>7.2</v>
      </c>
      <c r="PE97" s="43">
        <f t="shared" si="547"/>
        <v>2</v>
      </c>
      <c r="PF97" s="8"/>
      <c r="PG97" s="47">
        <v>1</v>
      </c>
      <c r="PH97" s="48" t="s">
        <v>4</v>
      </c>
      <c r="PI97" s="49">
        <v>0</v>
      </c>
      <c r="PJ97" s="8"/>
      <c r="PK97" s="42">
        <f t="shared" si="548"/>
        <v>10.8</v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>
        <f t="shared" si="550"/>
        <v>7.2</v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>
        <f t="shared" si="552"/>
        <v>7.2</v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>
        <f t="shared" si="554"/>
        <v>7.2</v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>
        <f t="shared" si="556"/>
        <v>10.8</v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>
        <f t="shared" si="558"/>
        <v>0</v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>
        <f t="shared" si="560"/>
        <v>7.2</v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>
        <v>2</v>
      </c>
      <c r="RL97" s="48" t="s">
        <v>4</v>
      </c>
      <c r="RM97" s="49">
        <v>1</v>
      </c>
      <c r="RN97" s="8"/>
      <c r="RO97" s="42">
        <f t="shared" si="564"/>
        <v>7.2</v>
      </c>
      <c r="RP97" s="43">
        <f t="shared" si="565"/>
        <v>1</v>
      </c>
      <c r="RQ97" s="8"/>
      <c r="RR97" s="47">
        <v>5</v>
      </c>
      <c r="RS97" s="48" t="s">
        <v>4</v>
      </c>
      <c r="RT97" s="49">
        <v>3</v>
      </c>
      <c r="RU97" s="8"/>
      <c r="RV97" s="42">
        <f t="shared" si="566"/>
        <v>7.2</v>
      </c>
      <c r="RW97" s="43">
        <f t="shared" si="567"/>
        <v>2</v>
      </c>
      <c r="RX97" s="8"/>
      <c r="RY97" s="47">
        <v>2</v>
      </c>
      <c r="RZ97" s="48" t="s">
        <v>4</v>
      </c>
      <c r="SA97" s="49">
        <v>0</v>
      </c>
      <c r="SB97" s="8"/>
      <c r="SC97" s="42">
        <f t="shared" si="568"/>
        <v>7.2</v>
      </c>
      <c r="SD97" s="43">
        <f t="shared" si="569"/>
        <v>2</v>
      </c>
      <c r="SE97" s="8"/>
      <c r="SF97" s="47">
        <v>2</v>
      </c>
      <c r="SG97" s="48" t="s">
        <v>4</v>
      </c>
      <c r="SH97" s="49">
        <v>1</v>
      </c>
      <c r="SI97" s="8"/>
      <c r="SJ97" s="42">
        <f t="shared" si="570"/>
        <v>7.2</v>
      </c>
      <c r="SK97" s="43">
        <f t="shared" si="571"/>
        <v>1</v>
      </c>
      <c r="SL97" s="8"/>
      <c r="SM97" s="47">
        <v>1</v>
      </c>
      <c r="SN97" s="48" t="s">
        <v>4</v>
      </c>
      <c r="SO97" s="49">
        <v>2</v>
      </c>
      <c r="SP97" s="8"/>
      <c r="SQ97" s="42">
        <f t="shared" si="572"/>
        <v>0</v>
      </c>
      <c r="SR97" s="43">
        <f t="shared" si="573"/>
        <v>-1</v>
      </c>
    </row>
    <row r="98" spans="1:512" ht="16" customHeight="1" x14ac:dyDescent="0.15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15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15">
      <c r="A100" s="51">
        <v>46207</v>
      </c>
      <c r="B100" s="46">
        <v>0.79166666666666663</v>
      </c>
      <c r="C100" s="82" t="s">
        <v>31</v>
      </c>
      <c r="D100" s="82" t="s">
        <v>36</v>
      </c>
      <c r="E100" s="2">
        <v>0</v>
      </c>
      <c r="F100" s="50" t="s">
        <v>4</v>
      </c>
      <c r="G100" s="1">
        <v>3</v>
      </c>
      <c r="H100" s="16">
        <v>7.2</v>
      </c>
      <c r="I100" s="32">
        <f t="shared" si="429"/>
        <v>-3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>
        <v>1</v>
      </c>
      <c r="AF100" s="48" t="s">
        <v>4</v>
      </c>
      <c r="AG100" s="49">
        <v>2</v>
      </c>
      <c r="AH100" s="8"/>
      <c r="AI100" s="42">
        <f t="shared" ref="AI100:AI107" si="578">IF(OR($G100="",AG100=""),"",IF(AND($E100=AE100,$G100=AG100),$H100*1.5,IF(AND($I100&gt;0,AJ100&gt;0),$H100,IF(AND($I100&lt;0,AJ100&lt;0),$H100,IF(AND($I100=0,AJ100=0),$H100,0)))))</f>
        <v>7.2</v>
      </c>
      <c r="AJ100" s="43">
        <f t="shared" ref="AJ100:AJ105" si="579">AE100-AG100</f>
        <v>-1</v>
      </c>
      <c r="AK100" s="8"/>
      <c r="AL100" s="47">
        <v>1</v>
      </c>
      <c r="AM100" s="48" t="s">
        <v>4</v>
      </c>
      <c r="AN100" s="49">
        <v>2</v>
      </c>
      <c r="AO100" s="8"/>
      <c r="AP100" s="42">
        <f t="shared" ref="AP100:AP107" si="580">IF(OR($G100="",AN100=""),"",IF(AND($E100=AL100,$G100=AN100),$H100*1.5,IF(AND($I100&gt;0,AQ100&gt;0),$H100,IF(AND($I100&lt;0,AQ100&lt;0),$H100,IF(AND($I100=0,AQ100=0),$H100,0)))))</f>
        <v>7.2</v>
      </c>
      <c r="AQ100" s="43">
        <f t="shared" ref="AQ100:AQ105" si="581">AL100-AN100</f>
        <v>-1</v>
      </c>
      <c r="AR100" s="8"/>
      <c r="AS100" s="47">
        <v>1</v>
      </c>
      <c r="AT100" s="48" t="s">
        <v>4</v>
      </c>
      <c r="AU100" s="49">
        <v>4</v>
      </c>
      <c r="AV100" s="8"/>
      <c r="AW100" s="42">
        <f t="shared" ref="AW100:AW107" si="582">IF(OR($G100="",AU100=""),"",IF(AND($E100=AS100,$G100=AU100),$H100*1.5,IF(AND($I100&gt;0,AX100&gt;0),$H100,IF(AND($I100&lt;0,AX100&lt;0),$H100,IF(AND($I100=0,AX100=0),$H100,0)))))</f>
        <v>7.2</v>
      </c>
      <c r="AX100" s="43">
        <f t="shared" ref="AX100:AX105" si="583">AS100-AU100</f>
        <v>-3</v>
      </c>
      <c r="AY100" s="8"/>
      <c r="AZ100" s="47">
        <v>1</v>
      </c>
      <c r="BA100" s="48" t="s">
        <v>4</v>
      </c>
      <c r="BB100" s="49">
        <v>3</v>
      </c>
      <c r="BC100" s="8"/>
      <c r="BD100" s="42">
        <f t="shared" ref="BD100:BD107" si="584">IF(OR($G100="",BB100=""),"",IF(AND($E100=AZ100,$G100=BB100),$H100*1.5,IF(AND($I100&gt;0,BE100&gt;0),$H100,IF(AND($I100&lt;0,BE100&lt;0),$H100,IF(AND($I100=0,BE100=0),$H100,0)))))</f>
        <v>7.2</v>
      </c>
      <c r="BE100" s="43">
        <f t="shared" ref="BE100:BE105" si="585">AZ100-BB100</f>
        <v>-2</v>
      </c>
      <c r="BF100" s="8"/>
      <c r="BG100" s="47">
        <v>2</v>
      </c>
      <c r="BH100" s="48" t="s">
        <v>4</v>
      </c>
      <c r="BI100" s="49">
        <v>1</v>
      </c>
      <c r="BJ100" s="8"/>
      <c r="BK100" s="42">
        <f t="shared" ref="BK100:BK107" si="586">IF(OR($G100="",BI100=""),"",IF(AND($E100=BG100,$G100=BI100),$H100*1.5,IF(AND($I100&gt;0,BL100&gt;0),$H100,IF(AND($I100&lt;0,BL100&lt;0),$H100,IF(AND($I100=0,BL100=0),$H100,0)))))</f>
        <v>0</v>
      </c>
      <c r="BL100" s="43">
        <f t="shared" ref="BL100:BL105" si="587">BG100-BI100</f>
        <v>1</v>
      </c>
      <c r="BM100" s="8"/>
      <c r="BN100" s="47">
        <v>1</v>
      </c>
      <c r="BO100" s="48" t="s">
        <v>4</v>
      </c>
      <c r="BP100" s="49">
        <v>2</v>
      </c>
      <c r="BQ100" s="8"/>
      <c r="BR100" s="42">
        <f t="shared" ref="BR100:BR107" si="588">IF(OR($G100="",BP100=""),"",IF(AND($E100=BN100,$G100=BP100),$H100*1.5,IF(AND($I100&gt;0,BS100&gt;0),$H100,IF(AND($I100&lt;0,BS100&lt;0),$H100,IF(AND($I100=0,BS100=0),$H100,0)))))</f>
        <v>7.2</v>
      </c>
      <c r="BS100" s="43">
        <f t="shared" ref="BS100:BS105" si="589">BN100-BP100</f>
        <v>-1</v>
      </c>
      <c r="BT100" s="8"/>
      <c r="BU100" s="47">
        <v>0</v>
      </c>
      <c r="BV100" s="48" t="s">
        <v>4</v>
      </c>
      <c r="BW100" s="49">
        <v>2</v>
      </c>
      <c r="BX100" s="8"/>
      <c r="BY100" s="42">
        <f t="shared" ref="BY100:BY107" si="590">IF(OR($G100="",BW100=""),"",IF(AND($E100=BU100,$G100=BW100),$H100*1.5,IF(AND($I100&gt;0,BZ100&gt;0),$H100,IF(AND($I100&lt;0,BZ100&lt;0),$H100,IF(AND($I100=0,BZ100=0),$H100,0)))))</f>
        <v>7.2</v>
      </c>
      <c r="BZ100" s="43">
        <f t="shared" ref="BZ100:BZ105" si="591">BU100-BW100</f>
        <v>-2</v>
      </c>
      <c r="CA100" s="8"/>
      <c r="CB100" s="47">
        <v>2</v>
      </c>
      <c r="CC100" s="48" t="s">
        <v>4</v>
      </c>
      <c r="CD100" s="49">
        <v>1</v>
      </c>
      <c r="CE100" s="8"/>
      <c r="CF100" s="42">
        <f t="shared" ref="CF100:CF107" si="592">IF(OR($G100="",CD100=""),"",IF(AND($E100=CB100,$G100=CD100),$H100*1.5,IF(AND($I100&gt;0,CG100&gt;0),$H100,IF(AND($I100&lt;0,CG100&lt;0),$H100,IF(AND($I100=0,CG100=0),$H100,0)))))</f>
        <v>0</v>
      </c>
      <c r="CG100" s="43">
        <f t="shared" ref="CG100:CG105" si="593">CB100-CD100</f>
        <v>1</v>
      </c>
      <c r="CH100" s="8"/>
      <c r="CI100" s="47">
        <v>1</v>
      </c>
      <c r="CJ100" s="48" t="s">
        <v>4</v>
      </c>
      <c r="CK100" s="49">
        <v>2</v>
      </c>
      <c r="CL100" s="8"/>
      <c r="CM100" s="42">
        <f t="shared" ref="CM100:CM107" si="594">IF(OR($G100="",CK100=""),"",IF(AND($E100=CI100,$G100=CK100),$H100*1.5,IF(AND($I100&gt;0,CN100&gt;0),$H100,IF(AND($I100&lt;0,CN100&lt;0),$H100,IF(AND($I100=0,CN100=0),$H100,0)))))</f>
        <v>7.2</v>
      </c>
      <c r="CN100" s="43">
        <f t="shared" ref="CN100:CN105" si="595">CI100-CK100</f>
        <v>-1</v>
      </c>
      <c r="CO100" s="8"/>
      <c r="CP100" s="47">
        <v>0</v>
      </c>
      <c r="CQ100" s="48" t="s">
        <v>4</v>
      </c>
      <c r="CR100" s="49">
        <v>1</v>
      </c>
      <c r="CS100" s="8"/>
      <c r="CT100" s="42">
        <f t="shared" ref="CT100:CT107" si="596">IF(OR($G100="",CR100=""),"",IF(AND($E100=CP100,$G100=CR100),$H100*1.5,IF(AND($I100&gt;0,CU100&gt;0),$H100,IF(AND($I100&lt;0,CU100&lt;0),$H100,IF(AND($I100=0,CU100=0),$H100,0)))))</f>
        <v>7.2</v>
      </c>
      <c r="CU100" s="43">
        <f t="shared" ref="CU100:CU105" si="597">CP100-CR100</f>
        <v>-1</v>
      </c>
      <c r="CV100" s="8"/>
      <c r="CW100" s="47">
        <v>1</v>
      </c>
      <c r="CX100" s="48" t="s">
        <v>4</v>
      </c>
      <c r="CY100" s="49">
        <v>2</v>
      </c>
      <c r="CZ100" s="8"/>
      <c r="DA100" s="42">
        <f t="shared" ref="DA100:DA107" si="598">IF(OR($G100="",CY100=""),"",IF(AND($E100=CW100,$G100=CY100),$H100*1.5,IF(AND($I100&gt;0,DB100&gt;0),$H100,IF(AND($I100&lt;0,DB100&lt;0),$H100,IF(AND($I100=0,DB100=0),$H100,0)))))</f>
        <v>7.2</v>
      </c>
      <c r="DB100" s="43">
        <f t="shared" ref="DB100:DB105" si="599">CW100-CY100</f>
        <v>-1</v>
      </c>
      <c r="DC100" s="8"/>
      <c r="DD100" s="47">
        <v>0</v>
      </c>
      <c r="DE100" s="48" t="s">
        <v>4</v>
      </c>
      <c r="DF100" s="49">
        <v>2</v>
      </c>
      <c r="DG100" s="8"/>
      <c r="DH100" s="42">
        <f t="shared" ref="DH100:DH107" si="600">IF(OR($G100="",DF100=""),"",IF(AND($E100=DD100,$G100=DF100),$H100*1.5,IF(AND($I100&gt;0,DI100&gt;0),$H100,IF(AND($I100&lt;0,DI100&lt;0),$H100,IF(AND($I100=0,DI100=0),$H100,0)))))</f>
        <v>7.2</v>
      </c>
      <c r="DI100" s="43">
        <f t="shared" ref="DI100:DI105" si="601">DD100-DF100</f>
        <v>-2</v>
      </c>
      <c r="DJ100" s="8"/>
      <c r="DK100" s="47">
        <v>0</v>
      </c>
      <c r="DL100" s="48" t="s">
        <v>4</v>
      </c>
      <c r="DM100" s="49">
        <v>1</v>
      </c>
      <c r="DN100" s="8"/>
      <c r="DO100" s="42">
        <f t="shared" ref="DO100:DO107" si="602">IF(OR($G100="",DM100=""),"",IF(AND($E100=DK100,$G100=DM100),$H100*1.5,IF(AND($I100&gt;0,DP100&gt;0),$H100,IF(AND($I100&lt;0,DP100&lt;0),$H100,IF(AND($I100=0,DP100=0),$H100,0)))))</f>
        <v>7.2</v>
      </c>
      <c r="DP100" s="43">
        <f t="shared" ref="DP100:DP105" si="603">DK100-DM100</f>
        <v>-1</v>
      </c>
      <c r="DQ100" s="8"/>
      <c r="DR100" s="47">
        <v>1</v>
      </c>
      <c r="DS100" s="48" t="s">
        <v>4</v>
      </c>
      <c r="DT100" s="49">
        <v>2</v>
      </c>
      <c r="DU100" s="8"/>
      <c r="DV100" s="42">
        <f t="shared" ref="DV100:DV107" si="604">IF(OR($G100="",DT100=""),"",IF(AND($E100=DR100,$G100=DT100),$H100*1.5,IF(AND($I100&gt;0,DW100&gt;0),$H100,IF(AND($I100&lt;0,DW100&lt;0),$H100,IF(AND($I100=0,DW100=0),$H100,0)))))</f>
        <v>7.2</v>
      </c>
      <c r="DW100" s="43">
        <f t="shared" ref="DW100:DW105" si="605">DR100-DT100</f>
        <v>-1</v>
      </c>
      <c r="DX100" s="8"/>
      <c r="DY100" s="47">
        <v>2</v>
      </c>
      <c r="DZ100" s="48" t="s">
        <v>4</v>
      </c>
      <c r="EA100" s="49">
        <v>3</v>
      </c>
      <c r="EB100" s="8"/>
      <c r="EC100" s="42">
        <f t="shared" ref="EC100:EC107" si="606">IF(OR($G100="",EA100=""),"",IF(AND($E100=DY100,$G100=EA100),$H100*1.5,IF(AND($I100&gt;0,ED100&gt;0),$H100,IF(AND($I100&lt;0,ED100&lt;0),$H100,IF(AND($I100=0,ED100=0),$H100,0)))))</f>
        <v>7.2</v>
      </c>
      <c r="ED100" s="43">
        <f t="shared" ref="ED100:ED105" si="607">DY100-EA100</f>
        <v>-1</v>
      </c>
      <c r="EE100" s="8"/>
      <c r="EF100" s="47">
        <v>1</v>
      </c>
      <c r="EG100" s="48" t="s">
        <v>4</v>
      </c>
      <c r="EH100" s="49">
        <v>3</v>
      </c>
      <c r="EI100" s="8"/>
      <c r="EJ100" s="42">
        <f t="shared" ref="EJ100:EJ107" si="608">IF(OR($G100="",EH100=""),"",IF(AND($E100=EF100,$G100=EH100),$H100*1.5,IF(AND($I100&gt;0,EK100&gt;0),$H100,IF(AND($I100&lt;0,EK100&lt;0),$H100,IF(AND($I100=0,EK100=0),$H100,0)))))</f>
        <v>7.2</v>
      </c>
      <c r="EK100" s="43">
        <f t="shared" ref="EK100:EK105" si="609">EF100-EH100</f>
        <v>-2</v>
      </c>
      <c r="EL100" s="8"/>
      <c r="EM100" s="47">
        <v>1</v>
      </c>
      <c r="EN100" s="48" t="s">
        <v>4</v>
      </c>
      <c r="EO100" s="49">
        <v>2</v>
      </c>
      <c r="EP100" s="8"/>
      <c r="EQ100" s="42">
        <f t="shared" ref="EQ100:EQ107" si="610">IF(OR($G100="",EO100=""),"",IF(AND($E100=EM100,$G100=EO100),$H100*1.5,IF(AND($I100&gt;0,ER100&gt;0),$H100,IF(AND($I100&lt;0,ER100&lt;0),$H100,IF(AND($I100=0,ER100=0),$H100,0)))))</f>
        <v>7.2</v>
      </c>
      <c r="ER100" s="43">
        <f t="shared" ref="ER100:ER105" si="611">EM100-EO100</f>
        <v>-1</v>
      </c>
      <c r="ES100" s="8"/>
      <c r="ET100" s="47">
        <v>1</v>
      </c>
      <c r="EU100" s="48" t="s">
        <v>4</v>
      </c>
      <c r="EV100" s="49">
        <v>2</v>
      </c>
      <c r="EW100" s="8"/>
      <c r="EX100" s="42">
        <f t="shared" ref="EX100:EX107" si="612">IF(OR($G100="",EV100=""),"",IF(AND($E100=ET100,$G100=EV100),$H100*1.5,IF(AND($I100&gt;0,EY100&gt;0),$H100,IF(AND($I100&lt;0,EY100&lt;0),$H100,IF(AND($I100=0,EY100=0),$H100,0)))))</f>
        <v>7.2</v>
      </c>
      <c r="EY100" s="43">
        <f t="shared" ref="EY100:EY105" si="613">ET100-EV100</f>
        <v>-1</v>
      </c>
      <c r="EZ100" s="8"/>
      <c r="FA100" s="47">
        <v>1</v>
      </c>
      <c r="FB100" s="48" t="s">
        <v>4</v>
      </c>
      <c r="FC100" s="49">
        <v>2</v>
      </c>
      <c r="FD100" s="8"/>
      <c r="FE100" s="42">
        <f t="shared" ref="FE100:FE107" si="614">IF(OR($G100="",FC100=""),"",IF(AND($E100=FA100,$G100=FC100),$H100*1.5,IF(AND($I100&gt;0,FF100&gt;0),$H100,IF(AND($I100&lt;0,FF100&lt;0),$H100,IF(AND($I100=0,FF100=0),$H100,0)))))</f>
        <v>7.2</v>
      </c>
      <c r="FF100" s="43">
        <f t="shared" ref="FF100:FF105" si="615">FA100-FC100</f>
        <v>-1</v>
      </c>
      <c r="FG100" s="8"/>
      <c r="FH100" s="47">
        <v>1</v>
      </c>
      <c r="FI100" s="48" t="s">
        <v>4</v>
      </c>
      <c r="FJ100" s="49">
        <v>2</v>
      </c>
      <c r="FK100" s="8"/>
      <c r="FL100" s="42">
        <f t="shared" ref="FL100:FL107" si="616">IF(OR($G100="",FJ100=""),"",IF(AND($E100=FH100,$G100=FJ100),$H100*1.5,IF(AND($I100&gt;0,FM100&gt;0),$H100,IF(AND($I100&lt;0,FM100&lt;0),$H100,IF(AND($I100=0,FM100=0),$H100,0)))))</f>
        <v>7.2</v>
      </c>
      <c r="FM100" s="43">
        <f t="shared" ref="FM100:FM105" si="617">FH100-FJ100</f>
        <v>-1</v>
      </c>
      <c r="FN100" s="8"/>
      <c r="FO100" s="47">
        <v>0</v>
      </c>
      <c r="FP100" s="48" t="s">
        <v>4</v>
      </c>
      <c r="FQ100" s="49">
        <v>1</v>
      </c>
      <c r="FR100" s="8"/>
      <c r="FS100" s="42">
        <f t="shared" ref="FS100:FS107" si="618">IF(OR($G100="",FQ100=""),"",IF(AND($E100=FO100,$G100=FQ100),$H100*1.5,IF(AND($I100&gt;0,FT100&gt;0),$H100,IF(AND($I100&lt;0,FT100&lt;0),$H100,IF(AND($I100=0,FT100=0),$H100,0)))))</f>
        <v>7.2</v>
      </c>
      <c r="FT100" s="43">
        <f t="shared" ref="FT100:FT105" si="619">FO100-FQ100</f>
        <v>-1</v>
      </c>
      <c r="FU100" s="8"/>
      <c r="FV100" s="47">
        <v>0</v>
      </c>
      <c r="FW100" s="48" t="s">
        <v>4</v>
      </c>
      <c r="FX100" s="49">
        <v>2</v>
      </c>
      <c r="FY100" s="8"/>
      <c r="FZ100" s="42">
        <f t="shared" ref="FZ100:FZ107" si="620">IF(OR($G100="",FX100=""),"",IF(AND($E100=FV100,$G100=FX100),$H100*1.5,IF(AND($I100&gt;0,GA100&gt;0),$H100,IF(AND($I100&lt;0,GA100&lt;0),$H100,IF(AND($I100=0,GA100=0),$H100,0)))))</f>
        <v>7.2</v>
      </c>
      <c r="GA100" s="43">
        <f t="shared" ref="GA100:GA105" si="621">FV100-FX100</f>
        <v>-2</v>
      </c>
      <c r="GB100" s="8"/>
      <c r="GC100" s="47">
        <v>1</v>
      </c>
      <c r="GD100" s="48" t="s">
        <v>4</v>
      </c>
      <c r="GE100" s="49">
        <v>2</v>
      </c>
      <c r="GF100" s="8"/>
      <c r="GG100" s="42">
        <f t="shared" ref="GG100:GG107" si="622">IF(OR($G100="",GE100=""),"",IF(AND($E100=GC100,$G100=GE100),$H100*1.5,IF(AND($I100&gt;0,GH100&gt;0),$H100,IF(AND($I100&lt;0,GH100&lt;0),$H100,IF(AND($I100=0,GH100=0),$H100,0)))))</f>
        <v>7.2</v>
      </c>
      <c r="GH100" s="43">
        <f t="shared" ref="GH100:GH105" si="623">GC100-GE100</f>
        <v>-1</v>
      </c>
      <c r="GI100" s="8"/>
      <c r="GJ100" s="47">
        <v>3</v>
      </c>
      <c r="GK100" s="48" t="s">
        <v>4</v>
      </c>
      <c r="GL100" s="49">
        <v>2</v>
      </c>
      <c r="GM100" s="8"/>
      <c r="GN100" s="42">
        <f t="shared" ref="GN100:GN107" si="624">IF(OR($G100="",GL100=""),"",IF(AND($E100=GJ100,$G100=GL100),$H100*1.5,IF(AND($I100&gt;0,GO100&gt;0),$H100,IF(AND($I100&lt;0,GO100&lt;0),$H100,IF(AND($I100=0,GO100=0),$H100,0)))))</f>
        <v>0</v>
      </c>
      <c r="GO100" s="43">
        <f t="shared" ref="GO100:GO105" si="625">GJ100-GL100</f>
        <v>1</v>
      </c>
      <c r="GP100" s="8"/>
      <c r="GQ100" s="47">
        <v>5</v>
      </c>
      <c r="GR100" s="48" t="s">
        <v>4</v>
      </c>
      <c r="GS100" s="49">
        <v>4</v>
      </c>
      <c r="GT100" s="8"/>
      <c r="GU100" s="42">
        <f t="shared" ref="GU100:GU107" si="626">IF(OR($G100="",GS100=""),"",IF(AND($E100=GQ100,$G100=GS100),$H100*1.5,IF(AND($I100&gt;0,GV100&gt;0),$H100,IF(AND($I100&lt;0,GV100&lt;0),$H100,IF(AND($I100=0,GV100=0),$H100,0)))))</f>
        <v>0</v>
      </c>
      <c r="GV100" s="43">
        <f t="shared" ref="GV100:GV105" si="627">GQ100-GS100</f>
        <v>1</v>
      </c>
      <c r="GW100" s="8"/>
      <c r="GX100" s="47">
        <v>0</v>
      </c>
      <c r="GY100" s="48" t="s">
        <v>4</v>
      </c>
      <c r="GZ100" s="49">
        <v>2</v>
      </c>
      <c r="HA100" s="8"/>
      <c r="HB100" s="42">
        <f t="shared" ref="HB100:HB107" si="628">IF(OR($G100="",GZ100=""),"",IF(AND($E100=GX100,$G100=GZ100),$H100*1.5,IF(AND($I100&gt;0,HC100&gt;0),$H100,IF(AND($I100&lt;0,HC100&lt;0),$H100,IF(AND($I100=0,HC100=0),$H100,0)))))</f>
        <v>7.2</v>
      </c>
      <c r="HC100" s="43">
        <f t="shared" ref="HC100:HC105" si="629">GX100-GZ100</f>
        <v>-2</v>
      </c>
      <c r="HD100" s="8"/>
      <c r="HE100" s="47">
        <v>1</v>
      </c>
      <c r="HF100" s="48" t="s">
        <v>4</v>
      </c>
      <c r="HG100" s="49">
        <v>3</v>
      </c>
      <c r="HH100" s="8"/>
      <c r="HI100" s="42">
        <f t="shared" ref="HI100:HI107" si="630">IF(OR($G100="",HG100=""),"",IF(AND($E100=HE100,$G100=HG100),$H100*1.5,IF(AND($I100&gt;0,HJ100&gt;0),$H100,IF(AND($I100&lt;0,HJ100&lt;0),$H100,IF(AND($I100=0,HJ100=0),$H100,0)))))</f>
        <v>7.2</v>
      </c>
      <c r="HJ100" s="43">
        <f t="shared" ref="HJ100:HJ105" si="631">HE100-HG100</f>
        <v>-2</v>
      </c>
      <c r="HK100" s="8"/>
      <c r="HL100" s="47">
        <v>0</v>
      </c>
      <c r="HM100" s="48" t="s">
        <v>4</v>
      </c>
      <c r="HN100" s="49">
        <v>2</v>
      </c>
      <c r="HO100" s="8"/>
      <c r="HP100" s="42">
        <f t="shared" ref="HP100:HP107" si="632">IF(OR($G100="",HN100=""),"",IF(AND($E100=HL100,$G100=HN100),$H100*1.5,IF(AND($I100&gt;0,HQ100&gt;0),$H100,IF(AND($I100&lt;0,HQ100&lt;0),$H100,IF(AND($I100=0,HQ100=0),$H100,0)))))</f>
        <v>7.2</v>
      </c>
      <c r="HQ100" s="43">
        <f t="shared" ref="HQ100:HQ105" si="633">HL100-HN100</f>
        <v>-2</v>
      </c>
      <c r="HR100" s="8"/>
      <c r="HS100" s="47">
        <v>1</v>
      </c>
      <c r="HT100" s="48" t="s">
        <v>4</v>
      </c>
      <c r="HU100" s="49">
        <v>2</v>
      </c>
      <c r="HV100" s="8"/>
      <c r="HW100" s="42">
        <f t="shared" ref="HW100:HW107" si="634">IF(OR($G100="",HU100=""),"",IF(AND($E100=HS100,$G100=HU100),$H100*1.5,IF(AND($I100&gt;0,HX100&gt;0),$H100,IF(AND($I100&lt;0,HX100&lt;0),$H100,IF(AND($I100=0,HX100=0),$H100,0)))))</f>
        <v>7.2</v>
      </c>
      <c r="HX100" s="43">
        <f t="shared" ref="HX100:HX105" si="635">HS100-HU100</f>
        <v>-1</v>
      </c>
      <c r="HY100" s="8"/>
      <c r="HZ100" s="47">
        <v>1</v>
      </c>
      <c r="IA100" s="48" t="s">
        <v>4</v>
      </c>
      <c r="IB100" s="49">
        <v>2</v>
      </c>
      <c r="IC100" s="8"/>
      <c r="ID100" s="42">
        <f t="shared" ref="ID100:ID107" si="636">IF(OR($G100="",IB100=""),"",IF(AND($E100=HZ100,$G100=IB100),$H100*1.5,IF(AND($I100&gt;0,IE100&gt;0),$H100,IF(AND($I100&lt;0,IE100&lt;0),$H100,IF(AND($I100=0,IE100=0),$H100,0)))))</f>
        <v>7.2</v>
      </c>
      <c r="IE100" s="43">
        <f t="shared" ref="IE100:IE105" si="637">HZ100-IB100</f>
        <v>-1</v>
      </c>
      <c r="IF100" s="8"/>
      <c r="IG100" s="47">
        <v>2</v>
      </c>
      <c r="IH100" s="48" t="s">
        <v>4</v>
      </c>
      <c r="II100" s="49">
        <v>0</v>
      </c>
      <c r="IJ100" s="8"/>
      <c r="IK100" s="42">
        <f t="shared" ref="IK100:IK107" si="638">IF(OR($G100="",II100=""),"",IF(AND($E100=IG100,$G100=II100),$H100*1.5,IF(AND($I100&gt;0,IL100&gt;0),$H100,IF(AND($I100&lt;0,IL100&lt;0),$H100,IF(AND($I100=0,IL100=0),$H100,0)))))</f>
        <v>0</v>
      </c>
      <c r="IL100" s="43">
        <f t="shared" ref="IL100:IL105" si="639">IG100-II100</f>
        <v>2</v>
      </c>
      <c r="IM100" s="8"/>
      <c r="IN100" s="47">
        <v>1</v>
      </c>
      <c r="IO100" s="48" t="s">
        <v>4</v>
      </c>
      <c r="IP100" s="49">
        <v>3</v>
      </c>
      <c r="IQ100" s="8"/>
      <c r="IR100" s="42">
        <f t="shared" ref="IR100:IR107" si="640">IF(OR($G100="",IP100=""),"",IF(AND($E100=IN100,$G100=IP100),$H100*1.5,IF(AND($I100&gt;0,IS100&gt;0),$H100,IF(AND($I100&lt;0,IS100&lt;0),$H100,IF(AND($I100=0,IS100=0),$H100,0)))))</f>
        <v>7.2</v>
      </c>
      <c r="IS100" s="43">
        <f t="shared" ref="IS100:IS105" si="641">IN100-IP100</f>
        <v>-2</v>
      </c>
      <c r="IT100" s="8"/>
      <c r="IU100" s="47">
        <v>3</v>
      </c>
      <c r="IV100" s="48" t="s">
        <v>4</v>
      </c>
      <c r="IW100" s="49">
        <v>4</v>
      </c>
      <c r="IX100" s="8"/>
      <c r="IY100" s="42">
        <f t="shared" ref="IY100:IY107" si="642">IF(OR($G100="",IW100=""),"",IF(AND($E100=IU100,$G100=IW100),$H100*1.5,IF(AND($I100&gt;0,IZ100&gt;0),$H100,IF(AND($I100&lt;0,IZ100&lt;0),$H100,IF(AND($I100=0,IZ100=0),$H100,0)))))</f>
        <v>7.2</v>
      </c>
      <c r="IZ100" s="43">
        <f t="shared" ref="IZ100:IZ105" si="643">IU100-IW100</f>
        <v>-1</v>
      </c>
      <c r="JA100" s="8"/>
      <c r="JB100" s="47">
        <v>2</v>
      </c>
      <c r="JC100" s="48" t="s">
        <v>4</v>
      </c>
      <c r="JD100" s="49">
        <v>1</v>
      </c>
      <c r="JE100" s="8"/>
      <c r="JF100" s="42">
        <f t="shared" ref="JF100:JF107" si="644">IF(OR($G100="",JD100=""),"",IF(AND($E100=JB100,$G100=JD100),$H100*1.5,IF(AND($I100&gt;0,JG100&gt;0),$H100,IF(AND($I100&lt;0,JG100&lt;0),$H100,IF(AND($I100=0,JG100=0),$H100,0)))))</f>
        <v>0</v>
      </c>
      <c r="JG100" s="43">
        <f t="shared" ref="JG100:JG105" si="645">JB100-JD100</f>
        <v>1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>
        <v>0</v>
      </c>
      <c r="JQ100" s="48" t="s">
        <v>4</v>
      </c>
      <c r="JR100" s="49">
        <v>2</v>
      </c>
      <c r="JS100" s="8"/>
      <c r="JT100" s="42">
        <f t="shared" ref="JT100:JT107" si="648">IF(OR($G100="",JR100=""),"",IF(AND($E100=JP100,$G100=JR100),$H100*1.5,IF(AND($I100&gt;0,JU100&gt;0),$H100,IF(AND($I100&lt;0,JU100&lt;0),$H100,IF(AND($I100=0,JU100=0),$H100,0)))))</f>
        <v>7.2</v>
      </c>
      <c r="JU100" s="43">
        <f t="shared" ref="JU100:JU105" si="649">JP100-JR100</f>
        <v>-2</v>
      </c>
      <c r="JV100" s="8"/>
      <c r="JW100" s="47">
        <v>1</v>
      </c>
      <c r="JX100" s="48" t="s">
        <v>4</v>
      </c>
      <c r="JY100" s="49">
        <v>2</v>
      </c>
      <c r="JZ100" s="8"/>
      <c r="KA100" s="42">
        <f t="shared" ref="KA100:KA107" si="650">IF(OR($G100="",JY100=""),"",IF(AND($E100=JW100,$G100=JY100),$H100*1.5,IF(AND($I100&gt;0,KB100&gt;0),$H100,IF(AND($I100&lt;0,KB100&lt;0),$H100,IF(AND($I100=0,KB100=0),$H100,0)))))</f>
        <v>7.2</v>
      </c>
      <c r="KB100" s="43">
        <f t="shared" ref="KB100:KB105" si="651">JW100-JY100</f>
        <v>-1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>
        <v>0</v>
      </c>
      <c r="KL100" s="48" t="s">
        <v>4</v>
      </c>
      <c r="KM100" s="49">
        <v>1</v>
      </c>
      <c r="KN100" s="8"/>
      <c r="KO100" s="42">
        <f t="shared" ref="KO100:KO107" si="654">IF(OR($G100="",KM100=""),"",IF(AND($E100=KK100,$G100=KM100),$H100*1.5,IF(AND($I100&gt;0,KP100&gt;0),$H100,IF(AND($I100&lt;0,KP100&lt;0),$H100,IF(AND($I100=0,KP100=0),$H100,0)))))</f>
        <v>7.2</v>
      </c>
      <c r="KP100" s="43">
        <f t="shared" ref="KP100:KP105" si="655">KK100-KM100</f>
        <v>-1</v>
      </c>
      <c r="KQ100" s="8"/>
      <c r="KR100" s="47">
        <v>1</v>
      </c>
      <c r="KS100" s="48" t="s">
        <v>4</v>
      </c>
      <c r="KT100" s="49">
        <v>3</v>
      </c>
      <c r="KU100" s="8"/>
      <c r="KV100" s="42">
        <f t="shared" ref="KV100:KV107" si="656">IF(OR($G100="",KT100=""),"",IF(AND($E100=KR100,$G100=KT100),$H100*1.5,IF(AND($I100&gt;0,KW100&gt;0),$H100,IF(AND($I100&lt;0,KW100&lt;0),$H100,IF(AND($I100=0,KW100=0),$H100,0)))))</f>
        <v>7.2</v>
      </c>
      <c r="KW100" s="43">
        <f t="shared" ref="KW100:KW105" si="657">KR100-KT100</f>
        <v>-2</v>
      </c>
      <c r="KX100" s="8"/>
      <c r="KY100" s="47">
        <v>1</v>
      </c>
      <c r="KZ100" s="48" t="s">
        <v>4</v>
      </c>
      <c r="LA100" s="49">
        <v>2</v>
      </c>
      <c r="LB100" s="8"/>
      <c r="LC100" s="42">
        <f t="shared" ref="LC100:LC107" si="658">IF(OR($G100="",LA100=""),"",IF(AND($E100=KY100,$G100=LA100),$H100*1.5,IF(AND($I100&gt;0,LD100&gt;0),$H100,IF(AND($I100&lt;0,LD100&lt;0),$H100,IF(AND($I100=0,LD100=0),$H100,0)))))</f>
        <v>7.2</v>
      </c>
      <c r="LD100" s="43">
        <f t="shared" ref="LD100:LD105" si="659">KY100-LA100</f>
        <v>-1</v>
      </c>
      <c r="LE100" s="8"/>
      <c r="LF100" s="47">
        <v>1</v>
      </c>
      <c r="LG100" s="48" t="s">
        <v>4</v>
      </c>
      <c r="LH100" s="49">
        <v>2</v>
      </c>
      <c r="LI100" s="8"/>
      <c r="LJ100" s="42">
        <f t="shared" ref="LJ100:LJ107" si="660">IF(OR($G100="",LH100=""),"",IF(AND($E100=LF100,$G100=LH100),$H100*1.5,IF(AND($I100&gt;0,LK100&gt;0),$H100,IF(AND($I100&lt;0,LK100&lt;0),$H100,IF(AND($I100=0,LK100=0),$H100,0)))))</f>
        <v>7.2</v>
      </c>
      <c r="LK100" s="43">
        <f t="shared" ref="LK100:LK105" si="661">LF100-LH100</f>
        <v>-1</v>
      </c>
      <c r="LL100" s="8"/>
      <c r="LM100" s="47">
        <v>1</v>
      </c>
      <c r="LN100" s="48" t="s">
        <v>4</v>
      </c>
      <c r="LO100" s="49">
        <v>2</v>
      </c>
      <c r="LP100" s="8"/>
      <c r="LQ100" s="42">
        <f t="shared" ref="LQ100:LQ107" si="662">IF(OR($G100="",LO100=""),"",IF(AND($E100=LM100,$G100=LO100),$H100*1.5,IF(AND($I100&gt;0,LR100&gt;0),$H100,IF(AND($I100&lt;0,LR100&lt;0),$H100,IF(AND($I100=0,LR100=0),$H100,0)))))</f>
        <v>7.2</v>
      </c>
      <c r="LR100" s="43">
        <f t="shared" ref="LR100:LR105" si="663">LM100-LO100</f>
        <v>-1</v>
      </c>
      <c r="LS100" s="8"/>
      <c r="LT100" s="47">
        <v>1</v>
      </c>
      <c r="LU100" s="48" t="s">
        <v>4</v>
      </c>
      <c r="LV100" s="49">
        <v>2</v>
      </c>
      <c r="LW100" s="8"/>
      <c r="LX100" s="42">
        <f t="shared" ref="LX100:LX107" si="664">IF(OR($G100="",LV100=""),"",IF(AND($E100=LT100,$G100=LV100),$H100*1.5,IF(AND($I100&gt;0,LY100&gt;0),$H100,IF(AND($I100&lt;0,LY100&lt;0),$H100,IF(AND($I100=0,LY100=0),$H100,0)))))</f>
        <v>7.2</v>
      </c>
      <c r="LY100" s="43">
        <f t="shared" ref="LY100:LY105" si="665">LT100-LV100</f>
        <v>-1</v>
      </c>
      <c r="LZ100" s="8"/>
      <c r="MA100" s="47">
        <v>0</v>
      </c>
      <c r="MB100" s="48" t="s">
        <v>4</v>
      </c>
      <c r="MC100" s="49">
        <v>2</v>
      </c>
      <c r="MD100" s="8"/>
      <c r="ME100" s="42">
        <f t="shared" ref="ME100:ME107" si="666">IF(OR($G100="",MC100=""),"",IF(AND($E100=MA100,$G100=MC100),$H100*1.5,IF(AND($I100&gt;0,MF100&gt;0),$H100,IF(AND($I100&lt;0,MF100&lt;0),$H100,IF(AND($I100=0,MF100=0),$H100,0)))))</f>
        <v>7.2</v>
      </c>
      <c r="MF100" s="43">
        <f t="shared" ref="MF100:MF105" si="667">MA100-MC100</f>
        <v>-2</v>
      </c>
      <c r="MG100" s="8"/>
      <c r="MH100" s="47">
        <v>0</v>
      </c>
      <c r="MI100" s="48" t="s">
        <v>4</v>
      </c>
      <c r="MJ100" s="49">
        <v>2</v>
      </c>
      <c r="MK100" s="8"/>
      <c r="ML100" s="42">
        <f t="shared" ref="ML100:ML107" si="668">IF(OR($G100="",MJ100=""),"",IF(AND($E100=MH100,$G100=MJ100),$H100*1.5,IF(AND($I100&gt;0,MM100&gt;0),$H100,IF(AND($I100&lt;0,MM100&lt;0),$H100,IF(AND($I100=0,MM100=0),$H100,0)))))</f>
        <v>7.2</v>
      </c>
      <c r="MM100" s="43">
        <f t="shared" ref="MM100:MM105" si="669">MH100-MJ100</f>
        <v>-2</v>
      </c>
      <c r="MN100" s="8"/>
      <c r="MO100" s="47">
        <v>0</v>
      </c>
      <c r="MP100" s="48" t="s">
        <v>4</v>
      </c>
      <c r="MQ100" s="49">
        <v>2</v>
      </c>
      <c r="MR100" s="8"/>
      <c r="MS100" s="42">
        <f t="shared" ref="MS100:MS107" si="670">IF(OR($G100="",MQ100=""),"",IF(AND($E100=MO100,$G100=MQ100),$H100*1.5,IF(AND($I100&gt;0,MT100&gt;0),$H100,IF(AND($I100&lt;0,MT100&lt;0),$H100,IF(AND($I100=0,MT100=0),$H100,0)))))</f>
        <v>7.2</v>
      </c>
      <c r="MT100" s="43">
        <f t="shared" ref="MT100:MT105" si="671">MO100-MQ100</f>
        <v>-2</v>
      </c>
      <c r="MU100" s="8"/>
      <c r="MV100" s="47">
        <v>2</v>
      </c>
      <c r="MW100" s="48" t="s">
        <v>4</v>
      </c>
      <c r="MX100" s="49">
        <v>3</v>
      </c>
      <c r="MY100" s="8"/>
      <c r="MZ100" s="42">
        <f t="shared" ref="MZ100:MZ107" si="672">IF(OR($G100="",MX100=""),"",IF(AND($E100=MV100,$G100=MX100),$H100*1.5,IF(AND($I100&gt;0,NA100&gt;0),$H100,IF(AND($I100&lt;0,NA100&lt;0),$H100,IF(AND($I100=0,NA100=0),$H100,0)))))</f>
        <v>7.2</v>
      </c>
      <c r="NA100" s="43">
        <f t="shared" ref="NA100:NA105" si="673">MV100-MX100</f>
        <v>-1</v>
      </c>
      <c r="NB100" s="8"/>
      <c r="NC100" s="47">
        <v>1</v>
      </c>
      <c r="ND100" s="48" t="s">
        <v>4</v>
      </c>
      <c r="NE100" s="49">
        <v>2</v>
      </c>
      <c r="NF100" s="8"/>
      <c r="NG100" s="42">
        <f t="shared" ref="NG100:NG107" si="674">IF(OR($G100="",NE100=""),"",IF(AND($E100=NC100,$G100=NE100),$H100*1.5,IF(AND($I100&gt;0,NH100&gt;0),$H100,IF(AND($I100&lt;0,NH100&lt;0),$H100,IF(AND($I100=0,NH100=0),$H100,0)))))</f>
        <v>7.2</v>
      </c>
      <c r="NH100" s="43">
        <f t="shared" ref="NH100:NH105" si="675">NC100-NE100</f>
        <v>-1</v>
      </c>
      <c r="NI100" s="8"/>
      <c r="NJ100" s="47">
        <v>3</v>
      </c>
      <c r="NK100" s="48" t="s">
        <v>4</v>
      </c>
      <c r="NL100" s="49">
        <v>5</v>
      </c>
      <c r="NM100" s="8"/>
      <c r="NN100" s="42">
        <f t="shared" ref="NN100:NN107" si="676">IF(OR($G100="",NL100=""),"",IF(AND($E100=NJ100,$G100=NL100),$H100*1.5,IF(AND($I100&gt;0,NO100&gt;0),$H100,IF(AND($I100&lt;0,NO100&lt;0),$H100,IF(AND($I100=0,NO100=0),$H100,0)))))</f>
        <v>7.2</v>
      </c>
      <c r="NO100" s="43">
        <f t="shared" ref="NO100:NO105" si="677">NJ100-NL100</f>
        <v>-2</v>
      </c>
      <c r="NP100" s="8"/>
      <c r="NQ100" s="47">
        <v>4</v>
      </c>
      <c r="NR100" s="48" t="s">
        <v>4</v>
      </c>
      <c r="NS100" s="49">
        <v>3</v>
      </c>
      <c r="NT100" s="8"/>
      <c r="NU100" s="42">
        <f t="shared" ref="NU100:NU107" si="678">IF(OR($G100="",NS100=""),"",IF(AND($E100=NQ100,$G100=NS100),$H100*1.5,IF(AND($I100&gt;0,NV100&gt;0),$H100,IF(AND($I100&lt;0,NV100&lt;0),$H100,IF(AND($I100=0,NV100=0),$H100,0)))))</f>
        <v>0</v>
      </c>
      <c r="NV100" s="43">
        <f t="shared" ref="NV100:NV105" si="679">NQ100-NS100</f>
        <v>1</v>
      </c>
      <c r="NW100" s="8"/>
      <c r="NX100" s="47">
        <v>1</v>
      </c>
      <c r="NY100" s="48" t="s">
        <v>4</v>
      </c>
      <c r="NZ100" s="49">
        <v>2</v>
      </c>
      <c r="OA100" s="8"/>
      <c r="OB100" s="42">
        <f t="shared" ref="OB100:OB107" si="680">IF(OR($G100="",NZ100=""),"",IF(AND($E100=NX100,$G100=NZ100),$H100*1.5,IF(AND($I100&gt;0,OC100&gt;0),$H100,IF(AND($I100&lt;0,OC100&lt;0),$H100,IF(AND($I100=0,OC100=0),$H100,0)))))</f>
        <v>7.2</v>
      </c>
      <c r="OC100" s="43">
        <f t="shared" ref="OC100:OC105" si="681">NX100-NZ100</f>
        <v>-1</v>
      </c>
      <c r="OD100" s="8"/>
      <c r="OE100" s="47">
        <v>2</v>
      </c>
      <c r="OF100" s="48" t="s">
        <v>4</v>
      </c>
      <c r="OG100" s="49">
        <v>1</v>
      </c>
      <c r="OH100" s="8"/>
      <c r="OI100" s="42">
        <f t="shared" ref="OI100:OI107" si="682">IF(OR($G100="",OG100=""),"",IF(AND($E100=OE100,$G100=OG100),$H100*1.5,IF(AND($I100&gt;0,OJ100&gt;0),$H100,IF(AND($I100&lt;0,OJ100&lt;0),$H100,IF(AND($I100=0,OJ100=0),$H100,0)))))</f>
        <v>0</v>
      </c>
      <c r="OJ100" s="43">
        <f t="shared" ref="OJ100:OJ105" si="683">OE100-OG100</f>
        <v>1</v>
      </c>
      <c r="OK100" s="8"/>
      <c r="OL100" s="47">
        <v>1</v>
      </c>
      <c r="OM100" s="48" t="s">
        <v>4</v>
      </c>
      <c r="ON100" s="49">
        <v>2</v>
      </c>
      <c r="OO100" s="8"/>
      <c r="OP100" s="42">
        <f t="shared" ref="OP100:OP107" si="684">IF(OR($G100="",ON100=""),"",IF(AND($E100=OL100,$G100=ON100),$H100*1.5,IF(AND($I100&gt;0,OQ100&gt;0),$H100,IF(AND($I100&lt;0,OQ100&lt;0),$H100,IF(AND($I100=0,OQ100=0),$H100,0)))))</f>
        <v>7.2</v>
      </c>
      <c r="OQ100" s="43">
        <f t="shared" ref="OQ100:OQ105" si="685">OL100-ON100</f>
        <v>-1</v>
      </c>
      <c r="OR100" s="8"/>
      <c r="OS100" s="47">
        <v>1</v>
      </c>
      <c r="OT100" s="48" t="s">
        <v>4</v>
      </c>
      <c r="OU100" s="49">
        <v>2</v>
      </c>
      <c r="OV100" s="8"/>
      <c r="OW100" s="42">
        <f t="shared" ref="OW100:OW107" si="686">IF(OR($G100="",OU100=""),"",IF(AND($E100=OS100,$G100=OU100),$H100*1.5,IF(AND($I100&gt;0,OX100&gt;0),$H100,IF(AND($I100&lt;0,OX100&lt;0),$H100,IF(AND($I100=0,OX100=0),$H100,0)))))</f>
        <v>7.2</v>
      </c>
      <c r="OX100" s="43">
        <f t="shared" ref="OX100:OX105" si="687">OS100-OU100</f>
        <v>-1</v>
      </c>
      <c r="OY100" s="8"/>
      <c r="OZ100" s="47">
        <v>1</v>
      </c>
      <c r="PA100" s="48" t="s">
        <v>4</v>
      </c>
      <c r="PB100" s="49">
        <v>3</v>
      </c>
      <c r="PC100" s="8"/>
      <c r="PD100" s="42">
        <f t="shared" ref="PD100:PD107" si="688">IF(OR($G100="",PB100=""),"",IF(AND($E100=OZ100,$G100=PB100),$H100*1.5,IF(AND($I100&gt;0,PE100&gt;0),$H100,IF(AND($I100&lt;0,PE100&lt;0),$H100,IF(AND($I100=0,PE100=0),$H100,0)))))</f>
        <v>7.2</v>
      </c>
      <c r="PE100" s="43">
        <f t="shared" ref="PE100:PE105" si="689">OZ100-PB100</f>
        <v>-2</v>
      </c>
      <c r="PF100" s="8"/>
      <c r="PG100" s="47">
        <v>2</v>
      </c>
      <c r="PH100" s="48" t="s">
        <v>4</v>
      </c>
      <c r="PI100" s="49">
        <v>1</v>
      </c>
      <c r="PJ100" s="8"/>
      <c r="PK100" s="42">
        <f t="shared" ref="PK100:PK107" si="690">IF(OR($G100="",PI100=""),"",IF(AND($E100=PG100,$G100=PI100),$H100*1.5,IF(AND($I100&gt;0,PL100&gt;0),$H100,IF(AND($I100&lt;0,PL100&lt;0),$H100,IF(AND($I100=0,PL100=0),$H100,0)))))</f>
        <v>0</v>
      </c>
      <c r="PL100" s="43">
        <f t="shared" ref="PL100:PL105" si="691">PG100-PI100</f>
        <v>1</v>
      </c>
      <c r="PM100" s="8"/>
      <c r="PN100" s="47">
        <v>2</v>
      </c>
      <c r="PO100" s="48" t="s">
        <v>4</v>
      </c>
      <c r="PP100" s="49">
        <v>1</v>
      </c>
      <c r="PQ100" s="8"/>
      <c r="PR100" s="42">
        <f t="shared" ref="PR100:PR107" si="692">IF(OR($G100="",PP100=""),"",IF(AND($E100=PN100,$G100=PP100),$H100*1.5,IF(AND($I100&gt;0,PS100&gt;0),$H100,IF(AND($I100&lt;0,PS100&lt;0),$H100,IF(AND($I100=0,PS100=0),$H100,0)))))</f>
        <v>0</v>
      </c>
      <c r="PS100" s="43">
        <f t="shared" ref="PS100:PS105" si="693">PN100-PP100</f>
        <v>1</v>
      </c>
      <c r="PT100" s="8"/>
      <c r="PU100" s="47">
        <v>0</v>
      </c>
      <c r="PV100" s="48" t="s">
        <v>4</v>
      </c>
      <c r="PW100" s="49">
        <v>2</v>
      </c>
      <c r="PX100" s="8"/>
      <c r="PY100" s="42">
        <f t="shared" ref="PY100:PY107" si="694">IF(OR($G100="",PW100=""),"",IF(AND($E100=PU100,$G100=PW100),$H100*1.5,IF(AND($I100&gt;0,PZ100&gt;0),$H100,IF(AND($I100&lt;0,PZ100&lt;0),$H100,IF(AND($I100=0,PZ100=0),$H100,0)))))</f>
        <v>7.2</v>
      </c>
      <c r="PZ100" s="43">
        <f t="shared" ref="PZ100:PZ105" si="695">PU100-PW100</f>
        <v>-2</v>
      </c>
      <c r="QA100" s="8"/>
      <c r="QB100" s="47">
        <v>2</v>
      </c>
      <c r="QC100" s="48" t="s">
        <v>4</v>
      </c>
      <c r="QD100" s="49">
        <v>3</v>
      </c>
      <c r="QE100" s="8"/>
      <c r="QF100" s="42">
        <f t="shared" ref="QF100:QF107" si="696">IF(OR($G100="",QD100=""),"",IF(AND($E100=QB100,$G100=QD100),$H100*1.5,IF(AND($I100&gt;0,QG100&gt;0),$H100,IF(AND($I100&lt;0,QG100&lt;0),$H100,IF(AND($I100=0,QG100=0),$H100,0)))))</f>
        <v>7.2</v>
      </c>
      <c r="QG100" s="43">
        <f t="shared" ref="QG100:QG105" si="697">QB100-QD100</f>
        <v>-1</v>
      </c>
      <c r="QH100" s="8"/>
      <c r="QI100" s="47">
        <v>0</v>
      </c>
      <c r="QJ100" s="48" t="s">
        <v>4</v>
      </c>
      <c r="QK100" s="49">
        <v>2</v>
      </c>
      <c r="QL100" s="8"/>
      <c r="QM100" s="42">
        <f t="shared" ref="QM100:QM107" si="698">IF(OR($G100="",QK100=""),"",IF(AND($E100=QI100,$G100=QK100),$H100*1.5,IF(AND($I100&gt;0,QN100&gt;0),$H100,IF(AND($I100&lt;0,QN100&lt;0),$H100,IF(AND($I100=0,QN100=0),$H100,0)))))</f>
        <v>7.2</v>
      </c>
      <c r="QN100" s="43">
        <f t="shared" ref="QN100:QN105" si="699">QI100-QK100</f>
        <v>-2</v>
      </c>
      <c r="QO100" s="8"/>
      <c r="QP100" s="47">
        <v>1</v>
      </c>
      <c r="QQ100" s="48" t="s">
        <v>4</v>
      </c>
      <c r="QR100" s="49">
        <v>2</v>
      </c>
      <c r="QS100" s="8"/>
      <c r="QT100" s="42">
        <f t="shared" ref="QT100:QT107" si="700">IF(OR($G100="",QR100=""),"",IF(AND($E100=QP100,$G100=QR100),$H100*1.5,IF(AND($I100&gt;0,QU100&gt;0),$H100,IF(AND($I100&lt;0,QU100&lt;0),$H100,IF(AND($I100=0,QU100=0),$H100,0)))))</f>
        <v>7.2</v>
      </c>
      <c r="QU100" s="43">
        <f t="shared" ref="QU100:QU105" si="701">QP100-QR100</f>
        <v>-1</v>
      </c>
      <c r="QV100" s="8"/>
      <c r="QW100" s="47">
        <v>0</v>
      </c>
      <c r="QX100" s="48" t="s">
        <v>4</v>
      </c>
      <c r="QY100" s="49">
        <v>1</v>
      </c>
      <c r="QZ100" s="8"/>
      <c r="RA100" s="42">
        <f t="shared" ref="RA100:RA107" si="702">IF(OR($G100="",QY100=""),"",IF(AND($E100=QW100,$G100=QY100),$H100*1.5,IF(AND($I100&gt;0,RB100&gt;0),$H100,IF(AND($I100&lt;0,RB100&lt;0),$H100,IF(AND($I100=0,RB100=0),$H100,0)))))</f>
        <v>7.2</v>
      </c>
      <c r="RB100" s="43">
        <f t="shared" ref="RB100:RB105" si="703">QW100-QY100</f>
        <v>-1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>
        <v>1</v>
      </c>
      <c r="RL100" s="48" t="s">
        <v>4</v>
      </c>
      <c r="RM100" s="49">
        <v>0</v>
      </c>
      <c r="RN100" s="8"/>
      <c r="RO100" s="42">
        <f t="shared" ref="RO100:RO107" si="706">IF(OR($G100="",RM100=""),"",IF(AND($E100=RK100,$G100=RM100),$H100*1.5,IF(AND($I100&gt;0,RP100&gt;0),$H100,IF(AND($I100&lt;0,RP100&lt;0),$H100,IF(AND($I100=0,RP100=0),$H100,0)))))</f>
        <v>0</v>
      </c>
      <c r="RP100" s="43">
        <f t="shared" ref="RP100:RP105" si="707">RK100-RM100</f>
        <v>1</v>
      </c>
      <c r="RQ100" s="8"/>
      <c r="RR100" s="47">
        <v>1</v>
      </c>
      <c r="RS100" s="48" t="s">
        <v>4</v>
      </c>
      <c r="RT100" s="49">
        <v>0</v>
      </c>
      <c r="RU100" s="8"/>
      <c r="RV100" s="42">
        <f t="shared" ref="RV100:RV107" si="708">IF(OR($G100="",RT100=""),"",IF(AND($E100=RR100,$G100=RT100),$H100*1.5,IF(AND($I100&gt;0,RW100&gt;0),$H100,IF(AND($I100&lt;0,RW100&lt;0),$H100,IF(AND($I100=0,RW100=0),$H100,0)))))</f>
        <v>0</v>
      </c>
      <c r="RW100" s="43">
        <f t="shared" ref="RW100:RW105" si="709">RR100-RT100</f>
        <v>1</v>
      </c>
      <c r="RX100" s="8"/>
      <c r="RY100" s="47">
        <v>1</v>
      </c>
      <c r="RZ100" s="48" t="s">
        <v>4</v>
      </c>
      <c r="SA100" s="49">
        <v>4</v>
      </c>
      <c r="SB100" s="8"/>
      <c r="SC100" s="42">
        <f t="shared" ref="SC100:SC107" si="710">IF(OR($G100="",SA100=""),"",IF(AND($E100=RY100,$G100=SA100),$H100*1.5,IF(AND($I100&gt;0,SD100&gt;0),$H100,IF(AND($I100&lt;0,SD100&lt;0),$H100,IF(AND($I100=0,SD100=0),$H100,0)))))</f>
        <v>7.2</v>
      </c>
      <c r="SD100" s="43">
        <f t="shared" ref="SD100:SD105" si="711">RY100-SA100</f>
        <v>-3</v>
      </c>
      <c r="SE100" s="8"/>
      <c r="SF100" s="47">
        <v>2</v>
      </c>
      <c r="SG100" s="48" t="s">
        <v>4</v>
      </c>
      <c r="SH100" s="49">
        <v>0</v>
      </c>
      <c r="SI100" s="8"/>
      <c r="SJ100" s="42">
        <f t="shared" ref="SJ100:SJ107" si="712">IF(OR($G100="",SH100=""),"",IF(AND($E100=SF100,$G100=SH100),$H100*1.5,IF(AND($I100&gt;0,SK100&gt;0),$H100,IF(AND($I100&lt;0,SK100&lt;0),$H100,IF(AND($I100=0,SK100=0),$H100,0)))))</f>
        <v>0</v>
      </c>
      <c r="SK100" s="43">
        <f t="shared" ref="SK100:SK105" si="713">SF100-SH100</f>
        <v>2</v>
      </c>
      <c r="SL100" s="8"/>
      <c r="SM100" s="47">
        <v>1</v>
      </c>
      <c r="SN100" s="48" t="s">
        <v>4</v>
      </c>
      <c r="SO100" s="49">
        <v>3</v>
      </c>
      <c r="SP100" s="8"/>
      <c r="SQ100" s="42">
        <f t="shared" ref="SQ100:SQ107" si="714">IF(OR($G100="",SO100=""),"",IF(AND($E100=SM100,$G100=SO100),$H100*1.5,IF(AND($I100&gt;0,SR100&gt;0),$H100,IF(AND($I100&lt;0,SR100&lt;0),$H100,IF(AND($I100=0,SR100=0),$H100,0)))))</f>
        <v>7.2</v>
      </c>
      <c r="SR100" s="43">
        <f t="shared" ref="SR100:SR105" si="715">SM100-SO100</f>
        <v>-2</v>
      </c>
    </row>
    <row r="101" spans="1:512" ht="16" customHeight="1" x14ac:dyDescent="0.15">
      <c r="A101" s="51">
        <v>46207</v>
      </c>
      <c r="B101" s="46">
        <v>0.95833333333333337</v>
      </c>
      <c r="C101" s="82" t="s">
        <v>33</v>
      </c>
      <c r="D101" s="83" t="s">
        <v>10</v>
      </c>
      <c r="E101" s="2">
        <v>0</v>
      </c>
      <c r="F101" s="50" t="s">
        <v>4</v>
      </c>
      <c r="G101" s="1">
        <v>1</v>
      </c>
      <c r="H101" s="16">
        <v>7.2</v>
      </c>
      <c r="I101" s="32">
        <f t="shared" si="429"/>
        <v>-1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>
        <v>0</v>
      </c>
      <c r="AF101" s="48" t="s">
        <v>4</v>
      </c>
      <c r="AG101" s="49">
        <v>2</v>
      </c>
      <c r="AH101" s="8"/>
      <c r="AI101" s="42">
        <f t="shared" si="578"/>
        <v>7.2</v>
      </c>
      <c r="AJ101" s="43">
        <f t="shared" si="579"/>
        <v>-2</v>
      </c>
      <c r="AK101" s="8"/>
      <c r="AL101" s="47">
        <v>1</v>
      </c>
      <c r="AM101" s="48" t="s">
        <v>4</v>
      </c>
      <c r="AN101" s="49">
        <v>3</v>
      </c>
      <c r="AO101" s="8"/>
      <c r="AP101" s="42">
        <f t="shared" si="580"/>
        <v>7.2</v>
      </c>
      <c r="AQ101" s="43">
        <f t="shared" si="581"/>
        <v>-2</v>
      </c>
      <c r="AR101" s="8"/>
      <c r="AS101" s="47">
        <v>2</v>
      </c>
      <c r="AT101" s="48" t="s">
        <v>4</v>
      </c>
      <c r="AU101" s="49">
        <v>4</v>
      </c>
      <c r="AV101" s="8"/>
      <c r="AW101" s="42">
        <f t="shared" si="582"/>
        <v>7.2</v>
      </c>
      <c r="AX101" s="43">
        <f t="shared" si="583"/>
        <v>-2</v>
      </c>
      <c r="AY101" s="8"/>
      <c r="AZ101" s="47">
        <v>0</v>
      </c>
      <c r="BA101" s="48" t="s">
        <v>4</v>
      </c>
      <c r="BB101" s="49">
        <v>3</v>
      </c>
      <c r="BC101" s="8"/>
      <c r="BD101" s="42">
        <f t="shared" si="584"/>
        <v>7.2</v>
      </c>
      <c r="BE101" s="43">
        <f t="shared" si="585"/>
        <v>-3</v>
      </c>
      <c r="BF101" s="8"/>
      <c r="BG101" s="47">
        <v>0</v>
      </c>
      <c r="BH101" s="48" t="s">
        <v>4</v>
      </c>
      <c r="BI101" s="49">
        <v>3</v>
      </c>
      <c r="BJ101" s="8"/>
      <c r="BK101" s="42">
        <f t="shared" si="586"/>
        <v>7.2</v>
      </c>
      <c r="BL101" s="43">
        <f t="shared" si="587"/>
        <v>-3</v>
      </c>
      <c r="BM101" s="8"/>
      <c r="BN101" s="47">
        <v>0</v>
      </c>
      <c r="BO101" s="48" t="s">
        <v>4</v>
      </c>
      <c r="BP101" s="49">
        <v>3</v>
      </c>
      <c r="BQ101" s="8"/>
      <c r="BR101" s="42">
        <f t="shared" si="588"/>
        <v>7.2</v>
      </c>
      <c r="BS101" s="43">
        <f t="shared" si="589"/>
        <v>-3</v>
      </c>
      <c r="BT101" s="8"/>
      <c r="BU101" s="47">
        <v>0</v>
      </c>
      <c r="BV101" s="48" t="s">
        <v>4</v>
      </c>
      <c r="BW101" s="49">
        <v>3</v>
      </c>
      <c r="BX101" s="8"/>
      <c r="BY101" s="42">
        <f t="shared" si="590"/>
        <v>7.2</v>
      </c>
      <c r="BZ101" s="43">
        <f t="shared" si="591"/>
        <v>-3</v>
      </c>
      <c r="CA101" s="8"/>
      <c r="CB101" s="47">
        <v>2</v>
      </c>
      <c r="CC101" s="48" t="s">
        <v>4</v>
      </c>
      <c r="CD101" s="49">
        <v>3</v>
      </c>
      <c r="CE101" s="8"/>
      <c r="CF101" s="42">
        <f t="shared" si="592"/>
        <v>7.2</v>
      </c>
      <c r="CG101" s="43">
        <f t="shared" si="593"/>
        <v>-1</v>
      </c>
      <c r="CH101" s="8"/>
      <c r="CI101" s="47">
        <v>0</v>
      </c>
      <c r="CJ101" s="48" t="s">
        <v>4</v>
      </c>
      <c r="CK101" s="49">
        <v>3</v>
      </c>
      <c r="CL101" s="8"/>
      <c r="CM101" s="42">
        <f t="shared" si="594"/>
        <v>7.2</v>
      </c>
      <c r="CN101" s="43">
        <f t="shared" si="595"/>
        <v>-3</v>
      </c>
      <c r="CO101" s="8"/>
      <c r="CP101" s="47">
        <v>0</v>
      </c>
      <c r="CQ101" s="48" t="s">
        <v>4</v>
      </c>
      <c r="CR101" s="49">
        <v>3</v>
      </c>
      <c r="CS101" s="8"/>
      <c r="CT101" s="42">
        <f t="shared" si="596"/>
        <v>7.2</v>
      </c>
      <c r="CU101" s="43">
        <f t="shared" si="597"/>
        <v>-3</v>
      </c>
      <c r="CV101" s="8"/>
      <c r="CW101" s="47">
        <v>0</v>
      </c>
      <c r="CX101" s="48" t="s">
        <v>4</v>
      </c>
      <c r="CY101" s="49">
        <v>3</v>
      </c>
      <c r="CZ101" s="8"/>
      <c r="DA101" s="42">
        <f t="shared" si="598"/>
        <v>7.2</v>
      </c>
      <c r="DB101" s="43">
        <f t="shared" si="599"/>
        <v>-3</v>
      </c>
      <c r="DC101" s="8"/>
      <c r="DD101" s="47">
        <v>0</v>
      </c>
      <c r="DE101" s="48" t="s">
        <v>4</v>
      </c>
      <c r="DF101" s="49">
        <v>4</v>
      </c>
      <c r="DG101" s="8"/>
      <c r="DH101" s="42">
        <f t="shared" si="600"/>
        <v>7.2</v>
      </c>
      <c r="DI101" s="43">
        <f t="shared" si="601"/>
        <v>-4</v>
      </c>
      <c r="DJ101" s="8"/>
      <c r="DK101" s="47">
        <v>0</v>
      </c>
      <c r="DL101" s="48" t="s">
        <v>4</v>
      </c>
      <c r="DM101" s="49">
        <v>2</v>
      </c>
      <c r="DN101" s="8"/>
      <c r="DO101" s="42">
        <f t="shared" si="602"/>
        <v>7.2</v>
      </c>
      <c r="DP101" s="43">
        <f t="shared" si="603"/>
        <v>-2</v>
      </c>
      <c r="DQ101" s="8"/>
      <c r="DR101" s="47">
        <v>0</v>
      </c>
      <c r="DS101" s="48" t="s">
        <v>4</v>
      </c>
      <c r="DT101" s="49">
        <v>3</v>
      </c>
      <c r="DU101" s="8"/>
      <c r="DV101" s="42">
        <f t="shared" si="604"/>
        <v>7.2</v>
      </c>
      <c r="DW101" s="43">
        <f t="shared" si="605"/>
        <v>-3</v>
      </c>
      <c r="DX101" s="8"/>
      <c r="DY101" s="47">
        <v>1</v>
      </c>
      <c r="DZ101" s="48" t="s">
        <v>4</v>
      </c>
      <c r="EA101" s="49">
        <v>3</v>
      </c>
      <c r="EB101" s="8"/>
      <c r="EC101" s="42">
        <f t="shared" si="606"/>
        <v>7.2</v>
      </c>
      <c r="ED101" s="43">
        <f t="shared" si="607"/>
        <v>-2</v>
      </c>
      <c r="EE101" s="8"/>
      <c r="EF101" s="47">
        <v>0</v>
      </c>
      <c r="EG101" s="48" t="s">
        <v>4</v>
      </c>
      <c r="EH101" s="49">
        <v>2</v>
      </c>
      <c r="EI101" s="8"/>
      <c r="EJ101" s="42">
        <f t="shared" si="608"/>
        <v>7.2</v>
      </c>
      <c r="EK101" s="43">
        <f t="shared" si="609"/>
        <v>-2</v>
      </c>
      <c r="EL101" s="8"/>
      <c r="EM101" s="47">
        <v>0</v>
      </c>
      <c r="EN101" s="48" t="s">
        <v>4</v>
      </c>
      <c r="EO101" s="49">
        <v>4</v>
      </c>
      <c r="EP101" s="8"/>
      <c r="EQ101" s="42">
        <f t="shared" si="610"/>
        <v>7.2</v>
      </c>
      <c r="ER101" s="43">
        <f t="shared" si="611"/>
        <v>-4</v>
      </c>
      <c r="ES101" s="8"/>
      <c r="ET101" s="47">
        <v>0</v>
      </c>
      <c r="EU101" s="48" t="s">
        <v>4</v>
      </c>
      <c r="EV101" s="49">
        <v>3</v>
      </c>
      <c r="EW101" s="8"/>
      <c r="EX101" s="42">
        <f t="shared" si="612"/>
        <v>7.2</v>
      </c>
      <c r="EY101" s="43">
        <f t="shared" si="613"/>
        <v>-3</v>
      </c>
      <c r="EZ101" s="8"/>
      <c r="FA101" s="47">
        <v>1</v>
      </c>
      <c r="FB101" s="48" t="s">
        <v>4</v>
      </c>
      <c r="FC101" s="49">
        <v>4</v>
      </c>
      <c r="FD101" s="8"/>
      <c r="FE101" s="42">
        <f t="shared" si="614"/>
        <v>7.2</v>
      </c>
      <c r="FF101" s="43">
        <f t="shared" si="615"/>
        <v>-3</v>
      </c>
      <c r="FG101" s="8"/>
      <c r="FH101" s="47">
        <v>0</v>
      </c>
      <c r="FI101" s="48" t="s">
        <v>4</v>
      </c>
      <c r="FJ101" s="49">
        <v>4</v>
      </c>
      <c r="FK101" s="8"/>
      <c r="FL101" s="42">
        <f t="shared" si="616"/>
        <v>7.2</v>
      </c>
      <c r="FM101" s="43">
        <f t="shared" si="617"/>
        <v>-4</v>
      </c>
      <c r="FN101" s="8"/>
      <c r="FO101" s="47">
        <v>0</v>
      </c>
      <c r="FP101" s="48" t="s">
        <v>4</v>
      </c>
      <c r="FQ101" s="49">
        <v>4</v>
      </c>
      <c r="FR101" s="8"/>
      <c r="FS101" s="42">
        <f t="shared" si="618"/>
        <v>7.2</v>
      </c>
      <c r="FT101" s="43">
        <f t="shared" si="619"/>
        <v>-4</v>
      </c>
      <c r="FU101" s="8"/>
      <c r="FV101" s="47">
        <v>0</v>
      </c>
      <c r="FW101" s="48" t="s">
        <v>4</v>
      </c>
      <c r="FX101" s="49">
        <v>2</v>
      </c>
      <c r="FY101" s="8"/>
      <c r="FZ101" s="42">
        <f t="shared" si="620"/>
        <v>7.2</v>
      </c>
      <c r="GA101" s="43">
        <f t="shared" si="621"/>
        <v>-2</v>
      </c>
      <c r="GB101" s="8"/>
      <c r="GC101" s="47">
        <v>0</v>
      </c>
      <c r="GD101" s="48" t="s">
        <v>4</v>
      </c>
      <c r="GE101" s="49">
        <v>3</v>
      </c>
      <c r="GF101" s="8"/>
      <c r="GG101" s="42">
        <f t="shared" si="622"/>
        <v>7.2</v>
      </c>
      <c r="GH101" s="43">
        <f t="shared" si="623"/>
        <v>-3</v>
      </c>
      <c r="GI101" s="8"/>
      <c r="GJ101" s="47">
        <v>1</v>
      </c>
      <c r="GK101" s="48" t="s">
        <v>4</v>
      </c>
      <c r="GL101" s="49">
        <v>3</v>
      </c>
      <c r="GM101" s="8"/>
      <c r="GN101" s="42">
        <f t="shared" si="624"/>
        <v>7.2</v>
      </c>
      <c r="GO101" s="43">
        <f t="shared" si="625"/>
        <v>-2</v>
      </c>
      <c r="GP101" s="8"/>
      <c r="GQ101" s="47">
        <v>0</v>
      </c>
      <c r="GR101" s="48" t="s">
        <v>4</v>
      </c>
      <c r="GS101" s="49">
        <v>2</v>
      </c>
      <c r="GT101" s="8"/>
      <c r="GU101" s="42">
        <f t="shared" si="626"/>
        <v>7.2</v>
      </c>
      <c r="GV101" s="43">
        <f t="shared" si="627"/>
        <v>-2</v>
      </c>
      <c r="GW101" s="8"/>
      <c r="GX101" s="47">
        <v>0</v>
      </c>
      <c r="GY101" s="48" t="s">
        <v>4</v>
      </c>
      <c r="GZ101" s="49">
        <v>4</v>
      </c>
      <c r="HA101" s="8"/>
      <c r="HB101" s="42">
        <f t="shared" si="628"/>
        <v>7.2</v>
      </c>
      <c r="HC101" s="43">
        <f t="shared" si="629"/>
        <v>-4</v>
      </c>
      <c r="HD101" s="8"/>
      <c r="HE101" s="47">
        <v>0</v>
      </c>
      <c r="HF101" s="48" t="s">
        <v>4</v>
      </c>
      <c r="HG101" s="49">
        <v>3</v>
      </c>
      <c r="HH101" s="8"/>
      <c r="HI101" s="42">
        <f t="shared" si="630"/>
        <v>7.2</v>
      </c>
      <c r="HJ101" s="43">
        <f t="shared" si="631"/>
        <v>-3</v>
      </c>
      <c r="HK101" s="8"/>
      <c r="HL101" s="47">
        <v>0</v>
      </c>
      <c r="HM101" s="48" t="s">
        <v>4</v>
      </c>
      <c r="HN101" s="49">
        <v>3</v>
      </c>
      <c r="HO101" s="8"/>
      <c r="HP101" s="42">
        <f t="shared" si="632"/>
        <v>7.2</v>
      </c>
      <c r="HQ101" s="43">
        <f t="shared" si="633"/>
        <v>-3</v>
      </c>
      <c r="HR101" s="8"/>
      <c r="HS101" s="47">
        <v>0</v>
      </c>
      <c r="HT101" s="48" t="s">
        <v>4</v>
      </c>
      <c r="HU101" s="49">
        <v>3</v>
      </c>
      <c r="HV101" s="8"/>
      <c r="HW101" s="42">
        <f t="shared" si="634"/>
        <v>7.2</v>
      </c>
      <c r="HX101" s="43">
        <f t="shared" si="635"/>
        <v>-3</v>
      </c>
      <c r="HY101" s="8"/>
      <c r="HZ101" s="47">
        <v>0</v>
      </c>
      <c r="IA101" s="48" t="s">
        <v>4</v>
      </c>
      <c r="IB101" s="49">
        <v>3</v>
      </c>
      <c r="IC101" s="8"/>
      <c r="ID101" s="42">
        <f t="shared" si="636"/>
        <v>7.2</v>
      </c>
      <c r="IE101" s="43">
        <f t="shared" si="637"/>
        <v>-3</v>
      </c>
      <c r="IF101" s="8"/>
      <c r="IG101" s="47">
        <v>1</v>
      </c>
      <c r="IH101" s="48" t="s">
        <v>4</v>
      </c>
      <c r="II101" s="49">
        <v>3</v>
      </c>
      <c r="IJ101" s="8"/>
      <c r="IK101" s="42">
        <f t="shared" si="638"/>
        <v>7.2</v>
      </c>
      <c r="IL101" s="43">
        <f t="shared" si="639"/>
        <v>-2</v>
      </c>
      <c r="IM101" s="8"/>
      <c r="IN101" s="47">
        <v>0</v>
      </c>
      <c r="IO101" s="48" t="s">
        <v>4</v>
      </c>
      <c r="IP101" s="49">
        <v>4</v>
      </c>
      <c r="IQ101" s="8"/>
      <c r="IR101" s="42">
        <f t="shared" si="640"/>
        <v>7.2</v>
      </c>
      <c r="IS101" s="43">
        <f t="shared" si="641"/>
        <v>-4</v>
      </c>
      <c r="IT101" s="8"/>
      <c r="IU101" s="47">
        <v>1</v>
      </c>
      <c r="IV101" s="48" t="s">
        <v>4</v>
      </c>
      <c r="IW101" s="49">
        <v>2</v>
      </c>
      <c r="IX101" s="8"/>
      <c r="IY101" s="42">
        <f t="shared" si="642"/>
        <v>7.2</v>
      </c>
      <c r="IZ101" s="43">
        <f t="shared" si="643"/>
        <v>-1</v>
      </c>
      <c r="JA101" s="8"/>
      <c r="JB101" s="47">
        <v>1</v>
      </c>
      <c r="JC101" s="48" t="s">
        <v>4</v>
      </c>
      <c r="JD101" s="49">
        <v>3</v>
      </c>
      <c r="JE101" s="8"/>
      <c r="JF101" s="42">
        <f t="shared" si="644"/>
        <v>7.2</v>
      </c>
      <c r="JG101" s="43">
        <f t="shared" si="645"/>
        <v>-2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>
        <v>1</v>
      </c>
      <c r="JQ101" s="48" t="s">
        <v>4</v>
      </c>
      <c r="JR101" s="49">
        <v>3</v>
      </c>
      <c r="JS101" s="8"/>
      <c r="JT101" s="42">
        <f t="shared" si="648"/>
        <v>7.2</v>
      </c>
      <c r="JU101" s="43">
        <f t="shared" si="649"/>
        <v>-2</v>
      </c>
      <c r="JV101" s="8"/>
      <c r="JW101" s="47">
        <v>2</v>
      </c>
      <c r="JX101" s="48" t="s">
        <v>4</v>
      </c>
      <c r="JY101" s="49">
        <v>3</v>
      </c>
      <c r="JZ101" s="8"/>
      <c r="KA101" s="42">
        <f t="shared" si="650"/>
        <v>7.2</v>
      </c>
      <c r="KB101" s="43">
        <f t="shared" si="651"/>
        <v>-1</v>
      </c>
      <c r="KC101" s="8"/>
      <c r="KD101" s="47">
        <v>1</v>
      </c>
      <c r="KE101" s="48" t="s">
        <v>630</v>
      </c>
      <c r="KF101" s="49">
        <v>4</v>
      </c>
      <c r="KG101" s="8"/>
      <c r="KH101" s="42">
        <f t="shared" si="652"/>
        <v>7.2</v>
      </c>
      <c r="KI101" s="43">
        <f t="shared" si="653"/>
        <v>-3</v>
      </c>
      <c r="KJ101" s="8"/>
      <c r="KK101" s="47">
        <v>1</v>
      </c>
      <c r="KL101" s="48" t="s">
        <v>4</v>
      </c>
      <c r="KM101" s="49">
        <v>3</v>
      </c>
      <c r="KN101" s="8"/>
      <c r="KO101" s="42">
        <f t="shared" si="654"/>
        <v>7.2</v>
      </c>
      <c r="KP101" s="43">
        <f t="shared" si="655"/>
        <v>-2</v>
      </c>
      <c r="KQ101" s="8"/>
      <c r="KR101" s="47">
        <v>0</v>
      </c>
      <c r="KS101" s="48" t="s">
        <v>4</v>
      </c>
      <c r="KT101" s="49">
        <v>2</v>
      </c>
      <c r="KU101" s="8"/>
      <c r="KV101" s="42">
        <f t="shared" si="656"/>
        <v>7.2</v>
      </c>
      <c r="KW101" s="43">
        <f t="shared" si="657"/>
        <v>-2</v>
      </c>
      <c r="KX101" s="8"/>
      <c r="KY101" s="47">
        <v>1</v>
      </c>
      <c r="KZ101" s="48" t="s">
        <v>4</v>
      </c>
      <c r="LA101" s="49">
        <v>2</v>
      </c>
      <c r="LB101" s="8"/>
      <c r="LC101" s="42">
        <f t="shared" si="658"/>
        <v>7.2</v>
      </c>
      <c r="LD101" s="43">
        <f t="shared" si="659"/>
        <v>-1</v>
      </c>
      <c r="LE101" s="8"/>
      <c r="LF101" s="47">
        <v>0</v>
      </c>
      <c r="LG101" s="48" t="s">
        <v>4</v>
      </c>
      <c r="LH101" s="49">
        <v>2</v>
      </c>
      <c r="LI101" s="8"/>
      <c r="LJ101" s="42">
        <f t="shared" si="660"/>
        <v>7.2</v>
      </c>
      <c r="LK101" s="43">
        <f t="shared" si="661"/>
        <v>-2</v>
      </c>
      <c r="LL101" s="8"/>
      <c r="LM101" s="47">
        <v>1</v>
      </c>
      <c r="LN101" s="48" t="s">
        <v>4</v>
      </c>
      <c r="LO101" s="49">
        <v>3</v>
      </c>
      <c r="LP101" s="8"/>
      <c r="LQ101" s="42">
        <f t="shared" si="662"/>
        <v>7.2</v>
      </c>
      <c r="LR101" s="43">
        <f t="shared" si="663"/>
        <v>-2</v>
      </c>
      <c r="LS101" s="8"/>
      <c r="LT101" s="47">
        <v>0</v>
      </c>
      <c r="LU101" s="48" t="s">
        <v>4</v>
      </c>
      <c r="LV101" s="49">
        <v>3</v>
      </c>
      <c r="LW101" s="8"/>
      <c r="LX101" s="42">
        <f t="shared" si="664"/>
        <v>7.2</v>
      </c>
      <c r="LY101" s="43">
        <f t="shared" si="665"/>
        <v>-3</v>
      </c>
      <c r="LZ101" s="8"/>
      <c r="MA101" s="47">
        <v>0</v>
      </c>
      <c r="MB101" s="48" t="s">
        <v>4</v>
      </c>
      <c r="MC101" s="49">
        <v>2</v>
      </c>
      <c r="MD101" s="8"/>
      <c r="ME101" s="42">
        <f t="shared" si="666"/>
        <v>7.2</v>
      </c>
      <c r="MF101" s="43">
        <f t="shared" si="667"/>
        <v>-2</v>
      </c>
      <c r="MG101" s="8"/>
      <c r="MH101" s="47">
        <v>1</v>
      </c>
      <c r="MI101" s="48" t="s">
        <v>4</v>
      </c>
      <c r="MJ101" s="49">
        <v>3</v>
      </c>
      <c r="MK101" s="8"/>
      <c r="ML101" s="42">
        <f t="shared" si="668"/>
        <v>7.2</v>
      </c>
      <c r="MM101" s="43">
        <f t="shared" si="669"/>
        <v>-2</v>
      </c>
      <c r="MN101" s="8"/>
      <c r="MO101" s="47">
        <v>0</v>
      </c>
      <c r="MP101" s="48" t="s">
        <v>4</v>
      </c>
      <c r="MQ101" s="49">
        <v>3</v>
      </c>
      <c r="MR101" s="8"/>
      <c r="MS101" s="42">
        <f t="shared" si="670"/>
        <v>7.2</v>
      </c>
      <c r="MT101" s="43">
        <f t="shared" si="671"/>
        <v>-3</v>
      </c>
      <c r="MU101" s="8"/>
      <c r="MV101" s="47">
        <v>0</v>
      </c>
      <c r="MW101" s="48" t="s">
        <v>4</v>
      </c>
      <c r="MX101" s="49">
        <v>4</v>
      </c>
      <c r="MY101" s="8"/>
      <c r="MZ101" s="42">
        <f t="shared" si="672"/>
        <v>7.2</v>
      </c>
      <c r="NA101" s="43">
        <f t="shared" si="673"/>
        <v>-4</v>
      </c>
      <c r="NB101" s="8"/>
      <c r="NC101" s="47">
        <v>0</v>
      </c>
      <c r="ND101" s="48" t="s">
        <v>4</v>
      </c>
      <c r="NE101" s="49">
        <v>3</v>
      </c>
      <c r="NF101" s="8"/>
      <c r="NG101" s="42">
        <f t="shared" si="674"/>
        <v>7.2</v>
      </c>
      <c r="NH101" s="43">
        <f t="shared" si="675"/>
        <v>-3</v>
      </c>
      <c r="NI101" s="8"/>
      <c r="NJ101" s="47">
        <v>0</v>
      </c>
      <c r="NK101" s="48" t="s">
        <v>4</v>
      </c>
      <c r="NL101" s="49">
        <v>3</v>
      </c>
      <c r="NM101" s="8"/>
      <c r="NN101" s="42">
        <f t="shared" si="676"/>
        <v>7.2</v>
      </c>
      <c r="NO101" s="43">
        <f t="shared" si="677"/>
        <v>-3</v>
      </c>
      <c r="NP101" s="8"/>
      <c r="NQ101" s="47">
        <v>0</v>
      </c>
      <c r="NR101" s="48" t="s">
        <v>4</v>
      </c>
      <c r="NS101" s="49">
        <v>3</v>
      </c>
      <c r="NT101" s="8"/>
      <c r="NU101" s="42">
        <f t="shared" si="678"/>
        <v>7.2</v>
      </c>
      <c r="NV101" s="43">
        <f t="shared" si="679"/>
        <v>-3</v>
      </c>
      <c r="NW101" s="8"/>
      <c r="NX101" s="47">
        <v>0</v>
      </c>
      <c r="NY101" s="48" t="s">
        <v>4</v>
      </c>
      <c r="NZ101" s="49">
        <v>2</v>
      </c>
      <c r="OA101" s="8"/>
      <c r="OB101" s="42">
        <f t="shared" si="680"/>
        <v>7.2</v>
      </c>
      <c r="OC101" s="43">
        <f t="shared" si="681"/>
        <v>-2</v>
      </c>
      <c r="OD101" s="8"/>
      <c r="OE101" s="47">
        <v>1</v>
      </c>
      <c r="OF101" s="48" t="s">
        <v>4</v>
      </c>
      <c r="OG101" s="49">
        <v>3</v>
      </c>
      <c r="OH101" s="8"/>
      <c r="OI101" s="42">
        <f t="shared" si="682"/>
        <v>7.2</v>
      </c>
      <c r="OJ101" s="43">
        <f t="shared" si="683"/>
        <v>-2</v>
      </c>
      <c r="OK101" s="8"/>
      <c r="OL101" s="47">
        <v>0</v>
      </c>
      <c r="OM101" s="48" t="s">
        <v>4</v>
      </c>
      <c r="ON101" s="49">
        <v>4</v>
      </c>
      <c r="OO101" s="8"/>
      <c r="OP101" s="42">
        <f t="shared" si="684"/>
        <v>7.2</v>
      </c>
      <c r="OQ101" s="43">
        <f t="shared" si="685"/>
        <v>-4</v>
      </c>
      <c r="OR101" s="8"/>
      <c r="OS101" s="47">
        <v>0</v>
      </c>
      <c r="OT101" s="48" t="s">
        <v>4</v>
      </c>
      <c r="OU101" s="49">
        <v>2</v>
      </c>
      <c r="OV101" s="8"/>
      <c r="OW101" s="42">
        <f t="shared" si="686"/>
        <v>7.2</v>
      </c>
      <c r="OX101" s="43">
        <f t="shared" si="687"/>
        <v>-2</v>
      </c>
      <c r="OY101" s="8"/>
      <c r="OZ101" s="47">
        <v>0</v>
      </c>
      <c r="PA101" s="48" t="s">
        <v>4</v>
      </c>
      <c r="PB101" s="49">
        <v>4</v>
      </c>
      <c r="PC101" s="8"/>
      <c r="PD101" s="42">
        <f t="shared" si="688"/>
        <v>7.2</v>
      </c>
      <c r="PE101" s="43">
        <f t="shared" si="689"/>
        <v>-4</v>
      </c>
      <c r="PF101" s="8"/>
      <c r="PG101" s="47">
        <v>0</v>
      </c>
      <c r="PH101" s="48" t="s">
        <v>4</v>
      </c>
      <c r="PI101" s="49">
        <v>3</v>
      </c>
      <c r="PJ101" s="8"/>
      <c r="PK101" s="42">
        <f t="shared" si="690"/>
        <v>7.2</v>
      </c>
      <c r="PL101" s="43">
        <f t="shared" si="691"/>
        <v>-3</v>
      </c>
      <c r="PM101" s="8"/>
      <c r="PN101" s="47">
        <v>0</v>
      </c>
      <c r="PO101" s="48" t="s">
        <v>4</v>
      </c>
      <c r="PP101" s="49">
        <v>2</v>
      </c>
      <c r="PQ101" s="8"/>
      <c r="PR101" s="42">
        <f t="shared" si="692"/>
        <v>7.2</v>
      </c>
      <c r="PS101" s="43">
        <f t="shared" si="693"/>
        <v>-2</v>
      </c>
      <c r="PT101" s="8"/>
      <c r="PU101" s="47">
        <v>0</v>
      </c>
      <c r="PV101" s="48" t="s">
        <v>4</v>
      </c>
      <c r="PW101" s="49">
        <v>2</v>
      </c>
      <c r="PX101" s="8"/>
      <c r="PY101" s="42">
        <f t="shared" si="694"/>
        <v>7.2</v>
      </c>
      <c r="PZ101" s="43">
        <f t="shared" si="695"/>
        <v>-2</v>
      </c>
      <c r="QA101" s="8"/>
      <c r="QB101" s="47">
        <v>0</v>
      </c>
      <c r="QC101" s="48" t="s">
        <v>4</v>
      </c>
      <c r="QD101" s="49">
        <v>1</v>
      </c>
      <c r="QE101" s="8"/>
      <c r="QF101" s="42">
        <f t="shared" si="696"/>
        <v>10.8</v>
      </c>
      <c r="QG101" s="43">
        <f t="shared" si="697"/>
        <v>-1</v>
      </c>
      <c r="QH101" s="8"/>
      <c r="QI101" s="47">
        <v>0</v>
      </c>
      <c r="QJ101" s="48" t="s">
        <v>4</v>
      </c>
      <c r="QK101" s="49">
        <v>5</v>
      </c>
      <c r="QL101" s="8"/>
      <c r="QM101" s="42">
        <f t="shared" si="698"/>
        <v>7.2</v>
      </c>
      <c r="QN101" s="43">
        <f t="shared" si="699"/>
        <v>-5</v>
      </c>
      <c r="QO101" s="8"/>
      <c r="QP101" s="47">
        <v>0</v>
      </c>
      <c r="QQ101" s="48" t="s">
        <v>4</v>
      </c>
      <c r="QR101" s="49">
        <v>3</v>
      </c>
      <c r="QS101" s="8"/>
      <c r="QT101" s="42">
        <f t="shared" si="700"/>
        <v>7.2</v>
      </c>
      <c r="QU101" s="43">
        <f t="shared" si="701"/>
        <v>-3</v>
      </c>
      <c r="QV101" s="8"/>
      <c r="QW101" s="47">
        <v>1</v>
      </c>
      <c r="QX101" s="48" t="s">
        <v>4</v>
      </c>
      <c r="QY101" s="49">
        <v>3</v>
      </c>
      <c r="QZ101" s="8"/>
      <c r="RA101" s="42">
        <f t="shared" si="702"/>
        <v>7.2</v>
      </c>
      <c r="RB101" s="43">
        <f t="shared" si="703"/>
        <v>-2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>
        <v>2</v>
      </c>
      <c r="RL101" s="48" t="s">
        <v>4</v>
      </c>
      <c r="RM101" s="49">
        <v>0</v>
      </c>
      <c r="RN101" s="8"/>
      <c r="RO101" s="42">
        <f t="shared" si="706"/>
        <v>0</v>
      </c>
      <c r="RP101" s="43">
        <f t="shared" si="707"/>
        <v>2</v>
      </c>
      <c r="RQ101" s="8"/>
      <c r="RR101" s="47">
        <v>2</v>
      </c>
      <c r="RS101" s="48" t="s">
        <v>4</v>
      </c>
      <c r="RT101" s="49">
        <v>1</v>
      </c>
      <c r="RU101" s="8"/>
      <c r="RV101" s="42">
        <f t="shared" si="708"/>
        <v>0</v>
      </c>
      <c r="RW101" s="43">
        <f t="shared" si="709"/>
        <v>1</v>
      </c>
      <c r="RX101" s="8"/>
      <c r="RY101" s="47">
        <v>3</v>
      </c>
      <c r="RZ101" s="48" t="s">
        <v>4</v>
      </c>
      <c r="SA101" s="49">
        <v>1</v>
      </c>
      <c r="SB101" s="8"/>
      <c r="SC101" s="42">
        <f t="shared" si="710"/>
        <v>0</v>
      </c>
      <c r="SD101" s="43">
        <f t="shared" si="711"/>
        <v>2</v>
      </c>
      <c r="SE101" s="8"/>
      <c r="SF101" s="47">
        <v>2</v>
      </c>
      <c r="SG101" s="48" t="s">
        <v>4</v>
      </c>
      <c r="SH101" s="49">
        <v>1</v>
      </c>
      <c r="SI101" s="8"/>
      <c r="SJ101" s="42">
        <f t="shared" si="712"/>
        <v>0</v>
      </c>
      <c r="SK101" s="43">
        <f t="shared" si="713"/>
        <v>1</v>
      </c>
      <c r="SL101" s="8"/>
      <c r="SM101" s="47">
        <v>1</v>
      </c>
      <c r="SN101" s="48" t="s">
        <v>4</v>
      </c>
      <c r="SO101" s="49">
        <v>0</v>
      </c>
      <c r="SP101" s="8"/>
      <c r="SQ101" s="42">
        <f t="shared" si="714"/>
        <v>0</v>
      </c>
      <c r="SR101" s="43">
        <f t="shared" si="715"/>
        <v>1</v>
      </c>
    </row>
    <row r="102" spans="1:512" ht="16" customHeight="1" x14ac:dyDescent="0.15">
      <c r="A102" s="51">
        <v>46208</v>
      </c>
      <c r="B102" s="46">
        <v>0.91666666666666663</v>
      </c>
      <c r="C102" s="82" t="s">
        <v>35</v>
      </c>
      <c r="D102" s="82" t="s">
        <v>53</v>
      </c>
      <c r="E102" s="2">
        <v>1</v>
      </c>
      <c r="F102" s="50" t="s">
        <v>4</v>
      </c>
      <c r="G102" s="1">
        <v>2</v>
      </c>
      <c r="H102" s="16">
        <v>7.6</v>
      </c>
      <c r="I102" s="32">
        <f t="shared" si="429"/>
        <v>-1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>
        <v>1</v>
      </c>
      <c r="AF102" s="48" t="s">
        <v>4</v>
      </c>
      <c r="AG102" s="49">
        <v>3</v>
      </c>
      <c r="AH102" s="8"/>
      <c r="AI102" s="42">
        <f t="shared" si="578"/>
        <v>7.6</v>
      </c>
      <c r="AJ102" s="43">
        <f t="shared" si="579"/>
        <v>-2</v>
      </c>
      <c r="AK102" s="8"/>
      <c r="AL102" s="47">
        <v>2</v>
      </c>
      <c r="AM102" s="48" t="s">
        <v>4</v>
      </c>
      <c r="AN102" s="49">
        <v>0</v>
      </c>
      <c r="AO102" s="8"/>
      <c r="AP102" s="42">
        <f t="shared" si="580"/>
        <v>0</v>
      </c>
      <c r="AQ102" s="43">
        <f t="shared" si="581"/>
        <v>2</v>
      </c>
      <c r="AR102" s="8"/>
      <c r="AS102" s="47">
        <v>3</v>
      </c>
      <c r="AT102" s="48" t="s">
        <v>4</v>
      </c>
      <c r="AU102" s="49">
        <v>1</v>
      </c>
      <c r="AV102" s="8"/>
      <c r="AW102" s="42">
        <f t="shared" si="582"/>
        <v>0</v>
      </c>
      <c r="AX102" s="43">
        <f t="shared" si="583"/>
        <v>2</v>
      </c>
      <c r="AY102" s="8"/>
      <c r="AZ102" s="47">
        <v>1</v>
      </c>
      <c r="BA102" s="48" t="s">
        <v>4</v>
      </c>
      <c r="BB102" s="49">
        <v>2</v>
      </c>
      <c r="BC102" s="8"/>
      <c r="BD102" s="42">
        <f t="shared" si="584"/>
        <v>11.399999999999999</v>
      </c>
      <c r="BE102" s="43">
        <f t="shared" si="585"/>
        <v>-1</v>
      </c>
      <c r="BF102" s="8"/>
      <c r="BG102" s="47">
        <v>2</v>
      </c>
      <c r="BH102" s="48" t="s">
        <v>4</v>
      </c>
      <c r="BI102" s="49">
        <v>1</v>
      </c>
      <c r="BJ102" s="8"/>
      <c r="BK102" s="42">
        <f t="shared" si="586"/>
        <v>0</v>
      </c>
      <c r="BL102" s="43">
        <f t="shared" si="587"/>
        <v>1</v>
      </c>
      <c r="BM102" s="8"/>
      <c r="BN102" s="47">
        <v>2</v>
      </c>
      <c r="BO102" s="48" t="s">
        <v>4</v>
      </c>
      <c r="BP102" s="49">
        <v>1</v>
      </c>
      <c r="BQ102" s="8"/>
      <c r="BR102" s="42">
        <f t="shared" si="588"/>
        <v>0</v>
      </c>
      <c r="BS102" s="43">
        <f t="shared" si="589"/>
        <v>1</v>
      </c>
      <c r="BT102" s="8"/>
      <c r="BU102" s="47">
        <v>2</v>
      </c>
      <c r="BV102" s="48" t="s">
        <v>4</v>
      </c>
      <c r="BW102" s="49">
        <v>1</v>
      </c>
      <c r="BX102" s="8"/>
      <c r="BY102" s="42">
        <f t="shared" si="590"/>
        <v>0</v>
      </c>
      <c r="BZ102" s="43">
        <f t="shared" si="591"/>
        <v>1</v>
      </c>
      <c r="CA102" s="8"/>
      <c r="CB102" s="47">
        <v>2</v>
      </c>
      <c r="CC102" s="48" t="s">
        <v>4</v>
      </c>
      <c r="CD102" s="49">
        <v>1</v>
      </c>
      <c r="CE102" s="8"/>
      <c r="CF102" s="42">
        <f t="shared" si="592"/>
        <v>0</v>
      </c>
      <c r="CG102" s="43">
        <f t="shared" si="593"/>
        <v>1</v>
      </c>
      <c r="CH102" s="8"/>
      <c r="CI102" s="47">
        <v>2</v>
      </c>
      <c r="CJ102" s="48" t="s">
        <v>4</v>
      </c>
      <c r="CK102" s="49">
        <v>3</v>
      </c>
      <c r="CL102" s="8"/>
      <c r="CM102" s="42">
        <f t="shared" si="594"/>
        <v>7.6</v>
      </c>
      <c r="CN102" s="43">
        <f t="shared" si="595"/>
        <v>-1</v>
      </c>
      <c r="CO102" s="8"/>
      <c r="CP102" s="47">
        <v>1</v>
      </c>
      <c r="CQ102" s="48" t="s">
        <v>4</v>
      </c>
      <c r="CR102" s="49">
        <v>2</v>
      </c>
      <c r="CS102" s="8"/>
      <c r="CT102" s="42">
        <f t="shared" si="596"/>
        <v>11.399999999999999</v>
      </c>
      <c r="CU102" s="43">
        <f t="shared" si="597"/>
        <v>-1</v>
      </c>
      <c r="CV102" s="8"/>
      <c r="CW102" s="47">
        <v>4</v>
      </c>
      <c r="CX102" s="48" t="s">
        <v>4</v>
      </c>
      <c r="CY102" s="49">
        <v>3</v>
      </c>
      <c r="CZ102" s="8"/>
      <c r="DA102" s="42">
        <f t="shared" si="598"/>
        <v>0</v>
      </c>
      <c r="DB102" s="43">
        <f t="shared" si="599"/>
        <v>1</v>
      </c>
      <c r="DC102" s="8"/>
      <c r="DD102" s="47">
        <v>2</v>
      </c>
      <c r="DE102" s="48" t="s">
        <v>4</v>
      </c>
      <c r="DF102" s="49">
        <v>1</v>
      </c>
      <c r="DG102" s="8"/>
      <c r="DH102" s="42">
        <f t="shared" si="600"/>
        <v>0</v>
      </c>
      <c r="DI102" s="43">
        <f t="shared" si="601"/>
        <v>1</v>
      </c>
      <c r="DJ102" s="8"/>
      <c r="DK102" s="47">
        <v>1</v>
      </c>
      <c r="DL102" s="48" t="s">
        <v>4</v>
      </c>
      <c r="DM102" s="49">
        <v>2</v>
      </c>
      <c r="DN102" s="8"/>
      <c r="DO102" s="42">
        <f t="shared" si="602"/>
        <v>11.399999999999999</v>
      </c>
      <c r="DP102" s="43">
        <f t="shared" si="603"/>
        <v>-1</v>
      </c>
      <c r="DQ102" s="8"/>
      <c r="DR102" s="47">
        <v>3</v>
      </c>
      <c r="DS102" s="48" t="s">
        <v>4</v>
      </c>
      <c r="DT102" s="49">
        <v>2</v>
      </c>
      <c r="DU102" s="8"/>
      <c r="DV102" s="42">
        <f t="shared" si="604"/>
        <v>0</v>
      </c>
      <c r="DW102" s="43">
        <f t="shared" si="605"/>
        <v>1</v>
      </c>
      <c r="DX102" s="8"/>
      <c r="DY102" s="47">
        <v>1</v>
      </c>
      <c r="DZ102" s="48" t="s">
        <v>4</v>
      </c>
      <c r="EA102" s="49">
        <v>2</v>
      </c>
      <c r="EB102" s="8"/>
      <c r="EC102" s="42">
        <f t="shared" si="606"/>
        <v>11.399999999999999</v>
      </c>
      <c r="ED102" s="43">
        <f t="shared" si="607"/>
        <v>-1</v>
      </c>
      <c r="EE102" s="8"/>
      <c r="EF102" s="47">
        <v>2</v>
      </c>
      <c r="EG102" s="48" t="s">
        <v>4</v>
      </c>
      <c r="EH102" s="49">
        <v>3</v>
      </c>
      <c r="EI102" s="8"/>
      <c r="EJ102" s="42">
        <f t="shared" si="608"/>
        <v>7.6</v>
      </c>
      <c r="EK102" s="43">
        <f t="shared" si="609"/>
        <v>-1</v>
      </c>
      <c r="EL102" s="8"/>
      <c r="EM102" s="47">
        <v>1</v>
      </c>
      <c r="EN102" s="48" t="s">
        <v>4</v>
      </c>
      <c r="EO102" s="49">
        <v>2</v>
      </c>
      <c r="EP102" s="8"/>
      <c r="EQ102" s="42">
        <f t="shared" si="610"/>
        <v>11.399999999999999</v>
      </c>
      <c r="ER102" s="43">
        <f t="shared" si="611"/>
        <v>-1</v>
      </c>
      <c r="ES102" s="8"/>
      <c r="ET102" s="47">
        <v>2</v>
      </c>
      <c r="EU102" s="48" t="s">
        <v>4</v>
      </c>
      <c r="EV102" s="49">
        <v>3</v>
      </c>
      <c r="EW102" s="8"/>
      <c r="EX102" s="42">
        <f t="shared" si="612"/>
        <v>7.6</v>
      </c>
      <c r="EY102" s="43">
        <f t="shared" si="613"/>
        <v>-1</v>
      </c>
      <c r="EZ102" s="8"/>
      <c r="FA102" s="47">
        <v>2</v>
      </c>
      <c r="FB102" s="48" t="s">
        <v>4</v>
      </c>
      <c r="FC102" s="49">
        <v>1</v>
      </c>
      <c r="FD102" s="8"/>
      <c r="FE102" s="42">
        <f t="shared" si="614"/>
        <v>0</v>
      </c>
      <c r="FF102" s="43">
        <f t="shared" si="615"/>
        <v>1</v>
      </c>
      <c r="FG102" s="8"/>
      <c r="FH102" s="47">
        <v>1</v>
      </c>
      <c r="FI102" s="48" t="s">
        <v>4</v>
      </c>
      <c r="FJ102" s="49">
        <v>2</v>
      </c>
      <c r="FK102" s="8"/>
      <c r="FL102" s="42">
        <f t="shared" si="616"/>
        <v>11.399999999999999</v>
      </c>
      <c r="FM102" s="43">
        <f t="shared" si="617"/>
        <v>-1</v>
      </c>
      <c r="FN102" s="8"/>
      <c r="FO102" s="47">
        <v>1</v>
      </c>
      <c r="FP102" s="48" t="s">
        <v>4</v>
      </c>
      <c r="FQ102" s="49">
        <v>2</v>
      </c>
      <c r="FR102" s="8"/>
      <c r="FS102" s="42">
        <f t="shared" si="618"/>
        <v>11.399999999999999</v>
      </c>
      <c r="FT102" s="43">
        <f t="shared" si="619"/>
        <v>-1</v>
      </c>
      <c r="FU102" s="8"/>
      <c r="FV102" s="47">
        <v>1</v>
      </c>
      <c r="FW102" s="48" t="s">
        <v>4</v>
      </c>
      <c r="FX102" s="49">
        <v>2</v>
      </c>
      <c r="FY102" s="8"/>
      <c r="FZ102" s="42">
        <f t="shared" si="620"/>
        <v>11.399999999999999</v>
      </c>
      <c r="GA102" s="43">
        <f t="shared" si="621"/>
        <v>-1</v>
      </c>
      <c r="GB102" s="8"/>
      <c r="GC102" s="47">
        <v>1</v>
      </c>
      <c r="GD102" s="48" t="s">
        <v>4</v>
      </c>
      <c r="GE102" s="49">
        <v>2</v>
      </c>
      <c r="GF102" s="8"/>
      <c r="GG102" s="42">
        <f t="shared" si="622"/>
        <v>11.399999999999999</v>
      </c>
      <c r="GH102" s="43">
        <f t="shared" si="623"/>
        <v>-1</v>
      </c>
      <c r="GI102" s="8"/>
      <c r="GJ102" s="47">
        <v>2</v>
      </c>
      <c r="GK102" s="48" t="s">
        <v>4</v>
      </c>
      <c r="GL102" s="49">
        <v>1</v>
      </c>
      <c r="GM102" s="8"/>
      <c r="GN102" s="42">
        <f t="shared" si="624"/>
        <v>0</v>
      </c>
      <c r="GO102" s="43">
        <f t="shared" si="625"/>
        <v>1</v>
      </c>
      <c r="GP102" s="8"/>
      <c r="GQ102" s="47">
        <v>2</v>
      </c>
      <c r="GR102" s="48" t="s">
        <v>4</v>
      </c>
      <c r="GS102" s="49">
        <v>1</v>
      </c>
      <c r="GT102" s="8"/>
      <c r="GU102" s="42">
        <f t="shared" si="626"/>
        <v>0</v>
      </c>
      <c r="GV102" s="43">
        <f t="shared" si="627"/>
        <v>1</v>
      </c>
      <c r="GW102" s="8"/>
      <c r="GX102" s="47">
        <v>1</v>
      </c>
      <c r="GY102" s="48" t="s">
        <v>4</v>
      </c>
      <c r="GZ102" s="49">
        <v>2</v>
      </c>
      <c r="HA102" s="8"/>
      <c r="HB102" s="42">
        <f t="shared" si="628"/>
        <v>11.399999999999999</v>
      </c>
      <c r="HC102" s="43">
        <f t="shared" si="629"/>
        <v>-1</v>
      </c>
      <c r="HD102" s="8"/>
      <c r="HE102" s="47">
        <v>2</v>
      </c>
      <c r="HF102" s="48" t="s">
        <v>4</v>
      </c>
      <c r="HG102" s="49">
        <v>1</v>
      </c>
      <c r="HH102" s="8"/>
      <c r="HI102" s="42">
        <f t="shared" si="630"/>
        <v>0</v>
      </c>
      <c r="HJ102" s="43">
        <f t="shared" si="631"/>
        <v>1</v>
      </c>
      <c r="HK102" s="8"/>
      <c r="HL102" s="47">
        <v>6</v>
      </c>
      <c r="HM102" s="48" t="s">
        <v>4</v>
      </c>
      <c r="HN102" s="49">
        <v>7</v>
      </c>
      <c r="HO102" s="8"/>
      <c r="HP102" s="42">
        <f t="shared" si="632"/>
        <v>7.6</v>
      </c>
      <c r="HQ102" s="43">
        <f t="shared" si="633"/>
        <v>-1</v>
      </c>
      <c r="HR102" s="8"/>
      <c r="HS102" s="47">
        <v>2</v>
      </c>
      <c r="HT102" s="48" t="s">
        <v>4</v>
      </c>
      <c r="HU102" s="49">
        <v>1</v>
      </c>
      <c r="HV102" s="8"/>
      <c r="HW102" s="42">
        <f t="shared" si="634"/>
        <v>0</v>
      </c>
      <c r="HX102" s="43">
        <f t="shared" si="635"/>
        <v>1</v>
      </c>
      <c r="HY102" s="8"/>
      <c r="HZ102" s="47">
        <v>2</v>
      </c>
      <c r="IA102" s="48" t="s">
        <v>4</v>
      </c>
      <c r="IB102" s="49">
        <v>3</v>
      </c>
      <c r="IC102" s="8"/>
      <c r="ID102" s="42">
        <f t="shared" si="636"/>
        <v>7.6</v>
      </c>
      <c r="IE102" s="43">
        <f t="shared" si="637"/>
        <v>-1</v>
      </c>
      <c r="IF102" s="8"/>
      <c r="IG102" s="47">
        <v>2</v>
      </c>
      <c r="IH102" s="48" t="s">
        <v>4</v>
      </c>
      <c r="II102" s="49">
        <v>3</v>
      </c>
      <c r="IJ102" s="8"/>
      <c r="IK102" s="42">
        <f t="shared" si="638"/>
        <v>7.6</v>
      </c>
      <c r="IL102" s="43">
        <f t="shared" si="639"/>
        <v>-1</v>
      </c>
      <c r="IM102" s="8"/>
      <c r="IN102" s="47">
        <v>7</v>
      </c>
      <c r="IO102" s="48" t="s">
        <v>4</v>
      </c>
      <c r="IP102" s="49">
        <v>8</v>
      </c>
      <c r="IQ102" s="8"/>
      <c r="IR102" s="42">
        <f t="shared" si="640"/>
        <v>7.6</v>
      </c>
      <c r="IS102" s="43">
        <f t="shared" si="641"/>
        <v>-1</v>
      </c>
      <c r="IT102" s="8"/>
      <c r="IU102" s="47">
        <v>1</v>
      </c>
      <c r="IV102" s="48" t="s">
        <v>4</v>
      </c>
      <c r="IW102" s="49">
        <v>2</v>
      </c>
      <c r="IX102" s="8"/>
      <c r="IY102" s="42">
        <f t="shared" si="642"/>
        <v>11.399999999999999</v>
      </c>
      <c r="IZ102" s="43">
        <f t="shared" si="643"/>
        <v>-1</v>
      </c>
      <c r="JA102" s="8"/>
      <c r="JB102" s="47">
        <v>1</v>
      </c>
      <c r="JC102" s="48" t="s">
        <v>4</v>
      </c>
      <c r="JD102" s="49">
        <v>2</v>
      </c>
      <c r="JE102" s="8"/>
      <c r="JF102" s="42">
        <f t="shared" si="644"/>
        <v>11.399999999999999</v>
      </c>
      <c r="JG102" s="43">
        <f t="shared" si="645"/>
        <v>-1</v>
      </c>
      <c r="JH102" s="8"/>
      <c r="JI102" s="47">
        <v>1</v>
      </c>
      <c r="JJ102" s="48" t="s">
        <v>4</v>
      </c>
      <c r="JK102" s="49">
        <v>2</v>
      </c>
      <c r="JL102" s="8"/>
      <c r="JM102" s="42">
        <f t="shared" si="646"/>
        <v>11.399999999999999</v>
      </c>
      <c r="JN102" s="43">
        <f t="shared" si="647"/>
        <v>-1</v>
      </c>
      <c r="JO102" s="8"/>
      <c r="JP102" s="47">
        <v>1</v>
      </c>
      <c r="JQ102" s="48" t="s">
        <v>4</v>
      </c>
      <c r="JR102" s="49">
        <v>0</v>
      </c>
      <c r="JS102" s="8"/>
      <c r="JT102" s="42">
        <f t="shared" si="648"/>
        <v>0</v>
      </c>
      <c r="JU102" s="43">
        <f t="shared" si="649"/>
        <v>1</v>
      </c>
      <c r="JV102" s="8"/>
      <c r="JW102" s="47">
        <v>1</v>
      </c>
      <c r="JX102" s="48" t="s">
        <v>4</v>
      </c>
      <c r="JY102" s="49">
        <v>2</v>
      </c>
      <c r="JZ102" s="8"/>
      <c r="KA102" s="42">
        <f t="shared" si="650"/>
        <v>11.399999999999999</v>
      </c>
      <c r="KB102" s="43">
        <f t="shared" si="651"/>
        <v>-1</v>
      </c>
      <c r="KC102" s="8"/>
      <c r="KD102" s="47">
        <v>1</v>
      </c>
      <c r="KE102" s="48" t="s">
        <v>4</v>
      </c>
      <c r="KF102" s="49">
        <v>3</v>
      </c>
      <c r="KG102" s="8"/>
      <c r="KH102" s="42">
        <f t="shared" si="652"/>
        <v>7.6</v>
      </c>
      <c r="KI102" s="43">
        <f t="shared" si="653"/>
        <v>-2</v>
      </c>
      <c r="KJ102" s="8"/>
      <c r="KK102" s="47">
        <v>3</v>
      </c>
      <c r="KL102" s="48" t="s">
        <v>4</v>
      </c>
      <c r="KM102" s="49">
        <v>1</v>
      </c>
      <c r="KN102" s="8"/>
      <c r="KO102" s="42">
        <f t="shared" si="654"/>
        <v>0</v>
      </c>
      <c r="KP102" s="43">
        <f t="shared" si="655"/>
        <v>2</v>
      </c>
      <c r="KQ102" s="8"/>
      <c r="KR102" s="47">
        <v>0</v>
      </c>
      <c r="KS102" s="48" t="s">
        <v>4</v>
      </c>
      <c r="KT102" s="49">
        <v>1</v>
      </c>
      <c r="KU102" s="8"/>
      <c r="KV102" s="42">
        <f t="shared" si="656"/>
        <v>7.6</v>
      </c>
      <c r="KW102" s="43">
        <f t="shared" si="657"/>
        <v>-1</v>
      </c>
      <c r="KX102" s="8"/>
      <c r="KY102" s="47">
        <v>2</v>
      </c>
      <c r="KZ102" s="48" t="s">
        <v>4</v>
      </c>
      <c r="LA102" s="49">
        <v>1</v>
      </c>
      <c r="LB102" s="8"/>
      <c r="LC102" s="42">
        <f t="shared" si="658"/>
        <v>0</v>
      </c>
      <c r="LD102" s="43">
        <f t="shared" si="659"/>
        <v>1</v>
      </c>
      <c r="LE102" s="8"/>
      <c r="LF102" s="47">
        <v>3</v>
      </c>
      <c r="LG102" s="48" t="s">
        <v>4</v>
      </c>
      <c r="LH102" s="49">
        <v>1</v>
      </c>
      <c r="LI102" s="8"/>
      <c r="LJ102" s="42">
        <f t="shared" si="660"/>
        <v>0</v>
      </c>
      <c r="LK102" s="43">
        <f t="shared" si="661"/>
        <v>2</v>
      </c>
      <c r="LL102" s="8"/>
      <c r="LM102" s="47">
        <v>2</v>
      </c>
      <c r="LN102" s="48" t="s">
        <v>4</v>
      </c>
      <c r="LO102" s="49">
        <v>1</v>
      </c>
      <c r="LP102" s="8"/>
      <c r="LQ102" s="42">
        <f t="shared" si="662"/>
        <v>0</v>
      </c>
      <c r="LR102" s="43">
        <f t="shared" si="663"/>
        <v>1</v>
      </c>
      <c r="LS102" s="8"/>
      <c r="LT102" s="47">
        <v>2</v>
      </c>
      <c r="LU102" s="48" t="s">
        <v>4</v>
      </c>
      <c r="LV102" s="49">
        <v>1</v>
      </c>
      <c r="LW102" s="8"/>
      <c r="LX102" s="42">
        <f t="shared" si="664"/>
        <v>0</v>
      </c>
      <c r="LY102" s="43">
        <f t="shared" si="665"/>
        <v>1</v>
      </c>
      <c r="LZ102" s="8"/>
      <c r="MA102" s="47">
        <v>1</v>
      </c>
      <c r="MB102" s="48" t="s">
        <v>4</v>
      </c>
      <c r="MC102" s="49">
        <v>0</v>
      </c>
      <c r="MD102" s="8"/>
      <c r="ME102" s="42">
        <f t="shared" si="666"/>
        <v>0</v>
      </c>
      <c r="MF102" s="43">
        <f t="shared" si="667"/>
        <v>1</v>
      </c>
      <c r="MG102" s="8"/>
      <c r="MH102" s="47">
        <v>3</v>
      </c>
      <c r="MI102" s="48" t="s">
        <v>4</v>
      </c>
      <c r="MJ102" s="49">
        <v>2</v>
      </c>
      <c r="MK102" s="8"/>
      <c r="ML102" s="42">
        <f t="shared" si="668"/>
        <v>0</v>
      </c>
      <c r="MM102" s="43">
        <f t="shared" si="669"/>
        <v>1</v>
      </c>
      <c r="MN102" s="8"/>
      <c r="MO102" s="47">
        <v>2</v>
      </c>
      <c r="MP102" s="48" t="s">
        <v>4</v>
      </c>
      <c r="MQ102" s="49">
        <v>0</v>
      </c>
      <c r="MR102" s="8"/>
      <c r="MS102" s="42">
        <f t="shared" si="670"/>
        <v>0</v>
      </c>
      <c r="MT102" s="43">
        <f t="shared" si="671"/>
        <v>2</v>
      </c>
      <c r="MU102" s="8"/>
      <c r="MV102" s="47">
        <v>1</v>
      </c>
      <c r="MW102" s="48" t="s">
        <v>4</v>
      </c>
      <c r="MX102" s="49">
        <v>0</v>
      </c>
      <c r="MY102" s="8"/>
      <c r="MZ102" s="42">
        <f t="shared" si="672"/>
        <v>0</v>
      </c>
      <c r="NA102" s="43">
        <f t="shared" si="673"/>
        <v>1</v>
      </c>
      <c r="NB102" s="8"/>
      <c r="NC102" s="47">
        <v>6</v>
      </c>
      <c r="ND102" s="48" t="s">
        <v>4</v>
      </c>
      <c r="NE102" s="49">
        <v>5</v>
      </c>
      <c r="NF102" s="8"/>
      <c r="NG102" s="42">
        <f t="shared" si="674"/>
        <v>0</v>
      </c>
      <c r="NH102" s="43">
        <f t="shared" si="675"/>
        <v>1</v>
      </c>
      <c r="NI102" s="8"/>
      <c r="NJ102" s="47">
        <v>2</v>
      </c>
      <c r="NK102" s="48" t="s">
        <v>4</v>
      </c>
      <c r="NL102" s="49">
        <v>1</v>
      </c>
      <c r="NM102" s="8"/>
      <c r="NN102" s="42">
        <f t="shared" si="676"/>
        <v>0</v>
      </c>
      <c r="NO102" s="43">
        <f t="shared" si="677"/>
        <v>1</v>
      </c>
      <c r="NP102" s="8"/>
      <c r="NQ102" s="47">
        <v>0</v>
      </c>
      <c r="NR102" s="48" t="s">
        <v>4</v>
      </c>
      <c r="NS102" s="49">
        <v>1</v>
      </c>
      <c r="NT102" s="8"/>
      <c r="NU102" s="42">
        <f t="shared" si="678"/>
        <v>7.6</v>
      </c>
      <c r="NV102" s="43">
        <f t="shared" si="679"/>
        <v>-1</v>
      </c>
      <c r="NW102" s="8"/>
      <c r="NX102" s="47">
        <v>5</v>
      </c>
      <c r="NY102" s="48" t="s">
        <v>4</v>
      </c>
      <c r="NZ102" s="49">
        <v>4</v>
      </c>
      <c r="OA102" s="8"/>
      <c r="OB102" s="42">
        <f t="shared" si="680"/>
        <v>0</v>
      </c>
      <c r="OC102" s="43">
        <f t="shared" si="681"/>
        <v>1</v>
      </c>
      <c r="OD102" s="8"/>
      <c r="OE102" s="47">
        <v>2</v>
      </c>
      <c r="OF102" s="48" t="s">
        <v>4</v>
      </c>
      <c r="OG102" s="49">
        <v>1</v>
      </c>
      <c r="OH102" s="8"/>
      <c r="OI102" s="42">
        <f t="shared" si="682"/>
        <v>0</v>
      </c>
      <c r="OJ102" s="43">
        <f t="shared" si="683"/>
        <v>1</v>
      </c>
      <c r="OK102" s="8"/>
      <c r="OL102" s="47">
        <v>3</v>
      </c>
      <c r="OM102" s="48" t="s">
        <v>4</v>
      </c>
      <c r="ON102" s="49">
        <v>2</v>
      </c>
      <c r="OO102" s="8"/>
      <c r="OP102" s="42">
        <f t="shared" si="684"/>
        <v>0</v>
      </c>
      <c r="OQ102" s="43">
        <f t="shared" si="685"/>
        <v>1</v>
      </c>
      <c r="OR102" s="8"/>
      <c r="OS102" s="47">
        <v>2</v>
      </c>
      <c r="OT102" s="48" t="s">
        <v>4</v>
      </c>
      <c r="OU102" s="49">
        <v>3</v>
      </c>
      <c r="OV102" s="8"/>
      <c r="OW102" s="42">
        <f t="shared" si="686"/>
        <v>7.6</v>
      </c>
      <c r="OX102" s="43">
        <f t="shared" si="687"/>
        <v>-1</v>
      </c>
      <c r="OY102" s="8"/>
      <c r="OZ102" s="47">
        <v>2</v>
      </c>
      <c r="PA102" s="48" t="s">
        <v>4</v>
      </c>
      <c r="PB102" s="49">
        <v>3</v>
      </c>
      <c r="PC102" s="8"/>
      <c r="PD102" s="42">
        <f t="shared" si="688"/>
        <v>7.6</v>
      </c>
      <c r="PE102" s="43">
        <f t="shared" si="689"/>
        <v>-1</v>
      </c>
      <c r="PF102" s="8"/>
      <c r="PG102" s="47">
        <v>1</v>
      </c>
      <c r="PH102" s="48" t="s">
        <v>4</v>
      </c>
      <c r="PI102" s="49">
        <v>3</v>
      </c>
      <c r="PJ102" s="8"/>
      <c r="PK102" s="42">
        <f t="shared" si="690"/>
        <v>7.6</v>
      </c>
      <c r="PL102" s="43">
        <f t="shared" si="691"/>
        <v>-2</v>
      </c>
      <c r="PM102" s="8"/>
      <c r="PN102" s="47">
        <v>3</v>
      </c>
      <c r="PO102" s="48" t="s">
        <v>4</v>
      </c>
      <c r="PP102" s="49">
        <v>1</v>
      </c>
      <c r="PQ102" s="8"/>
      <c r="PR102" s="42">
        <f t="shared" si="692"/>
        <v>0</v>
      </c>
      <c r="PS102" s="43">
        <f t="shared" si="693"/>
        <v>2</v>
      </c>
      <c r="PT102" s="8"/>
      <c r="PU102" s="47">
        <v>1</v>
      </c>
      <c r="PV102" s="48" t="s">
        <v>4</v>
      </c>
      <c r="PW102" s="49">
        <v>2</v>
      </c>
      <c r="PX102" s="8"/>
      <c r="PY102" s="42">
        <f t="shared" si="694"/>
        <v>11.399999999999999</v>
      </c>
      <c r="PZ102" s="43">
        <f t="shared" si="695"/>
        <v>-1</v>
      </c>
      <c r="QA102" s="8"/>
      <c r="QB102" s="47">
        <v>3</v>
      </c>
      <c r="QC102" s="48" t="s">
        <v>4</v>
      </c>
      <c r="QD102" s="49">
        <v>1</v>
      </c>
      <c r="QE102" s="8"/>
      <c r="QF102" s="42">
        <f t="shared" si="696"/>
        <v>0</v>
      </c>
      <c r="QG102" s="43">
        <f t="shared" si="697"/>
        <v>2</v>
      </c>
      <c r="QH102" s="8"/>
      <c r="QI102" s="47">
        <v>1</v>
      </c>
      <c r="QJ102" s="48" t="s">
        <v>4</v>
      </c>
      <c r="QK102" s="49">
        <v>3</v>
      </c>
      <c r="QL102" s="8"/>
      <c r="QM102" s="42">
        <f t="shared" si="698"/>
        <v>7.6</v>
      </c>
      <c r="QN102" s="43">
        <f t="shared" si="699"/>
        <v>-2</v>
      </c>
      <c r="QO102" s="8"/>
      <c r="QP102" s="47">
        <v>1</v>
      </c>
      <c r="QQ102" s="48" t="s">
        <v>4</v>
      </c>
      <c r="QR102" s="49">
        <v>2</v>
      </c>
      <c r="QS102" s="8"/>
      <c r="QT102" s="42">
        <f t="shared" si="700"/>
        <v>11.399999999999999</v>
      </c>
      <c r="QU102" s="43">
        <f t="shared" si="701"/>
        <v>-1</v>
      </c>
      <c r="QV102" s="8"/>
      <c r="QW102" s="47">
        <v>2</v>
      </c>
      <c r="QX102" s="48" t="s">
        <v>4</v>
      </c>
      <c r="QY102" s="49">
        <v>1</v>
      </c>
      <c r="QZ102" s="8"/>
      <c r="RA102" s="42">
        <f t="shared" si="702"/>
        <v>0</v>
      </c>
      <c r="RB102" s="43">
        <f t="shared" si="703"/>
        <v>1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>
        <v>2</v>
      </c>
      <c r="RL102" s="48" t="s">
        <v>4</v>
      </c>
      <c r="RM102" s="49">
        <v>0</v>
      </c>
      <c r="RN102" s="8"/>
      <c r="RO102" s="42">
        <f t="shared" si="706"/>
        <v>0</v>
      </c>
      <c r="RP102" s="43">
        <f t="shared" si="707"/>
        <v>2</v>
      </c>
      <c r="RQ102" s="8"/>
      <c r="RR102" s="47">
        <v>2</v>
      </c>
      <c r="RS102" s="48" t="s">
        <v>4</v>
      </c>
      <c r="RT102" s="49">
        <v>1</v>
      </c>
      <c r="RU102" s="8"/>
      <c r="RV102" s="42">
        <f t="shared" si="708"/>
        <v>0</v>
      </c>
      <c r="RW102" s="43">
        <f t="shared" si="709"/>
        <v>1</v>
      </c>
      <c r="RX102" s="8"/>
      <c r="RY102" s="47">
        <v>5</v>
      </c>
      <c r="RZ102" s="48" t="s">
        <v>4</v>
      </c>
      <c r="SA102" s="49">
        <v>2</v>
      </c>
      <c r="SB102" s="8"/>
      <c r="SC102" s="42">
        <f t="shared" si="710"/>
        <v>0</v>
      </c>
      <c r="SD102" s="43">
        <f t="shared" si="711"/>
        <v>3</v>
      </c>
      <c r="SE102" s="8"/>
      <c r="SF102" s="47">
        <v>2</v>
      </c>
      <c r="SG102" s="48" t="s">
        <v>4</v>
      </c>
      <c r="SH102" s="49">
        <v>1</v>
      </c>
      <c r="SI102" s="8"/>
      <c r="SJ102" s="42">
        <f t="shared" si="712"/>
        <v>0</v>
      </c>
      <c r="SK102" s="43">
        <f t="shared" si="713"/>
        <v>1</v>
      </c>
      <c r="SL102" s="8"/>
      <c r="SM102" s="47">
        <v>3</v>
      </c>
      <c r="SN102" s="48" t="s">
        <v>4</v>
      </c>
      <c r="SO102" s="49">
        <v>0</v>
      </c>
      <c r="SP102" s="8"/>
      <c r="SQ102" s="42">
        <f t="shared" si="714"/>
        <v>0</v>
      </c>
      <c r="SR102" s="43">
        <f t="shared" si="715"/>
        <v>3</v>
      </c>
    </row>
    <row r="103" spans="1:512" ht="16" customHeight="1" x14ac:dyDescent="0.15">
      <c r="A103" s="51">
        <v>46209</v>
      </c>
      <c r="B103" s="46">
        <v>8.3333333333333329E-2</v>
      </c>
      <c r="C103" s="82" t="s">
        <v>28</v>
      </c>
      <c r="D103" s="83" t="s">
        <v>8</v>
      </c>
      <c r="E103" s="2">
        <v>2</v>
      </c>
      <c r="F103" s="50" t="s">
        <v>4</v>
      </c>
      <c r="G103" s="1">
        <v>3</v>
      </c>
      <c r="H103" s="16">
        <v>8</v>
      </c>
      <c r="I103" s="32">
        <f t="shared" si="429"/>
        <v>-1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>
        <v>1</v>
      </c>
      <c r="AF103" s="48" t="s">
        <v>4</v>
      </c>
      <c r="AG103" s="49">
        <v>3</v>
      </c>
      <c r="AH103" s="8"/>
      <c r="AI103" s="42">
        <f t="shared" si="578"/>
        <v>8</v>
      </c>
      <c r="AJ103" s="43">
        <f t="shared" si="579"/>
        <v>-2</v>
      </c>
      <c r="AK103" s="8"/>
      <c r="AL103" s="47">
        <v>1</v>
      </c>
      <c r="AM103" s="48" t="s">
        <v>4</v>
      </c>
      <c r="AN103" s="49">
        <v>2</v>
      </c>
      <c r="AO103" s="8"/>
      <c r="AP103" s="42">
        <f t="shared" si="580"/>
        <v>8</v>
      </c>
      <c r="AQ103" s="43">
        <f t="shared" si="581"/>
        <v>-1</v>
      </c>
      <c r="AR103" s="8"/>
      <c r="AS103" s="47">
        <v>7</v>
      </c>
      <c r="AT103" s="48" t="s">
        <v>4</v>
      </c>
      <c r="AU103" s="49">
        <v>6</v>
      </c>
      <c r="AV103" s="8"/>
      <c r="AW103" s="42">
        <f t="shared" si="582"/>
        <v>0</v>
      </c>
      <c r="AX103" s="43">
        <f t="shared" si="583"/>
        <v>1</v>
      </c>
      <c r="AY103" s="8"/>
      <c r="AZ103" s="47">
        <v>2</v>
      </c>
      <c r="BA103" s="48" t="s">
        <v>4</v>
      </c>
      <c r="BB103" s="49">
        <v>1</v>
      </c>
      <c r="BC103" s="8"/>
      <c r="BD103" s="42">
        <f t="shared" si="584"/>
        <v>0</v>
      </c>
      <c r="BE103" s="43">
        <f t="shared" si="585"/>
        <v>1</v>
      </c>
      <c r="BF103" s="8"/>
      <c r="BG103" s="47">
        <v>1</v>
      </c>
      <c r="BH103" s="48" t="s">
        <v>4</v>
      </c>
      <c r="BI103" s="49">
        <v>0</v>
      </c>
      <c r="BJ103" s="8"/>
      <c r="BK103" s="42">
        <f t="shared" si="586"/>
        <v>0</v>
      </c>
      <c r="BL103" s="43">
        <f t="shared" si="587"/>
        <v>1</v>
      </c>
      <c r="BM103" s="8"/>
      <c r="BN103" s="47">
        <v>0</v>
      </c>
      <c r="BO103" s="48" t="s">
        <v>4</v>
      </c>
      <c r="BP103" s="49">
        <v>1</v>
      </c>
      <c r="BQ103" s="8"/>
      <c r="BR103" s="42">
        <f t="shared" si="588"/>
        <v>8</v>
      </c>
      <c r="BS103" s="43">
        <f t="shared" si="589"/>
        <v>-1</v>
      </c>
      <c r="BT103" s="8"/>
      <c r="BU103" s="47">
        <v>1</v>
      </c>
      <c r="BV103" s="48" t="s">
        <v>4</v>
      </c>
      <c r="BW103" s="49">
        <v>2</v>
      </c>
      <c r="BX103" s="8"/>
      <c r="BY103" s="42">
        <f t="shared" si="590"/>
        <v>8</v>
      </c>
      <c r="BZ103" s="43">
        <f t="shared" si="591"/>
        <v>-1</v>
      </c>
      <c r="CA103" s="8"/>
      <c r="CB103" s="47">
        <v>2</v>
      </c>
      <c r="CC103" s="48" t="s">
        <v>4</v>
      </c>
      <c r="CD103" s="49">
        <v>4</v>
      </c>
      <c r="CE103" s="8"/>
      <c r="CF103" s="42">
        <f t="shared" si="592"/>
        <v>8</v>
      </c>
      <c r="CG103" s="43">
        <f t="shared" si="593"/>
        <v>-2</v>
      </c>
      <c r="CH103" s="8"/>
      <c r="CI103" s="47">
        <v>0</v>
      </c>
      <c r="CJ103" s="48" t="s">
        <v>4</v>
      </c>
      <c r="CK103" s="49">
        <v>2</v>
      </c>
      <c r="CL103" s="8"/>
      <c r="CM103" s="42">
        <f t="shared" si="594"/>
        <v>8</v>
      </c>
      <c r="CN103" s="43">
        <f t="shared" si="595"/>
        <v>-2</v>
      </c>
      <c r="CO103" s="8"/>
      <c r="CP103" s="47">
        <v>0</v>
      </c>
      <c r="CQ103" s="48" t="s">
        <v>4</v>
      </c>
      <c r="CR103" s="49">
        <v>1</v>
      </c>
      <c r="CS103" s="8"/>
      <c r="CT103" s="42">
        <f t="shared" si="596"/>
        <v>8</v>
      </c>
      <c r="CU103" s="43">
        <f t="shared" si="597"/>
        <v>-1</v>
      </c>
      <c r="CV103" s="8"/>
      <c r="CW103" s="47">
        <v>2</v>
      </c>
      <c r="CX103" s="48" t="s">
        <v>4</v>
      </c>
      <c r="CY103" s="49">
        <v>3</v>
      </c>
      <c r="CZ103" s="8"/>
      <c r="DA103" s="42">
        <f t="shared" si="598"/>
        <v>12</v>
      </c>
      <c r="DB103" s="43">
        <f t="shared" si="599"/>
        <v>-1</v>
      </c>
      <c r="DC103" s="8"/>
      <c r="DD103" s="47">
        <v>4</v>
      </c>
      <c r="DE103" s="48" t="s">
        <v>4</v>
      </c>
      <c r="DF103" s="49">
        <v>5</v>
      </c>
      <c r="DG103" s="8"/>
      <c r="DH103" s="42">
        <f t="shared" si="600"/>
        <v>8</v>
      </c>
      <c r="DI103" s="43">
        <f t="shared" si="601"/>
        <v>-1</v>
      </c>
      <c r="DJ103" s="8"/>
      <c r="DK103" s="47">
        <v>2</v>
      </c>
      <c r="DL103" s="48" t="s">
        <v>4</v>
      </c>
      <c r="DM103" s="49">
        <v>1</v>
      </c>
      <c r="DN103" s="8"/>
      <c r="DO103" s="42">
        <f t="shared" si="602"/>
        <v>0</v>
      </c>
      <c r="DP103" s="43">
        <f t="shared" si="603"/>
        <v>1</v>
      </c>
      <c r="DQ103" s="8"/>
      <c r="DR103" s="47">
        <v>1</v>
      </c>
      <c r="DS103" s="48" t="s">
        <v>4</v>
      </c>
      <c r="DT103" s="49">
        <v>3</v>
      </c>
      <c r="DU103" s="8"/>
      <c r="DV103" s="42">
        <f t="shared" si="604"/>
        <v>8</v>
      </c>
      <c r="DW103" s="43">
        <f t="shared" si="605"/>
        <v>-2</v>
      </c>
      <c r="DX103" s="8"/>
      <c r="DY103" s="47">
        <v>2</v>
      </c>
      <c r="DZ103" s="48" t="s">
        <v>4</v>
      </c>
      <c r="EA103" s="49">
        <v>3</v>
      </c>
      <c r="EB103" s="8"/>
      <c r="EC103" s="42">
        <f t="shared" si="606"/>
        <v>12</v>
      </c>
      <c r="ED103" s="43">
        <f t="shared" si="607"/>
        <v>-1</v>
      </c>
      <c r="EE103" s="8"/>
      <c r="EF103" s="47">
        <v>1</v>
      </c>
      <c r="EG103" s="48" t="s">
        <v>4</v>
      </c>
      <c r="EH103" s="49">
        <v>2</v>
      </c>
      <c r="EI103" s="8"/>
      <c r="EJ103" s="42">
        <f t="shared" si="608"/>
        <v>8</v>
      </c>
      <c r="EK103" s="43">
        <f t="shared" si="609"/>
        <v>-1</v>
      </c>
      <c r="EL103" s="8"/>
      <c r="EM103" s="47">
        <v>1</v>
      </c>
      <c r="EN103" s="48" t="s">
        <v>4</v>
      </c>
      <c r="EO103" s="49">
        <v>3</v>
      </c>
      <c r="EP103" s="8"/>
      <c r="EQ103" s="42">
        <f t="shared" si="610"/>
        <v>8</v>
      </c>
      <c r="ER103" s="43">
        <f t="shared" si="611"/>
        <v>-2</v>
      </c>
      <c r="ES103" s="8"/>
      <c r="ET103" s="47">
        <v>4</v>
      </c>
      <c r="EU103" s="48" t="s">
        <v>4</v>
      </c>
      <c r="EV103" s="49">
        <v>5</v>
      </c>
      <c r="EW103" s="8"/>
      <c r="EX103" s="42">
        <f t="shared" si="612"/>
        <v>8</v>
      </c>
      <c r="EY103" s="43">
        <f t="shared" si="613"/>
        <v>-1</v>
      </c>
      <c r="EZ103" s="8"/>
      <c r="FA103" s="47">
        <v>1</v>
      </c>
      <c r="FB103" s="48" t="s">
        <v>4</v>
      </c>
      <c r="FC103" s="49">
        <v>3</v>
      </c>
      <c r="FD103" s="8"/>
      <c r="FE103" s="42">
        <f t="shared" si="614"/>
        <v>8</v>
      </c>
      <c r="FF103" s="43">
        <f t="shared" si="615"/>
        <v>-2</v>
      </c>
      <c r="FG103" s="8"/>
      <c r="FH103" s="47">
        <v>2</v>
      </c>
      <c r="FI103" s="48" t="s">
        <v>4</v>
      </c>
      <c r="FJ103" s="49">
        <v>1</v>
      </c>
      <c r="FK103" s="8"/>
      <c r="FL103" s="42">
        <f t="shared" si="616"/>
        <v>0</v>
      </c>
      <c r="FM103" s="43">
        <f t="shared" si="617"/>
        <v>1</v>
      </c>
      <c r="FN103" s="8"/>
      <c r="FO103" s="47">
        <v>2</v>
      </c>
      <c r="FP103" s="48" t="s">
        <v>4</v>
      </c>
      <c r="FQ103" s="49">
        <v>3</v>
      </c>
      <c r="FR103" s="8"/>
      <c r="FS103" s="42">
        <f t="shared" si="618"/>
        <v>12</v>
      </c>
      <c r="FT103" s="43">
        <f t="shared" si="619"/>
        <v>-1</v>
      </c>
      <c r="FU103" s="8"/>
      <c r="FV103" s="47">
        <v>2</v>
      </c>
      <c r="FW103" s="48" t="s">
        <v>4</v>
      </c>
      <c r="FX103" s="49">
        <v>1</v>
      </c>
      <c r="FY103" s="8"/>
      <c r="FZ103" s="42">
        <f t="shared" si="620"/>
        <v>0</v>
      </c>
      <c r="GA103" s="43">
        <f t="shared" si="621"/>
        <v>1</v>
      </c>
      <c r="GB103" s="8"/>
      <c r="GC103" s="47">
        <v>2</v>
      </c>
      <c r="GD103" s="48" t="s">
        <v>4</v>
      </c>
      <c r="GE103" s="49">
        <v>1</v>
      </c>
      <c r="GF103" s="8"/>
      <c r="GG103" s="42">
        <f t="shared" si="622"/>
        <v>0</v>
      </c>
      <c r="GH103" s="43">
        <f t="shared" si="623"/>
        <v>1</v>
      </c>
      <c r="GI103" s="8"/>
      <c r="GJ103" s="47">
        <v>2</v>
      </c>
      <c r="GK103" s="48" t="s">
        <v>4</v>
      </c>
      <c r="GL103" s="49">
        <v>3</v>
      </c>
      <c r="GM103" s="8"/>
      <c r="GN103" s="42">
        <f t="shared" si="624"/>
        <v>12</v>
      </c>
      <c r="GO103" s="43">
        <f t="shared" si="625"/>
        <v>-1</v>
      </c>
      <c r="GP103" s="8"/>
      <c r="GQ103" s="47">
        <v>3</v>
      </c>
      <c r="GR103" s="48" t="s">
        <v>4</v>
      </c>
      <c r="GS103" s="49">
        <v>5</v>
      </c>
      <c r="GT103" s="8"/>
      <c r="GU103" s="42">
        <f t="shared" si="626"/>
        <v>8</v>
      </c>
      <c r="GV103" s="43">
        <f t="shared" si="627"/>
        <v>-2</v>
      </c>
      <c r="GW103" s="8"/>
      <c r="GX103" s="47">
        <v>1</v>
      </c>
      <c r="GY103" s="48" t="s">
        <v>4</v>
      </c>
      <c r="GZ103" s="49">
        <v>2</v>
      </c>
      <c r="HA103" s="8"/>
      <c r="HB103" s="42">
        <f t="shared" si="628"/>
        <v>8</v>
      </c>
      <c r="HC103" s="43">
        <f t="shared" si="629"/>
        <v>-1</v>
      </c>
      <c r="HD103" s="8"/>
      <c r="HE103" s="47">
        <v>1</v>
      </c>
      <c r="HF103" s="48" t="s">
        <v>4</v>
      </c>
      <c r="HG103" s="49">
        <v>2</v>
      </c>
      <c r="HH103" s="8"/>
      <c r="HI103" s="42">
        <f t="shared" si="630"/>
        <v>8</v>
      </c>
      <c r="HJ103" s="43">
        <f t="shared" si="631"/>
        <v>-1</v>
      </c>
      <c r="HK103" s="8"/>
      <c r="HL103" s="47">
        <v>1</v>
      </c>
      <c r="HM103" s="48" t="s">
        <v>4</v>
      </c>
      <c r="HN103" s="49">
        <v>3</v>
      </c>
      <c r="HO103" s="8"/>
      <c r="HP103" s="42">
        <f t="shared" si="632"/>
        <v>8</v>
      </c>
      <c r="HQ103" s="43">
        <f t="shared" si="633"/>
        <v>-2</v>
      </c>
      <c r="HR103" s="8"/>
      <c r="HS103" s="47">
        <v>1</v>
      </c>
      <c r="HT103" s="48" t="s">
        <v>4</v>
      </c>
      <c r="HU103" s="49">
        <v>2</v>
      </c>
      <c r="HV103" s="8"/>
      <c r="HW103" s="42">
        <f t="shared" si="634"/>
        <v>8</v>
      </c>
      <c r="HX103" s="43">
        <f t="shared" si="635"/>
        <v>-1</v>
      </c>
      <c r="HY103" s="8"/>
      <c r="HZ103" s="47">
        <v>1</v>
      </c>
      <c r="IA103" s="48" t="s">
        <v>4</v>
      </c>
      <c r="IB103" s="49">
        <v>2</v>
      </c>
      <c r="IC103" s="8"/>
      <c r="ID103" s="42">
        <f t="shared" si="636"/>
        <v>8</v>
      </c>
      <c r="IE103" s="43">
        <f t="shared" si="637"/>
        <v>-1</v>
      </c>
      <c r="IF103" s="8"/>
      <c r="IG103" s="47">
        <v>3</v>
      </c>
      <c r="IH103" s="48" t="s">
        <v>4</v>
      </c>
      <c r="II103" s="49">
        <v>2</v>
      </c>
      <c r="IJ103" s="8"/>
      <c r="IK103" s="42">
        <f t="shared" si="638"/>
        <v>0</v>
      </c>
      <c r="IL103" s="43">
        <f t="shared" si="639"/>
        <v>1</v>
      </c>
      <c r="IM103" s="8"/>
      <c r="IN103" s="47">
        <v>1</v>
      </c>
      <c r="IO103" s="48" t="s">
        <v>4</v>
      </c>
      <c r="IP103" s="49">
        <v>3</v>
      </c>
      <c r="IQ103" s="8"/>
      <c r="IR103" s="42">
        <f t="shared" si="640"/>
        <v>8</v>
      </c>
      <c r="IS103" s="43">
        <f t="shared" si="641"/>
        <v>-2</v>
      </c>
      <c r="IT103" s="8"/>
      <c r="IU103" s="47">
        <v>1</v>
      </c>
      <c r="IV103" s="48" t="s">
        <v>4</v>
      </c>
      <c r="IW103" s="49">
        <v>2</v>
      </c>
      <c r="IX103" s="8"/>
      <c r="IY103" s="42">
        <f t="shared" si="642"/>
        <v>8</v>
      </c>
      <c r="IZ103" s="43">
        <f t="shared" si="643"/>
        <v>-1</v>
      </c>
      <c r="JA103" s="8"/>
      <c r="JB103" s="47">
        <v>1</v>
      </c>
      <c r="JC103" s="48" t="s">
        <v>4</v>
      </c>
      <c r="JD103" s="49">
        <v>3</v>
      </c>
      <c r="JE103" s="8"/>
      <c r="JF103" s="42">
        <f t="shared" si="644"/>
        <v>8</v>
      </c>
      <c r="JG103" s="43">
        <f t="shared" si="645"/>
        <v>-2</v>
      </c>
      <c r="JH103" s="8"/>
      <c r="JI103" s="47">
        <v>0</v>
      </c>
      <c r="JJ103" s="48" t="s">
        <v>4</v>
      </c>
      <c r="JK103" s="49">
        <v>3</v>
      </c>
      <c r="JL103" s="8"/>
      <c r="JM103" s="42">
        <f t="shared" si="646"/>
        <v>8</v>
      </c>
      <c r="JN103" s="43">
        <f t="shared" si="647"/>
        <v>-3</v>
      </c>
      <c r="JO103" s="8"/>
      <c r="JP103" s="47">
        <v>5</v>
      </c>
      <c r="JQ103" s="48" t="s">
        <v>4</v>
      </c>
      <c r="JR103" s="49">
        <v>6</v>
      </c>
      <c r="JS103" s="8"/>
      <c r="JT103" s="42">
        <f t="shared" si="648"/>
        <v>8</v>
      </c>
      <c r="JU103" s="43">
        <f t="shared" si="649"/>
        <v>-1</v>
      </c>
      <c r="JV103" s="8"/>
      <c r="JW103" s="47">
        <v>3</v>
      </c>
      <c r="JX103" s="48" t="s">
        <v>4</v>
      </c>
      <c r="JY103" s="49">
        <v>5</v>
      </c>
      <c r="JZ103" s="8"/>
      <c r="KA103" s="42">
        <f t="shared" si="650"/>
        <v>8</v>
      </c>
      <c r="KB103" s="43">
        <f t="shared" si="651"/>
        <v>-2</v>
      </c>
      <c r="KC103" s="8"/>
      <c r="KD103" s="47">
        <v>1</v>
      </c>
      <c r="KE103" s="48" t="s">
        <v>4</v>
      </c>
      <c r="KF103" s="49">
        <v>2</v>
      </c>
      <c r="KG103" s="8"/>
      <c r="KH103" s="42">
        <f t="shared" si="652"/>
        <v>8</v>
      </c>
      <c r="KI103" s="43">
        <f t="shared" si="653"/>
        <v>-1</v>
      </c>
      <c r="KJ103" s="8"/>
      <c r="KK103" s="47">
        <v>0</v>
      </c>
      <c r="KL103" s="48" t="s">
        <v>4</v>
      </c>
      <c r="KM103" s="49">
        <v>1</v>
      </c>
      <c r="KN103" s="8"/>
      <c r="KO103" s="42">
        <f t="shared" si="654"/>
        <v>8</v>
      </c>
      <c r="KP103" s="43">
        <f t="shared" si="655"/>
        <v>-1</v>
      </c>
      <c r="KQ103" s="8"/>
      <c r="KR103" s="47">
        <v>4</v>
      </c>
      <c r="KS103" s="48" t="s">
        <v>4</v>
      </c>
      <c r="KT103" s="49">
        <v>5</v>
      </c>
      <c r="KU103" s="8"/>
      <c r="KV103" s="42">
        <f t="shared" si="656"/>
        <v>8</v>
      </c>
      <c r="KW103" s="43">
        <f t="shared" si="657"/>
        <v>-1</v>
      </c>
      <c r="KX103" s="8"/>
      <c r="KY103" s="47">
        <v>2</v>
      </c>
      <c r="KZ103" s="48" t="s">
        <v>4</v>
      </c>
      <c r="LA103" s="49">
        <v>1</v>
      </c>
      <c r="LB103" s="8"/>
      <c r="LC103" s="42">
        <f t="shared" si="658"/>
        <v>0</v>
      </c>
      <c r="LD103" s="43">
        <f t="shared" si="659"/>
        <v>1</v>
      </c>
      <c r="LE103" s="8"/>
      <c r="LF103" s="47">
        <v>0</v>
      </c>
      <c r="LG103" s="48" t="s">
        <v>4</v>
      </c>
      <c r="LH103" s="49">
        <v>2</v>
      </c>
      <c r="LI103" s="8"/>
      <c r="LJ103" s="42">
        <f t="shared" si="660"/>
        <v>8</v>
      </c>
      <c r="LK103" s="43">
        <f t="shared" si="661"/>
        <v>-2</v>
      </c>
      <c r="LL103" s="8"/>
      <c r="LM103" s="47">
        <v>1</v>
      </c>
      <c r="LN103" s="48" t="s">
        <v>4</v>
      </c>
      <c r="LO103" s="49">
        <v>2</v>
      </c>
      <c r="LP103" s="8"/>
      <c r="LQ103" s="42">
        <f t="shared" si="662"/>
        <v>8</v>
      </c>
      <c r="LR103" s="43">
        <f t="shared" si="663"/>
        <v>-1</v>
      </c>
      <c r="LS103" s="8"/>
      <c r="LT103" s="47">
        <v>0</v>
      </c>
      <c r="LU103" s="48" t="s">
        <v>4</v>
      </c>
      <c r="LV103" s="49">
        <v>2</v>
      </c>
      <c r="LW103" s="8"/>
      <c r="LX103" s="42">
        <f t="shared" si="664"/>
        <v>8</v>
      </c>
      <c r="LY103" s="43">
        <f t="shared" si="665"/>
        <v>-2</v>
      </c>
      <c r="LZ103" s="8"/>
      <c r="MA103" s="47">
        <v>2</v>
      </c>
      <c r="MB103" s="48" t="s">
        <v>4</v>
      </c>
      <c r="MC103" s="49">
        <v>1</v>
      </c>
      <c r="MD103" s="8"/>
      <c r="ME103" s="42">
        <f t="shared" si="666"/>
        <v>0</v>
      </c>
      <c r="MF103" s="43">
        <f t="shared" si="667"/>
        <v>1</v>
      </c>
      <c r="MG103" s="8"/>
      <c r="MH103" s="47">
        <v>0</v>
      </c>
      <c r="MI103" s="48" t="s">
        <v>4</v>
      </c>
      <c r="MJ103" s="49">
        <v>3</v>
      </c>
      <c r="MK103" s="8"/>
      <c r="ML103" s="42">
        <f t="shared" si="668"/>
        <v>8</v>
      </c>
      <c r="MM103" s="43">
        <f t="shared" si="669"/>
        <v>-3</v>
      </c>
      <c r="MN103" s="8"/>
      <c r="MO103" s="47">
        <v>1</v>
      </c>
      <c r="MP103" s="48" t="s">
        <v>4</v>
      </c>
      <c r="MQ103" s="49">
        <v>3</v>
      </c>
      <c r="MR103" s="8"/>
      <c r="MS103" s="42">
        <f t="shared" si="670"/>
        <v>8</v>
      </c>
      <c r="MT103" s="43">
        <f t="shared" si="671"/>
        <v>-2</v>
      </c>
      <c r="MU103" s="8"/>
      <c r="MV103" s="47">
        <v>1</v>
      </c>
      <c r="MW103" s="48" t="s">
        <v>4</v>
      </c>
      <c r="MX103" s="49">
        <v>2</v>
      </c>
      <c r="MY103" s="8"/>
      <c r="MZ103" s="42">
        <f t="shared" si="672"/>
        <v>8</v>
      </c>
      <c r="NA103" s="43">
        <f t="shared" si="673"/>
        <v>-1</v>
      </c>
      <c r="NB103" s="8"/>
      <c r="NC103" s="47">
        <v>2</v>
      </c>
      <c r="ND103" s="48" t="s">
        <v>4</v>
      </c>
      <c r="NE103" s="49">
        <v>0</v>
      </c>
      <c r="NF103" s="8"/>
      <c r="NG103" s="42">
        <f t="shared" si="674"/>
        <v>0</v>
      </c>
      <c r="NH103" s="43">
        <f t="shared" si="675"/>
        <v>2</v>
      </c>
      <c r="NI103" s="8"/>
      <c r="NJ103" s="47">
        <v>3</v>
      </c>
      <c r="NK103" s="48" t="s">
        <v>4</v>
      </c>
      <c r="NL103" s="49">
        <v>2</v>
      </c>
      <c r="NM103" s="8"/>
      <c r="NN103" s="42">
        <f t="shared" si="676"/>
        <v>0</v>
      </c>
      <c r="NO103" s="43">
        <f t="shared" si="677"/>
        <v>1</v>
      </c>
      <c r="NP103" s="8"/>
      <c r="NQ103" s="47">
        <v>1</v>
      </c>
      <c r="NR103" s="48" t="s">
        <v>4</v>
      </c>
      <c r="NS103" s="49">
        <v>2</v>
      </c>
      <c r="NT103" s="8"/>
      <c r="NU103" s="42">
        <f t="shared" si="678"/>
        <v>8</v>
      </c>
      <c r="NV103" s="43">
        <f t="shared" si="679"/>
        <v>-1</v>
      </c>
      <c r="NW103" s="8"/>
      <c r="NX103" s="47">
        <v>1</v>
      </c>
      <c r="NY103" s="48" t="s">
        <v>4</v>
      </c>
      <c r="NZ103" s="49">
        <v>2</v>
      </c>
      <c r="OA103" s="8"/>
      <c r="OB103" s="42">
        <f t="shared" si="680"/>
        <v>8</v>
      </c>
      <c r="OC103" s="43">
        <f t="shared" si="681"/>
        <v>-1</v>
      </c>
      <c r="OD103" s="8"/>
      <c r="OE103" s="47">
        <v>0</v>
      </c>
      <c r="OF103" s="48" t="s">
        <v>4</v>
      </c>
      <c r="OG103" s="49">
        <v>2</v>
      </c>
      <c r="OH103" s="8"/>
      <c r="OI103" s="42">
        <f t="shared" si="682"/>
        <v>8</v>
      </c>
      <c r="OJ103" s="43">
        <f t="shared" si="683"/>
        <v>-2</v>
      </c>
      <c r="OK103" s="8"/>
      <c r="OL103" s="47">
        <v>4</v>
      </c>
      <c r="OM103" s="48" t="s">
        <v>4</v>
      </c>
      <c r="ON103" s="49">
        <v>5</v>
      </c>
      <c r="OO103" s="8"/>
      <c r="OP103" s="42">
        <f t="shared" si="684"/>
        <v>8</v>
      </c>
      <c r="OQ103" s="43">
        <f t="shared" si="685"/>
        <v>-1</v>
      </c>
      <c r="OR103" s="8"/>
      <c r="OS103" s="47">
        <v>2</v>
      </c>
      <c r="OT103" s="48" t="s">
        <v>4</v>
      </c>
      <c r="OU103" s="49">
        <v>0</v>
      </c>
      <c r="OV103" s="8"/>
      <c r="OW103" s="42">
        <f t="shared" si="686"/>
        <v>0</v>
      </c>
      <c r="OX103" s="43">
        <f t="shared" si="687"/>
        <v>2</v>
      </c>
      <c r="OY103" s="8"/>
      <c r="OZ103" s="47">
        <v>1</v>
      </c>
      <c r="PA103" s="48" t="s">
        <v>4</v>
      </c>
      <c r="PB103" s="49">
        <v>2</v>
      </c>
      <c r="PC103" s="8"/>
      <c r="PD103" s="42">
        <f t="shared" si="688"/>
        <v>8</v>
      </c>
      <c r="PE103" s="43">
        <f t="shared" si="689"/>
        <v>-1</v>
      </c>
      <c r="PF103" s="8"/>
      <c r="PG103" s="47">
        <v>5</v>
      </c>
      <c r="PH103" s="48" t="s">
        <v>4</v>
      </c>
      <c r="PI103" s="49">
        <v>4</v>
      </c>
      <c r="PJ103" s="8"/>
      <c r="PK103" s="42">
        <f t="shared" si="690"/>
        <v>0</v>
      </c>
      <c r="PL103" s="43">
        <f t="shared" si="691"/>
        <v>1</v>
      </c>
      <c r="PM103" s="8"/>
      <c r="PN103" s="47">
        <v>1</v>
      </c>
      <c r="PO103" s="48" t="s">
        <v>4</v>
      </c>
      <c r="PP103" s="49">
        <v>2</v>
      </c>
      <c r="PQ103" s="8"/>
      <c r="PR103" s="42">
        <f t="shared" si="692"/>
        <v>8</v>
      </c>
      <c r="PS103" s="43">
        <f t="shared" si="693"/>
        <v>-1</v>
      </c>
      <c r="PT103" s="8"/>
      <c r="PU103" s="47">
        <v>2</v>
      </c>
      <c r="PV103" s="48" t="s">
        <v>4</v>
      </c>
      <c r="PW103" s="49">
        <v>3</v>
      </c>
      <c r="PX103" s="8"/>
      <c r="PY103" s="42">
        <f t="shared" si="694"/>
        <v>12</v>
      </c>
      <c r="PZ103" s="43">
        <f t="shared" si="695"/>
        <v>-1</v>
      </c>
      <c r="QA103" s="8"/>
      <c r="QB103" s="47">
        <v>1</v>
      </c>
      <c r="QC103" s="48" t="s">
        <v>4</v>
      </c>
      <c r="QD103" s="49">
        <v>2</v>
      </c>
      <c r="QE103" s="8"/>
      <c r="QF103" s="42">
        <f t="shared" si="696"/>
        <v>8</v>
      </c>
      <c r="QG103" s="43">
        <f t="shared" si="697"/>
        <v>-1</v>
      </c>
      <c r="QH103" s="8"/>
      <c r="QI103" s="47">
        <v>4</v>
      </c>
      <c r="QJ103" s="48" t="s">
        <v>4</v>
      </c>
      <c r="QK103" s="49">
        <v>5</v>
      </c>
      <c r="QL103" s="8"/>
      <c r="QM103" s="42">
        <f t="shared" si="698"/>
        <v>8</v>
      </c>
      <c r="QN103" s="43">
        <f t="shared" si="699"/>
        <v>-1</v>
      </c>
      <c r="QO103" s="8"/>
      <c r="QP103" s="47">
        <v>1</v>
      </c>
      <c r="QQ103" s="48" t="s">
        <v>4</v>
      </c>
      <c r="QR103" s="49">
        <v>2</v>
      </c>
      <c r="QS103" s="8"/>
      <c r="QT103" s="42">
        <f t="shared" si="700"/>
        <v>8</v>
      </c>
      <c r="QU103" s="43">
        <f t="shared" si="701"/>
        <v>-1</v>
      </c>
      <c r="QV103" s="8"/>
      <c r="QW103" s="47">
        <v>1</v>
      </c>
      <c r="QX103" s="48" t="s">
        <v>4</v>
      </c>
      <c r="QY103" s="49">
        <v>2</v>
      </c>
      <c r="QZ103" s="8"/>
      <c r="RA103" s="42">
        <f t="shared" si="702"/>
        <v>8</v>
      </c>
      <c r="RB103" s="43">
        <f t="shared" si="703"/>
        <v>-1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>
        <v>0</v>
      </c>
      <c r="RL103" s="48" t="s">
        <v>4</v>
      </c>
      <c r="RM103" s="49">
        <v>4</v>
      </c>
      <c r="RN103" s="8"/>
      <c r="RO103" s="42">
        <f t="shared" si="706"/>
        <v>8</v>
      </c>
      <c r="RP103" s="43">
        <f t="shared" si="707"/>
        <v>-4</v>
      </c>
      <c r="RQ103" s="8"/>
      <c r="RR103" s="47">
        <v>3</v>
      </c>
      <c r="RS103" s="48" t="s">
        <v>4</v>
      </c>
      <c r="RT103" s="49">
        <v>1</v>
      </c>
      <c r="RU103" s="8"/>
      <c r="RV103" s="42">
        <f t="shared" si="708"/>
        <v>0</v>
      </c>
      <c r="RW103" s="43">
        <f t="shared" si="709"/>
        <v>2</v>
      </c>
      <c r="RX103" s="8"/>
      <c r="RY103" s="47">
        <v>5</v>
      </c>
      <c r="RZ103" s="48" t="s">
        <v>4</v>
      </c>
      <c r="SA103" s="49">
        <v>1</v>
      </c>
      <c r="SB103" s="8"/>
      <c r="SC103" s="42">
        <f t="shared" si="710"/>
        <v>0</v>
      </c>
      <c r="SD103" s="43">
        <f t="shared" si="711"/>
        <v>4</v>
      </c>
      <c r="SE103" s="8"/>
      <c r="SF103" s="47">
        <v>3</v>
      </c>
      <c r="SG103" s="48" t="s">
        <v>4</v>
      </c>
      <c r="SH103" s="49">
        <v>0</v>
      </c>
      <c r="SI103" s="8"/>
      <c r="SJ103" s="42">
        <f t="shared" si="712"/>
        <v>0</v>
      </c>
      <c r="SK103" s="43">
        <f t="shared" si="713"/>
        <v>3</v>
      </c>
      <c r="SL103" s="8"/>
      <c r="SM103" s="47">
        <v>2</v>
      </c>
      <c r="SN103" s="48" t="s">
        <v>4</v>
      </c>
      <c r="SO103" s="49">
        <v>0</v>
      </c>
      <c r="SP103" s="8"/>
      <c r="SQ103" s="42">
        <f t="shared" si="714"/>
        <v>0</v>
      </c>
      <c r="SR103" s="43">
        <f t="shared" si="715"/>
        <v>2</v>
      </c>
    </row>
    <row r="104" spans="1:512" ht="16" customHeight="1" x14ac:dyDescent="0.15">
      <c r="A104" s="51">
        <v>46209</v>
      </c>
      <c r="B104" s="46">
        <v>0.875</v>
      </c>
      <c r="C104" s="82" t="s">
        <v>9</v>
      </c>
      <c r="D104" s="82" t="s">
        <v>3</v>
      </c>
      <c r="E104" s="2">
        <v>0</v>
      </c>
      <c r="F104" s="50" t="s">
        <v>4</v>
      </c>
      <c r="G104" s="1">
        <v>1</v>
      </c>
      <c r="H104" s="16">
        <v>8</v>
      </c>
      <c r="I104" s="32">
        <f t="shared" si="429"/>
        <v>-1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>
        <v>2</v>
      </c>
      <c r="AF104" s="48" t="s">
        <v>4</v>
      </c>
      <c r="AG104" s="49">
        <v>3</v>
      </c>
      <c r="AH104" s="8"/>
      <c r="AI104" s="42">
        <f t="shared" si="578"/>
        <v>8</v>
      </c>
      <c r="AJ104" s="43">
        <f t="shared" si="579"/>
        <v>-1</v>
      </c>
      <c r="AK104" s="8"/>
      <c r="AL104" s="47">
        <v>5</v>
      </c>
      <c r="AM104" s="48" t="s">
        <v>4</v>
      </c>
      <c r="AN104" s="49">
        <v>4</v>
      </c>
      <c r="AO104" s="8"/>
      <c r="AP104" s="42">
        <f t="shared" si="580"/>
        <v>0</v>
      </c>
      <c r="AQ104" s="43">
        <f t="shared" si="581"/>
        <v>1</v>
      </c>
      <c r="AR104" s="8"/>
      <c r="AS104" s="47">
        <v>2</v>
      </c>
      <c r="AT104" s="48" t="s">
        <v>4</v>
      </c>
      <c r="AU104" s="49">
        <v>3</v>
      </c>
      <c r="AV104" s="8"/>
      <c r="AW104" s="42">
        <f t="shared" si="582"/>
        <v>8</v>
      </c>
      <c r="AX104" s="43">
        <f t="shared" si="583"/>
        <v>-1</v>
      </c>
      <c r="AY104" s="8"/>
      <c r="AZ104" s="47">
        <v>0</v>
      </c>
      <c r="BA104" s="48" t="s">
        <v>4</v>
      </c>
      <c r="BB104" s="49">
        <v>1</v>
      </c>
      <c r="BC104" s="8"/>
      <c r="BD104" s="42">
        <f t="shared" si="584"/>
        <v>12</v>
      </c>
      <c r="BE104" s="43">
        <f t="shared" si="585"/>
        <v>-1</v>
      </c>
      <c r="BF104" s="8"/>
      <c r="BG104" s="47">
        <v>1</v>
      </c>
      <c r="BH104" s="48" t="s">
        <v>4</v>
      </c>
      <c r="BI104" s="49">
        <v>3</v>
      </c>
      <c r="BJ104" s="8"/>
      <c r="BK104" s="42">
        <f t="shared" si="586"/>
        <v>8</v>
      </c>
      <c r="BL104" s="43">
        <f t="shared" si="587"/>
        <v>-2</v>
      </c>
      <c r="BM104" s="8"/>
      <c r="BN104" s="47">
        <v>1</v>
      </c>
      <c r="BO104" s="48" t="s">
        <v>4</v>
      </c>
      <c r="BP104" s="49">
        <v>2</v>
      </c>
      <c r="BQ104" s="8"/>
      <c r="BR104" s="42">
        <f t="shared" si="588"/>
        <v>8</v>
      </c>
      <c r="BS104" s="43">
        <f t="shared" si="589"/>
        <v>-1</v>
      </c>
      <c r="BT104" s="8"/>
      <c r="BU104" s="47">
        <v>0</v>
      </c>
      <c r="BV104" s="48" t="s">
        <v>4</v>
      </c>
      <c r="BW104" s="49">
        <v>2</v>
      </c>
      <c r="BX104" s="8"/>
      <c r="BY104" s="42">
        <f t="shared" si="590"/>
        <v>8</v>
      </c>
      <c r="BZ104" s="43">
        <f t="shared" si="591"/>
        <v>-2</v>
      </c>
      <c r="CA104" s="8"/>
      <c r="CB104" s="47">
        <v>1</v>
      </c>
      <c r="CC104" s="48" t="s">
        <v>4</v>
      </c>
      <c r="CD104" s="49">
        <v>4</v>
      </c>
      <c r="CE104" s="8"/>
      <c r="CF104" s="42">
        <f t="shared" si="592"/>
        <v>8</v>
      </c>
      <c r="CG104" s="43">
        <f t="shared" si="593"/>
        <v>-3</v>
      </c>
      <c r="CH104" s="8"/>
      <c r="CI104" s="47">
        <v>2</v>
      </c>
      <c r="CJ104" s="48" t="s">
        <v>4</v>
      </c>
      <c r="CK104" s="49">
        <v>1</v>
      </c>
      <c r="CL104" s="8"/>
      <c r="CM104" s="42">
        <f t="shared" si="594"/>
        <v>0</v>
      </c>
      <c r="CN104" s="43">
        <f t="shared" si="595"/>
        <v>1</v>
      </c>
      <c r="CO104" s="8"/>
      <c r="CP104" s="47">
        <v>2</v>
      </c>
      <c r="CQ104" s="48" t="s">
        <v>4</v>
      </c>
      <c r="CR104" s="49">
        <v>1</v>
      </c>
      <c r="CS104" s="8"/>
      <c r="CT104" s="42">
        <f t="shared" si="596"/>
        <v>0</v>
      </c>
      <c r="CU104" s="43">
        <f t="shared" si="597"/>
        <v>1</v>
      </c>
      <c r="CV104" s="8"/>
      <c r="CW104" s="47">
        <v>1</v>
      </c>
      <c r="CX104" s="48" t="s">
        <v>4</v>
      </c>
      <c r="CY104" s="49">
        <v>2</v>
      </c>
      <c r="CZ104" s="8"/>
      <c r="DA104" s="42">
        <f t="shared" si="598"/>
        <v>8</v>
      </c>
      <c r="DB104" s="43">
        <f t="shared" si="599"/>
        <v>-1</v>
      </c>
      <c r="DC104" s="8"/>
      <c r="DD104" s="47">
        <v>1</v>
      </c>
      <c r="DE104" s="48" t="s">
        <v>4</v>
      </c>
      <c r="DF104" s="49">
        <v>2</v>
      </c>
      <c r="DG104" s="8"/>
      <c r="DH104" s="42">
        <f t="shared" si="600"/>
        <v>8</v>
      </c>
      <c r="DI104" s="43">
        <f t="shared" si="601"/>
        <v>-1</v>
      </c>
      <c r="DJ104" s="8"/>
      <c r="DK104" s="47">
        <v>0</v>
      </c>
      <c r="DL104" s="48" t="s">
        <v>4</v>
      </c>
      <c r="DM104" s="49">
        <v>2</v>
      </c>
      <c r="DN104" s="8"/>
      <c r="DO104" s="42">
        <f t="shared" si="602"/>
        <v>8</v>
      </c>
      <c r="DP104" s="43">
        <f t="shared" si="603"/>
        <v>-2</v>
      </c>
      <c r="DQ104" s="8"/>
      <c r="DR104" s="47">
        <v>2</v>
      </c>
      <c r="DS104" s="48" t="s">
        <v>4</v>
      </c>
      <c r="DT104" s="49">
        <v>3</v>
      </c>
      <c r="DU104" s="8"/>
      <c r="DV104" s="42">
        <f t="shared" si="604"/>
        <v>8</v>
      </c>
      <c r="DW104" s="43">
        <f t="shared" si="605"/>
        <v>-1</v>
      </c>
      <c r="DX104" s="8"/>
      <c r="DY104" s="47">
        <v>6</v>
      </c>
      <c r="DZ104" s="48" t="s">
        <v>4</v>
      </c>
      <c r="EA104" s="49">
        <v>5</v>
      </c>
      <c r="EB104" s="8"/>
      <c r="EC104" s="42">
        <f t="shared" si="606"/>
        <v>0</v>
      </c>
      <c r="ED104" s="43">
        <f t="shared" si="607"/>
        <v>1</v>
      </c>
      <c r="EE104" s="8"/>
      <c r="EF104" s="47">
        <v>1</v>
      </c>
      <c r="EG104" s="48" t="s">
        <v>4</v>
      </c>
      <c r="EH104" s="49">
        <v>2</v>
      </c>
      <c r="EI104" s="8"/>
      <c r="EJ104" s="42">
        <f t="shared" si="608"/>
        <v>8</v>
      </c>
      <c r="EK104" s="43">
        <f t="shared" si="609"/>
        <v>-1</v>
      </c>
      <c r="EL104" s="8"/>
      <c r="EM104" s="47">
        <v>1</v>
      </c>
      <c r="EN104" s="48" t="s">
        <v>4</v>
      </c>
      <c r="EO104" s="49">
        <v>2</v>
      </c>
      <c r="EP104" s="8"/>
      <c r="EQ104" s="42">
        <f t="shared" si="610"/>
        <v>8</v>
      </c>
      <c r="ER104" s="43">
        <f t="shared" si="611"/>
        <v>-1</v>
      </c>
      <c r="ES104" s="8"/>
      <c r="ET104" s="47">
        <v>3</v>
      </c>
      <c r="EU104" s="48" t="s">
        <v>4</v>
      </c>
      <c r="EV104" s="49">
        <v>5</v>
      </c>
      <c r="EW104" s="8"/>
      <c r="EX104" s="42">
        <f t="shared" si="612"/>
        <v>8</v>
      </c>
      <c r="EY104" s="43">
        <f t="shared" si="613"/>
        <v>-2</v>
      </c>
      <c r="EZ104" s="8"/>
      <c r="FA104" s="47">
        <v>1</v>
      </c>
      <c r="FB104" s="48" t="s">
        <v>4</v>
      </c>
      <c r="FC104" s="49">
        <v>0</v>
      </c>
      <c r="FD104" s="8"/>
      <c r="FE104" s="42">
        <f t="shared" si="614"/>
        <v>0</v>
      </c>
      <c r="FF104" s="43">
        <f t="shared" si="615"/>
        <v>1</v>
      </c>
      <c r="FG104" s="8"/>
      <c r="FH104" s="47">
        <v>1</v>
      </c>
      <c r="FI104" s="48" t="s">
        <v>4</v>
      </c>
      <c r="FJ104" s="49">
        <v>2</v>
      </c>
      <c r="FK104" s="8"/>
      <c r="FL104" s="42">
        <f t="shared" si="616"/>
        <v>8</v>
      </c>
      <c r="FM104" s="43">
        <f t="shared" si="617"/>
        <v>-1</v>
      </c>
      <c r="FN104" s="8"/>
      <c r="FO104" s="47">
        <v>0</v>
      </c>
      <c r="FP104" s="48" t="s">
        <v>4</v>
      </c>
      <c r="FQ104" s="49">
        <v>2</v>
      </c>
      <c r="FR104" s="8"/>
      <c r="FS104" s="42">
        <f t="shared" si="618"/>
        <v>8</v>
      </c>
      <c r="FT104" s="43">
        <f t="shared" si="619"/>
        <v>-2</v>
      </c>
      <c r="FU104" s="8"/>
      <c r="FV104" s="47">
        <v>0</v>
      </c>
      <c r="FW104" s="48" t="s">
        <v>4</v>
      </c>
      <c r="FX104" s="49">
        <v>2</v>
      </c>
      <c r="FY104" s="8"/>
      <c r="FZ104" s="42">
        <f t="shared" si="620"/>
        <v>8</v>
      </c>
      <c r="GA104" s="43">
        <f t="shared" si="621"/>
        <v>-2</v>
      </c>
      <c r="GB104" s="8"/>
      <c r="GC104" s="47">
        <v>2</v>
      </c>
      <c r="GD104" s="48" t="s">
        <v>4</v>
      </c>
      <c r="GE104" s="49">
        <v>1</v>
      </c>
      <c r="GF104" s="8"/>
      <c r="GG104" s="42">
        <f t="shared" si="622"/>
        <v>0</v>
      </c>
      <c r="GH104" s="43">
        <f t="shared" si="623"/>
        <v>1</v>
      </c>
      <c r="GI104" s="8"/>
      <c r="GJ104" s="47">
        <v>2</v>
      </c>
      <c r="GK104" s="48" t="s">
        <v>4</v>
      </c>
      <c r="GL104" s="49">
        <v>1</v>
      </c>
      <c r="GM104" s="8"/>
      <c r="GN104" s="42">
        <f t="shared" si="624"/>
        <v>0</v>
      </c>
      <c r="GO104" s="43">
        <f t="shared" si="625"/>
        <v>1</v>
      </c>
      <c r="GP104" s="8"/>
      <c r="GQ104" s="47">
        <v>5</v>
      </c>
      <c r="GR104" s="48" t="s">
        <v>4</v>
      </c>
      <c r="GS104" s="49">
        <v>4</v>
      </c>
      <c r="GT104" s="8"/>
      <c r="GU104" s="42">
        <f t="shared" si="626"/>
        <v>0</v>
      </c>
      <c r="GV104" s="43">
        <f t="shared" si="627"/>
        <v>1</v>
      </c>
      <c r="GW104" s="8"/>
      <c r="GX104" s="47">
        <v>1</v>
      </c>
      <c r="GY104" s="48" t="s">
        <v>4</v>
      </c>
      <c r="GZ104" s="49">
        <v>3</v>
      </c>
      <c r="HA104" s="8"/>
      <c r="HB104" s="42">
        <f t="shared" si="628"/>
        <v>8</v>
      </c>
      <c r="HC104" s="43">
        <f t="shared" si="629"/>
        <v>-2</v>
      </c>
      <c r="HD104" s="8"/>
      <c r="HE104" s="47">
        <v>1</v>
      </c>
      <c r="HF104" s="48" t="s">
        <v>4</v>
      </c>
      <c r="HG104" s="49">
        <v>2</v>
      </c>
      <c r="HH104" s="8"/>
      <c r="HI104" s="42">
        <f t="shared" si="630"/>
        <v>8</v>
      </c>
      <c r="HJ104" s="43">
        <f t="shared" si="631"/>
        <v>-1</v>
      </c>
      <c r="HK104" s="8"/>
      <c r="HL104" s="47">
        <v>1</v>
      </c>
      <c r="HM104" s="48" t="s">
        <v>4</v>
      </c>
      <c r="HN104" s="49">
        <v>3</v>
      </c>
      <c r="HO104" s="8"/>
      <c r="HP104" s="42">
        <f t="shared" si="632"/>
        <v>8</v>
      </c>
      <c r="HQ104" s="43">
        <f t="shared" si="633"/>
        <v>-2</v>
      </c>
      <c r="HR104" s="8"/>
      <c r="HS104" s="47">
        <v>1</v>
      </c>
      <c r="HT104" s="48" t="s">
        <v>4</v>
      </c>
      <c r="HU104" s="49">
        <v>3</v>
      </c>
      <c r="HV104" s="8"/>
      <c r="HW104" s="42">
        <f t="shared" si="634"/>
        <v>8</v>
      </c>
      <c r="HX104" s="43">
        <f t="shared" si="635"/>
        <v>-2</v>
      </c>
      <c r="HY104" s="8"/>
      <c r="HZ104" s="47">
        <v>2</v>
      </c>
      <c r="IA104" s="48" t="s">
        <v>4</v>
      </c>
      <c r="IB104" s="49">
        <v>3</v>
      </c>
      <c r="IC104" s="8"/>
      <c r="ID104" s="42">
        <f t="shared" si="636"/>
        <v>8</v>
      </c>
      <c r="IE104" s="43">
        <f t="shared" si="637"/>
        <v>-1</v>
      </c>
      <c r="IF104" s="8"/>
      <c r="IG104" s="47">
        <v>1</v>
      </c>
      <c r="IH104" s="48" t="s">
        <v>4</v>
      </c>
      <c r="II104" s="49">
        <v>2</v>
      </c>
      <c r="IJ104" s="8"/>
      <c r="IK104" s="42">
        <f t="shared" si="638"/>
        <v>8</v>
      </c>
      <c r="IL104" s="43">
        <f t="shared" si="639"/>
        <v>-1</v>
      </c>
      <c r="IM104" s="8"/>
      <c r="IN104" s="47">
        <v>0</v>
      </c>
      <c r="IO104" s="48" t="s">
        <v>4</v>
      </c>
      <c r="IP104" s="49">
        <v>2</v>
      </c>
      <c r="IQ104" s="8"/>
      <c r="IR104" s="42">
        <f t="shared" si="640"/>
        <v>8</v>
      </c>
      <c r="IS104" s="43">
        <f t="shared" si="641"/>
        <v>-2</v>
      </c>
      <c r="IT104" s="8"/>
      <c r="IU104" s="47">
        <v>1</v>
      </c>
      <c r="IV104" s="48" t="s">
        <v>4</v>
      </c>
      <c r="IW104" s="49">
        <v>2</v>
      </c>
      <c r="IX104" s="8"/>
      <c r="IY104" s="42">
        <f t="shared" si="642"/>
        <v>8</v>
      </c>
      <c r="IZ104" s="43">
        <f t="shared" si="643"/>
        <v>-1</v>
      </c>
      <c r="JA104" s="8"/>
      <c r="JB104" s="47">
        <v>4</v>
      </c>
      <c r="JC104" s="48" t="s">
        <v>4</v>
      </c>
      <c r="JD104" s="49">
        <v>3</v>
      </c>
      <c r="JE104" s="8"/>
      <c r="JF104" s="42">
        <f t="shared" si="644"/>
        <v>0</v>
      </c>
      <c r="JG104" s="43">
        <f t="shared" si="645"/>
        <v>1</v>
      </c>
      <c r="JH104" s="8"/>
      <c r="JI104" s="47">
        <v>4</v>
      </c>
      <c r="JJ104" s="48" t="s">
        <v>4</v>
      </c>
      <c r="JK104" s="49">
        <v>5</v>
      </c>
      <c r="JL104" s="8"/>
      <c r="JM104" s="42">
        <f t="shared" si="646"/>
        <v>8</v>
      </c>
      <c r="JN104" s="43">
        <f t="shared" si="647"/>
        <v>-1</v>
      </c>
      <c r="JO104" s="8"/>
      <c r="JP104" s="47">
        <v>3</v>
      </c>
      <c r="JQ104" s="48" t="s">
        <v>4</v>
      </c>
      <c r="JR104" s="49">
        <v>2</v>
      </c>
      <c r="JS104" s="8"/>
      <c r="JT104" s="42">
        <f t="shared" si="648"/>
        <v>0</v>
      </c>
      <c r="JU104" s="43">
        <f t="shared" si="649"/>
        <v>1</v>
      </c>
      <c r="JV104" s="8"/>
      <c r="JW104" s="47">
        <v>1</v>
      </c>
      <c r="JX104" s="48" t="s">
        <v>4</v>
      </c>
      <c r="JY104" s="49">
        <v>2</v>
      </c>
      <c r="JZ104" s="8"/>
      <c r="KA104" s="42">
        <f t="shared" si="650"/>
        <v>8</v>
      </c>
      <c r="KB104" s="43">
        <f t="shared" si="651"/>
        <v>-1</v>
      </c>
      <c r="KC104" s="8"/>
      <c r="KD104" s="47">
        <v>6</v>
      </c>
      <c r="KE104" s="48"/>
      <c r="KF104" s="49">
        <v>7</v>
      </c>
      <c r="KG104" s="8"/>
      <c r="KH104" s="42">
        <f t="shared" si="652"/>
        <v>8</v>
      </c>
      <c r="KI104" s="43">
        <f t="shared" si="653"/>
        <v>-1</v>
      </c>
      <c r="KJ104" s="8"/>
      <c r="KK104" s="47">
        <v>1</v>
      </c>
      <c r="KL104" s="48" t="s">
        <v>4</v>
      </c>
      <c r="KM104" s="49">
        <v>2</v>
      </c>
      <c r="KN104" s="8"/>
      <c r="KO104" s="42">
        <f t="shared" si="654"/>
        <v>8</v>
      </c>
      <c r="KP104" s="43">
        <f t="shared" si="655"/>
        <v>-1</v>
      </c>
      <c r="KQ104" s="8"/>
      <c r="KR104" s="47">
        <v>1</v>
      </c>
      <c r="KS104" s="48" t="s">
        <v>4</v>
      </c>
      <c r="KT104" s="49">
        <v>2</v>
      </c>
      <c r="KU104" s="8"/>
      <c r="KV104" s="42">
        <f t="shared" si="656"/>
        <v>8</v>
      </c>
      <c r="KW104" s="43">
        <f t="shared" si="657"/>
        <v>-1</v>
      </c>
      <c r="KX104" s="8"/>
      <c r="KY104" s="47">
        <v>2</v>
      </c>
      <c r="KZ104" s="48" t="s">
        <v>4</v>
      </c>
      <c r="LA104" s="49">
        <v>1</v>
      </c>
      <c r="LB104" s="8"/>
      <c r="LC104" s="42">
        <f t="shared" si="658"/>
        <v>0</v>
      </c>
      <c r="LD104" s="43">
        <f t="shared" si="659"/>
        <v>1</v>
      </c>
      <c r="LE104" s="8"/>
      <c r="LF104" s="47">
        <v>1</v>
      </c>
      <c r="LG104" s="48" t="s">
        <v>4</v>
      </c>
      <c r="LH104" s="49">
        <v>2</v>
      </c>
      <c r="LI104" s="8"/>
      <c r="LJ104" s="42">
        <f t="shared" si="660"/>
        <v>8</v>
      </c>
      <c r="LK104" s="43">
        <f t="shared" si="661"/>
        <v>-1</v>
      </c>
      <c r="LL104" s="8"/>
      <c r="LM104" s="47">
        <v>5</v>
      </c>
      <c r="LN104" s="48" t="s">
        <v>4</v>
      </c>
      <c r="LO104" s="49">
        <v>6</v>
      </c>
      <c r="LP104" s="8"/>
      <c r="LQ104" s="42">
        <f t="shared" si="662"/>
        <v>8</v>
      </c>
      <c r="LR104" s="43">
        <f t="shared" si="663"/>
        <v>-1</v>
      </c>
      <c r="LS104" s="8"/>
      <c r="LT104" s="47">
        <v>2</v>
      </c>
      <c r="LU104" s="48" t="s">
        <v>4</v>
      </c>
      <c r="LV104" s="49">
        <v>1</v>
      </c>
      <c r="LW104" s="8"/>
      <c r="LX104" s="42">
        <f t="shared" si="664"/>
        <v>0</v>
      </c>
      <c r="LY104" s="43">
        <f t="shared" si="665"/>
        <v>1</v>
      </c>
      <c r="LZ104" s="8"/>
      <c r="MA104" s="47">
        <v>1</v>
      </c>
      <c r="MB104" s="48" t="s">
        <v>4</v>
      </c>
      <c r="MC104" s="49">
        <v>3</v>
      </c>
      <c r="MD104" s="8"/>
      <c r="ME104" s="42">
        <f t="shared" si="666"/>
        <v>8</v>
      </c>
      <c r="MF104" s="43">
        <f t="shared" si="667"/>
        <v>-2</v>
      </c>
      <c r="MG104" s="8"/>
      <c r="MH104" s="47">
        <v>1</v>
      </c>
      <c r="MI104" s="48" t="s">
        <v>4</v>
      </c>
      <c r="MJ104" s="49">
        <v>3</v>
      </c>
      <c r="MK104" s="8"/>
      <c r="ML104" s="42">
        <f t="shared" si="668"/>
        <v>8</v>
      </c>
      <c r="MM104" s="43">
        <f t="shared" si="669"/>
        <v>-2</v>
      </c>
      <c r="MN104" s="8"/>
      <c r="MO104" s="47">
        <v>1</v>
      </c>
      <c r="MP104" s="48" t="s">
        <v>4</v>
      </c>
      <c r="MQ104" s="49">
        <v>2</v>
      </c>
      <c r="MR104" s="8"/>
      <c r="MS104" s="42">
        <f t="shared" si="670"/>
        <v>8</v>
      </c>
      <c r="MT104" s="43">
        <f t="shared" si="671"/>
        <v>-1</v>
      </c>
      <c r="MU104" s="8"/>
      <c r="MV104" s="47">
        <v>2</v>
      </c>
      <c r="MW104" s="48" t="s">
        <v>4</v>
      </c>
      <c r="MX104" s="49">
        <v>3</v>
      </c>
      <c r="MY104" s="8"/>
      <c r="MZ104" s="42">
        <f t="shared" si="672"/>
        <v>8</v>
      </c>
      <c r="NA104" s="43">
        <f t="shared" si="673"/>
        <v>-1</v>
      </c>
      <c r="NB104" s="8"/>
      <c r="NC104" s="47">
        <v>3</v>
      </c>
      <c r="ND104" s="48" t="s">
        <v>4</v>
      </c>
      <c r="NE104" s="49">
        <v>2</v>
      </c>
      <c r="NF104" s="8"/>
      <c r="NG104" s="42">
        <f t="shared" si="674"/>
        <v>0</v>
      </c>
      <c r="NH104" s="43">
        <f t="shared" si="675"/>
        <v>1</v>
      </c>
      <c r="NI104" s="8"/>
      <c r="NJ104" s="47">
        <v>1</v>
      </c>
      <c r="NK104" s="48" t="s">
        <v>4</v>
      </c>
      <c r="NL104" s="49">
        <v>3</v>
      </c>
      <c r="NM104" s="8"/>
      <c r="NN104" s="42">
        <f t="shared" si="676"/>
        <v>8</v>
      </c>
      <c r="NO104" s="43">
        <f t="shared" si="677"/>
        <v>-2</v>
      </c>
      <c r="NP104" s="8"/>
      <c r="NQ104" s="47">
        <v>0</v>
      </c>
      <c r="NR104" s="48" t="s">
        <v>4</v>
      </c>
      <c r="NS104" s="49">
        <v>2</v>
      </c>
      <c r="NT104" s="8"/>
      <c r="NU104" s="42">
        <f t="shared" si="678"/>
        <v>8</v>
      </c>
      <c r="NV104" s="43">
        <f t="shared" si="679"/>
        <v>-2</v>
      </c>
      <c r="NW104" s="8"/>
      <c r="NX104" s="47">
        <v>0</v>
      </c>
      <c r="NY104" s="48" t="s">
        <v>4</v>
      </c>
      <c r="NZ104" s="49">
        <v>2</v>
      </c>
      <c r="OA104" s="8"/>
      <c r="OB104" s="42">
        <f t="shared" si="680"/>
        <v>8</v>
      </c>
      <c r="OC104" s="43">
        <f t="shared" si="681"/>
        <v>-2</v>
      </c>
      <c r="OD104" s="8"/>
      <c r="OE104" s="47">
        <v>2</v>
      </c>
      <c r="OF104" s="48" t="s">
        <v>4</v>
      </c>
      <c r="OG104" s="49">
        <v>3</v>
      </c>
      <c r="OH104" s="8"/>
      <c r="OI104" s="42">
        <f t="shared" si="682"/>
        <v>8</v>
      </c>
      <c r="OJ104" s="43">
        <f t="shared" si="683"/>
        <v>-1</v>
      </c>
      <c r="OK104" s="8"/>
      <c r="OL104" s="47">
        <v>1</v>
      </c>
      <c r="OM104" s="48" t="s">
        <v>4</v>
      </c>
      <c r="ON104" s="49">
        <v>3</v>
      </c>
      <c r="OO104" s="8"/>
      <c r="OP104" s="42">
        <f t="shared" si="684"/>
        <v>8</v>
      </c>
      <c r="OQ104" s="43">
        <f t="shared" si="685"/>
        <v>-2</v>
      </c>
      <c r="OR104" s="8"/>
      <c r="OS104" s="47">
        <v>3</v>
      </c>
      <c r="OT104" s="48" t="s">
        <v>4</v>
      </c>
      <c r="OU104" s="49">
        <v>1</v>
      </c>
      <c r="OV104" s="8"/>
      <c r="OW104" s="42">
        <f t="shared" si="686"/>
        <v>0</v>
      </c>
      <c r="OX104" s="43">
        <f t="shared" si="687"/>
        <v>2</v>
      </c>
      <c r="OY104" s="8"/>
      <c r="OZ104" s="47">
        <v>1</v>
      </c>
      <c r="PA104" s="48" t="s">
        <v>4</v>
      </c>
      <c r="PB104" s="49">
        <v>2</v>
      </c>
      <c r="PC104" s="8"/>
      <c r="PD104" s="42">
        <f t="shared" si="688"/>
        <v>8</v>
      </c>
      <c r="PE104" s="43">
        <f t="shared" si="689"/>
        <v>-1</v>
      </c>
      <c r="PF104" s="8"/>
      <c r="PG104" s="47">
        <v>1</v>
      </c>
      <c r="PH104" s="48" t="s">
        <v>4</v>
      </c>
      <c r="PI104" s="49">
        <v>2</v>
      </c>
      <c r="PJ104" s="8"/>
      <c r="PK104" s="42">
        <f t="shared" si="690"/>
        <v>8</v>
      </c>
      <c r="PL104" s="43">
        <f t="shared" si="691"/>
        <v>-1</v>
      </c>
      <c r="PM104" s="8"/>
      <c r="PN104" s="47">
        <v>1</v>
      </c>
      <c r="PO104" s="48" t="s">
        <v>4</v>
      </c>
      <c r="PP104" s="49">
        <v>2</v>
      </c>
      <c r="PQ104" s="8"/>
      <c r="PR104" s="42">
        <f t="shared" si="692"/>
        <v>8</v>
      </c>
      <c r="PS104" s="43">
        <f t="shared" si="693"/>
        <v>-1</v>
      </c>
      <c r="PT104" s="8"/>
      <c r="PU104" s="47">
        <v>2</v>
      </c>
      <c r="PV104" s="48" t="s">
        <v>4</v>
      </c>
      <c r="PW104" s="49">
        <v>3</v>
      </c>
      <c r="PX104" s="8"/>
      <c r="PY104" s="42">
        <f t="shared" si="694"/>
        <v>8</v>
      </c>
      <c r="PZ104" s="43">
        <f t="shared" si="695"/>
        <v>-1</v>
      </c>
      <c r="QA104" s="8"/>
      <c r="QB104" s="47">
        <v>1</v>
      </c>
      <c r="QC104" s="48" t="s">
        <v>4</v>
      </c>
      <c r="QD104" s="49">
        <v>3</v>
      </c>
      <c r="QE104" s="8"/>
      <c r="QF104" s="42">
        <f t="shared" si="696"/>
        <v>8</v>
      </c>
      <c r="QG104" s="43">
        <f t="shared" si="697"/>
        <v>-2</v>
      </c>
      <c r="QH104" s="8"/>
      <c r="QI104" s="47">
        <v>1</v>
      </c>
      <c r="QJ104" s="48" t="s">
        <v>4</v>
      </c>
      <c r="QK104" s="49">
        <v>2</v>
      </c>
      <c r="QL104" s="8"/>
      <c r="QM104" s="42">
        <f t="shared" si="698"/>
        <v>8</v>
      </c>
      <c r="QN104" s="43">
        <f t="shared" si="699"/>
        <v>-1</v>
      </c>
      <c r="QO104" s="8"/>
      <c r="QP104" s="47">
        <v>2</v>
      </c>
      <c r="QQ104" s="48" t="s">
        <v>4</v>
      </c>
      <c r="QR104" s="49">
        <v>1</v>
      </c>
      <c r="QS104" s="8"/>
      <c r="QT104" s="42">
        <f t="shared" si="700"/>
        <v>0</v>
      </c>
      <c r="QU104" s="43">
        <f t="shared" si="701"/>
        <v>1</v>
      </c>
      <c r="QV104" s="8"/>
      <c r="QW104" s="47">
        <v>1</v>
      </c>
      <c r="QX104" s="48" t="s">
        <v>4</v>
      </c>
      <c r="QY104" s="49">
        <v>2</v>
      </c>
      <c r="QZ104" s="8"/>
      <c r="RA104" s="42">
        <f t="shared" si="702"/>
        <v>8</v>
      </c>
      <c r="RB104" s="43">
        <f t="shared" si="703"/>
        <v>-1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>
        <v>2</v>
      </c>
      <c r="RL104" s="48" t="s">
        <v>4</v>
      </c>
      <c r="RM104" s="49">
        <v>0</v>
      </c>
      <c r="RN104" s="8"/>
      <c r="RO104" s="42">
        <f t="shared" si="706"/>
        <v>0</v>
      </c>
      <c r="RP104" s="43">
        <f t="shared" si="707"/>
        <v>2</v>
      </c>
      <c r="RQ104" s="8"/>
      <c r="RR104" s="47">
        <v>3</v>
      </c>
      <c r="RS104" s="48" t="s">
        <v>4</v>
      </c>
      <c r="RT104" s="49">
        <v>1</v>
      </c>
      <c r="RU104" s="8"/>
      <c r="RV104" s="42">
        <f t="shared" si="708"/>
        <v>0</v>
      </c>
      <c r="RW104" s="43">
        <f t="shared" si="709"/>
        <v>2</v>
      </c>
      <c r="RX104" s="8"/>
      <c r="RY104" s="47">
        <v>3</v>
      </c>
      <c r="RZ104" s="48" t="s">
        <v>4</v>
      </c>
      <c r="SA104" s="49">
        <v>2</v>
      </c>
      <c r="SB104" s="8"/>
      <c r="SC104" s="42">
        <f t="shared" si="710"/>
        <v>0</v>
      </c>
      <c r="SD104" s="43">
        <f t="shared" si="711"/>
        <v>1</v>
      </c>
      <c r="SE104" s="8"/>
      <c r="SF104" s="47">
        <v>1</v>
      </c>
      <c r="SG104" s="48" t="s">
        <v>4</v>
      </c>
      <c r="SH104" s="49">
        <v>3</v>
      </c>
      <c r="SI104" s="8"/>
      <c r="SJ104" s="42">
        <f t="shared" si="712"/>
        <v>8</v>
      </c>
      <c r="SK104" s="43">
        <f t="shared" si="713"/>
        <v>-2</v>
      </c>
      <c r="SL104" s="8"/>
      <c r="SM104" s="47">
        <v>1</v>
      </c>
      <c r="SN104" s="48" t="s">
        <v>4</v>
      </c>
      <c r="SO104" s="49">
        <v>3</v>
      </c>
      <c r="SP104" s="8"/>
      <c r="SQ104" s="42">
        <f t="shared" si="714"/>
        <v>8</v>
      </c>
      <c r="SR104" s="43">
        <f t="shared" si="715"/>
        <v>-2</v>
      </c>
    </row>
    <row r="105" spans="1:512" ht="16" customHeight="1" x14ac:dyDescent="0.15">
      <c r="A105" s="51">
        <v>46210</v>
      </c>
      <c r="B105" s="46">
        <v>8.3333333333333329E-2</v>
      </c>
      <c r="C105" s="82" t="s">
        <v>628</v>
      </c>
      <c r="D105" s="83" t="s">
        <v>11</v>
      </c>
      <c r="E105" s="2">
        <v>1</v>
      </c>
      <c r="F105" s="50" t="s">
        <v>4</v>
      </c>
      <c r="G105" s="1">
        <v>4</v>
      </c>
      <c r="H105" s="45">
        <v>0.2</v>
      </c>
      <c r="I105" s="32">
        <f t="shared" si="429"/>
        <v>-3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>
        <v>0</v>
      </c>
      <c r="AF105" s="48" t="s">
        <v>4</v>
      </c>
      <c r="AG105" s="49">
        <v>1</v>
      </c>
      <c r="AH105" s="8"/>
      <c r="AI105" s="42">
        <f t="shared" si="578"/>
        <v>0.2</v>
      </c>
      <c r="AJ105" s="43">
        <f t="shared" si="579"/>
        <v>-1</v>
      </c>
      <c r="AK105" s="8"/>
      <c r="AL105" s="47">
        <v>1</v>
      </c>
      <c r="AM105" s="48" t="s">
        <v>4</v>
      </c>
      <c r="AN105" s="49">
        <v>2</v>
      </c>
      <c r="AO105" s="8"/>
      <c r="AP105" s="42">
        <f t="shared" si="580"/>
        <v>0.2</v>
      </c>
      <c r="AQ105" s="43">
        <f t="shared" si="581"/>
        <v>-1</v>
      </c>
      <c r="AR105" s="8"/>
      <c r="AS105" s="47">
        <v>0</v>
      </c>
      <c r="AT105" s="48" t="s">
        <v>4</v>
      </c>
      <c r="AU105" s="49">
        <v>3</v>
      </c>
      <c r="AV105" s="8"/>
      <c r="AW105" s="42">
        <f t="shared" si="582"/>
        <v>0.2</v>
      </c>
      <c r="AX105" s="43">
        <f t="shared" si="583"/>
        <v>-3</v>
      </c>
      <c r="AY105" s="8"/>
      <c r="AZ105" s="47">
        <v>1</v>
      </c>
      <c r="BA105" s="48" t="s">
        <v>4</v>
      </c>
      <c r="BB105" s="49">
        <v>2</v>
      </c>
      <c r="BC105" s="8"/>
      <c r="BD105" s="42">
        <f t="shared" si="584"/>
        <v>0.2</v>
      </c>
      <c r="BE105" s="43">
        <f t="shared" si="585"/>
        <v>-1</v>
      </c>
      <c r="BF105" s="8"/>
      <c r="BG105" s="47">
        <v>0</v>
      </c>
      <c r="BH105" s="48" t="s">
        <v>4</v>
      </c>
      <c r="BI105" s="49">
        <v>2</v>
      </c>
      <c r="BJ105" s="8"/>
      <c r="BK105" s="42">
        <f t="shared" si="586"/>
        <v>0.2</v>
      </c>
      <c r="BL105" s="43">
        <f t="shared" si="587"/>
        <v>-2</v>
      </c>
      <c r="BM105" s="8"/>
      <c r="BN105" s="47">
        <v>4</v>
      </c>
      <c r="BO105" s="48" t="s">
        <v>4</v>
      </c>
      <c r="BP105" s="49">
        <v>3</v>
      </c>
      <c r="BQ105" s="8"/>
      <c r="BR105" s="42">
        <f t="shared" si="588"/>
        <v>0</v>
      </c>
      <c r="BS105" s="43">
        <f t="shared" si="589"/>
        <v>1</v>
      </c>
      <c r="BT105" s="8"/>
      <c r="BU105" s="47">
        <v>2</v>
      </c>
      <c r="BV105" s="48" t="s">
        <v>4</v>
      </c>
      <c r="BW105" s="49">
        <v>0</v>
      </c>
      <c r="BX105" s="8"/>
      <c r="BY105" s="42">
        <f t="shared" si="590"/>
        <v>0</v>
      </c>
      <c r="BZ105" s="43">
        <f t="shared" si="591"/>
        <v>2</v>
      </c>
      <c r="CA105" s="8"/>
      <c r="CB105" s="47">
        <v>1</v>
      </c>
      <c r="CC105" s="48" t="s">
        <v>4</v>
      </c>
      <c r="CD105" s="49">
        <v>2</v>
      </c>
      <c r="CE105" s="8"/>
      <c r="CF105" s="42">
        <f t="shared" si="592"/>
        <v>0.2</v>
      </c>
      <c r="CG105" s="43">
        <f t="shared" si="593"/>
        <v>-1</v>
      </c>
      <c r="CH105" s="8"/>
      <c r="CI105" s="47">
        <v>0</v>
      </c>
      <c r="CJ105" s="48" t="s">
        <v>4</v>
      </c>
      <c r="CK105" s="49">
        <v>1</v>
      </c>
      <c r="CL105" s="8"/>
      <c r="CM105" s="42">
        <f t="shared" si="594"/>
        <v>0.2</v>
      </c>
      <c r="CN105" s="43">
        <f t="shared" si="595"/>
        <v>-1</v>
      </c>
      <c r="CO105" s="8"/>
      <c r="CP105" s="47">
        <v>1</v>
      </c>
      <c r="CQ105" s="48" t="s">
        <v>4</v>
      </c>
      <c r="CR105" s="49">
        <v>0</v>
      </c>
      <c r="CS105" s="8"/>
      <c r="CT105" s="42">
        <f t="shared" si="596"/>
        <v>0</v>
      </c>
      <c r="CU105" s="43">
        <f t="shared" si="597"/>
        <v>1</v>
      </c>
      <c r="CV105" s="8"/>
      <c r="CW105" s="47">
        <v>5</v>
      </c>
      <c r="CX105" s="48" t="s">
        <v>4</v>
      </c>
      <c r="CY105" s="49">
        <v>4</v>
      </c>
      <c r="CZ105" s="8"/>
      <c r="DA105" s="42">
        <f t="shared" si="598"/>
        <v>0</v>
      </c>
      <c r="DB105" s="43">
        <f t="shared" si="599"/>
        <v>1</v>
      </c>
      <c r="DC105" s="8"/>
      <c r="DD105" s="47">
        <v>4</v>
      </c>
      <c r="DE105" s="48" t="s">
        <v>4</v>
      </c>
      <c r="DF105" s="49">
        <v>5</v>
      </c>
      <c r="DG105" s="8"/>
      <c r="DH105" s="42">
        <f t="shared" si="600"/>
        <v>0.2</v>
      </c>
      <c r="DI105" s="43">
        <f t="shared" si="601"/>
        <v>-1</v>
      </c>
      <c r="DJ105" s="8"/>
      <c r="DK105" s="47">
        <v>0</v>
      </c>
      <c r="DL105" s="48" t="s">
        <v>4</v>
      </c>
      <c r="DM105" s="49">
        <v>1</v>
      </c>
      <c r="DN105" s="8"/>
      <c r="DO105" s="42">
        <f t="shared" si="602"/>
        <v>0.2</v>
      </c>
      <c r="DP105" s="43">
        <f t="shared" si="603"/>
        <v>-1</v>
      </c>
      <c r="DQ105" s="8"/>
      <c r="DR105" s="47">
        <v>2</v>
      </c>
      <c r="DS105" s="48" t="s">
        <v>4</v>
      </c>
      <c r="DT105" s="49">
        <v>0</v>
      </c>
      <c r="DU105" s="8"/>
      <c r="DV105" s="42">
        <f t="shared" si="604"/>
        <v>0</v>
      </c>
      <c r="DW105" s="43">
        <f t="shared" si="605"/>
        <v>2</v>
      </c>
      <c r="DX105" s="8"/>
      <c r="DY105" s="47">
        <v>1</v>
      </c>
      <c r="DZ105" s="48" t="s">
        <v>4</v>
      </c>
      <c r="EA105" s="49">
        <v>3</v>
      </c>
      <c r="EB105" s="8"/>
      <c r="EC105" s="42">
        <f t="shared" si="606"/>
        <v>0.2</v>
      </c>
      <c r="ED105" s="43">
        <f t="shared" si="607"/>
        <v>-2</v>
      </c>
      <c r="EE105" s="8"/>
      <c r="EF105" s="47">
        <v>0</v>
      </c>
      <c r="EG105" s="48" t="s">
        <v>4</v>
      </c>
      <c r="EH105" s="49">
        <v>2</v>
      </c>
      <c r="EI105" s="8"/>
      <c r="EJ105" s="42">
        <f t="shared" si="608"/>
        <v>0.2</v>
      </c>
      <c r="EK105" s="43">
        <f t="shared" si="609"/>
        <v>-2</v>
      </c>
      <c r="EL105" s="8"/>
      <c r="EM105" s="47">
        <v>1</v>
      </c>
      <c r="EN105" s="48" t="s">
        <v>4</v>
      </c>
      <c r="EO105" s="49">
        <v>2</v>
      </c>
      <c r="EP105" s="8"/>
      <c r="EQ105" s="42">
        <f t="shared" si="610"/>
        <v>0.2</v>
      </c>
      <c r="ER105" s="43">
        <f t="shared" si="611"/>
        <v>-1</v>
      </c>
      <c r="ES105" s="8"/>
      <c r="ET105" s="47">
        <v>2</v>
      </c>
      <c r="EU105" s="48" t="s">
        <v>4</v>
      </c>
      <c r="EV105" s="49">
        <v>1</v>
      </c>
      <c r="EW105" s="8"/>
      <c r="EX105" s="42">
        <f t="shared" si="612"/>
        <v>0</v>
      </c>
      <c r="EY105" s="43">
        <f t="shared" si="613"/>
        <v>1</v>
      </c>
      <c r="EZ105" s="8"/>
      <c r="FA105" s="47">
        <v>0</v>
      </c>
      <c r="FB105" s="48" t="s">
        <v>4</v>
      </c>
      <c r="FC105" s="49">
        <v>2</v>
      </c>
      <c r="FD105" s="8"/>
      <c r="FE105" s="42">
        <f t="shared" si="614"/>
        <v>0.2</v>
      </c>
      <c r="FF105" s="43">
        <f t="shared" si="615"/>
        <v>-2</v>
      </c>
      <c r="FG105" s="8"/>
      <c r="FH105" s="47">
        <v>3</v>
      </c>
      <c r="FI105" s="48" t="s">
        <v>4</v>
      </c>
      <c r="FJ105" s="49">
        <v>2</v>
      </c>
      <c r="FK105" s="8"/>
      <c r="FL105" s="42">
        <f t="shared" si="616"/>
        <v>0</v>
      </c>
      <c r="FM105" s="43">
        <f t="shared" si="617"/>
        <v>1</v>
      </c>
      <c r="FN105" s="8"/>
      <c r="FO105" s="47">
        <v>0</v>
      </c>
      <c r="FP105" s="48" t="s">
        <v>4</v>
      </c>
      <c r="FQ105" s="49">
        <v>2</v>
      </c>
      <c r="FR105" s="8"/>
      <c r="FS105" s="42">
        <f t="shared" si="618"/>
        <v>0.2</v>
      </c>
      <c r="FT105" s="43">
        <f t="shared" si="619"/>
        <v>-2</v>
      </c>
      <c r="FU105" s="8"/>
      <c r="FV105" s="47">
        <v>1</v>
      </c>
      <c r="FW105" s="48" t="s">
        <v>4</v>
      </c>
      <c r="FX105" s="49">
        <v>2</v>
      </c>
      <c r="FY105" s="8"/>
      <c r="FZ105" s="42">
        <f t="shared" si="620"/>
        <v>0.2</v>
      </c>
      <c r="GA105" s="43">
        <f t="shared" si="621"/>
        <v>-1</v>
      </c>
      <c r="GB105" s="8"/>
      <c r="GC105" s="47">
        <v>1</v>
      </c>
      <c r="GD105" s="48" t="s">
        <v>4</v>
      </c>
      <c r="GE105" s="49">
        <v>2</v>
      </c>
      <c r="GF105" s="8"/>
      <c r="GG105" s="42">
        <f t="shared" si="622"/>
        <v>0.2</v>
      </c>
      <c r="GH105" s="43">
        <f t="shared" si="623"/>
        <v>-1</v>
      </c>
      <c r="GI105" s="8"/>
      <c r="GJ105" s="47">
        <v>2</v>
      </c>
      <c r="GK105" s="48" t="s">
        <v>4</v>
      </c>
      <c r="GL105" s="49">
        <v>1</v>
      </c>
      <c r="GM105" s="8"/>
      <c r="GN105" s="42">
        <f t="shared" si="624"/>
        <v>0</v>
      </c>
      <c r="GO105" s="43">
        <f t="shared" si="625"/>
        <v>1</v>
      </c>
      <c r="GP105" s="8"/>
      <c r="GQ105" s="47">
        <v>1</v>
      </c>
      <c r="GR105" s="48" t="s">
        <v>4</v>
      </c>
      <c r="GS105" s="49">
        <v>2</v>
      </c>
      <c r="GT105" s="8"/>
      <c r="GU105" s="42">
        <f t="shared" si="626"/>
        <v>0.2</v>
      </c>
      <c r="GV105" s="43">
        <f t="shared" si="627"/>
        <v>-1</v>
      </c>
      <c r="GW105" s="8"/>
      <c r="GX105" s="47">
        <v>2</v>
      </c>
      <c r="GY105" s="48" t="s">
        <v>4</v>
      </c>
      <c r="GZ105" s="49">
        <v>3</v>
      </c>
      <c r="HA105" s="8"/>
      <c r="HB105" s="42">
        <f t="shared" si="628"/>
        <v>0.2</v>
      </c>
      <c r="HC105" s="43">
        <f t="shared" si="629"/>
        <v>-1</v>
      </c>
      <c r="HD105" s="8"/>
      <c r="HE105" s="47">
        <v>1</v>
      </c>
      <c r="HF105" s="48" t="s">
        <v>4</v>
      </c>
      <c r="HG105" s="49">
        <v>2</v>
      </c>
      <c r="HH105" s="8"/>
      <c r="HI105" s="42">
        <f t="shared" si="630"/>
        <v>0.2</v>
      </c>
      <c r="HJ105" s="43">
        <f t="shared" si="631"/>
        <v>-1</v>
      </c>
      <c r="HK105" s="8"/>
      <c r="HL105" s="47">
        <v>0</v>
      </c>
      <c r="HM105" s="48" t="s">
        <v>4</v>
      </c>
      <c r="HN105" s="49">
        <v>5</v>
      </c>
      <c r="HO105" s="8"/>
      <c r="HP105" s="42">
        <f t="shared" si="632"/>
        <v>0.2</v>
      </c>
      <c r="HQ105" s="43">
        <f t="shared" si="633"/>
        <v>-5</v>
      </c>
      <c r="HR105" s="8"/>
      <c r="HS105" s="47">
        <v>2</v>
      </c>
      <c r="HT105" s="48" t="s">
        <v>4</v>
      </c>
      <c r="HU105" s="49">
        <v>0</v>
      </c>
      <c r="HV105" s="8"/>
      <c r="HW105" s="42">
        <f t="shared" si="634"/>
        <v>0</v>
      </c>
      <c r="HX105" s="43">
        <f t="shared" si="635"/>
        <v>2</v>
      </c>
      <c r="HY105" s="8"/>
      <c r="HZ105" s="47">
        <v>2</v>
      </c>
      <c r="IA105" s="48" t="s">
        <v>4</v>
      </c>
      <c r="IB105" s="49">
        <v>1</v>
      </c>
      <c r="IC105" s="8"/>
      <c r="ID105" s="42">
        <f t="shared" si="636"/>
        <v>0</v>
      </c>
      <c r="IE105" s="43">
        <f t="shared" si="637"/>
        <v>1</v>
      </c>
      <c r="IF105" s="8"/>
      <c r="IG105" s="47">
        <v>0</v>
      </c>
      <c r="IH105" s="48" t="s">
        <v>4</v>
      </c>
      <c r="II105" s="49">
        <v>4</v>
      </c>
      <c r="IJ105" s="8"/>
      <c r="IK105" s="42">
        <f t="shared" si="638"/>
        <v>0.2</v>
      </c>
      <c r="IL105" s="43">
        <f t="shared" si="639"/>
        <v>-4</v>
      </c>
      <c r="IM105" s="8"/>
      <c r="IN105" s="47">
        <v>2</v>
      </c>
      <c r="IO105" s="48" t="s">
        <v>4</v>
      </c>
      <c r="IP105" s="49">
        <v>1</v>
      </c>
      <c r="IQ105" s="8"/>
      <c r="IR105" s="42">
        <f t="shared" si="640"/>
        <v>0</v>
      </c>
      <c r="IS105" s="43">
        <f t="shared" si="641"/>
        <v>1</v>
      </c>
      <c r="IT105" s="8"/>
      <c r="IU105" s="47">
        <v>0</v>
      </c>
      <c r="IV105" s="48" t="s">
        <v>4</v>
      </c>
      <c r="IW105" s="49">
        <v>2</v>
      </c>
      <c r="IX105" s="8"/>
      <c r="IY105" s="42">
        <f t="shared" si="642"/>
        <v>0.2</v>
      </c>
      <c r="IZ105" s="43">
        <f t="shared" si="643"/>
        <v>-2</v>
      </c>
      <c r="JA105" s="8"/>
      <c r="JB105" s="47">
        <v>4</v>
      </c>
      <c r="JC105" s="48" t="s">
        <v>4</v>
      </c>
      <c r="JD105" s="49">
        <v>5</v>
      </c>
      <c r="JE105" s="8"/>
      <c r="JF105" s="42">
        <f t="shared" si="644"/>
        <v>0.2</v>
      </c>
      <c r="JG105" s="43">
        <f t="shared" si="645"/>
        <v>-1</v>
      </c>
      <c r="JH105" s="8"/>
      <c r="JI105" s="47">
        <v>0</v>
      </c>
      <c r="JJ105" s="48" t="s">
        <v>4</v>
      </c>
      <c r="JK105" s="49">
        <v>3</v>
      </c>
      <c r="JL105" s="8"/>
      <c r="JM105" s="42">
        <f t="shared" si="646"/>
        <v>0.2</v>
      </c>
      <c r="JN105" s="43">
        <f t="shared" si="647"/>
        <v>-3</v>
      </c>
      <c r="JO105" s="8"/>
      <c r="JP105" s="47">
        <v>2</v>
      </c>
      <c r="JQ105" s="48" t="s">
        <v>4</v>
      </c>
      <c r="JR105" s="49">
        <v>1</v>
      </c>
      <c r="JS105" s="8"/>
      <c r="JT105" s="42">
        <f t="shared" si="648"/>
        <v>0</v>
      </c>
      <c r="JU105" s="43">
        <f t="shared" si="649"/>
        <v>1</v>
      </c>
      <c r="JV105" s="8"/>
      <c r="JW105" s="47">
        <v>1</v>
      </c>
      <c r="JX105" s="48" t="s">
        <v>4</v>
      </c>
      <c r="JY105" s="49">
        <v>3</v>
      </c>
      <c r="JZ105" s="8"/>
      <c r="KA105" s="42">
        <f t="shared" si="650"/>
        <v>0.2</v>
      </c>
      <c r="KB105" s="43">
        <f t="shared" si="651"/>
        <v>-2</v>
      </c>
      <c r="KC105" s="8"/>
      <c r="KD105" s="47">
        <v>6</v>
      </c>
      <c r="KE105" s="48" t="s">
        <v>4</v>
      </c>
      <c r="KF105" s="49">
        <v>7</v>
      </c>
      <c r="KG105" s="8"/>
      <c r="KH105" s="42">
        <f t="shared" si="652"/>
        <v>0.2</v>
      </c>
      <c r="KI105" s="43">
        <f t="shared" si="653"/>
        <v>-1</v>
      </c>
      <c r="KJ105" s="8"/>
      <c r="KK105" s="47">
        <v>0</v>
      </c>
      <c r="KL105" s="48" t="s">
        <v>4</v>
      </c>
      <c r="KM105" s="49">
        <v>2</v>
      </c>
      <c r="KN105" s="8"/>
      <c r="KO105" s="42">
        <f t="shared" si="654"/>
        <v>0.2</v>
      </c>
      <c r="KP105" s="43">
        <f t="shared" si="655"/>
        <v>-2</v>
      </c>
      <c r="KQ105" s="8"/>
      <c r="KR105" s="47">
        <v>6</v>
      </c>
      <c r="KS105" s="48" t="s">
        <v>4</v>
      </c>
      <c r="KT105" s="49">
        <v>7</v>
      </c>
      <c r="KU105" s="8"/>
      <c r="KV105" s="42">
        <f t="shared" si="656"/>
        <v>0.2</v>
      </c>
      <c r="KW105" s="43">
        <f t="shared" si="657"/>
        <v>-1</v>
      </c>
      <c r="KX105" s="8"/>
      <c r="KY105" s="47">
        <v>1</v>
      </c>
      <c r="KZ105" s="48" t="s">
        <v>4</v>
      </c>
      <c r="LA105" s="49">
        <v>2</v>
      </c>
      <c r="LB105" s="8"/>
      <c r="LC105" s="42">
        <f t="shared" si="658"/>
        <v>0.2</v>
      </c>
      <c r="LD105" s="43">
        <f t="shared" si="659"/>
        <v>-1</v>
      </c>
      <c r="LE105" s="8"/>
      <c r="LF105" s="47">
        <v>7</v>
      </c>
      <c r="LG105" s="48" t="s">
        <v>4</v>
      </c>
      <c r="LH105" s="49">
        <v>6</v>
      </c>
      <c r="LI105" s="8"/>
      <c r="LJ105" s="42">
        <f t="shared" si="660"/>
        <v>0</v>
      </c>
      <c r="LK105" s="43">
        <f t="shared" si="661"/>
        <v>1</v>
      </c>
      <c r="LL105" s="8"/>
      <c r="LM105" s="47">
        <v>2</v>
      </c>
      <c r="LN105" s="48" t="s">
        <v>4</v>
      </c>
      <c r="LO105" s="49">
        <v>3</v>
      </c>
      <c r="LP105" s="8"/>
      <c r="LQ105" s="42">
        <f t="shared" si="662"/>
        <v>0.2</v>
      </c>
      <c r="LR105" s="43">
        <f t="shared" si="663"/>
        <v>-1</v>
      </c>
      <c r="LS105" s="8"/>
      <c r="LT105" s="47">
        <v>4</v>
      </c>
      <c r="LU105" s="48" t="s">
        <v>4</v>
      </c>
      <c r="LV105" s="49">
        <v>3</v>
      </c>
      <c r="LW105" s="8"/>
      <c r="LX105" s="42">
        <f t="shared" si="664"/>
        <v>0</v>
      </c>
      <c r="LY105" s="43">
        <f t="shared" si="665"/>
        <v>1</v>
      </c>
      <c r="LZ105" s="8"/>
      <c r="MA105" s="47">
        <v>0</v>
      </c>
      <c r="MB105" s="48" t="s">
        <v>4</v>
      </c>
      <c r="MC105" s="49">
        <v>1</v>
      </c>
      <c r="MD105" s="8"/>
      <c r="ME105" s="42">
        <f t="shared" si="666"/>
        <v>0.2</v>
      </c>
      <c r="MF105" s="43">
        <f t="shared" si="667"/>
        <v>-1</v>
      </c>
      <c r="MG105" s="8"/>
      <c r="MH105" s="47">
        <v>0</v>
      </c>
      <c r="MI105" s="48" t="s">
        <v>4</v>
      </c>
      <c r="MJ105" s="49">
        <v>1</v>
      </c>
      <c r="MK105" s="8"/>
      <c r="ML105" s="42">
        <f t="shared" si="668"/>
        <v>0.2</v>
      </c>
      <c r="MM105" s="43">
        <f t="shared" si="669"/>
        <v>-1</v>
      </c>
      <c r="MN105" s="8"/>
      <c r="MO105" s="47">
        <v>2</v>
      </c>
      <c r="MP105" s="48" t="s">
        <v>4</v>
      </c>
      <c r="MQ105" s="49">
        <v>1</v>
      </c>
      <c r="MR105" s="8"/>
      <c r="MS105" s="42">
        <f t="shared" si="670"/>
        <v>0</v>
      </c>
      <c r="MT105" s="43">
        <f t="shared" si="671"/>
        <v>1</v>
      </c>
      <c r="MU105" s="8"/>
      <c r="MV105" s="47">
        <v>2</v>
      </c>
      <c r="MW105" s="48" t="s">
        <v>4</v>
      </c>
      <c r="MX105" s="49">
        <v>1</v>
      </c>
      <c r="MY105" s="8"/>
      <c r="MZ105" s="42">
        <f t="shared" si="672"/>
        <v>0</v>
      </c>
      <c r="NA105" s="43">
        <f t="shared" si="673"/>
        <v>1</v>
      </c>
      <c r="NB105" s="8"/>
      <c r="NC105" s="47">
        <v>6</v>
      </c>
      <c r="ND105" s="48" t="s">
        <v>4</v>
      </c>
      <c r="NE105" s="49">
        <v>7</v>
      </c>
      <c r="NF105" s="8"/>
      <c r="NG105" s="42">
        <f t="shared" si="674"/>
        <v>0.2</v>
      </c>
      <c r="NH105" s="43">
        <f t="shared" si="675"/>
        <v>-1</v>
      </c>
      <c r="NI105" s="8"/>
      <c r="NJ105" s="47">
        <v>0</v>
      </c>
      <c r="NK105" s="48" t="s">
        <v>4</v>
      </c>
      <c r="NL105" s="49">
        <v>1</v>
      </c>
      <c r="NM105" s="8"/>
      <c r="NN105" s="42">
        <f t="shared" si="676"/>
        <v>0.2</v>
      </c>
      <c r="NO105" s="43">
        <f t="shared" si="677"/>
        <v>-1</v>
      </c>
      <c r="NP105" s="8"/>
      <c r="NQ105" s="47">
        <v>0</v>
      </c>
      <c r="NR105" s="48" t="s">
        <v>4</v>
      </c>
      <c r="NS105" s="49">
        <v>1</v>
      </c>
      <c r="NT105" s="8"/>
      <c r="NU105" s="42">
        <f t="shared" si="678"/>
        <v>0.2</v>
      </c>
      <c r="NV105" s="43">
        <f t="shared" si="679"/>
        <v>-1</v>
      </c>
      <c r="NW105" s="8"/>
      <c r="NX105" s="47">
        <v>2</v>
      </c>
      <c r="NY105" s="48" t="s">
        <v>4</v>
      </c>
      <c r="NZ105" s="49">
        <v>1</v>
      </c>
      <c r="OA105" s="8"/>
      <c r="OB105" s="42">
        <f t="shared" si="680"/>
        <v>0</v>
      </c>
      <c r="OC105" s="43">
        <f t="shared" si="681"/>
        <v>1</v>
      </c>
      <c r="OD105" s="8"/>
      <c r="OE105" s="47">
        <v>1</v>
      </c>
      <c r="OF105" s="48" t="s">
        <v>4</v>
      </c>
      <c r="OG105" s="49">
        <v>2</v>
      </c>
      <c r="OH105" s="8"/>
      <c r="OI105" s="42">
        <f t="shared" si="682"/>
        <v>0.2</v>
      </c>
      <c r="OJ105" s="43">
        <f t="shared" si="683"/>
        <v>-1</v>
      </c>
      <c r="OK105" s="8"/>
      <c r="OL105" s="47">
        <v>1</v>
      </c>
      <c r="OM105" s="48" t="s">
        <v>4</v>
      </c>
      <c r="ON105" s="49">
        <v>2</v>
      </c>
      <c r="OO105" s="8"/>
      <c r="OP105" s="42">
        <f t="shared" si="684"/>
        <v>0.2</v>
      </c>
      <c r="OQ105" s="43">
        <f t="shared" si="685"/>
        <v>-1</v>
      </c>
      <c r="OR105" s="8"/>
      <c r="OS105" s="47">
        <v>1</v>
      </c>
      <c r="OT105" s="48" t="s">
        <v>4</v>
      </c>
      <c r="OU105" s="49">
        <v>2</v>
      </c>
      <c r="OV105" s="8"/>
      <c r="OW105" s="42">
        <f t="shared" si="686"/>
        <v>0.2</v>
      </c>
      <c r="OX105" s="43">
        <f t="shared" si="687"/>
        <v>-1</v>
      </c>
      <c r="OY105" s="8"/>
      <c r="OZ105" s="47">
        <v>3</v>
      </c>
      <c r="PA105" s="48" t="s">
        <v>4</v>
      </c>
      <c r="PB105" s="49">
        <v>1</v>
      </c>
      <c r="PC105" s="8"/>
      <c r="PD105" s="42">
        <f t="shared" si="688"/>
        <v>0</v>
      </c>
      <c r="PE105" s="43">
        <f t="shared" si="689"/>
        <v>2</v>
      </c>
      <c r="PF105" s="8"/>
      <c r="PG105" s="47">
        <v>2</v>
      </c>
      <c r="PH105" s="48" t="s">
        <v>4</v>
      </c>
      <c r="PI105" s="49">
        <v>1</v>
      </c>
      <c r="PJ105" s="8"/>
      <c r="PK105" s="42">
        <f t="shared" si="690"/>
        <v>0</v>
      </c>
      <c r="PL105" s="43">
        <f t="shared" si="691"/>
        <v>1</v>
      </c>
      <c r="PM105" s="8"/>
      <c r="PN105" s="47">
        <v>5</v>
      </c>
      <c r="PO105" s="48" t="s">
        <v>4</v>
      </c>
      <c r="PP105" s="49">
        <v>4</v>
      </c>
      <c r="PQ105" s="8"/>
      <c r="PR105" s="42">
        <f t="shared" si="692"/>
        <v>0</v>
      </c>
      <c r="PS105" s="43">
        <f t="shared" si="693"/>
        <v>1</v>
      </c>
      <c r="PT105" s="8"/>
      <c r="PU105" s="47">
        <v>4</v>
      </c>
      <c r="PV105" s="48" t="s">
        <v>4</v>
      </c>
      <c r="PW105" s="49">
        <v>5</v>
      </c>
      <c r="PX105" s="8"/>
      <c r="PY105" s="42">
        <f t="shared" si="694"/>
        <v>0.2</v>
      </c>
      <c r="PZ105" s="43">
        <f t="shared" si="695"/>
        <v>-1</v>
      </c>
      <c r="QA105" s="8"/>
      <c r="QB105" s="47">
        <v>2</v>
      </c>
      <c r="QC105" s="48" t="s">
        <v>4</v>
      </c>
      <c r="QD105" s="49">
        <v>1</v>
      </c>
      <c r="QE105" s="8"/>
      <c r="QF105" s="42">
        <f t="shared" si="696"/>
        <v>0</v>
      </c>
      <c r="QG105" s="43">
        <f t="shared" si="697"/>
        <v>1</v>
      </c>
      <c r="QH105" s="8"/>
      <c r="QI105" s="47">
        <v>2</v>
      </c>
      <c r="QJ105" s="48" t="s">
        <v>4</v>
      </c>
      <c r="QK105" s="49">
        <v>1</v>
      </c>
      <c r="QL105" s="8"/>
      <c r="QM105" s="42">
        <f t="shared" si="698"/>
        <v>0</v>
      </c>
      <c r="QN105" s="43">
        <f t="shared" si="699"/>
        <v>1</v>
      </c>
      <c r="QO105" s="8"/>
      <c r="QP105" s="47">
        <v>3</v>
      </c>
      <c r="QQ105" s="48" t="s">
        <v>4</v>
      </c>
      <c r="QR105" s="49">
        <v>4</v>
      </c>
      <c r="QS105" s="8"/>
      <c r="QT105" s="42">
        <f t="shared" si="700"/>
        <v>0.2</v>
      </c>
      <c r="QU105" s="43">
        <f t="shared" si="701"/>
        <v>-1</v>
      </c>
      <c r="QV105" s="8"/>
      <c r="QW105" s="47">
        <v>1</v>
      </c>
      <c r="QX105" s="48" t="s">
        <v>4</v>
      </c>
      <c r="QY105" s="49">
        <v>2</v>
      </c>
      <c r="QZ105" s="8"/>
      <c r="RA105" s="42">
        <f t="shared" si="702"/>
        <v>0.2</v>
      </c>
      <c r="RB105" s="43">
        <f t="shared" si="703"/>
        <v>-1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>
        <v>0</v>
      </c>
      <c r="RL105" s="48" t="s">
        <v>4</v>
      </c>
      <c r="RM105" s="49">
        <v>1</v>
      </c>
      <c r="RN105" s="8"/>
      <c r="RO105" s="42">
        <f t="shared" si="706"/>
        <v>0.2</v>
      </c>
      <c r="RP105" s="43">
        <f t="shared" si="707"/>
        <v>-1</v>
      </c>
      <c r="RQ105" s="8"/>
      <c r="RR105" s="47">
        <v>2</v>
      </c>
      <c r="RS105" s="48" t="s">
        <v>4</v>
      </c>
      <c r="RT105" s="49">
        <v>1</v>
      </c>
      <c r="RU105" s="8"/>
      <c r="RV105" s="42">
        <f t="shared" si="708"/>
        <v>0</v>
      </c>
      <c r="RW105" s="43">
        <f t="shared" si="709"/>
        <v>1</v>
      </c>
      <c r="RX105" s="8"/>
      <c r="RY105" s="47">
        <v>0</v>
      </c>
      <c r="RZ105" s="48" t="s">
        <v>4</v>
      </c>
      <c r="SA105" s="49">
        <v>4</v>
      </c>
      <c r="SB105" s="8"/>
      <c r="SC105" s="42">
        <f t="shared" si="710"/>
        <v>0.2</v>
      </c>
      <c r="SD105" s="43">
        <f t="shared" si="711"/>
        <v>-4</v>
      </c>
      <c r="SE105" s="8"/>
      <c r="SF105" s="47">
        <v>3</v>
      </c>
      <c r="SG105" s="48" t="s">
        <v>4</v>
      </c>
      <c r="SH105" s="49">
        <v>5</v>
      </c>
      <c r="SI105" s="8"/>
      <c r="SJ105" s="42">
        <f t="shared" si="712"/>
        <v>0.2</v>
      </c>
      <c r="SK105" s="43">
        <f t="shared" si="713"/>
        <v>-2</v>
      </c>
      <c r="SL105" s="8"/>
      <c r="SM105" s="47">
        <v>0</v>
      </c>
      <c r="SN105" s="48" t="s">
        <v>4</v>
      </c>
      <c r="SO105" s="49">
        <v>2</v>
      </c>
      <c r="SP105" s="8"/>
      <c r="SQ105" s="42">
        <f t="shared" si="714"/>
        <v>0.2</v>
      </c>
      <c r="SR105" s="43">
        <f t="shared" si="715"/>
        <v>-2</v>
      </c>
    </row>
    <row r="106" spans="1:512" ht="16" customHeight="1" x14ac:dyDescent="0.15">
      <c r="A106" s="51">
        <v>46210</v>
      </c>
      <c r="B106" s="46">
        <v>0.75</v>
      </c>
      <c r="C106" s="82" t="s">
        <v>629</v>
      </c>
      <c r="D106" s="82" t="s">
        <v>46</v>
      </c>
      <c r="E106" s="2">
        <v>3</v>
      </c>
      <c r="F106" s="50" t="s">
        <v>4</v>
      </c>
      <c r="G106" s="1">
        <v>2</v>
      </c>
      <c r="H106" s="16">
        <v>8.4</v>
      </c>
      <c r="I106" s="32">
        <f t="shared" si="429"/>
        <v>1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>
        <v>1</v>
      </c>
      <c r="AF106" s="48" t="s">
        <v>4</v>
      </c>
      <c r="AG106" s="49">
        <v>0</v>
      </c>
      <c r="AH106" s="8"/>
      <c r="AI106" s="42">
        <f t="shared" si="578"/>
        <v>8.4</v>
      </c>
      <c r="AJ106" s="43">
        <f>AE106-AG106</f>
        <v>1</v>
      </c>
      <c r="AK106" s="8"/>
      <c r="AL106" s="47">
        <v>3</v>
      </c>
      <c r="AM106" s="48" t="s">
        <v>4</v>
      </c>
      <c r="AN106" s="49">
        <v>1</v>
      </c>
      <c r="AO106" s="8"/>
      <c r="AP106" s="42">
        <f t="shared" si="580"/>
        <v>8.4</v>
      </c>
      <c r="AQ106" s="43">
        <f>AL106-AN106</f>
        <v>2</v>
      </c>
      <c r="AR106" s="8"/>
      <c r="AS106" s="47">
        <v>2</v>
      </c>
      <c r="AT106" s="48" t="s">
        <v>4</v>
      </c>
      <c r="AU106" s="49">
        <v>1</v>
      </c>
      <c r="AV106" s="8"/>
      <c r="AW106" s="42">
        <f t="shared" si="582"/>
        <v>8.4</v>
      </c>
      <c r="AX106" s="43">
        <f>AS106-AU106</f>
        <v>1</v>
      </c>
      <c r="AY106" s="8"/>
      <c r="AZ106" s="47">
        <v>1</v>
      </c>
      <c r="BA106" s="48" t="s">
        <v>4</v>
      </c>
      <c r="BB106" s="49">
        <v>0</v>
      </c>
      <c r="BC106" s="8"/>
      <c r="BD106" s="42">
        <f t="shared" si="584"/>
        <v>8.4</v>
      </c>
      <c r="BE106" s="43">
        <f>AZ106-BB106</f>
        <v>1</v>
      </c>
      <c r="BF106" s="8"/>
      <c r="BG106" s="47">
        <v>5</v>
      </c>
      <c r="BH106" s="48" t="s">
        <v>4</v>
      </c>
      <c r="BI106" s="49">
        <v>1</v>
      </c>
      <c r="BJ106" s="8"/>
      <c r="BK106" s="42">
        <f t="shared" si="586"/>
        <v>8.4</v>
      </c>
      <c r="BL106" s="43">
        <f>BG106-BI106</f>
        <v>4</v>
      </c>
      <c r="BM106" s="8"/>
      <c r="BN106" s="47">
        <v>2</v>
      </c>
      <c r="BO106" s="48" t="s">
        <v>4</v>
      </c>
      <c r="BP106" s="49">
        <v>1</v>
      </c>
      <c r="BQ106" s="8"/>
      <c r="BR106" s="42">
        <f t="shared" si="588"/>
        <v>8.4</v>
      </c>
      <c r="BS106" s="43">
        <f>BN106-BP106</f>
        <v>1</v>
      </c>
      <c r="BT106" s="8"/>
      <c r="BU106" s="47">
        <v>1</v>
      </c>
      <c r="BV106" s="48" t="s">
        <v>4</v>
      </c>
      <c r="BW106" s="49">
        <v>0</v>
      </c>
      <c r="BX106" s="8"/>
      <c r="BY106" s="42">
        <f t="shared" si="590"/>
        <v>8.4</v>
      </c>
      <c r="BZ106" s="43">
        <f>BU106-BW106</f>
        <v>1</v>
      </c>
      <c r="CA106" s="8"/>
      <c r="CB106" s="47">
        <v>4</v>
      </c>
      <c r="CC106" s="48" t="s">
        <v>4</v>
      </c>
      <c r="CD106" s="49">
        <v>2</v>
      </c>
      <c r="CE106" s="8"/>
      <c r="CF106" s="42">
        <f t="shared" si="592"/>
        <v>8.4</v>
      </c>
      <c r="CG106" s="43">
        <f>CB106-CD106</f>
        <v>2</v>
      </c>
      <c r="CH106" s="8"/>
      <c r="CI106" s="47">
        <v>2</v>
      </c>
      <c r="CJ106" s="48" t="s">
        <v>4</v>
      </c>
      <c r="CK106" s="49">
        <v>3</v>
      </c>
      <c r="CL106" s="8"/>
      <c r="CM106" s="42">
        <f t="shared" si="594"/>
        <v>0</v>
      </c>
      <c r="CN106" s="43">
        <f>CI106-CK106</f>
        <v>-1</v>
      </c>
      <c r="CO106" s="8"/>
      <c r="CP106" s="47">
        <v>3</v>
      </c>
      <c r="CQ106" s="48" t="s">
        <v>4</v>
      </c>
      <c r="CR106" s="49">
        <v>0</v>
      </c>
      <c r="CS106" s="8"/>
      <c r="CT106" s="42">
        <f t="shared" si="596"/>
        <v>8.4</v>
      </c>
      <c r="CU106" s="43">
        <f>CP106-CR106</f>
        <v>3</v>
      </c>
      <c r="CV106" s="8"/>
      <c r="CW106" s="47">
        <v>2</v>
      </c>
      <c r="CX106" s="48" t="s">
        <v>4</v>
      </c>
      <c r="CY106" s="49">
        <v>0</v>
      </c>
      <c r="CZ106" s="8"/>
      <c r="DA106" s="42">
        <f t="shared" si="598"/>
        <v>8.4</v>
      </c>
      <c r="DB106" s="43">
        <f>CW106-CY106</f>
        <v>2</v>
      </c>
      <c r="DC106" s="8"/>
      <c r="DD106" s="47">
        <v>2</v>
      </c>
      <c r="DE106" s="48" t="s">
        <v>4</v>
      </c>
      <c r="DF106" s="49">
        <v>0</v>
      </c>
      <c r="DG106" s="8"/>
      <c r="DH106" s="42">
        <f t="shared" si="600"/>
        <v>8.4</v>
      </c>
      <c r="DI106" s="43">
        <f>DD106-DF106</f>
        <v>2</v>
      </c>
      <c r="DJ106" s="8"/>
      <c r="DK106" s="47">
        <v>1</v>
      </c>
      <c r="DL106" s="48" t="s">
        <v>4</v>
      </c>
      <c r="DM106" s="49">
        <v>0</v>
      </c>
      <c r="DN106" s="8"/>
      <c r="DO106" s="42">
        <f t="shared" si="602"/>
        <v>8.4</v>
      </c>
      <c r="DP106" s="43">
        <f>DK106-DM106</f>
        <v>1</v>
      </c>
      <c r="DQ106" s="8"/>
      <c r="DR106" s="47">
        <v>2</v>
      </c>
      <c r="DS106" s="48" t="s">
        <v>4</v>
      </c>
      <c r="DT106" s="49">
        <v>0</v>
      </c>
      <c r="DU106" s="8"/>
      <c r="DV106" s="42">
        <f t="shared" si="604"/>
        <v>8.4</v>
      </c>
      <c r="DW106" s="43">
        <f>DR106-DT106</f>
        <v>2</v>
      </c>
      <c r="DX106" s="8"/>
      <c r="DY106" s="47">
        <v>3</v>
      </c>
      <c r="DZ106" s="48" t="s">
        <v>4</v>
      </c>
      <c r="EA106" s="49">
        <v>2</v>
      </c>
      <c r="EB106" s="8"/>
      <c r="EC106" s="42">
        <f t="shared" si="606"/>
        <v>12.600000000000001</v>
      </c>
      <c r="ED106" s="43">
        <f>DY106-EA106</f>
        <v>1</v>
      </c>
      <c r="EE106" s="8"/>
      <c r="EF106" s="47">
        <v>1</v>
      </c>
      <c r="EG106" s="48" t="s">
        <v>4</v>
      </c>
      <c r="EH106" s="49">
        <v>2</v>
      </c>
      <c r="EI106" s="8"/>
      <c r="EJ106" s="42">
        <f t="shared" si="608"/>
        <v>0</v>
      </c>
      <c r="EK106" s="43">
        <f>EF106-EH106</f>
        <v>-1</v>
      </c>
      <c r="EL106" s="8"/>
      <c r="EM106" s="47">
        <v>3</v>
      </c>
      <c r="EN106" s="48" t="s">
        <v>4</v>
      </c>
      <c r="EO106" s="49">
        <v>1</v>
      </c>
      <c r="EP106" s="8"/>
      <c r="EQ106" s="42">
        <f t="shared" si="610"/>
        <v>8.4</v>
      </c>
      <c r="ER106" s="43">
        <f>EM106-EO106</f>
        <v>2</v>
      </c>
      <c r="ES106" s="8"/>
      <c r="ET106" s="47">
        <v>3</v>
      </c>
      <c r="EU106" s="48" t="s">
        <v>4</v>
      </c>
      <c r="EV106" s="49">
        <v>2</v>
      </c>
      <c r="EW106" s="8"/>
      <c r="EX106" s="42">
        <f t="shared" si="612"/>
        <v>12.600000000000001</v>
      </c>
      <c r="EY106" s="43">
        <f>ET106-EV106</f>
        <v>1</v>
      </c>
      <c r="EZ106" s="8"/>
      <c r="FA106" s="47">
        <v>3</v>
      </c>
      <c r="FB106" s="48" t="s">
        <v>4</v>
      </c>
      <c r="FC106" s="49">
        <v>0</v>
      </c>
      <c r="FD106" s="8"/>
      <c r="FE106" s="42">
        <f t="shared" si="614"/>
        <v>8.4</v>
      </c>
      <c r="FF106" s="43">
        <f>FA106-FC106</f>
        <v>3</v>
      </c>
      <c r="FG106" s="8"/>
      <c r="FH106" s="47">
        <v>2</v>
      </c>
      <c r="FI106" s="48" t="s">
        <v>4</v>
      </c>
      <c r="FJ106" s="49">
        <v>0</v>
      </c>
      <c r="FK106" s="8"/>
      <c r="FL106" s="42">
        <f t="shared" si="616"/>
        <v>8.4</v>
      </c>
      <c r="FM106" s="43">
        <f>FH106-FJ106</f>
        <v>2</v>
      </c>
      <c r="FN106" s="8"/>
      <c r="FO106" s="47">
        <v>2</v>
      </c>
      <c r="FP106" s="48" t="s">
        <v>4</v>
      </c>
      <c r="FQ106" s="49">
        <v>1</v>
      </c>
      <c r="FR106" s="8"/>
      <c r="FS106" s="42">
        <f t="shared" si="618"/>
        <v>8.4</v>
      </c>
      <c r="FT106" s="43">
        <f>FO106-FQ106</f>
        <v>1</v>
      </c>
      <c r="FU106" s="8"/>
      <c r="FV106" s="47">
        <v>2</v>
      </c>
      <c r="FW106" s="48" t="s">
        <v>4</v>
      </c>
      <c r="FX106" s="49">
        <v>0</v>
      </c>
      <c r="FY106" s="8"/>
      <c r="FZ106" s="42">
        <f t="shared" si="620"/>
        <v>8.4</v>
      </c>
      <c r="GA106" s="43">
        <f>FV106-FX106</f>
        <v>2</v>
      </c>
      <c r="GB106" s="8"/>
      <c r="GC106" s="47">
        <v>2</v>
      </c>
      <c r="GD106" s="48" t="s">
        <v>4</v>
      </c>
      <c r="GE106" s="49">
        <v>1</v>
      </c>
      <c r="GF106" s="8"/>
      <c r="GG106" s="42">
        <f t="shared" si="622"/>
        <v>8.4</v>
      </c>
      <c r="GH106" s="43">
        <f>GC106-GE106</f>
        <v>1</v>
      </c>
      <c r="GI106" s="8"/>
      <c r="GJ106" s="47">
        <v>3</v>
      </c>
      <c r="GK106" s="48" t="s">
        <v>4</v>
      </c>
      <c r="GL106" s="49">
        <v>0</v>
      </c>
      <c r="GM106" s="8"/>
      <c r="GN106" s="42">
        <f t="shared" si="624"/>
        <v>8.4</v>
      </c>
      <c r="GO106" s="43">
        <f>GJ106-GL106</f>
        <v>3</v>
      </c>
      <c r="GP106" s="8"/>
      <c r="GQ106" s="47">
        <v>3</v>
      </c>
      <c r="GR106" s="48" t="s">
        <v>4</v>
      </c>
      <c r="GS106" s="49">
        <v>1</v>
      </c>
      <c r="GT106" s="8"/>
      <c r="GU106" s="42">
        <f t="shared" si="626"/>
        <v>8.4</v>
      </c>
      <c r="GV106" s="43">
        <f>GQ106-GS106</f>
        <v>2</v>
      </c>
      <c r="GW106" s="8"/>
      <c r="GX106" s="47">
        <v>3</v>
      </c>
      <c r="GY106" s="48" t="s">
        <v>4</v>
      </c>
      <c r="GZ106" s="49">
        <v>1</v>
      </c>
      <c r="HA106" s="8"/>
      <c r="HB106" s="42">
        <f t="shared" si="628"/>
        <v>8.4</v>
      </c>
      <c r="HC106" s="43">
        <f>GX106-GZ106</f>
        <v>2</v>
      </c>
      <c r="HD106" s="8"/>
      <c r="HE106" s="47">
        <v>3</v>
      </c>
      <c r="HF106" s="48" t="s">
        <v>4</v>
      </c>
      <c r="HG106" s="49">
        <v>1</v>
      </c>
      <c r="HH106" s="8"/>
      <c r="HI106" s="42">
        <f t="shared" si="630"/>
        <v>8.4</v>
      </c>
      <c r="HJ106" s="43">
        <f>HE106-HG106</f>
        <v>2</v>
      </c>
      <c r="HK106" s="8"/>
      <c r="HL106" s="47">
        <v>6</v>
      </c>
      <c r="HM106" s="48" t="s">
        <v>4</v>
      </c>
      <c r="HN106" s="49">
        <v>5</v>
      </c>
      <c r="HO106" s="8"/>
      <c r="HP106" s="42">
        <f t="shared" si="632"/>
        <v>8.4</v>
      </c>
      <c r="HQ106" s="43">
        <f>HL106-HN106</f>
        <v>1</v>
      </c>
      <c r="HR106" s="8"/>
      <c r="HS106" s="47">
        <v>2</v>
      </c>
      <c r="HT106" s="48" t="s">
        <v>4</v>
      </c>
      <c r="HU106" s="49">
        <v>0</v>
      </c>
      <c r="HV106" s="8"/>
      <c r="HW106" s="42">
        <f t="shared" si="634"/>
        <v>8.4</v>
      </c>
      <c r="HX106" s="43">
        <f>HS106-HU106</f>
        <v>2</v>
      </c>
      <c r="HY106" s="8"/>
      <c r="HZ106" s="47">
        <v>3</v>
      </c>
      <c r="IA106" s="48" t="s">
        <v>4</v>
      </c>
      <c r="IB106" s="49">
        <v>1</v>
      </c>
      <c r="IC106" s="8"/>
      <c r="ID106" s="42">
        <f t="shared" si="636"/>
        <v>8.4</v>
      </c>
      <c r="IE106" s="43">
        <f>HZ106-IB106</f>
        <v>2</v>
      </c>
      <c r="IF106" s="8"/>
      <c r="IG106" s="47">
        <v>4</v>
      </c>
      <c r="IH106" s="48" t="s">
        <v>4</v>
      </c>
      <c r="II106" s="49">
        <v>1</v>
      </c>
      <c r="IJ106" s="8"/>
      <c r="IK106" s="42">
        <f t="shared" si="638"/>
        <v>8.4</v>
      </c>
      <c r="IL106" s="43">
        <f>IG106-II106</f>
        <v>3</v>
      </c>
      <c r="IM106" s="8"/>
      <c r="IN106" s="47">
        <v>2</v>
      </c>
      <c r="IO106" s="48" t="s">
        <v>4</v>
      </c>
      <c r="IP106" s="49">
        <v>1</v>
      </c>
      <c r="IQ106" s="8"/>
      <c r="IR106" s="42">
        <f t="shared" si="640"/>
        <v>8.4</v>
      </c>
      <c r="IS106" s="43">
        <f>IN106-IP106</f>
        <v>1</v>
      </c>
      <c r="IT106" s="8"/>
      <c r="IU106" s="47">
        <v>2</v>
      </c>
      <c r="IV106" s="48" t="s">
        <v>4</v>
      </c>
      <c r="IW106" s="49">
        <v>1</v>
      </c>
      <c r="IX106" s="8"/>
      <c r="IY106" s="42">
        <f t="shared" si="642"/>
        <v>8.4</v>
      </c>
      <c r="IZ106" s="43">
        <f>IU106-IW106</f>
        <v>1</v>
      </c>
      <c r="JA106" s="8"/>
      <c r="JB106" s="47">
        <v>6</v>
      </c>
      <c r="JC106" s="48" t="s">
        <v>4</v>
      </c>
      <c r="JD106" s="49">
        <v>5</v>
      </c>
      <c r="JE106" s="8"/>
      <c r="JF106" s="42">
        <f t="shared" si="644"/>
        <v>8.4</v>
      </c>
      <c r="JG106" s="43">
        <f>JB106-JD106</f>
        <v>1</v>
      </c>
      <c r="JH106" s="8"/>
      <c r="JI106" s="47">
        <v>2</v>
      </c>
      <c r="JJ106" s="48" t="s">
        <v>4</v>
      </c>
      <c r="JK106" s="49">
        <v>0</v>
      </c>
      <c r="JL106" s="8"/>
      <c r="JM106" s="42">
        <f t="shared" si="646"/>
        <v>8.4</v>
      </c>
      <c r="JN106" s="43">
        <f>JI106-JK106</f>
        <v>2</v>
      </c>
      <c r="JO106" s="8"/>
      <c r="JP106" s="47">
        <v>2</v>
      </c>
      <c r="JQ106" s="48" t="s">
        <v>4</v>
      </c>
      <c r="JR106" s="49">
        <v>0</v>
      </c>
      <c r="JS106" s="8"/>
      <c r="JT106" s="42">
        <f t="shared" si="648"/>
        <v>8.4</v>
      </c>
      <c r="JU106" s="43">
        <f>JP106-JR106</f>
        <v>2</v>
      </c>
      <c r="JV106" s="8"/>
      <c r="JW106" s="47">
        <v>3</v>
      </c>
      <c r="JX106" s="48" t="s">
        <v>4</v>
      </c>
      <c r="JY106" s="49">
        <v>1</v>
      </c>
      <c r="JZ106" s="8"/>
      <c r="KA106" s="42">
        <f t="shared" si="650"/>
        <v>8.4</v>
      </c>
      <c r="KB106" s="43">
        <f>JW106-JY106</f>
        <v>2</v>
      </c>
      <c r="KC106" s="8"/>
      <c r="KD106" s="47">
        <v>3</v>
      </c>
      <c r="KE106" s="48" t="s">
        <v>4</v>
      </c>
      <c r="KF106" s="49">
        <v>1</v>
      </c>
      <c r="KG106" s="8"/>
      <c r="KH106" s="42">
        <f t="shared" si="652"/>
        <v>8.4</v>
      </c>
      <c r="KI106" s="43">
        <f>KD106-KF106</f>
        <v>2</v>
      </c>
      <c r="KJ106" s="8"/>
      <c r="KK106" s="47">
        <v>2</v>
      </c>
      <c r="KL106" s="48" t="s">
        <v>4</v>
      </c>
      <c r="KM106" s="49">
        <v>1</v>
      </c>
      <c r="KN106" s="8"/>
      <c r="KO106" s="42">
        <f t="shared" si="654"/>
        <v>8.4</v>
      </c>
      <c r="KP106" s="43">
        <f>KK106-KM106</f>
        <v>1</v>
      </c>
      <c r="KQ106" s="8"/>
      <c r="KR106" s="47">
        <v>2</v>
      </c>
      <c r="KS106" s="48" t="s">
        <v>4</v>
      </c>
      <c r="KT106" s="49">
        <v>0</v>
      </c>
      <c r="KU106" s="8"/>
      <c r="KV106" s="42">
        <f t="shared" si="656"/>
        <v>8.4</v>
      </c>
      <c r="KW106" s="43">
        <f>KR106-KT106</f>
        <v>2</v>
      </c>
      <c r="KX106" s="8"/>
      <c r="KY106" s="47">
        <v>2</v>
      </c>
      <c r="KZ106" s="48" t="s">
        <v>4</v>
      </c>
      <c r="LA106" s="49">
        <v>1</v>
      </c>
      <c r="LB106" s="8"/>
      <c r="LC106" s="42">
        <f t="shared" si="658"/>
        <v>8.4</v>
      </c>
      <c r="LD106" s="43">
        <f>KY106-LA106</f>
        <v>1</v>
      </c>
      <c r="LE106" s="8"/>
      <c r="LF106" s="47">
        <v>3</v>
      </c>
      <c r="LG106" s="48" t="s">
        <v>4</v>
      </c>
      <c r="LH106" s="49">
        <v>1</v>
      </c>
      <c r="LI106" s="8"/>
      <c r="LJ106" s="42">
        <f t="shared" si="660"/>
        <v>8.4</v>
      </c>
      <c r="LK106" s="43">
        <f>LF106-LH106</f>
        <v>2</v>
      </c>
      <c r="LL106" s="8"/>
      <c r="LM106" s="47">
        <v>2</v>
      </c>
      <c r="LN106" s="48" t="s">
        <v>4</v>
      </c>
      <c r="LO106" s="49">
        <v>1</v>
      </c>
      <c r="LP106" s="8"/>
      <c r="LQ106" s="42">
        <f t="shared" si="662"/>
        <v>8.4</v>
      </c>
      <c r="LR106" s="43">
        <f>LM106-LO106</f>
        <v>1</v>
      </c>
      <c r="LS106" s="8"/>
      <c r="LT106" s="47">
        <v>2</v>
      </c>
      <c r="LU106" s="48" t="s">
        <v>4</v>
      </c>
      <c r="LV106" s="49">
        <v>0</v>
      </c>
      <c r="LW106" s="8"/>
      <c r="LX106" s="42">
        <f t="shared" si="664"/>
        <v>8.4</v>
      </c>
      <c r="LY106" s="43">
        <f>LT106-LV106</f>
        <v>2</v>
      </c>
      <c r="LZ106" s="8"/>
      <c r="MA106" s="47">
        <v>1</v>
      </c>
      <c r="MB106" s="48" t="s">
        <v>4</v>
      </c>
      <c r="MC106" s="49">
        <v>2</v>
      </c>
      <c r="MD106" s="8"/>
      <c r="ME106" s="42">
        <f t="shared" si="666"/>
        <v>0</v>
      </c>
      <c r="MF106" s="43">
        <f>MA106-MC106</f>
        <v>-1</v>
      </c>
      <c r="MG106" s="8"/>
      <c r="MH106" s="47">
        <v>2</v>
      </c>
      <c r="MI106" s="48" t="s">
        <v>4</v>
      </c>
      <c r="MJ106" s="49">
        <v>0</v>
      </c>
      <c r="MK106" s="8"/>
      <c r="ML106" s="42">
        <f t="shared" si="668"/>
        <v>8.4</v>
      </c>
      <c r="MM106" s="43">
        <f>MH106-MJ106</f>
        <v>2</v>
      </c>
      <c r="MN106" s="8"/>
      <c r="MO106" s="47">
        <v>2</v>
      </c>
      <c r="MP106" s="48" t="s">
        <v>4</v>
      </c>
      <c r="MQ106" s="49">
        <v>0</v>
      </c>
      <c r="MR106" s="8"/>
      <c r="MS106" s="42">
        <f t="shared" si="670"/>
        <v>8.4</v>
      </c>
      <c r="MT106" s="43">
        <f>MO106-MQ106</f>
        <v>2</v>
      </c>
      <c r="MU106" s="8"/>
      <c r="MV106" s="47">
        <v>3</v>
      </c>
      <c r="MW106" s="48" t="s">
        <v>4</v>
      </c>
      <c r="MX106" s="49">
        <v>1</v>
      </c>
      <c r="MY106" s="8"/>
      <c r="MZ106" s="42">
        <f t="shared" si="672"/>
        <v>8.4</v>
      </c>
      <c r="NA106" s="43">
        <f>MV106-MX106</f>
        <v>2</v>
      </c>
      <c r="NB106" s="8"/>
      <c r="NC106" s="47">
        <v>3</v>
      </c>
      <c r="ND106" s="48" t="s">
        <v>4</v>
      </c>
      <c r="NE106" s="49">
        <v>1</v>
      </c>
      <c r="NF106" s="8"/>
      <c r="NG106" s="42">
        <f t="shared" si="674"/>
        <v>8.4</v>
      </c>
      <c r="NH106" s="43">
        <f>NC106-NE106</f>
        <v>2</v>
      </c>
      <c r="NI106" s="8"/>
      <c r="NJ106" s="47">
        <v>3</v>
      </c>
      <c r="NK106" s="48" t="s">
        <v>4</v>
      </c>
      <c r="NL106" s="49">
        <v>2</v>
      </c>
      <c r="NM106" s="8"/>
      <c r="NN106" s="42">
        <f t="shared" si="676"/>
        <v>12.600000000000001</v>
      </c>
      <c r="NO106" s="43">
        <f>NJ106-NL106</f>
        <v>1</v>
      </c>
      <c r="NP106" s="8"/>
      <c r="NQ106" s="47">
        <v>2</v>
      </c>
      <c r="NR106" s="48" t="s">
        <v>4</v>
      </c>
      <c r="NS106" s="49">
        <v>0</v>
      </c>
      <c r="NT106" s="8"/>
      <c r="NU106" s="42">
        <f t="shared" si="678"/>
        <v>8.4</v>
      </c>
      <c r="NV106" s="43">
        <f>NQ106-NS106</f>
        <v>2</v>
      </c>
      <c r="NW106" s="8"/>
      <c r="NX106" s="47">
        <v>3</v>
      </c>
      <c r="NY106" s="48" t="s">
        <v>4</v>
      </c>
      <c r="NZ106" s="49">
        <v>1</v>
      </c>
      <c r="OA106" s="8"/>
      <c r="OB106" s="42">
        <f t="shared" si="680"/>
        <v>8.4</v>
      </c>
      <c r="OC106" s="43">
        <f>NX106-NZ106</f>
        <v>2</v>
      </c>
      <c r="OD106" s="8"/>
      <c r="OE106" s="47">
        <v>3</v>
      </c>
      <c r="OF106" s="48" t="s">
        <v>4</v>
      </c>
      <c r="OG106" s="49">
        <v>1</v>
      </c>
      <c r="OH106" s="8"/>
      <c r="OI106" s="42">
        <f t="shared" si="682"/>
        <v>8.4</v>
      </c>
      <c r="OJ106" s="43">
        <f>OE106-OG106</f>
        <v>2</v>
      </c>
      <c r="OK106" s="8"/>
      <c r="OL106" s="47">
        <v>2</v>
      </c>
      <c r="OM106" s="48" t="s">
        <v>4</v>
      </c>
      <c r="ON106" s="49">
        <v>0</v>
      </c>
      <c r="OO106" s="8"/>
      <c r="OP106" s="42">
        <f t="shared" si="684"/>
        <v>8.4</v>
      </c>
      <c r="OQ106" s="43">
        <f>OL106-ON106</f>
        <v>2</v>
      </c>
      <c r="OR106" s="8"/>
      <c r="OS106" s="47">
        <v>4</v>
      </c>
      <c r="OT106" s="48" t="s">
        <v>4</v>
      </c>
      <c r="OU106" s="49">
        <v>1</v>
      </c>
      <c r="OV106" s="8"/>
      <c r="OW106" s="42">
        <f t="shared" si="686"/>
        <v>8.4</v>
      </c>
      <c r="OX106" s="43">
        <f>OS106-OU106</f>
        <v>3</v>
      </c>
      <c r="OY106" s="8"/>
      <c r="OZ106" s="47">
        <v>3</v>
      </c>
      <c r="PA106" s="48" t="s">
        <v>4</v>
      </c>
      <c r="PB106" s="49">
        <v>1</v>
      </c>
      <c r="PC106" s="8"/>
      <c r="PD106" s="42">
        <f t="shared" si="688"/>
        <v>8.4</v>
      </c>
      <c r="PE106" s="43">
        <f>OZ106-PB106</f>
        <v>2</v>
      </c>
      <c r="PF106" s="8"/>
      <c r="PG106" s="47">
        <v>3</v>
      </c>
      <c r="PH106" s="48" t="s">
        <v>4</v>
      </c>
      <c r="PI106" s="49">
        <v>1</v>
      </c>
      <c r="PJ106" s="8"/>
      <c r="PK106" s="42">
        <f t="shared" si="690"/>
        <v>8.4</v>
      </c>
      <c r="PL106" s="43">
        <f>PG106-PI106</f>
        <v>2</v>
      </c>
      <c r="PM106" s="8"/>
      <c r="PN106" s="47">
        <v>2</v>
      </c>
      <c r="PO106" s="48" t="s">
        <v>4</v>
      </c>
      <c r="PP106" s="49">
        <v>0</v>
      </c>
      <c r="PQ106" s="8"/>
      <c r="PR106" s="42">
        <f t="shared" si="692"/>
        <v>8.4</v>
      </c>
      <c r="PS106" s="43">
        <f>PN106-PP106</f>
        <v>2</v>
      </c>
      <c r="PT106" s="8"/>
      <c r="PU106" s="47">
        <v>2</v>
      </c>
      <c r="PV106" s="48" t="s">
        <v>4</v>
      </c>
      <c r="PW106" s="49">
        <v>1</v>
      </c>
      <c r="PX106" s="8"/>
      <c r="PY106" s="42">
        <f t="shared" si="694"/>
        <v>8.4</v>
      </c>
      <c r="PZ106" s="43">
        <f>PU106-PW106</f>
        <v>1</v>
      </c>
      <c r="QA106" s="8"/>
      <c r="QB106" s="47">
        <v>3</v>
      </c>
      <c r="QC106" s="48" t="s">
        <v>4</v>
      </c>
      <c r="QD106" s="49">
        <v>2</v>
      </c>
      <c r="QE106" s="8"/>
      <c r="QF106" s="42">
        <f t="shared" si="696"/>
        <v>12.600000000000001</v>
      </c>
      <c r="QG106" s="43">
        <f>QB106-QD106</f>
        <v>1</v>
      </c>
      <c r="QH106" s="8"/>
      <c r="QI106" s="47">
        <v>2</v>
      </c>
      <c r="QJ106" s="48" t="s">
        <v>4</v>
      </c>
      <c r="QK106" s="49">
        <v>1</v>
      </c>
      <c r="QL106" s="8"/>
      <c r="QM106" s="42">
        <f t="shared" si="698"/>
        <v>8.4</v>
      </c>
      <c r="QN106" s="43">
        <f>QI106-QK106</f>
        <v>1</v>
      </c>
      <c r="QO106" s="8"/>
      <c r="QP106" s="47">
        <v>3</v>
      </c>
      <c r="QQ106" s="48" t="s">
        <v>4</v>
      </c>
      <c r="QR106" s="49">
        <v>0</v>
      </c>
      <c r="QS106" s="8"/>
      <c r="QT106" s="42">
        <f t="shared" si="700"/>
        <v>8.4</v>
      </c>
      <c r="QU106" s="43">
        <f>QP106-QR106</f>
        <v>3</v>
      </c>
      <c r="QV106" s="8"/>
      <c r="QW106" s="47">
        <v>3</v>
      </c>
      <c r="QX106" s="48" t="s">
        <v>4</v>
      </c>
      <c r="QY106" s="49">
        <v>1</v>
      </c>
      <c r="QZ106" s="8"/>
      <c r="RA106" s="42">
        <f t="shared" si="702"/>
        <v>8.4</v>
      </c>
      <c r="RB106" s="43">
        <f>QW106-QY106</f>
        <v>2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>
        <v>0</v>
      </c>
      <c r="RL106" s="48" t="s">
        <v>4</v>
      </c>
      <c r="RM106" s="49">
        <v>1</v>
      </c>
      <c r="RN106" s="8"/>
      <c r="RO106" s="42">
        <f t="shared" si="706"/>
        <v>0</v>
      </c>
      <c r="RP106" s="43">
        <f>RK106-RM106</f>
        <v>-1</v>
      </c>
      <c r="RQ106" s="8"/>
      <c r="RR106" s="47">
        <v>3</v>
      </c>
      <c r="RS106" s="48" t="s">
        <v>4</v>
      </c>
      <c r="RT106" s="49">
        <v>0</v>
      </c>
      <c r="RU106" s="8"/>
      <c r="RV106" s="42">
        <f t="shared" si="708"/>
        <v>8.4</v>
      </c>
      <c r="RW106" s="43">
        <f>RR106-RT106</f>
        <v>3</v>
      </c>
      <c r="RX106" s="8"/>
      <c r="RY106" s="47">
        <v>2</v>
      </c>
      <c r="RZ106" s="48" t="s">
        <v>4</v>
      </c>
      <c r="SA106" s="49">
        <v>0</v>
      </c>
      <c r="SB106" s="8"/>
      <c r="SC106" s="42">
        <f t="shared" si="710"/>
        <v>8.4</v>
      </c>
      <c r="SD106" s="43">
        <f>RY106-SA106</f>
        <v>2</v>
      </c>
      <c r="SE106" s="8"/>
      <c r="SF106" s="47">
        <v>3</v>
      </c>
      <c r="SG106" s="48" t="s">
        <v>4</v>
      </c>
      <c r="SH106" s="49">
        <v>0</v>
      </c>
      <c r="SI106" s="8"/>
      <c r="SJ106" s="42">
        <f t="shared" si="712"/>
        <v>8.4</v>
      </c>
      <c r="SK106" s="43">
        <f>SF106-SH106</f>
        <v>3</v>
      </c>
      <c r="SL106" s="8"/>
      <c r="SM106" s="47">
        <v>3</v>
      </c>
      <c r="SN106" s="48" t="s">
        <v>4</v>
      </c>
      <c r="SO106" s="49">
        <v>2</v>
      </c>
      <c r="SP106" s="8"/>
      <c r="SQ106" s="42">
        <f t="shared" si="714"/>
        <v>12.600000000000001</v>
      </c>
      <c r="SR106" s="43">
        <f>SM106-SO106</f>
        <v>1</v>
      </c>
    </row>
    <row r="107" spans="1:512" ht="16" customHeight="1" x14ac:dyDescent="0.15">
      <c r="A107" s="51">
        <v>46210</v>
      </c>
      <c r="B107" s="46">
        <v>0.91666666666666663</v>
      </c>
      <c r="C107" s="82" t="s">
        <v>21</v>
      </c>
      <c r="D107" s="82" t="s">
        <v>61</v>
      </c>
      <c r="E107" s="2">
        <v>4</v>
      </c>
      <c r="F107" s="50" t="s">
        <v>4</v>
      </c>
      <c r="G107" s="1">
        <v>3</v>
      </c>
      <c r="H107" s="16">
        <v>8.4</v>
      </c>
      <c r="I107" s="32">
        <f t="shared" si="429"/>
        <v>1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>
        <v>2</v>
      </c>
      <c r="AF107" s="48" t="s">
        <v>4</v>
      </c>
      <c r="AG107" s="49">
        <v>0</v>
      </c>
      <c r="AH107" s="8"/>
      <c r="AI107" s="42">
        <f t="shared" si="578"/>
        <v>8.4</v>
      </c>
      <c r="AJ107" s="43">
        <f>AE107-AG107</f>
        <v>2</v>
      </c>
      <c r="AK107" s="8"/>
      <c r="AL107" s="47">
        <v>1</v>
      </c>
      <c r="AM107" s="48" t="s">
        <v>4</v>
      </c>
      <c r="AN107" s="49">
        <v>2</v>
      </c>
      <c r="AO107" s="8"/>
      <c r="AP107" s="42">
        <f t="shared" si="580"/>
        <v>0</v>
      </c>
      <c r="AQ107" s="43">
        <f>AL107-AN107</f>
        <v>-1</v>
      </c>
      <c r="AR107" s="8"/>
      <c r="AS107" s="47">
        <v>0</v>
      </c>
      <c r="AT107" s="48" t="s">
        <v>4</v>
      </c>
      <c r="AU107" s="49">
        <v>2</v>
      </c>
      <c r="AV107" s="8"/>
      <c r="AW107" s="42">
        <f t="shared" si="582"/>
        <v>0</v>
      </c>
      <c r="AX107" s="43">
        <f>AS107-AU107</f>
        <v>-2</v>
      </c>
      <c r="AY107" s="8"/>
      <c r="AZ107" s="47">
        <v>1</v>
      </c>
      <c r="BA107" s="48" t="s">
        <v>4</v>
      </c>
      <c r="BB107" s="49">
        <v>2</v>
      </c>
      <c r="BC107" s="8"/>
      <c r="BD107" s="42">
        <f t="shared" si="584"/>
        <v>0</v>
      </c>
      <c r="BE107" s="43">
        <f>AZ107-BB107</f>
        <v>-1</v>
      </c>
      <c r="BF107" s="8"/>
      <c r="BG107" s="47">
        <v>1</v>
      </c>
      <c r="BH107" s="48" t="s">
        <v>4</v>
      </c>
      <c r="BI107" s="49">
        <v>4</v>
      </c>
      <c r="BJ107" s="8"/>
      <c r="BK107" s="42">
        <f t="shared" si="586"/>
        <v>0</v>
      </c>
      <c r="BL107" s="43">
        <f>BG107-BI107</f>
        <v>-3</v>
      </c>
      <c r="BM107" s="8"/>
      <c r="BN107" s="47">
        <v>1</v>
      </c>
      <c r="BO107" s="48" t="s">
        <v>4</v>
      </c>
      <c r="BP107" s="49">
        <v>2</v>
      </c>
      <c r="BQ107" s="8"/>
      <c r="BR107" s="42">
        <f t="shared" si="588"/>
        <v>0</v>
      </c>
      <c r="BS107" s="43">
        <f>BN107-BP107</f>
        <v>-1</v>
      </c>
      <c r="BT107" s="8"/>
      <c r="BU107" s="47">
        <v>2</v>
      </c>
      <c r="BV107" s="48" t="s">
        <v>4</v>
      </c>
      <c r="BW107" s="49">
        <v>3</v>
      </c>
      <c r="BX107" s="8"/>
      <c r="BY107" s="42">
        <f t="shared" si="590"/>
        <v>0</v>
      </c>
      <c r="BZ107" s="43">
        <f>BU107-BW107</f>
        <v>-1</v>
      </c>
      <c r="CA107" s="8"/>
      <c r="CB107" s="47">
        <v>3</v>
      </c>
      <c r="CC107" s="48" t="s">
        <v>4</v>
      </c>
      <c r="CD107" s="49">
        <v>2</v>
      </c>
      <c r="CE107" s="8"/>
      <c r="CF107" s="42">
        <f t="shared" si="592"/>
        <v>8.4</v>
      </c>
      <c r="CG107" s="43">
        <f>CB107-CD107</f>
        <v>1</v>
      </c>
      <c r="CH107" s="8"/>
      <c r="CI107" s="47">
        <v>1</v>
      </c>
      <c r="CJ107" s="48" t="s">
        <v>4</v>
      </c>
      <c r="CK107" s="49">
        <v>0</v>
      </c>
      <c r="CL107" s="8"/>
      <c r="CM107" s="42">
        <f t="shared" si="594"/>
        <v>8.4</v>
      </c>
      <c r="CN107" s="43">
        <f>CI107-CK107</f>
        <v>1</v>
      </c>
      <c r="CO107" s="8"/>
      <c r="CP107" s="47">
        <v>0</v>
      </c>
      <c r="CQ107" s="48" t="s">
        <v>4</v>
      </c>
      <c r="CR107" s="49">
        <v>1</v>
      </c>
      <c r="CS107" s="8"/>
      <c r="CT107" s="42">
        <f t="shared" si="596"/>
        <v>0</v>
      </c>
      <c r="CU107" s="43">
        <f>CP107-CR107</f>
        <v>-1</v>
      </c>
      <c r="CV107" s="8"/>
      <c r="CW107" s="47">
        <v>2</v>
      </c>
      <c r="CX107" s="48" t="s">
        <v>4</v>
      </c>
      <c r="CY107" s="49">
        <v>1</v>
      </c>
      <c r="CZ107" s="8"/>
      <c r="DA107" s="42">
        <f t="shared" si="598"/>
        <v>8.4</v>
      </c>
      <c r="DB107" s="43">
        <f>CW107-CY107</f>
        <v>1</v>
      </c>
      <c r="DC107" s="8"/>
      <c r="DD107" s="47">
        <v>1</v>
      </c>
      <c r="DE107" s="48" t="s">
        <v>4</v>
      </c>
      <c r="DF107" s="49">
        <v>2</v>
      </c>
      <c r="DG107" s="8"/>
      <c r="DH107" s="42">
        <f t="shared" si="600"/>
        <v>0</v>
      </c>
      <c r="DI107" s="43">
        <f>DD107-DF107</f>
        <v>-1</v>
      </c>
      <c r="DJ107" s="8"/>
      <c r="DK107" s="47">
        <v>1</v>
      </c>
      <c r="DL107" s="48" t="s">
        <v>4</v>
      </c>
      <c r="DM107" s="49">
        <v>2</v>
      </c>
      <c r="DN107" s="8"/>
      <c r="DO107" s="42">
        <f t="shared" si="602"/>
        <v>0</v>
      </c>
      <c r="DP107" s="43">
        <f>DK107-DM107</f>
        <v>-1</v>
      </c>
      <c r="DQ107" s="8"/>
      <c r="DR107" s="47">
        <v>3</v>
      </c>
      <c r="DS107" s="48" t="s">
        <v>4</v>
      </c>
      <c r="DT107" s="49">
        <v>2</v>
      </c>
      <c r="DU107" s="8"/>
      <c r="DV107" s="42">
        <f t="shared" si="604"/>
        <v>8.4</v>
      </c>
      <c r="DW107" s="43">
        <f>DR107-DT107</f>
        <v>1</v>
      </c>
      <c r="DX107" s="8"/>
      <c r="DY107" s="47">
        <v>2</v>
      </c>
      <c r="DZ107" s="48" t="s">
        <v>4</v>
      </c>
      <c r="EA107" s="49">
        <v>1</v>
      </c>
      <c r="EB107" s="8"/>
      <c r="EC107" s="42">
        <f t="shared" si="606"/>
        <v>8.4</v>
      </c>
      <c r="ED107" s="43">
        <f>DY107-EA107</f>
        <v>1</v>
      </c>
      <c r="EE107" s="8"/>
      <c r="EF107" s="47">
        <v>1</v>
      </c>
      <c r="EG107" s="48" t="s">
        <v>4</v>
      </c>
      <c r="EH107" s="49">
        <v>0</v>
      </c>
      <c r="EI107" s="8"/>
      <c r="EJ107" s="42">
        <f t="shared" si="608"/>
        <v>8.4</v>
      </c>
      <c r="EK107" s="43">
        <f>EF107-EH107</f>
        <v>1</v>
      </c>
      <c r="EL107" s="8"/>
      <c r="EM107" s="47">
        <v>2</v>
      </c>
      <c r="EN107" s="48" t="s">
        <v>4</v>
      </c>
      <c r="EO107" s="49">
        <v>1</v>
      </c>
      <c r="EP107" s="8"/>
      <c r="EQ107" s="42">
        <f t="shared" si="610"/>
        <v>8.4</v>
      </c>
      <c r="ER107" s="43">
        <f>EM107-EO107</f>
        <v>1</v>
      </c>
      <c r="ES107" s="8"/>
      <c r="ET107" s="47">
        <v>1</v>
      </c>
      <c r="EU107" s="48" t="s">
        <v>4</v>
      </c>
      <c r="EV107" s="49">
        <v>3</v>
      </c>
      <c r="EW107" s="8"/>
      <c r="EX107" s="42">
        <f t="shared" si="612"/>
        <v>0</v>
      </c>
      <c r="EY107" s="43">
        <f>ET107-EV107</f>
        <v>-2</v>
      </c>
      <c r="EZ107" s="8"/>
      <c r="FA107" s="47">
        <v>6</v>
      </c>
      <c r="FB107" s="48" t="s">
        <v>4</v>
      </c>
      <c r="FC107" s="49">
        <v>4</v>
      </c>
      <c r="FD107" s="8"/>
      <c r="FE107" s="42">
        <f t="shared" si="614"/>
        <v>8.4</v>
      </c>
      <c r="FF107" s="43">
        <f>FA107-FC107</f>
        <v>2</v>
      </c>
      <c r="FG107" s="8"/>
      <c r="FH107" s="47">
        <v>1</v>
      </c>
      <c r="FI107" s="48" t="s">
        <v>4</v>
      </c>
      <c r="FJ107" s="49">
        <v>3</v>
      </c>
      <c r="FK107" s="8"/>
      <c r="FL107" s="42">
        <f t="shared" si="616"/>
        <v>0</v>
      </c>
      <c r="FM107" s="43">
        <f>FH107-FJ107</f>
        <v>-2</v>
      </c>
      <c r="FN107" s="8"/>
      <c r="FO107" s="47">
        <v>2</v>
      </c>
      <c r="FP107" s="48" t="s">
        <v>4</v>
      </c>
      <c r="FQ107" s="49">
        <v>1</v>
      </c>
      <c r="FR107" s="8"/>
      <c r="FS107" s="42">
        <f t="shared" si="618"/>
        <v>8.4</v>
      </c>
      <c r="FT107" s="43">
        <f>FO107-FQ107</f>
        <v>1</v>
      </c>
      <c r="FU107" s="8"/>
      <c r="FV107" s="47">
        <v>0</v>
      </c>
      <c r="FW107" s="48" t="s">
        <v>4</v>
      </c>
      <c r="FX107" s="49">
        <v>1</v>
      </c>
      <c r="FY107" s="8"/>
      <c r="FZ107" s="42">
        <f t="shared" si="620"/>
        <v>0</v>
      </c>
      <c r="GA107" s="43">
        <f>FV107-FX107</f>
        <v>-1</v>
      </c>
      <c r="GB107" s="8"/>
      <c r="GC107" s="47">
        <v>1</v>
      </c>
      <c r="GD107" s="48" t="s">
        <v>4</v>
      </c>
      <c r="GE107" s="49">
        <v>2</v>
      </c>
      <c r="GF107" s="8"/>
      <c r="GG107" s="42">
        <f t="shared" si="622"/>
        <v>0</v>
      </c>
      <c r="GH107" s="43">
        <f>GC107-GE107</f>
        <v>-1</v>
      </c>
      <c r="GI107" s="8"/>
      <c r="GJ107" s="47">
        <v>2</v>
      </c>
      <c r="GK107" s="48" t="s">
        <v>4</v>
      </c>
      <c r="GL107" s="49">
        <v>0</v>
      </c>
      <c r="GM107" s="8"/>
      <c r="GN107" s="42">
        <f t="shared" si="624"/>
        <v>8.4</v>
      </c>
      <c r="GO107" s="43">
        <f>GJ107-GL107</f>
        <v>2</v>
      </c>
      <c r="GP107" s="8"/>
      <c r="GQ107" s="47">
        <v>4</v>
      </c>
      <c r="GR107" s="48" t="s">
        <v>4</v>
      </c>
      <c r="GS107" s="49">
        <v>5</v>
      </c>
      <c r="GT107" s="8"/>
      <c r="GU107" s="42">
        <f t="shared" si="626"/>
        <v>0</v>
      </c>
      <c r="GV107" s="43">
        <f>GQ107-GS107</f>
        <v>-1</v>
      </c>
      <c r="GW107" s="8"/>
      <c r="GX107" s="47">
        <v>0</v>
      </c>
      <c r="GY107" s="48" t="s">
        <v>4</v>
      </c>
      <c r="GZ107" s="49">
        <v>1</v>
      </c>
      <c r="HA107" s="8"/>
      <c r="HB107" s="42">
        <f t="shared" si="628"/>
        <v>0</v>
      </c>
      <c r="HC107" s="43">
        <f>GX107-GZ107</f>
        <v>-1</v>
      </c>
      <c r="HD107" s="8"/>
      <c r="HE107" s="47">
        <v>1</v>
      </c>
      <c r="HF107" s="48" t="s">
        <v>4</v>
      </c>
      <c r="HG107" s="49">
        <v>2</v>
      </c>
      <c r="HH107" s="8"/>
      <c r="HI107" s="42">
        <f t="shared" si="630"/>
        <v>0</v>
      </c>
      <c r="HJ107" s="43">
        <f>HE107-HG107</f>
        <v>-1</v>
      </c>
      <c r="HK107" s="8"/>
      <c r="HL107" s="47">
        <v>6</v>
      </c>
      <c r="HM107" s="48" t="s">
        <v>4</v>
      </c>
      <c r="HN107" s="49">
        <v>5</v>
      </c>
      <c r="HO107" s="8"/>
      <c r="HP107" s="42">
        <f t="shared" si="632"/>
        <v>8.4</v>
      </c>
      <c r="HQ107" s="43">
        <f>HL107-HN107</f>
        <v>1</v>
      </c>
      <c r="HR107" s="8"/>
      <c r="HS107" s="47">
        <v>1</v>
      </c>
      <c r="HT107" s="48" t="s">
        <v>4</v>
      </c>
      <c r="HU107" s="49">
        <v>2</v>
      </c>
      <c r="HV107" s="8"/>
      <c r="HW107" s="42">
        <f t="shared" si="634"/>
        <v>0</v>
      </c>
      <c r="HX107" s="43">
        <f>HS107-HU107</f>
        <v>-1</v>
      </c>
      <c r="HY107" s="8"/>
      <c r="HZ107" s="47">
        <v>2</v>
      </c>
      <c r="IA107" s="48" t="s">
        <v>4</v>
      </c>
      <c r="IB107" s="49">
        <v>1</v>
      </c>
      <c r="IC107" s="8"/>
      <c r="ID107" s="42">
        <f t="shared" si="636"/>
        <v>8.4</v>
      </c>
      <c r="IE107" s="43">
        <f>HZ107-IB107</f>
        <v>1</v>
      </c>
      <c r="IF107" s="8"/>
      <c r="IG107" s="47">
        <v>3</v>
      </c>
      <c r="IH107" s="48" t="s">
        <v>4</v>
      </c>
      <c r="II107" s="49">
        <v>2</v>
      </c>
      <c r="IJ107" s="8"/>
      <c r="IK107" s="42">
        <f t="shared" si="638"/>
        <v>8.4</v>
      </c>
      <c r="IL107" s="43">
        <f>IG107-II107</f>
        <v>1</v>
      </c>
      <c r="IM107" s="8"/>
      <c r="IN107" s="47">
        <v>6</v>
      </c>
      <c r="IO107" s="48" t="s">
        <v>4</v>
      </c>
      <c r="IP107" s="49">
        <v>7</v>
      </c>
      <c r="IQ107" s="8"/>
      <c r="IR107" s="42">
        <f t="shared" si="640"/>
        <v>0</v>
      </c>
      <c r="IS107" s="43">
        <f>IN107-IP107</f>
        <v>-1</v>
      </c>
      <c r="IT107" s="8"/>
      <c r="IU107" s="47">
        <v>2</v>
      </c>
      <c r="IV107" s="48" t="s">
        <v>4</v>
      </c>
      <c r="IW107" s="49">
        <v>1</v>
      </c>
      <c r="IX107" s="8"/>
      <c r="IY107" s="42">
        <f t="shared" si="642"/>
        <v>8.4</v>
      </c>
      <c r="IZ107" s="43">
        <f>IU107-IW107</f>
        <v>1</v>
      </c>
      <c r="JA107" s="8"/>
      <c r="JB107" s="47">
        <v>2</v>
      </c>
      <c r="JC107" s="48" t="s">
        <v>4</v>
      </c>
      <c r="JD107" s="49">
        <v>1</v>
      </c>
      <c r="JE107" s="8"/>
      <c r="JF107" s="42">
        <f t="shared" si="644"/>
        <v>8.4</v>
      </c>
      <c r="JG107" s="43">
        <f>JB107-JD107</f>
        <v>1</v>
      </c>
      <c r="JH107" s="8"/>
      <c r="JI107" s="47">
        <v>0</v>
      </c>
      <c r="JJ107" s="48" t="s">
        <v>4</v>
      </c>
      <c r="JK107" s="49">
        <v>1</v>
      </c>
      <c r="JL107" s="8"/>
      <c r="JM107" s="42">
        <f t="shared" si="646"/>
        <v>0</v>
      </c>
      <c r="JN107" s="43">
        <f>JI107-JK107</f>
        <v>-1</v>
      </c>
      <c r="JO107" s="8"/>
      <c r="JP107" s="47">
        <v>7</v>
      </c>
      <c r="JQ107" s="48" t="s">
        <v>4</v>
      </c>
      <c r="JR107" s="49">
        <v>6</v>
      </c>
      <c r="JS107" s="8"/>
      <c r="JT107" s="42">
        <f t="shared" si="648"/>
        <v>8.4</v>
      </c>
      <c r="JU107" s="43">
        <f>JP107-JR107</f>
        <v>1</v>
      </c>
      <c r="JV107" s="8"/>
      <c r="JW107" s="47">
        <v>0</v>
      </c>
      <c r="JX107" s="48" t="s">
        <v>4</v>
      </c>
      <c r="JY107" s="49">
        <v>1</v>
      </c>
      <c r="JZ107" s="8"/>
      <c r="KA107" s="42">
        <f t="shared" si="650"/>
        <v>0</v>
      </c>
      <c r="KB107" s="43">
        <f>JW107-JY107</f>
        <v>-1</v>
      </c>
      <c r="KC107" s="8"/>
      <c r="KD107" s="47">
        <v>2</v>
      </c>
      <c r="KE107" s="48" t="s">
        <v>4</v>
      </c>
      <c r="KF107" s="49">
        <v>1</v>
      </c>
      <c r="KG107" s="8"/>
      <c r="KH107" s="42">
        <f t="shared" si="652"/>
        <v>8.4</v>
      </c>
      <c r="KI107" s="43">
        <f>KD107-KF107</f>
        <v>1</v>
      </c>
      <c r="KJ107" s="8"/>
      <c r="KK107" s="47">
        <v>1</v>
      </c>
      <c r="KL107" s="48" t="s">
        <v>4</v>
      </c>
      <c r="KM107" s="49">
        <v>2</v>
      </c>
      <c r="KN107" s="8"/>
      <c r="KO107" s="42">
        <f t="shared" si="654"/>
        <v>0</v>
      </c>
      <c r="KP107" s="43">
        <f>KK107-KM107</f>
        <v>-1</v>
      </c>
      <c r="KQ107" s="8"/>
      <c r="KR107" s="47">
        <v>1</v>
      </c>
      <c r="KS107" s="48" t="s">
        <v>4</v>
      </c>
      <c r="KT107" s="49">
        <v>2</v>
      </c>
      <c r="KU107" s="8"/>
      <c r="KV107" s="42">
        <f t="shared" si="656"/>
        <v>0</v>
      </c>
      <c r="KW107" s="43">
        <f>KR107-KT107</f>
        <v>-1</v>
      </c>
      <c r="KX107" s="8"/>
      <c r="KY107" s="47">
        <v>2</v>
      </c>
      <c r="KZ107" s="48" t="s">
        <v>4</v>
      </c>
      <c r="LA107" s="49">
        <v>1</v>
      </c>
      <c r="LB107" s="8"/>
      <c r="LC107" s="42">
        <f t="shared" si="658"/>
        <v>8.4</v>
      </c>
      <c r="LD107" s="43">
        <f>KY107-LA107</f>
        <v>1</v>
      </c>
      <c r="LE107" s="8"/>
      <c r="LF107" s="47">
        <v>1</v>
      </c>
      <c r="LG107" s="48" t="s">
        <v>4</v>
      </c>
      <c r="LH107" s="49">
        <v>2</v>
      </c>
      <c r="LI107" s="8"/>
      <c r="LJ107" s="42">
        <f t="shared" si="660"/>
        <v>0</v>
      </c>
      <c r="LK107" s="43">
        <f>LF107-LH107</f>
        <v>-1</v>
      </c>
      <c r="LL107" s="8"/>
      <c r="LM107" s="47">
        <v>4</v>
      </c>
      <c r="LN107" s="48" t="s">
        <v>4</v>
      </c>
      <c r="LO107" s="49">
        <v>5</v>
      </c>
      <c r="LP107" s="8"/>
      <c r="LQ107" s="42">
        <f t="shared" si="662"/>
        <v>0</v>
      </c>
      <c r="LR107" s="43">
        <f>LM107-LO107</f>
        <v>-1</v>
      </c>
      <c r="LS107" s="8"/>
      <c r="LT107" s="47">
        <v>0</v>
      </c>
      <c r="LU107" s="48" t="s">
        <v>4</v>
      </c>
      <c r="LV107" s="49">
        <v>1</v>
      </c>
      <c r="LW107" s="8"/>
      <c r="LX107" s="42">
        <f t="shared" si="664"/>
        <v>0</v>
      </c>
      <c r="LY107" s="43">
        <f>LT107-LV107</f>
        <v>-1</v>
      </c>
      <c r="LZ107" s="8"/>
      <c r="MA107" s="47">
        <v>0</v>
      </c>
      <c r="MB107" s="48" t="s">
        <v>4</v>
      </c>
      <c r="MC107" s="49">
        <v>2</v>
      </c>
      <c r="MD107" s="8"/>
      <c r="ME107" s="42">
        <f t="shared" si="666"/>
        <v>0</v>
      </c>
      <c r="MF107" s="43">
        <f>MA107-MC107</f>
        <v>-2</v>
      </c>
      <c r="MG107" s="8"/>
      <c r="MH107" s="47">
        <v>1</v>
      </c>
      <c r="MI107" s="48" t="s">
        <v>4</v>
      </c>
      <c r="MJ107" s="49">
        <v>0</v>
      </c>
      <c r="MK107" s="8"/>
      <c r="ML107" s="42">
        <f t="shared" si="668"/>
        <v>8.4</v>
      </c>
      <c r="MM107" s="43">
        <f>MH107-MJ107</f>
        <v>1</v>
      </c>
      <c r="MN107" s="8"/>
      <c r="MO107" s="47">
        <v>1</v>
      </c>
      <c r="MP107" s="48" t="s">
        <v>4</v>
      </c>
      <c r="MQ107" s="49">
        <v>0</v>
      </c>
      <c r="MR107" s="8"/>
      <c r="MS107" s="42">
        <f t="shared" si="670"/>
        <v>8.4</v>
      </c>
      <c r="MT107" s="43">
        <f>MO107-MQ107</f>
        <v>1</v>
      </c>
      <c r="MU107" s="8"/>
      <c r="MV107" s="47">
        <v>2</v>
      </c>
      <c r="MW107" s="48" t="s">
        <v>4</v>
      </c>
      <c r="MX107" s="49">
        <v>1</v>
      </c>
      <c r="MY107" s="8"/>
      <c r="MZ107" s="42">
        <f t="shared" si="672"/>
        <v>8.4</v>
      </c>
      <c r="NA107" s="43">
        <f>MV107-MX107</f>
        <v>1</v>
      </c>
      <c r="NB107" s="8"/>
      <c r="NC107" s="47">
        <v>1</v>
      </c>
      <c r="ND107" s="48" t="s">
        <v>4</v>
      </c>
      <c r="NE107" s="49">
        <v>2</v>
      </c>
      <c r="NF107" s="8"/>
      <c r="NG107" s="42">
        <f t="shared" si="674"/>
        <v>0</v>
      </c>
      <c r="NH107" s="43">
        <f>NC107-NE107</f>
        <v>-1</v>
      </c>
      <c r="NI107" s="8"/>
      <c r="NJ107" s="47">
        <v>1</v>
      </c>
      <c r="NK107" s="48" t="s">
        <v>4</v>
      </c>
      <c r="NL107" s="49">
        <v>0</v>
      </c>
      <c r="NM107" s="8"/>
      <c r="NN107" s="42">
        <f t="shared" si="676"/>
        <v>8.4</v>
      </c>
      <c r="NO107" s="43">
        <f>NJ107-NL107</f>
        <v>1</v>
      </c>
      <c r="NP107" s="8"/>
      <c r="NQ107" s="47">
        <v>5</v>
      </c>
      <c r="NR107" s="48" t="s">
        <v>4</v>
      </c>
      <c r="NS107" s="49">
        <v>4</v>
      </c>
      <c r="NT107" s="8"/>
      <c r="NU107" s="42">
        <f t="shared" si="678"/>
        <v>8.4</v>
      </c>
      <c r="NV107" s="43">
        <f>NQ107-NS107</f>
        <v>1</v>
      </c>
      <c r="NW107" s="8"/>
      <c r="NX107" s="47">
        <v>6</v>
      </c>
      <c r="NY107" s="48" t="s">
        <v>4</v>
      </c>
      <c r="NZ107" s="49">
        <v>4</v>
      </c>
      <c r="OA107" s="8"/>
      <c r="OB107" s="42">
        <f t="shared" si="680"/>
        <v>8.4</v>
      </c>
      <c r="OC107" s="43">
        <f>NX107-NZ107</f>
        <v>2</v>
      </c>
      <c r="OD107" s="8"/>
      <c r="OE107" s="47">
        <v>1</v>
      </c>
      <c r="OF107" s="48" t="s">
        <v>4</v>
      </c>
      <c r="OG107" s="49">
        <v>2</v>
      </c>
      <c r="OH107" s="8"/>
      <c r="OI107" s="42">
        <f t="shared" si="682"/>
        <v>0</v>
      </c>
      <c r="OJ107" s="43">
        <f>OE107-OG107</f>
        <v>-1</v>
      </c>
      <c r="OK107" s="8"/>
      <c r="OL107" s="47">
        <v>4</v>
      </c>
      <c r="OM107" s="48" t="s">
        <v>4</v>
      </c>
      <c r="ON107" s="49">
        <v>5</v>
      </c>
      <c r="OO107" s="8"/>
      <c r="OP107" s="42">
        <f t="shared" si="684"/>
        <v>0</v>
      </c>
      <c r="OQ107" s="43">
        <f>OL107-ON107</f>
        <v>-1</v>
      </c>
      <c r="OR107" s="8"/>
      <c r="OS107" s="47">
        <v>2</v>
      </c>
      <c r="OT107" s="48" t="s">
        <v>4</v>
      </c>
      <c r="OU107" s="49">
        <v>1</v>
      </c>
      <c r="OV107" s="8"/>
      <c r="OW107" s="42">
        <f t="shared" si="686"/>
        <v>8.4</v>
      </c>
      <c r="OX107" s="43">
        <f>OS107-OU107</f>
        <v>1</v>
      </c>
      <c r="OY107" s="8"/>
      <c r="OZ107" s="47">
        <v>1</v>
      </c>
      <c r="PA107" s="48" t="s">
        <v>4</v>
      </c>
      <c r="PB107" s="49">
        <v>2</v>
      </c>
      <c r="PC107" s="8"/>
      <c r="PD107" s="42">
        <f t="shared" si="688"/>
        <v>0</v>
      </c>
      <c r="PE107" s="43">
        <f>OZ107-PB107</f>
        <v>-1</v>
      </c>
      <c r="PF107" s="8"/>
      <c r="PG107" s="47">
        <v>1</v>
      </c>
      <c r="PH107" s="48" t="s">
        <v>4</v>
      </c>
      <c r="PI107" s="49">
        <v>2</v>
      </c>
      <c r="PJ107" s="8"/>
      <c r="PK107" s="42">
        <f t="shared" si="690"/>
        <v>0</v>
      </c>
      <c r="PL107" s="43">
        <f>PG107-PI107</f>
        <v>-1</v>
      </c>
      <c r="PM107" s="8"/>
      <c r="PN107" s="47">
        <v>1</v>
      </c>
      <c r="PO107" s="48" t="s">
        <v>4</v>
      </c>
      <c r="PP107" s="49">
        <v>2</v>
      </c>
      <c r="PQ107" s="8"/>
      <c r="PR107" s="42">
        <f t="shared" si="692"/>
        <v>0</v>
      </c>
      <c r="PS107" s="43">
        <f>PN107-PP107</f>
        <v>-1</v>
      </c>
      <c r="PT107" s="8"/>
      <c r="PU107" s="47">
        <v>3</v>
      </c>
      <c r="PV107" s="48" t="s">
        <v>4</v>
      </c>
      <c r="PW107" s="49">
        <v>2</v>
      </c>
      <c r="PX107" s="8"/>
      <c r="PY107" s="42">
        <f t="shared" si="694"/>
        <v>8.4</v>
      </c>
      <c r="PZ107" s="43">
        <f>PU107-PW107</f>
        <v>1</v>
      </c>
      <c r="QA107" s="8"/>
      <c r="QB107" s="47">
        <v>1</v>
      </c>
      <c r="QC107" s="48" t="s">
        <v>4</v>
      </c>
      <c r="QD107" s="49">
        <v>3</v>
      </c>
      <c r="QE107" s="8"/>
      <c r="QF107" s="42">
        <f t="shared" si="696"/>
        <v>0</v>
      </c>
      <c r="QG107" s="43">
        <f>QB107-QD107</f>
        <v>-2</v>
      </c>
      <c r="QH107" s="8"/>
      <c r="QI107" s="47">
        <v>2</v>
      </c>
      <c r="QJ107" s="48" t="s">
        <v>4</v>
      </c>
      <c r="QK107" s="49">
        <v>3</v>
      </c>
      <c r="QL107" s="8"/>
      <c r="QM107" s="42">
        <f t="shared" si="698"/>
        <v>0</v>
      </c>
      <c r="QN107" s="43">
        <f>QI107-QK107</f>
        <v>-1</v>
      </c>
      <c r="QO107" s="8"/>
      <c r="QP107" s="47">
        <v>2</v>
      </c>
      <c r="QQ107" s="48" t="s">
        <v>4</v>
      </c>
      <c r="QR107" s="49">
        <v>0</v>
      </c>
      <c r="QS107" s="8"/>
      <c r="QT107" s="42">
        <f t="shared" si="700"/>
        <v>8.4</v>
      </c>
      <c r="QU107" s="43">
        <f>QP107-QR107</f>
        <v>2</v>
      </c>
      <c r="QV107" s="8"/>
      <c r="QW107" s="47">
        <v>2</v>
      </c>
      <c r="QX107" s="48" t="s">
        <v>4</v>
      </c>
      <c r="QY107" s="49">
        <v>0</v>
      </c>
      <c r="QZ107" s="8"/>
      <c r="RA107" s="42">
        <f t="shared" si="702"/>
        <v>8.4</v>
      </c>
      <c r="RB107" s="43">
        <f>QW107-QY107</f>
        <v>2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>
        <v>2</v>
      </c>
      <c r="RL107" s="48" t="s">
        <v>4</v>
      </c>
      <c r="RM107" s="49">
        <v>0</v>
      </c>
      <c r="RN107" s="8"/>
      <c r="RO107" s="42">
        <f t="shared" si="706"/>
        <v>8.4</v>
      </c>
      <c r="RP107" s="43">
        <f>RK107-RM107</f>
        <v>2</v>
      </c>
      <c r="RQ107" s="8"/>
      <c r="RR107" s="47">
        <v>1</v>
      </c>
      <c r="RS107" s="48" t="s">
        <v>4</v>
      </c>
      <c r="RT107" s="49">
        <v>2</v>
      </c>
      <c r="RU107" s="8"/>
      <c r="RV107" s="42">
        <f t="shared" si="708"/>
        <v>0</v>
      </c>
      <c r="RW107" s="43">
        <f>RR107-RT107</f>
        <v>-1</v>
      </c>
      <c r="RX107" s="8"/>
      <c r="RY107" s="47">
        <v>0</v>
      </c>
      <c r="RZ107" s="48" t="s">
        <v>4</v>
      </c>
      <c r="SA107" s="49">
        <v>3</v>
      </c>
      <c r="SB107" s="8"/>
      <c r="SC107" s="42">
        <f t="shared" si="710"/>
        <v>0</v>
      </c>
      <c r="SD107" s="43">
        <f>RY107-SA107</f>
        <v>-3</v>
      </c>
      <c r="SE107" s="8"/>
      <c r="SF107" s="47">
        <v>1</v>
      </c>
      <c r="SG107" s="48" t="s">
        <v>4</v>
      </c>
      <c r="SH107" s="49">
        <v>2</v>
      </c>
      <c r="SI107" s="8"/>
      <c r="SJ107" s="42">
        <f t="shared" si="712"/>
        <v>0</v>
      </c>
      <c r="SK107" s="43">
        <f>SF107-SH107</f>
        <v>-1</v>
      </c>
      <c r="SL107" s="8"/>
      <c r="SM107" s="47">
        <v>0</v>
      </c>
      <c r="SN107" s="48" t="s">
        <v>4</v>
      </c>
      <c r="SO107" s="49">
        <v>3</v>
      </c>
      <c r="SP107" s="8"/>
      <c r="SQ107" s="42">
        <f t="shared" si="714"/>
        <v>0</v>
      </c>
      <c r="SR107" s="43">
        <f>SM107-SO107</f>
        <v>-3</v>
      </c>
    </row>
    <row r="108" spans="1:512" ht="16" customHeight="1" x14ac:dyDescent="0.15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15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15">
      <c r="A110" s="53">
        <v>46212</v>
      </c>
      <c r="B110" s="46">
        <v>0.91666666666666663</v>
      </c>
      <c r="C110" s="82" t="s">
        <v>10</v>
      </c>
      <c r="D110" s="83" t="s">
        <v>36</v>
      </c>
      <c r="E110" s="2">
        <v>2</v>
      </c>
      <c r="F110" s="50" t="s">
        <v>4</v>
      </c>
      <c r="G110" s="1">
        <v>0</v>
      </c>
      <c r="H110" s="16">
        <v>8.8000000000000007</v>
      </c>
      <c r="I110" s="32">
        <f t="shared" si="429"/>
        <v>2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>
        <v>3</v>
      </c>
      <c r="AF110" s="44" t="s">
        <v>4</v>
      </c>
      <c r="AG110" s="40">
        <v>1</v>
      </c>
      <c r="AH110" s="8"/>
      <c r="AI110" s="42">
        <f t="shared" ref="AI110:AI113" si="720">IF(OR($G110="",AG110=""),"",IF(AND($E110=AE110,$G110=AG110),$H110*1.5,IF(AND($I110&gt;0,AJ110&gt;0),$H110,IF(AND($I110&lt;0,AJ110&lt;0),$H110,IF(AND($I110=0,AJ110=0),$H110,0)))))</f>
        <v>8.8000000000000007</v>
      </c>
      <c r="AJ110" s="43">
        <f t="shared" ref="AJ110:AJ113" si="721">AE110-AG110</f>
        <v>2</v>
      </c>
      <c r="AK110" s="8"/>
      <c r="AL110" s="38">
        <v>2</v>
      </c>
      <c r="AM110" s="44" t="s">
        <v>4</v>
      </c>
      <c r="AN110" s="40">
        <v>1</v>
      </c>
      <c r="AO110" s="8"/>
      <c r="AP110" s="42">
        <f t="shared" ref="AP110:AP113" si="722">IF(OR($G110="",AN110=""),"",IF(AND($E110=AL110,$G110=AN110),$H110*1.5,IF(AND($I110&gt;0,AQ110&gt;0),$H110,IF(AND($I110&lt;0,AQ110&lt;0),$H110,IF(AND($I110=0,AQ110=0),$H110,0)))))</f>
        <v>8.8000000000000007</v>
      </c>
      <c r="AQ110" s="43">
        <f t="shared" ref="AQ110:AQ113" si="723">AL110-AN110</f>
        <v>1</v>
      </c>
      <c r="AR110" s="8"/>
      <c r="AS110" s="38">
        <v>6</v>
      </c>
      <c r="AT110" s="44" t="s">
        <v>4</v>
      </c>
      <c r="AU110" s="40">
        <v>5</v>
      </c>
      <c r="AV110" s="8"/>
      <c r="AW110" s="42">
        <f t="shared" ref="AW110:AW113" si="724">IF(OR($G110="",AU110=""),"",IF(AND($E110=AS110,$G110=AU110),$H110*1.5,IF(AND($I110&gt;0,AX110&gt;0),$H110,IF(AND($I110&lt;0,AX110&lt;0),$H110,IF(AND($I110=0,AX110=0),$H110,0)))))</f>
        <v>8.8000000000000007</v>
      </c>
      <c r="AX110" s="43">
        <f t="shared" ref="AX110:AX113" si="725">AS110-AU110</f>
        <v>1</v>
      </c>
      <c r="AY110" s="8"/>
      <c r="AZ110" s="38">
        <v>3</v>
      </c>
      <c r="BA110" s="44" t="s">
        <v>4</v>
      </c>
      <c r="BB110" s="40">
        <v>0</v>
      </c>
      <c r="BC110" s="8"/>
      <c r="BD110" s="42">
        <f t="shared" ref="BD110:BD113" si="726">IF(OR($G110="",BB110=""),"",IF(AND($E110=AZ110,$G110=BB110),$H110*1.5,IF(AND($I110&gt;0,BE110&gt;0),$H110,IF(AND($I110&lt;0,BE110&lt;0),$H110,IF(AND($I110=0,BE110=0),$H110,0)))))</f>
        <v>8.8000000000000007</v>
      </c>
      <c r="BE110" s="43">
        <f t="shared" ref="BE110:BE113" si="727">AZ110-BB110</f>
        <v>3</v>
      </c>
      <c r="BF110" s="8"/>
      <c r="BG110" s="38">
        <v>3</v>
      </c>
      <c r="BH110" s="44" t="s">
        <v>4</v>
      </c>
      <c r="BI110" s="40">
        <v>1</v>
      </c>
      <c r="BJ110" s="8"/>
      <c r="BK110" s="42">
        <f t="shared" ref="BK110:BK113" si="728">IF(OR($G110="",BI110=""),"",IF(AND($E110=BG110,$G110=BI110),$H110*1.5,IF(AND($I110&gt;0,BL110&gt;0),$H110,IF(AND($I110&lt;0,BL110&lt;0),$H110,IF(AND($I110=0,BL110=0),$H110,0)))))</f>
        <v>8.8000000000000007</v>
      </c>
      <c r="BL110" s="43">
        <f t="shared" ref="BL110:BL113" si="729">BG110-BI110</f>
        <v>2</v>
      </c>
      <c r="BM110" s="8"/>
      <c r="BN110" s="38">
        <v>3</v>
      </c>
      <c r="BO110" s="44" t="s">
        <v>4</v>
      </c>
      <c r="BP110" s="40">
        <v>2</v>
      </c>
      <c r="BQ110" s="8"/>
      <c r="BR110" s="42">
        <f t="shared" ref="BR110:BR113" si="730">IF(OR($G110="",BP110=""),"",IF(AND($E110=BN110,$G110=BP110),$H110*1.5,IF(AND($I110&gt;0,BS110&gt;0),$H110,IF(AND($I110&lt;0,BS110&lt;0),$H110,IF(AND($I110=0,BS110=0),$H110,0)))))</f>
        <v>8.8000000000000007</v>
      </c>
      <c r="BS110" s="43">
        <f t="shared" ref="BS110:BS113" si="731">BN110-BP110</f>
        <v>1</v>
      </c>
      <c r="BT110" s="8"/>
      <c r="BU110" s="38">
        <v>3</v>
      </c>
      <c r="BV110" s="44" t="s">
        <v>4</v>
      </c>
      <c r="BW110" s="40">
        <v>1</v>
      </c>
      <c r="BX110" s="8"/>
      <c r="BY110" s="42">
        <f t="shared" ref="BY110:BY113" si="732">IF(OR($G110="",BW110=""),"",IF(AND($E110=BU110,$G110=BW110),$H110*1.5,IF(AND($I110&gt;0,BZ110&gt;0),$H110,IF(AND($I110&lt;0,BZ110&lt;0),$H110,IF(AND($I110=0,BZ110=0),$H110,0)))))</f>
        <v>8.8000000000000007</v>
      </c>
      <c r="BZ110" s="43">
        <f t="shared" ref="BZ110:BZ113" si="733">BU110-BW110</f>
        <v>2</v>
      </c>
      <c r="CA110" s="8"/>
      <c r="CB110" s="38">
        <v>3</v>
      </c>
      <c r="CC110" s="44" t="s">
        <v>4</v>
      </c>
      <c r="CD110" s="40">
        <v>2</v>
      </c>
      <c r="CE110" s="8"/>
      <c r="CF110" s="42">
        <f t="shared" ref="CF110:CF113" si="734">IF(OR($G110="",CD110=""),"",IF(AND($E110=CB110,$G110=CD110),$H110*1.5,IF(AND($I110&gt;0,CG110&gt;0),$H110,IF(AND($I110&lt;0,CG110&lt;0),$H110,IF(AND($I110=0,CG110=0),$H110,0)))))</f>
        <v>8.8000000000000007</v>
      </c>
      <c r="CG110" s="43">
        <f t="shared" ref="CG110:CG113" si="735">CB110-CD110</f>
        <v>1</v>
      </c>
      <c r="CH110" s="8"/>
      <c r="CI110" s="38">
        <v>2</v>
      </c>
      <c r="CJ110" s="44" t="s">
        <v>4</v>
      </c>
      <c r="CK110" s="40">
        <v>0</v>
      </c>
      <c r="CL110" s="8"/>
      <c r="CM110" s="42">
        <f t="shared" ref="CM110:CM113" si="736">IF(OR($G110="",CK110=""),"",IF(AND($E110=CI110,$G110=CK110),$H110*1.5,IF(AND($I110&gt;0,CN110&gt;0),$H110,IF(AND($I110&lt;0,CN110&lt;0),$H110,IF(AND($I110=0,CN110=0),$H110,0)))))</f>
        <v>13.200000000000001</v>
      </c>
      <c r="CN110" s="43">
        <f t="shared" ref="CN110:CN113" si="737">CI110-CK110</f>
        <v>2</v>
      </c>
      <c r="CO110" s="8"/>
      <c r="CP110" s="38">
        <v>3</v>
      </c>
      <c r="CQ110" s="44" t="s">
        <v>4</v>
      </c>
      <c r="CR110" s="40">
        <v>1</v>
      </c>
      <c r="CS110" s="8"/>
      <c r="CT110" s="42">
        <f t="shared" ref="CT110:CT113" si="738">IF(OR($G110="",CR110=""),"",IF(AND($E110=CP110,$G110=CR110),$H110*1.5,IF(AND($I110&gt;0,CU110&gt;0),$H110,IF(AND($I110&lt;0,CU110&lt;0),$H110,IF(AND($I110=0,CU110=0),$H110,0)))))</f>
        <v>8.8000000000000007</v>
      </c>
      <c r="CU110" s="43">
        <f t="shared" ref="CU110:CU113" si="739">CP110-CR110</f>
        <v>2</v>
      </c>
      <c r="CV110" s="8"/>
      <c r="CW110" s="38">
        <v>2</v>
      </c>
      <c r="CX110" s="44" t="s">
        <v>4</v>
      </c>
      <c r="CY110" s="40">
        <v>1</v>
      </c>
      <c r="CZ110" s="8"/>
      <c r="DA110" s="42">
        <f t="shared" ref="DA110:DA113" si="740">IF(OR($G110="",CY110=""),"",IF(AND($E110=CW110,$G110=CY110),$H110*1.5,IF(AND($I110&gt;0,DB110&gt;0),$H110,IF(AND($I110&lt;0,DB110&lt;0),$H110,IF(AND($I110=0,DB110=0),$H110,0)))))</f>
        <v>8.8000000000000007</v>
      </c>
      <c r="DB110" s="43">
        <f t="shared" ref="DB110:DB113" si="741">CW110-CY110</f>
        <v>1</v>
      </c>
      <c r="DC110" s="8"/>
      <c r="DD110" s="38">
        <v>2</v>
      </c>
      <c r="DE110" s="44" t="s">
        <v>4</v>
      </c>
      <c r="DF110" s="40">
        <v>1</v>
      </c>
      <c r="DG110" s="8"/>
      <c r="DH110" s="42">
        <f t="shared" ref="DH110:DH113" si="742">IF(OR($G110="",DF110=""),"",IF(AND($E110=DD110,$G110=DF110),$H110*1.5,IF(AND($I110&gt;0,DI110&gt;0),$H110,IF(AND($I110&lt;0,DI110&lt;0),$H110,IF(AND($I110=0,DI110=0),$H110,0)))))</f>
        <v>8.8000000000000007</v>
      </c>
      <c r="DI110" s="43">
        <f t="shared" ref="DI110:DI113" si="743">DD110-DF110</f>
        <v>1</v>
      </c>
      <c r="DJ110" s="8"/>
      <c r="DK110" s="38">
        <v>2</v>
      </c>
      <c r="DL110" s="44" t="s">
        <v>4</v>
      </c>
      <c r="DM110" s="40">
        <v>0</v>
      </c>
      <c r="DN110" s="8"/>
      <c r="DO110" s="42">
        <f t="shared" ref="DO110:DO113" si="744">IF(OR($G110="",DM110=""),"",IF(AND($E110=DK110,$G110=DM110),$H110*1.5,IF(AND($I110&gt;0,DP110&gt;0),$H110,IF(AND($I110&lt;0,DP110&lt;0),$H110,IF(AND($I110=0,DP110=0),$H110,0)))))</f>
        <v>13.200000000000001</v>
      </c>
      <c r="DP110" s="43">
        <f t="shared" ref="DP110:DP113" si="745">DK110-DM110</f>
        <v>2</v>
      </c>
      <c r="DQ110" s="8"/>
      <c r="DR110" s="38">
        <v>2</v>
      </c>
      <c r="DS110" s="44" t="s">
        <v>4</v>
      </c>
      <c r="DT110" s="40">
        <v>0</v>
      </c>
      <c r="DU110" s="8"/>
      <c r="DV110" s="42">
        <f t="shared" ref="DV110:DV113" si="746">IF(OR($G110="",DT110=""),"",IF(AND($E110=DR110,$G110=DT110),$H110*1.5,IF(AND($I110&gt;0,DW110&gt;0),$H110,IF(AND($I110&lt;0,DW110&lt;0),$H110,IF(AND($I110=0,DW110=0),$H110,0)))))</f>
        <v>13.200000000000001</v>
      </c>
      <c r="DW110" s="43">
        <f t="shared" ref="DW110:DW113" si="747">DR110-DT110</f>
        <v>2</v>
      </c>
      <c r="DX110" s="8"/>
      <c r="DY110" s="38">
        <v>2</v>
      </c>
      <c r="DZ110" s="44" t="s">
        <v>4</v>
      </c>
      <c r="EA110" s="40">
        <v>0</v>
      </c>
      <c r="EB110" s="8"/>
      <c r="EC110" s="42">
        <f t="shared" ref="EC110:EC113" si="748">IF(OR($G110="",EA110=""),"",IF(AND($E110=DY110,$G110=EA110),$H110*1.5,IF(AND($I110&gt;0,ED110&gt;0),$H110,IF(AND($I110&lt;0,ED110&lt;0),$H110,IF(AND($I110=0,ED110=0),$H110,0)))))</f>
        <v>13.200000000000001</v>
      </c>
      <c r="ED110" s="43">
        <f t="shared" ref="ED110:ED113" si="749">DY110-EA110</f>
        <v>2</v>
      </c>
      <c r="EE110" s="8"/>
      <c r="EF110" s="38">
        <v>4</v>
      </c>
      <c r="EG110" s="44" t="s">
        <v>4</v>
      </c>
      <c r="EH110" s="40">
        <v>1</v>
      </c>
      <c r="EI110" s="8"/>
      <c r="EJ110" s="42">
        <f t="shared" ref="EJ110:EJ113" si="750">IF(OR($G110="",EH110=""),"",IF(AND($E110=EF110,$G110=EH110),$H110*1.5,IF(AND($I110&gt;0,EK110&gt;0),$H110,IF(AND($I110&lt;0,EK110&lt;0),$H110,IF(AND($I110=0,EK110=0),$H110,0)))))</f>
        <v>8.8000000000000007</v>
      </c>
      <c r="EK110" s="43">
        <f t="shared" ref="EK110:EK113" si="751">EF110-EH110</f>
        <v>3</v>
      </c>
      <c r="EL110" s="8"/>
      <c r="EM110" s="38">
        <v>3</v>
      </c>
      <c r="EN110" s="44" t="s">
        <v>4</v>
      </c>
      <c r="EO110" s="40">
        <v>2</v>
      </c>
      <c r="EP110" s="8"/>
      <c r="EQ110" s="42">
        <f t="shared" ref="EQ110:EQ113" si="752">IF(OR($G110="",EO110=""),"",IF(AND($E110=EM110,$G110=EO110),$H110*1.5,IF(AND($I110&gt;0,ER110&gt;0),$H110,IF(AND($I110&lt;0,ER110&lt;0),$H110,IF(AND($I110=0,ER110=0),$H110,0)))))</f>
        <v>8.8000000000000007</v>
      </c>
      <c r="ER110" s="43">
        <f t="shared" ref="ER110:ER113" si="753">EM110-EO110</f>
        <v>1</v>
      </c>
      <c r="ES110" s="8"/>
      <c r="ET110" s="38">
        <v>3</v>
      </c>
      <c r="EU110" s="44" t="s">
        <v>4</v>
      </c>
      <c r="EV110" s="40">
        <v>1</v>
      </c>
      <c r="EW110" s="8"/>
      <c r="EX110" s="42">
        <f t="shared" ref="EX110:EX113" si="754">IF(OR($G110="",EV110=""),"",IF(AND($E110=ET110,$G110=EV110),$H110*1.5,IF(AND($I110&gt;0,EY110&gt;0),$H110,IF(AND($I110&lt;0,EY110&lt;0),$H110,IF(AND($I110=0,EY110=0),$H110,0)))))</f>
        <v>8.8000000000000007</v>
      </c>
      <c r="EY110" s="43">
        <f t="shared" ref="EY110:EY113" si="755">ET110-EV110</f>
        <v>2</v>
      </c>
      <c r="EZ110" s="8"/>
      <c r="FA110" s="38">
        <v>2</v>
      </c>
      <c r="FB110" s="44" t="s">
        <v>4</v>
      </c>
      <c r="FC110" s="40">
        <v>1</v>
      </c>
      <c r="FD110" s="8"/>
      <c r="FE110" s="42">
        <f t="shared" ref="FE110:FE113" si="756">IF(OR($G110="",FC110=""),"",IF(AND($E110=FA110,$G110=FC110),$H110*1.5,IF(AND($I110&gt;0,FF110&gt;0),$H110,IF(AND($I110&lt;0,FF110&lt;0),$H110,IF(AND($I110=0,FF110=0),$H110,0)))))</f>
        <v>8.8000000000000007</v>
      </c>
      <c r="FF110" s="43">
        <f t="shared" ref="FF110:FF113" si="757">FA110-FC110</f>
        <v>1</v>
      </c>
      <c r="FG110" s="8"/>
      <c r="FH110" s="38">
        <v>3</v>
      </c>
      <c r="FI110" s="44" t="s">
        <v>4</v>
      </c>
      <c r="FJ110" s="40">
        <v>2</v>
      </c>
      <c r="FK110" s="8"/>
      <c r="FL110" s="42">
        <f t="shared" ref="FL110:FL113" si="758">IF(OR($G110="",FJ110=""),"",IF(AND($E110=FH110,$G110=FJ110),$H110*1.5,IF(AND($I110&gt;0,FM110&gt;0),$H110,IF(AND($I110&lt;0,FM110&lt;0),$H110,IF(AND($I110=0,FM110=0),$H110,0)))))</f>
        <v>8.8000000000000007</v>
      </c>
      <c r="FM110" s="43">
        <f t="shared" ref="FM110:FM113" si="759">FH110-FJ110</f>
        <v>1</v>
      </c>
      <c r="FN110" s="8"/>
      <c r="FO110" s="38">
        <v>3</v>
      </c>
      <c r="FP110" s="44" t="s">
        <v>4</v>
      </c>
      <c r="FQ110" s="40">
        <v>1</v>
      </c>
      <c r="FR110" s="8"/>
      <c r="FS110" s="42">
        <f t="shared" ref="FS110:FS113" si="760">IF(OR($G110="",FQ110=""),"",IF(AND($E110=FO110,$G110=FQ110),$H110*1.5,IF(AND($I110&gt;0,FT110&gt;0),$H110,IF(AND($I110&lt;0,FT110&lt;0),$H110,IF(AND($I110=0,FT110=0),$H110,0)))))</f>
        <v>8.8000000000000007</v>
      </c>
      <c r="FT110" s="43">
        <f t="shared" ref="FT110:FT113" si="761">FO110-FQ110</f>
        <v>2</v>
      </c>
      <c r="FU110" s="8"/>
      <c r="FV110" s="38">
        <v>3</v>
      </c>
      <c r="FW110" s="44" t="s">
        <v>4</v>
      </c>
      <c r="FX110" s="40">
        <v>2</v>
      </c>
      <c r="FY110" s="8"/>
      <c r="FZ110" s="42">
        <f t="shared" ref="FZ110:FZ113" si="762">IF(OR($G110="",FX110=""),"",IF(AND($E110=FV110,$G110=FX110),$H110*1.5,IF(AND($I110&gt;0,GA110&gt;0),$H110,IF(AND($I110&lt;0,GA110&lt;0),$H110,IF(AND($I110=0,GA110=0),$H110,0)))))</f>
        <v>8.8000000000000007</v>
      </c>
      <c r="GA110" s="43">
        <f t="shared" ref="GA110:GA113" si="763">FV110-FX110</f>
        <v>1</v>
      </c>
      <c r="GB110" s="8"/>
      <c r="GC110" s="38">
        <v>2</v>
      </c>
      <c r="GD110" s="44" t="s">
        <v>4</v>
      </c>
      <c r="GE110" s="40">
        <v>1</v>
      </c>
      <c r="GF110" s="8"/>
      <c r="GG110" s="42">
        <f t="shared" ref="GG110:GG113" si="764">IF(OR($G110="",GE110=""),"",IF(AND($E110=GC110,$G110=GE110),$H110*1.5,IF(AND($I110&gt;0,GH110&gt;0),$H110,IF(AND($I110&lt;0,GH110&lt;0),$H110,IF(AND($I110=0,GH110=0),$H110,0)))))</f>
        <v>8.8000000000000007</v>
      </c>
      <c r="GH110" s="43">
        <f t="shared" ref="GH110:GH113" si="765">GC110-GE110</f>
        <v>1</v>
      </c>
      <c r="GI110" s="8"/>
      <c r="GJ110" s="38">
        <v>2</v>
      </c>
      <c r="GK110" s="44" t="s">
        <v>4</v>
      </c>
      <c r="GL110" s="40">
        <v>0</v>
      </c>
      <c r="GM110" s="8"/>
      <c r="GN110" s="42">
        <f t="shared" ref="GN110:GN113" si="766">IF(OR($G110="",GL110=""),"",IF(AND($E110=GJ110,$G110=GL110),$H110*1.5,IF(AND($I110&gt;0,GO110&gt;0),$H110,IF(AND($I110&lt;0,GO110&lt;0),$H110,IF(AND($I110=0,GO110=0),$H110,0)))))</f>
        <v>13.200000000000001</v>
      </c>
      <c r="GO110" s="43">
        <f t="shared" ref="GO110:GO113" si="767">GJ110-GL110</f>
        <v>2</v>
      </c>
      <c r="GP110" s="8"/>
      <c r="GQ110" s="38">
        <v>5</v>
      </c>
      <c r="GR110" s="44" t="s">
        <v>4</v>
      </c>
      <c r="GS110" s="40">
        <v>3</v>
      </c>
      <c r="GT110" s="8"/>
      <c r="GU110" s="42">
        <f t="shared" ref="GU110:GU113" si="768">IF(OR($G110="",GS110=""),"",IF(AND($E110=GQ110,$G110=GS110),$H110*1.5,IF(AND($I110&gt;0,GV110&gt;0),$H110,IF(AND($I110&lt;0,GV110&lt;0),$H110,IF(AND($I110=0,GV110=0),$H110,0)))))</f>
        <v>8.8000000000000007</v>
      </c>
      <c r="GV110" s="43">
        <f t="shared" ref="GV110:GV113" si="769">GQ110-GS110</f>
        <v>2</v>
      </c>
      <c r="GW110" s="8"/>
      <c r="GX110" s="38">
        <v>3</v>
      </c>
      <c r="GY110" s="44" t="s">
        <v>4</v>
      </c>
      <c r="GZ110" s="40">
        <v>1</v>
      </c>
      <c r="HA110" s="8"/>
      <c r="HB110" s="42">
        <f t="shared" ref="HB110:HB113" si="770">IF(OR($G110="",GZ110=""),"",IF(AND($E110=GX110,$G110=GZ110),$H110*1.5,IF(AND($I110&gt;0,HC110&gt;0),$H110,IF(AND($I110&lt;0,HC110&lt;0),$H110,IF(AND($I110=0,HC110=0),$H110,0)))))</f>
        <v>8.8000000000000007</v>
      </c>
      <c r="HC110" s="43">
        <f t="shared" ref="HC110:HC113" si="771">GX110-GZ110</f>
        <v>2</v>
      </c>
      <c r="HD110" s="8"/>
      <c r="HE110" s="38">
        <v>3</v>
      </c>
      <c r="HF110" s="44" t="s">
        <v>4</v>
      </c>
      <c r="HG110" s="40">
        <v>1</v>
      </c>
      <c r="HH110" s="8"/>
      <c r="HI110" s="42">
        <f t="shared" ref="HI110:HI113" si="772">IF(OR($G110="",HG110=""),"",IF(AND($E110=HE110,$G110=HG110),$H110*1.5,IF(AND($I110&gt;0,HJ110&gt;0),$H110,IF(AND($I110&lt;0,HJ110&lt;0),$H110,IF(AND($I110=0,HJ110=0),$H110,0)))))</f>
        <v>8.8000000000000007</v>
      </c>
      <c r="HJ110" s="43">
        <f t="shared" ref="HJ110:HJ113" si="773">HE110-HG110</f>
        <v>2</v>
      </c>
      <c r="HK110" s="8"/>
      <c r="HL110" s="38">
        <v>3</v>
      </c>
      <c r="HM110" s="44" t="s">
        <v>4</v>
      </c>
      <c r="HN110" s="40">
        <v>1</v>
      </c>
      <c r="HO110" s="8"/>
      <c r="HP110" s="42">
        <f t="shared" ref="HP110:HP113" si="774">IF(OR($G110="",HN110=""),"",IF(AND($E110=HL110,$G110=HN110),$H110*1.5,IF(AND($I110&gt;0,HQ110&gt;0),$H110,IF(AND($I110&lt;0,HQ110&lt;0),$H110,IF(AND($I110=0,HQ110=0),$H110,0)))))</f>
        <v>8.8000000000000007</v>
      </c>
      <c r="HQ110" s="43">
        <f t="shared" ref="HQ110:HQ113" si="775">HL110-HN110</f>
        <v>2</v>
      </c>
      <c r="HR110" s="8"/>
      <c r="HS110" s="38">
        <v>3</v>
      </c>
      <c r="HT110" s="44" t="s">
        <v>4</v>
      </c>
      <c r="HU110" s="40">
        <v>1</v>
      </c>
      <c r="HV110" s="8"/>
      <c r="HW110" s="42">
        <f t="shared" ref="HW110:HW113" si="776">IF(OR($G110="",HU110=""),"",IF(AND($E110=HS110,$G110=HU110),$H110*1.5,IF(AND($I110&gt;0,HX110&gt;0),$H110,IF(AND($I110&lt;0,HX110&lt;0),$H110,IF(AND($I110=0,HX110=0),$H110,0)))))</f>
        <v>8.8000000000000007</v>
      </c>
      <c r="HX110" s="43">
        <f t="shared" ref="HX110:HX113" si="777">HS110-HU110</f>
        <v>2</v>
      </c>
      <c r="HY110" s="8"/>
      <c r="HZ110" s="38">
        <v>3</v>
      </c>
      <c r="IA110" s="44" t="s">
        <v>4</v>
      </c>
      <c r="IB110" s="40">
        <v>1</v>
      </c>
      <c r="IC110" s="8"/>
      <c r="ID110" s="42">
        <f t="shared" ref="ID110:ID113" si="778">IF(OR($G110="",IB110=""),"",IF(AND($E110=HZ110,$G110=IB110),$H110*1.5,IF(AND($I110&gt;0,IE110&gt;0),$H110,IF(AND($I110&lt;0,IE110&lt;0),$H110,IF(AND($I110=0,IE110=0),$H110,0)))))</f>
        <v>8.8000000000000007</v>
      </c>
      <c r="IE110" s="43">
        <f t="shared" ref="IE110:IE113" si="779">HZ110-IB110</f>
        <v>2</v>
      </c>
      <c r="IF110" s="8"/>
      <c r="IG110" s="38">
        <v>2</v>
      </c>
      <c r="IH110" s="44" t="s">
        <v>4</v>
      </c>
      <c r="II110" s="40">
        <v>0</v>
      </c>
      <c r="IJ110" s="8"/>
      <c r="IK110" s="42">
        <f t="shared" ref="IK110:IK113" si="780">IF(OR($G110="",II110=""),"",IF(AND($E110=IG110,$G110=II110),$H110*1.5,IF(AND($I110&gt;0,IL110&gt;0),$H110,IF(AND($I110&lt;0,IL110&lt;0),$H110,IF(AND($I110=0,IL110=0),$H110,0)))))</f>
        <v>13.200000000000001</v>
      </c>
      <c r="IL110" s="43">
        <f t="shared" ref="IL110:IL113" si="781">IG110-II110</f>
        <v>2</v>
      </c>
      <c r="IM110" s="8"/>
      <c r="IN110" s="38">
        <v>3</v>
      </c>
      <c r="IO110" s="44" t="s">
        <v>4</v>
      </c>
      <c r="IP110" s="40">
        <v>1</v>
      </c>
      <c r="IQ110" s="8"/>
      <c r="IR110" s="42">
        <f t="shared" ref="IR110:IR113" si="782">IF(OR($G110="",IP110=""),"",IF(AND($E110=IN110,$G110=IP110),$H110*1.5,IF(AND($I110&gt;0,IS110&gt;0),$H110,IF(AND($I110&lt;0,IS110&lt;0),$H110,IF(AND($I110=0,IS110=0),$H110,0)))))</f>
        <v>8.8000000000000007</v>
      </c>
      <c r="IS110" s="43">
        <f t="shared" ref="IS110:IS113" si="783">IN110-IP110</f>
        <v>2</v>
      </c>
      <c r="IT110" s="8"/>
      <c r="IU110" s="38">
        <v>2</v>
      </c>
      <c r="IV110" s="44" t="s">
        <v>4</v>
      </c>
      <c r="IW110" s="40">
        <v>1</v>
      </c>
      <c r="IX110" s="8"/>
      <c r="IY110" s="42">
        <f t="shared" ref="IY110:IY113" si="784">IF(OR($G110="",IW110=""),"",IF(AND($E110=IU110,$G110=IW110),$H110*1.5,IF(AND($I110&gt;0,IZ110&gt;0),$H110,IF(AND($I110&lt;0,IZ110&lt;0),$H110,IF(AND($I110=0,IZ110=0),$H110,0)))))</f>
        <v>8.8000000000000007</v>
      </c>
      <c r="IZ110" s="43">
        <f t="shared" ref="IZ110:IZ113" si="785">IU110-IW110</f>
        <v>1</v>
      </c>
      <c r="JA110" s="8"/>
      <c r="JB110" s="38">
        <v>3</v>
      </c>
      <c r="JC110" s="44" t="s">
        <v>4</v>
      </c>
      <c r="JD110" s="40">
        <v>1</v>
      </c>
      <c r="JE110" s="8"/>
      <c r="JF110" s="42">
        <f t="shared" ref="JF110:JF113" si="786">IF(OR($G110="",JD110=""),"",IF(AND($E110=JB110,$G110=JD110),$H110*1.5,IF(AND($I110&gt;0,JG110&gt;0),$H110,IF(AND($I110&lt;0,JG110&lt;0),$H110,IF(AND($I110=0,JG110=0),$H110,0)))))</f>
        <v>8.8000000000000007</v>
      </c>
      <c r="JG110" s="43">
        <f t="shared" ref="JG110:JG113" si="787">JB110-JD110</f>
        <v>2</v>
      </c>
      <c r="JH110" s="8"/>
      <c r="JI110" s="38">
        <v>4</v>
      </c>
      <c r="JJ110" s="44" t="s">
        <v>4</v>
      </c>
      <c r="JK110" s="40">
        <v>5</v>
      </c>
      <c r="JL110" s="8"/>
      <c r="JM110" s="42">
        <f t="shared" ref="JM110:JM113" si="788">IF(OR($G110="",JK110=""),"",IF(AND($E110=JI110,$G110=JK110),$H110*1.5,IF(AND($I110&gt;0,JN110&gt;0),$H110,IF(AND($I110&lt;0,JN110&lt;0),$H110,IF(AND($I110=0,JN110=0),$H110,0)))))</f>
        <v>0</v>
      </c>
      <c r="JN110" s="43">
        <f t="shared" ref="JN110:JN113" si="789">JI110-JK110</f>
        <v>-1</v>
      </c>
      <c r="JO110" s="8"/>
      <c r="JP110" s="38">
        <v>2</v>
      </c>
      <c r="JQ110" s="44" t="s">
        <v>4</v>
      </c>
      <c r="JR110" s="40">
        <v>1</v>
      </c>
      <c r="JS110" s="8"/>
      <c r="JT110" s="42">
        <f t="shared" ref="JT110:JT113" si="790">IF(OR($G110="",JR110=""),"",IF(AND($E110=JP110,$G110=JR110),$H110*1.5,IF(AND($I110&gt;0,JU110&gt;0),$H110,IF(AND($I110&lt;0,JU110&lt;0),$H110,IF(AND($I110=0,JU110=0),$H110,0)))))</f>
        <v>8.8000000000000007</v>
      </c>
      <c r="JU110" s="43">
        <f t="shared" ref="JU110:JU113" si="791">JP110-JR110</f>
        <v>1</v>
      </c>
      <c r="JV110" s="8"/>
      <c r="JW110" s="38">
        <v>2</v>
      </c>
      <c r="JX110" s="44" t="s">
        <v>4</v>
      </c>
      <c r="JY110" s="40">
        <v>1</v>
      </c>
      <c r="JZ110" s="8"/>
      <c r="KA110" s="42">
        <f t="shared" ref="KA110:KA113" si="792">IF(OR($G110="",JY110=""),"",IF(AND($E110=JW110,$G110=JY110),$H110*1.5,IF(AND($I110&gt;0,KB110&gt;0),$H110,IF(AND($I110&lt;0,KB110&lt;0),$H110,IF(AND($I110=0,KB110=0),$H110,0)))))</f>
        <v>8.8000000000000007</v>
      </c>
      <c r="KB110" s="43">
        <f t="shared" ref="KB110:KB113" si="793">JW110-JY110</f>
        <v>1</v>
      </c>
      <c r="KC110" s="8"/>
      <c r="KD110" s="38">
        <v>2</v>
      </c>
      <c r="KE110" s="44" t="s">
        <v>4</v>
      </c>
      <c r="KF110" s="40">
        <v>1</v>
      </c>
      <c r="KG110" s="8"/>
      <c r="KH110" s="42">
        <f t="shared" ref="KH110:KH113" si="794">IF(OR($G110="",KF110=""),"",IF(AND($E110=KD110,$G110=KF110),$H110*1.5,IF(AND($I110&gt;0,KI110&gt;0),$H110,IF(AND($I110&lt;0,KI110&lt;0),$H110,IF(AND($I110=0,KI110=0),$H110,0)))))</f>
        <v>8.8000000000000007</v>
      </c>
      <c r="KI110" s="43">
        <f t="shared" ref="KI110:KI113" si="795">KD110-KF110</f>
        <v>1</v>
      </c>
      <c r="KJ110" s="8"/>
      <c r="KK110" s="38">
        <v>2</v>
      </c>
      <c r="KL110" s="44" t="s">
        <v>4</v>
      </c>
      <c r="KM110" s="40">
        <v>1</v>
      </c>
      <c r="KN110" s="8"/>
      <c r="KO110" s="42">
        <f t="shared" ref="KO110:KO113" si="796">IF(OR($G110="",KM110=""),"",IF(AND($E110=KK110,$G110=KM110),$H110*1.5,IF(AND($I110&gt;0,KP110&gt;0),$H110,IF(AND($I110&lt;0,KP110&lt;0),$H110,IF(AND($I110=0,KP110=0),$H110,0)))))</f>
        <v>8.8000000000000007</v>
      </c>
      <c r="KP110" s="43">
        <f t="shared" ref="KP110:KP113" si="797">KK110-KM110</f>
        <v>1</v>
      </c>
      <c r="KQ110" s="8"/>
      <c r="KR110" s="38">
        <v>3</v>
      </c>
      <c r="KS110" s="44" t="s">
        <v>4</v>
      </c>
      <c r="KT110" s="40">
        <v>1</v>
      </c>
      <c r="KU110" s="8"/>
      <c r="KV110" s="42">
        <f t="shared" ref="KV110:KV113" si="798">IF(OR($G110="",KT110=""),"",IF(AND($E110=KR110,$G110=KT110),$H110*1.5,IF(AND($I110&gt;0,KW110&gt;0),$H110,IF(AND($I110&lt;0,KW110&lt;0),$H110,IF(AND($I110=0,KW110=0),$H110,0)))))</f>
        <v>8.8000000000000007</v>
      </c>
      <c r="KW110" s="43">
        <f t="shared" ref="KW110:KW113" si="799">KR110-KT110</f>
        <v>2</v>
      </c>
      <c r="KX110" s="8"/>
      <c r="KY110" s="38">
        <v>2</v>
      </c>
      <c r="KZ110" s="44" t="s">
        <v>4</v>
      </c>
      <c r="LA110" s="40">
        <v>1</v>
      </c>
      <c r="LB110" s="8"/>
      <c r="LC110" s="42">
        <f t="shared" ref="LC110:LC113" si="800">IF(OR($G110="",LA110=""),"",IF(AND($E110=KY110,$G110=LA110),$H110*1.5,IF(AND($I110&gt;0,LD110&gt;0),$H110,IF(AND($I110&lt;0,LD110&lt;0),$H110,IF(AND($I110=0,LD110=0),$H110,0)))))</f>
        <v>8.8000000000000007</v>
      </c>
      <c r="LD110" s="43">
        <f t="shared" ref="LD110:LD113" si="801">KY110-LA110</f>
        <v>1</v>
      </c>
      <c r="LE110" s="8"/>
      <c r="LF110" s="38">
        <v>3</v>
      </c>
      <c r="LG110" s="44" t="s">
        <v>4</v>
      </c>
      <c r="LH110" s="40">
        <v>1</v>
      </c>
      <c r="LI110" s="8"/>
      <c r="LJ110" s="42">
        <f t="shared" ref="LJ110:LJ113" si="802">IF(OR($G110="",LH110=""),"",IF(AND($E110=LF110,$G110=LH110),$H110*1.5,IF(AND($I110&gt;0,LK110&gt;0),$H110,IF(AND($I110&lt;0,LK110&lt;0),$H110,IF(AND($I110=0,LK110=0),$H110,0)))))</f>
        <v>8.8000000000000007</v>
      </c>
      <c r="LK110" s="43">
        <f t="shared" ref="LK110:LK113" si="803">LF110-LH110</f>
        <v>2</v>
      </c>
      <c r="LL110" s="8"/>
      <c r="LM110" s="38">
        <v>4</v>
      </c>
      <c r="LN110" s="44" t="s">
        <v>4</v>
      </c>
      <c r="LO110" s="40">
        <v>2</v>
      </c>
      <c r="LP110" s="8"/>
      <c r="LQ110" s="42">
        <f t="shared" ref="LQ110:LQ113" si="804">IF(OR($G110="",LO110=""),"",IF(AND($E110=LM110,$G110=LO110),$H110*1.5,IF(AND($I110&gt;0,LR110&gt;0),$H110,IF(AND($I110&lt;0,LR110&lt;0),$H110,IF(AND($I110=0,LR110=0),$H110,0)))))</f>
        <v>8.8000000000000007</v>
      </c>
      <c r="LR110" s="43">
        <f t="shared" ref="LR110:LR113" si="805">LM110-LO110</f>
        <v>2</v>
      </c>
      <c r="LS110" s="8"/>
      <c r="LT110" s="38">
        <v>3</v>
      </c>
      <c r="LU110" s="44" t="s">
        <v>4</v>
      </c>
      <c r="LV110" s="40">
        <v>2</v>
      </c>
      <c r="LW110" s="8"/>
      <c r="LX110" s="42">
        <f t="shared" ref="LX110:LX113" si="806">IF(OR($G110="",LV110=""),"",IF(AND($E110=LT110,$G110=LV110),$H110*1.5,IF(AND($I110&gt;0,LY110&gt;0),$H110,IF(AND($I110&lt;0,LY110&lt;0),$H110,IF(AND($I110=0,LY110=0),$H110,0)))))</f>
        <v>8.8000000000000007</v>
      </c>
      <c r="LY110" s="43">
        <f t="shared" ref="LY110:LY113" si="807">LT110-LV110</f>
        <v>1</v>
      </c>
      <c r="LZ110" s="8"/>
      <c r="MA110" s="38">
        <v>2</v>
      </c>
      <c r="MB110" s="44" t="s">
        <v>4</v>
      </c>
      <c r="MC110" s="40">
        <v>0</v>
      </c>
      <c r="MD110" s="8"/>
      <c r="ME110" s="42">
        <f t="shared" ref="ME110:ME113" si="808">IF(OR($G110="",MC110=""),"",IF(AND($E110=MA110,$G110=MC110),$H110*1.5,IF(AND($I110&gt;0,MF110&gt;0),$H110,IF(AND($I110&lt;0,MF110&lt;0),$H110,IF(AND($I110=0,MF110=0),$H110,0)))))</f>
        <v>13.200000000000001</v>
      </c>
      <c r="MF110" s="43">
        <f t="shared" ref="MF110:MF113" si="809">MA110-MC110</f>
        <v>2</v>
      </c>
      <c r="MG110" s="8"/>
      <c r="MH110" s="38">
        <v>2</v>
      </c>
      <c r="MI110" s="44" t="s">
        <v>4</v>
      </c>
      <c r="MJ110" s="40">
        <v>1</v>
      </c>
      <c r="MK110" s="8"/>
      <c r="ML110" s="42">
        <f t="shared" ref="ML110:ML113" si="810">IF(OR($G110="",MJ110=""),"",IF(AND($E110=MH110,$G110=MJ110),$H110*1.5,IF(AND($I110&gt;0,MM110&gt;0),$H110,IF(AND($I110&lt;0,MM110&lt;0),$H110,IF(AND($I110=0,MM110=0),$H110,0)))))</f>
        <v>8.8000000000000007</v>
      </c>
      <c r="MM110" s="43">
        <f t="shared" ref="MM110:MM113" si="811">MH110-MJ110</f>
        <v>1</v>
      </c>
      <c r="MN110" s="8"/>
      <c r="MO110" s="38">
        <v>2</v>
      </c>
      <c r="MP110" s="44" t="s">
        <v>4</v>
      </c>
      <c r="MQ110" s="40">
        <v>1</v>
      </c>
      <c r="MR110" s="8"/>
      <c r="MS110" s="42">
        <f t="shared" ref="MS110:MS113" si="812">IF(OR($G110="",MQ110=""),"",IF(AND($E110=MO110,$G110=MQ110),$H110*1.5,IF(AND($I110&gt;0,MT110&gt;0),$H110,IF(AND($I110&lt;0,MT110&lt;0),$H110,IF(AND($I110=0,MT110=0),$H110,0)))))</f>
        <v>8.8000000000000007</v>
      </c>
      <c r="MT110" s="43">
        <f t="shared" ref="MT110:MT113" si="813">MO110-MQ110</f>
        <v>1</v>
      </c>
      <c r="MU110" s="8"/>
      <c r="MV110" s="38">
        <v>2</v>
      </c>
      <c r="MW110" s="44" t="s">
        <v>4</v>
      </c>
      <c r="MX110" s="40">
        <v>0</v>
      </c>
      <c r="MY110" s="8"/>
      <c r="MZ110" s="42">
        <f t="shared" ref="MZ110:MZ113" si="814">IF(OR($G110="",MX110=""),"",IF(AND($E110=MV110,$G110=MX110),$H110*1.5,IF(AND($I110&gt;0,NA110&gt;0),$H110,IF(AND($I110&lt;0,NA110&lt;0),$H110,IF(AND($I110=0,NA110=0),$H110,0)))))</f>
        <v>13.200000000000001</v>
      </c>
      <c r="NA110" s="43">
        <f t="shared" ref="NA110:NA113" si="815">MV110-MX110</f>
        <v>2</v>
      </c>
      <c r="NB110" s="8"/>
      <c r="NC110" s="38">
        <v>0</v>
      </c>
      <c r="ND110" s="44" t="s">
        <v>4</v>
      </c>
      <c r="NE110" s="40">
        <v>1</v>
      </c>
      <c r="NF110" s="8"/>
      <c r="NG110" s="42">
        <f t="shared" ref="NG110:NG113" si="816">IF(OR($G110="",NE110=""),"",IF(AND($E110=NC110,$G110=NE110),$H110*1.5,IF(AND($I110&gt;0,NH110&gt;0),$H110,IF(AND($I110&lt;0,NH110&lt;0),$H110,IF(AND($I110=0,NH110=0),$H110,0)))))</f>
        <v>0</v>
      </c>
      <c r="NH110" s="43">
        <f t="shared" ref="NH110:NH113" si="817">NC110-NE110</f>
        <v>-1</v>
      </c>
      <c r="NI110" s="8"/>
      <c r="NJ110" s="38">
        <v>3</v>
      </c>
      <c r="NK110" s="44" t="s">
        <v>4</v>
      </c>
      <c r="NL110" s="40">
        <v>0</v>
      </c>
      <c r="NM110" s="8"/>
      <c r="NN110" s="42">
        <f t="shared" ref="NN110:NN113" si="818">IF(OR($G110="",NL110=""),"",IF(AND($E110=NJ110,$G110=NL110),$H110*1.5,IF(AND($I110&gt;0,NO110&gt;0),$H110,IF(AND($I110&lt;0,NO110&lt;0),$H110,IF(AND($I110=0,NO110=0),$H110,0)))))</f>
        <v>8.8000000000000007</v>
      </c>
      <c r="NO110" s="43">
        <f t="shared" ref="NO110:NO113" si="819">NJ110-NL110</f>
        <v>3</v>
      </c>
      <c r="NP110" s="8"/>
      <c r="NQ110" s="38">
        <v>3</v>
      </c>
      <c r="NR110" s="44" t="s">
        <v>4</v>
      </c>
      <c r="NS110" s="40">
        <v>1</v>
      </c>
      <c r="NT110" s="8"/>
      <c r="NU110" s="42">
        <f t="shared" ref="NU110:NU113" si="820">IF(OR($G110="",NS110=""),"",IF(AND($E110=NQ110,$G110=NS110),$H110*1.5,IF(AND($I110&gt;0,NV110&gt;0),$H110,IF(AND($I110&lt;0,NV110&lt;0),$H110,IF(AND($I110=0,NV110=0),$H110,0)))))</f>
        <v>8.8000000000000007</v>
      </c>
      <c r="NV110" s="43">
        <f t="shared" ref="NV110:NV113" si="821">NQ110-NS110</f>
        <v>2</v>
      </c>
      <c r="NW110" s="8"/>
      <c r="NX110" s="38">
        <v>2</v>
      </c>
      <c r="NY110" s="44" t="s">
        <v>4</v>
      </c>
      <c r="NZ110" s="40">
        <v>1</v>
      </c>
      <c r="OA110" s="8"/>
      <c r="OB110" s="42">
        <f t="shared" ref="OB110:OB113" si="822">IF(OR($G110="",NZ110=""),"",IF(AND($E110=NX110,$G110=NZ110),$H110*1.5,IF(AND($I110&gt;0,OC110&gt;0),$H110,IF(AND($I110&lt;0,OC110&lt;0),$H110,IF(AND($I110=0,OC110=0),$H110,0)))))</f>
        <v>8.8000000000000007</v>
      </c>
      <c r="OC110" s="43">
        <f t="shared" ref="OC110:OC113" si="823">NX110-NZ110</f>
        <v>1</v>
      </c>
      <c r="OD110" s="8"/>
      <c r="OE110" s="38">
        <v>3</v>
      </c>
      <c r="OF110" s="44" t="s">
        <v>4</v>
      </c>
      <c r="OG110" s="40">
        <v>0</v>
      </c>
      <c r="OH110" s="8"/>
      <c r="OI110" s="42">
        <f t="shared" ref="OI110:OI113" si="824">IF(OR($G110="",OG110=""),"",IF(AND($E110=OE110,$G110=OG110),$H110*1.5,IF(AND($I110&gt;0,OJ110&gt;0),$H110,IF(AND($I110&lt;0,OJ110&lt;0),$H110,IF(AND($I110=0,OJ110=0),$H110,0)))))</f>
        <v>8.8000000000000007</v>
      </c>
      <c r="OJ110" s="43">
        <f t="shared" ref="OJ110:OJ113" si="825">OE110-OG110</f>
        <v>3</v>
      </c>
      <c r="OK110" s="8"/>
      <c r="OL110" s="38">
        <v>2</v>
      </c>
      <c r="OM110" s="44" t="s">
        <v>4</v>
      </c>
      <c r="ON110" s="40">
        <v>1</v>
      </c>
      <c r="OO110" s="8"/>
      <c r="OP110" s="42">
        <f t="shared" ref="OP110:OP113" si="826">IF(OR($G110="",ON110=""),"",IF(AND($E110=OL110,$G110=ON110),$H110*1.5,IF(AND($I110&gt;0,OQ110&gt;0),$H110,IF(AND($I110&lt;0,OQ110&lt;0),$H110,IF(AND($I110=0,OQ110=0),$H110,0)))))</f>
        <v>8.8000000000000007</v>
      </c>
      <c r="OQ110" s="43">
        <f t="shared" ref="OQ110:OQ113" si="827">OL110-ON110</f>
        <v>1</v>
      </c>
      <c r="OR110" s="8"/>
      <c r="OS110" s="38">
        <v>3</v>
      </c>
      <c r="OT110" s="44" t="s">
        <v>4</v>
      </c>
      <c r="OU110" s="40">
        <v>4</v>
      </c>
      <c r="OV110" s="8"/>
      <c r="OW110" s="42">
        <f t="shared" ref="OW110:OW113" si="828">IF(OR($G110="",OU110=""),"",IF(AND($E110=OS110,$G110=OU110),$H110*1.5,IF(AND($I110&gt;0,OX110&gt;0),$H110,IF(AND($I110&lt;0,OX110&lt;0),$H110,IF(AND($I110=0,OX110=0),$H110,0)))))</f>
        <v>0</v>
      </c>
      <c r="OX110" s="43">
        <f t="shared" ref="OX110:OX113" si="829">OS110-OU110</f>
        <v>-1</v>
      </c>
      <c r="OY110" s="8"/>
      <c r="OZ110" s="38">
        <v>2</v>
      </c>
      <c r="PA110" s="44" t="s">
        <v>4</v>
      </c>
      <c r="PB110" s="40">
        <v>1</v>
      </c>
      <c r="PC110" s="8"/>
      <c r="PD110" s="42">
        <f t="shared" ref="PD110:PD113" si="830">IF(OR($G110="",PB110=""),"",IF(AND($E110=OZ110,$G110=PB110),$H110*1.5,IF(AND($I110&gt;0,PE110&gt;0),$H110,IF(AND($I110&lt;0,PE110&lt;0),$H110,IF(AND($I110=0,PE110=0),$H110,0)))))</f>
        <v>8.8000000000000007</v>
      </c>
      <c r="PE110" s="43">
        <f t="shared" ref="PE110:PE113" si="831">OZ110-PB110</f>
        <v>1</v>
      </c>
      <c r="PF110" s="8"/>
      <c r="PG110" s="38">
        <v>3</v>
      </c>
      <c r="PH110" s="44" t="s">
        <v>4</v>
      </c>
      <c r="PI110" s="40">
        <v>1</v>
      </c>
      <c r="PJ110" s="8"/>
      <c r="PK110" s="42">
        <f t="shared" ref="PK110:PK113" si="832">IF(OR($G110="",PI110=""),"",IF(AND($E110=PG110,$G110=PI110),$H110*1.5,IF(AND($I110&gt;0,PL110&gt;0),$H110,IF(AND($I110&lt;0,PL110&lt;0),$H110,IF(AND($I110=0,PL110=0),$H110,0)))))</f>
        <v>8.8000000000000007</v>
      </c>
      <c r="PL110" s="43">
        <f t="shared" ref="PL110:PL113" si="833">PG110-PI110</f>
        <v>2</v>
      </c>
      <c r="PM110" s="8"/>
      <c r="PN110" s="38">
        <v>2</v>
      </c>
      <c r="PO110" s="44" t="s">
        <v>4</v>
      </c>
      <c r="PP110" s="40">
        <v>1</v>
      </c>
      <c r="PQ110" s="8"/>
      <c r="PR110" s="42">
        <f t="shared" ref="PR110:PR113" si="834">IF(OR($G110="",PP110=""),"",IF(AND($E110=PN110,$G110=PP110),$H110*1.5,IF(AND($I110&gt;0,PS110&gt;0),$H110,IF(AND($I110&lt;0,PS110&lt;0),$H110,IF(AND($I110=0,PS110=0),$H110,0)))))</f>
        <v>8.8000000000000007</v>
      </c>
      <c r="PS110" s="43">
        <f t="shared" ref="PS110:PS113" si="835">PN110-PP110</f>
        <v>1</v>
      </c>
      <c r="PT110" s="8"/>
      <c r="PU110" s="38">
        <v>5</v>
      </c>
      <c r="PV110" s="44" t="s">
        <v>4</v>
      </c>
      <c r="PW110" s="40">
        <v>4</v>
      </c>
      <c r="PX110" s="8"/>
      <c r="PY110" s="42">
        <f t="shared" ref="PY110:PY113" si="836">IF(OR($G110="",PW110=""),"",IF(AND($E110=PU110,$G110=PW110),$H110*1.5,IF(AND($I110&gt;0,PZ110&gt;0),$H110,IF(AND($I110&lt;0,PZ110&lt;0),$H110,IF(AND($I110=0,PZ110=0),$H110,0)))))</f>
        <v>8.8000000000000007</v>
      </c>
      <c r="PZ110" s="43">
        <f t="shared" ref="PZ110:PZ113" si="837">PU110-PW110</f>
        <v>1</v>
      </c>
      <c r="QA110" s="8"/>
      <c r="QB110" s="38">
        <v>2</v>
      </c>
      <c r="QC110" s="44" t="s">
        <v>4</v>
      </c>
      <c r="QD110" s="40">
        <v>1</v>
      </c>
      <c r="QE110" s="8"/>
      <c r="QF110" s="42">
        <f t="shared" ref="QF110:QF113" si="838">IF(OR($G110="",QD110=""),"",IF(AND($E110=QB110,$G110=QD110),$H110*1.5,IF(AND($I110&gt;0,QG110&gt;0),$H110,IF(AND($I110&lt;0,QG110&lt;0),$H110,IF(AND($I110=0,QG110=0),$H110,0)))))</f>
        <v>8.8000000000000007</v>
      </c>
      <c r="QG110" s="43">
        <f t="shared" ref="QG110:QG113" si="839">QB110-QD110</f>
        <v>1</v>
      </c>
      <c r="QH110" s="8"/>
      <c r="QI110" s="38">
        <v>2</v>
      </c>
      <c r="QJ110" s="44" t="s">
        <v>4</v>
      </c>
      <c r="QK110" s="40">
        <v>3</v>
      </c>
      <c r="QL110" s="8"/>
      <c r="QM110" s="42">
        <f t="shared" ref="QM110:QM113" si="840">IF(OR($G110="",QK110=""),"",IF(AND($E110=QI110,$G110=QK110),$H110*1.5,IF(AND($I110&gt;0,QN110&gt;0),$H110,IF(AND($I110&lt;0,QN110&lt;0),$H110,IF(AND($I110=0,QN110=0),$H110,0)))))</f>
        <v>0</v>
      </c>
      <c r="QN110" s="43">
        <f t="shared" ref="QN110:QN113" si="841">QI110-QK110</f>
        <v>-1</v>
      </c>
      <c r="QO110" s="8"/>
      <c r="QP110" s="38">
        <v>3</v>
      </c>
      <c r="QQ110" s="44" t="s">
        <v>4</v>
      </c>
      <c r="QR110" s="40">
        <v>1</v>
      </c>
      <c r="QS110" s="8"/>
      <c r="QT110" s="42">
        <f t="shared" ref="QT110:QT113" si="842">IF(OR($G110="",QR110=""),"",IF(AND($E110=QP110,$G110=QR110),$H110*1.5,IF(AND($I110&gt;0,QU110&gt;0),$H110,IF(AND($I110&lt;0,QU110&lt;0),$H110,IF(AND($I110=0,QU110=0),$H110,0)))))</f>
        <v>8.8000000000000007</v>
      </c>
      <c r="QU110" s="43">
        <f t="shared" ref="QU110:QU113" si="843">QP110-QR110</f>
        <v>2</v>
      </c>
      <c r="QV110" s="8"/>
      <c r="QW110" s="38">
        <v>3</v>
      </c>
      <c r="QX110" s="44" t="s">
        <v>4</v>
      </c>
      <c r="QY110" s="40">
        <v>1</v>
      </c>
      <c r="QZ110" s="8"/>
      <c r="RA110" s="42">
        <f t="shared" ref="RA110:RA113" si="844">IF(OR($G110="",QY110=""),"",IF(AND($E110=QW110,$G110=QY110),$H110*1.5,IF(AND($I110&gt;0,RB110&gt;0),$H110,IF(AND($I110&lt;0,RB110&lt;0),$H110,IF(AND($I110=0,RB110=0),$H110,0)))))</f>
        <v>8.8000000000000007</v>
      </c>
      <c r="RB110" s="43">
        <f t="shared" ref="RB110:RB113" si="845">QW110-QY110</f>
        <v>2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>
        <v>0</v>
      </c>
      <c r="RL110" s="44" t="s">
        <v>4</v>
      </c>
      <c r="RM110" s="40">
        <v>1</v>
      </c>
      <c r="RN110" s="8"/>
      <c r="RO110" s="42">
        <f t="shared" ref="RO110:RO113" si="848">IF(OR($G110="",RM110=""),"",IF(AND($E110=RK110,$G110=RM110),$H110*1.5,IF(AND($I110&gt;0,RP110&gt;0),$H110,IF(AND($I110&lt;0,RP110&lt;0),$H110,IF(AND($I110=0,RP110=0),$H110,0)))))</f>
        <v>0</v>
      </c>
      <c r="RP110" s="43">
        <f t="shared" ref="RP110:RP113" si="849">RK110-RM110</f>
        <v>-1</v>
      </c>
      <c r="RQ110" s="8"/>
      <c r="RR110" s="38">
        <v>2</v>
      </c>
      <c r="RS110" s="44" t="s">
        <v>4</v>
      </c>
      <c r="RT110" s="40">
        <v>0</v>
      </c>
      <c r="RU110" s="8"/>
      <c r="RV110" s="42">
        <f t="shared" ref="RV110:RV113" si="850">IF(OR($G110="",RT110=""),"",IF(AND($E110=RR110,$G110=RT110),$H110*1.5,IF(AND($I110&gt;0,RW110&gt;0),$H110,IF(AND($I110&lt;0,RW110&lt;0),$H110,IF(AND($I110=0,RW110=0),$H110,0)))))</f>
        <v>13.200000000000001</v>
      </c>
      <c r="RW110" s="43">
        <f t="shared" ref="RW110:RW113" si="851">RR110-RT110</f>
        <v>2</v>
      </c>
      <c r="RX110" s="8"/>
      <c r="RY110" s="38">
        <v>1</v>
      </c>
      <c r="RZ110" s="44" t="s">
        <v>4</v>
      </c>
      <c r="SA110" s="40">
        <v>0</v>
      </c>
      <c r="SB110" s="8"/>
      <c r="SC110" s="42">
        <f t="shared" ref="SC110:SC113" si="852">IF(OR($G110="",SA110=""),"",IF(AND($E110=RY110,$G110=SA110),$H110*1.5,IF(AND($I110&gt;0,SD110&gt;0),$H110,IF(AND($I110&lt;0,SD110&lt;0),$H110,IF(AND($I110=0,SD110=0),$H110,0)))))</f>
        <v>8.8000000000000007</v>
      </c>
      <c r="SD110" s="43">
        <f t="shared" ref="SD110:SD113" si="853">RY110-SA110</f>
        <v>1</v>
      </c>
      <c r="SE110" s="8"/>
      <c r="SF110" s="38">
        <v>5</v>
      </c>
      <c r="SG110" s="44" t="s">
        <v>4</v>
      </c>
      <c r="SH110" s="40">
        <v>4</v>
      </c>
      <c r="SI110" s="8"/>
      <c r="SJ110" s="42">
        <f t="shared" ref="SJ110:SJ113" si="854">IF(OR($G110="",SH110=""),"",IF(AND($E110=SF110,$G110=SH110),$H110*1.5,IF(AND($I110&gt;0,SK110&gt;0),$H110,IF(AND($I110&lt;0,SK110&lt;0),$H110,IF(AND($I110=0,SK110=0),$H110,0)))))</f>
        <v>8.8000000000000007</v>
      </c>
      <c r="SK110" s="43">
        <f t="shared" ref="SK110:SK113" si="855">SF110-SH110</f>
        <v>1</v>
      </c>
      <c r="SL110" s="8"/>
      <c r="SM110" s="38">
        <v>1</v>
      </c>
      <c r="SN110" s="44" t="s">
        <v>4</v>
      </c>
      <c r="SO110" s="40">
        <v>2</v>
      </c>
      <c r="SP110" s="8"/>
      <c r="SQ110" s="42">
        <f t="shared" ref="SQ110:SQ113" si="856">IF(OR($G110="",SO110=""),"",IF(AND($E110=SM110,$G110=SO110),$H110*1.5,IF(AND($I110&gt;0,SR110&gt;0),$H110,IF(AND($I110&lt;0,SR110&lt;0),$H110,IF(AND($I110=0,SR110=0),$H110,0)))))</f>
        <v>0</v>
      </c>
      <c r="SR110" s="43">
        <f t="shared" ref="SR110:SR113" si="857">SM110-SO110</f>
        <v>-1</v>
      </c>
    </row>
    <row r="111" spans="1:512" ht="16" customHeight="1" x14ac:dyDescent="0.15">
      <c r="A111" s="53">
        <v>46213</v>
      </c>
      <c r="B111" s="46">
        <v>0.875</v>
      </c>
      <c r="C111" s="82" t="s">
        <v>3</v>
      </c>
      <c r="D111" s="82" t="s">
        <v>11</v>
      </c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>
        <v>1</v>
      </c>
      <c r="AF111" s="44" t="s">
        <v>4</v>
      </c>
      <c r="AG111" s="40">
        <v>2</v>
      </c>
      <c r="AH111" s="8"/>
      <c r="AI111" s="42" t="str">
        <f t="shared" si="720"/>
        <v/>
      </c>
      <c r="AJ111" s="43">
        <f t="shared" si="721"/>
        <v>-1</v>
      </c>
      <c r="AK111" s="8"/>
      <c r="AL111" s="38">
        <v>2</v>
      </c>
      <c r="AM111" s="44" t="s">
        <v>4</v>
      </c>
      <c r="AN111" s="40">
        <v>0</v>
      </c>
      <c r="AO111" s="8"/>
      <c r="AP111" s="42" t="str">
        <f t="shared" si="722"/>
        <v/>
      </c>
      <c r="AQ111" s="43">
        <f t="shared" si="723"/>
        <v>2</v>
      </c>
      <c r="AR111" s="8"/>
      <c r="AS111" s="38">
        <v>2</v>
      </c>
      <c r="AT111" s="44" t="s">
        <v>4</v>
      </c>
      <c r="AU111" s="40">
        <v>1</v>
      </c>
      <c r="AV111" s="8"/>
      <c r="AW111" s="42" t="str">
        <f t="shared" si="724"/>
        <v/>
      </c>
      <c r="AX111" s="43">
        <f t="shared" si="725"/>
        <v>1</v>
      </c>
      <c r="AY111" s="8"/>
      <c r="AZ111" s="38">
        <v>2</v>
      </c>
      <c r="BA111" s="44" t="s">
        <v>4</v>
      </c>
      <c r="BB111" s="40">
        <v>1</v>
      </c>
      <c r="BC111" s="8"/>
      <c r="BD111" s="42" t="str">
        <f t="shared" si="726"/>
        <v/>
      </c>
      <c r="BE111" s="43">
        <f t="shared" si="727"/>
        <v>1</v>
      </c>
      <c r="BF111" s="8"/>
      <c r="BG111" s="38">
        <v>2</v>
      </c>
      <c r="BH111" s="44" t="s">
        <v>4</v>
      </c>
      <c r="BI111" s="40">
        <v>1</v>
      </c>
      <c r="BJ111" s="8"/>
      <c r="BK111" s="42" t="str">
        <f t="shared" si="728"/>
        <v/>
      </c>
      <c r="BL111" s="43">
        <f t="shared" si="729"/>
        <v>1</v>
      </c>
      <c r="BM111" s="8"/>
      <c r="BN111" s="38">
        <v>2</v>
      </c>
      <c r="BO111" s="44" t="s">
        <v>4</v>
      </c>
      <c r="BP111" s="40">
        <v>1</v>
      </c>
      <c r="BQ111" s="8"/>
      <c r="BR111" s="42" t="str">
        <f t="shared" si="730"/>
        <v/>
      </c>
      <c r="BS111" s="43">
        <f t="shared" si="731"/>
        <v>1</v>
      </c>
      <c r="BT111" s="8"/>
      <c r="BU111" s="38">
        <v>2</v>
      </c>
      <c r="BV111" s="44" t="s">
        <v>4</v>
      </c>
      <c r="BW111" s="40">
        <v>0</v>
      </c>
      <c r="BX111" s="8"/>
      <c r="BY111" s="42" t="str">
        <f t="shared" si="732"/>
        <v/>
      </c>
      <c r="BZ111" s="43">
        <f t="shared" si="733"/>
        <v>2</v>
      </c>
      <c r="CA111" s="8"/>
      <c r="CB111" s="38">
        <v>2</v>
      </c>
      <c r="CC111" s="44" t="s">
        <v>4</v>
      </c>
      <c r="CD111" s="40">
        <v>1</v>
      </c>
      <c r="CE111" s="8"/>
      <c r="CF111" s="42" t="str">
        <f t="shared" si="734"/>
        <v/>
      </c>
      <c r="CG111" s="43">
        <f t="shared" si="735"/>
        <v>1</v>
      </c>
      <c r="CH111" s="8"/>
      <c r="CI111" s="38">
        <v>3</v>
      </c>
      <c r="CJ111" s="44" t="s">
        <v>4</v>
      </c>
      <c r="CK111" s="40">
        <v>1</v>
      </c>
      <c r="CL111" s="8"/>
      <c r="CM111" s="42" t="str">
        <f t="shared" si="736"/>
        <v/>
      </c>
      <c r="CN111" s="43">
        <f t="shared" si="737"/>
        <v>2</v>
      </c>
      <c r="CO111" s="8"/>
      <c r="CP111" s="38">
        <v>1</v>
      </c>
      <c r="CQ111" s="44" t="s">
        <v>4</v>
      </c>
      <c r="CR111" s="40">
        <v>0</v>
      </c>
      <c r="CS111" s="8"/>
      <c r="CT111" s="42" t="str">
        <f t="shared" si="738"/>
        <v/>
      </c>
      <c r="CU111" s="43">
        <f t="shared" si="739"/>
        <v>1</v>
      </c>
      <c r="CV111" s="8"/>
      <c r="CW111" s="38">
        <v>2</v>
      </c>
      <c r="CX111" s="44" t="s">
        <v>4</v>
      </c>
      <c r="CY111" s="40">
        <v>0</v>
      </c>
      <c r="CZ111" s="8"/>
      <c r="DA111" s="42" t="str">
        <f t="shared" si="740"/>
        <v/>
      </c>
      <c r="DB111" s="43">
        <f t="shared" si="741"/>
        <v>2</v>
      </c>
      <c r="DC111" s="8"/>
      <c r="DD111" s="38">
        <v>2</v>
      </c>
      <c r="DE111" s="44" t="s">
        <v>4</v>
      </c>
      <c r="DF111" s="40">
        <v>1</v>
      </c>
      <c r="DG111" s="8"/>
      <c r="DH111" s="42" t="str">
        <f t="shared" si="742"/>
        <v/>
      </c>
      <c r="DI111" s="43">
        <f t="shared" si="743"/>
        <v>1</v>
      </c>
      <c r="DJ111" s="8"/>
      <c r="DK111" s="38">
        <v>1</v>
      </c>
      <c r="DL111" s="44" t="s">
        <v>4</v>
      </c>
      <c r="DM111" s="40">
        <v>0</v>
      </c>
      <c r="DN111" s="8"/>
      <c r="DO111" s="42" t="str">
        <f t="shared" si="744"/>
        <v/>
      </c>
      <c r="DP111" s="43">
        <f t="shared" si="745"/>
        <v>1</v>
      </c>
      <c r="DQ111" s="8"/>
      <c r="DR111" s="38">
        <v>3</v>
      </c>
      <c r="DS111" s="44" t="s">
        <v>4</v>
      </c>
      <c r="DT111" s="40">
        <v>1</v>
      </c>
      <c r="DU111" s="8"/>
      <c r="DV111" s="42" t="str">
        <f t="shared" si="746"/>
        <v/>
      </c>
      <c r="DW111" s="43">
        <f t="shared" si="747"/>
        <v>2</v>
      </c>
      <c r="DX111" s="8"/>
      <c r="DY111" s="38">
        <v>1</v>
      </c>
      <c r="DZ111" s="44" t="s">
        <v>4</v>
      </c>
      <c r="EA111" s="40">
        <v>2</v>
      </c>
      <c r="EB111" s="8"/>
      <c r="EC111" s="42" t="str">
        <f t="shared" si="748"/>
        <v/>
      </c>
      <c r="ED111" s="43">
        <f t="shared" si="749"/>
        <v>-1</v>
      </c>
      <c r="EE111" s="8"/>
      <c r="EF111" s="38">
        <v>1</v>
      </c>
      <c r="EG111" s="44" t="s">
        <v>4</v>
      </c>
      <c r="EH111" s="40">
        <v>0</v>
      </c>
      <c r="EI111" s="8"/>
      <c r="EJ111" s="42" t="str">
        <f t="shared" si="750"/>
        <v/>
      </c>
      <c r="EK111" s="43">
        <f t="shared" si="751"/>
        <v>1</v>
      </c>
      <c r="EL111" s="8"/>
      <c r="EM111" s="38">
        <v>1</v>
      </c>
      <c r="EN111" s="44" t="s">
        <v>4</v>
      </c>
      <c r="EO111" s="40">
        <v>0</v>
      </c>
      <c r="EP111" s="8"/>
      <c r="EQ111" s="42" t="str">
        <f t="shared" si="752"/>
        <v/>
      </c>
      <c r="ER111" s="43">
        <f t="shared" si="753"/>
        <v>1</v>
      </c>
      <c r="ES111" s="8"/>
      <c r="ET111" s="38">
        <v>4</v>
      </c>
      <c r="EU111" s="44" t="s">
        <v>4</v>
      </c>
      <c r="EV111" s="40">
        <v>3</v>
      </c>
      <c r="EW111" s="8"/>
      <c r="EX111" s="42" t="str">
        <f t="shared" si="754"/>
        <v/>
      </c>
      <c r="EY111" s="43">
        <f t="shared" si="755"/>
        <v>1</v>
      </c>
      <c r="EZ111" s="8"/>
      <c r="FA111" s="38">
        <v>7</v>
      </c>
      <c r="FB111" s="44" t="s">
        <v>4</v>
      </c>
      <c r="FC111" s="40">
        <v>5</v>
      </c>
      <c r="FD111" s="8"/>
      <c r="FE111" s="42" t="str">
        <f t="shared" si="756"/>
        <v/>
      </c>
      <c r="FF111" s="43">
        <f t="shared" si="757"/>
        <v>2</v>
      </c>
      <c r="FG111" s="8"/>
      <c r="FH111" s="38">
        <v>3</v>
      </c>
      <c r="FI111" s="44" t="s">
        <v>4</v>
      </c>
      <c r="FJ111" s="40">
        <v>2</v>
      </c>
      <c r="FK111" s="8"/>
      <c r="FL111" s="42" t="str">
        <f t="shared" si="758"/>
        <v/>
      </c>
      <c r="FM111" s="43">
        <f t="shared" si="759"/>
        <v>1</v>
      </c>
      <c r="FN111" s="8"/>
      <c r="FO111" s="38">
        <v>2</v>
      </c>
      <c r="FP111" s="44" t="s">
        <v>4</v>
      </c>
      <c r="FQ111" s="40">
        <v>1</v>
      </c>
      <c r="FR111" s="8"/>
      <c r="FS111" s="42" t="str">
        <f t="shared" si="760"/>
        <v/>
      </c>
      <c r="FT111" s="43">
        <f t="shared" si="761"/>
        <v>1</v>
      </c>
      <c r="FU111" s="8"/>
      <c r="FV111" s="38">
        <v>2</v>
      </c>
      <c r="FW111" s="44" t="s">
        <v>4</v>
      </c>
      <c r="FX111" s="40">
        <v>0</v>
      </c>
      <c r="FY111" s="8"/>
      <c r="FZ111" s="42" t="str">
        <f t="shared" si="762"/>
        <v/>
      </c>
      <c r="GA111" s="43">
        <f t="shared" si="763"/>
        <v>2</v>
      </c>
      <c r="GB111" s="8"/>
      <c r="GC111" s="38">
        <v>1</v>
      </c>
      <c r="GD111" s="44" t="s">
        <v>4</v>
      </c>
      <c r="GE111" s="40">
        <v>0</v>
      </c>
      <c r="GF111" s="8"/>
      <c r="GG111" s="42" t="str">
        <f t="shared" si="764"/>
        <v/>
      </c>
      <c r="GH111" s="43">
        <f t="shared" si="765"/>
        <v>1</v>
      </c>
      <c r="GI111" s="8"/>
      <c r="GJ111" s="38">
        <v>3</v>
      </c>
      <c r="GK111" s="44" t="s">
        <v>4</v>
      </c>
      <c r="GL111" s="40">
        <v>1</v>
      </c>
      <c r="GM111" s="8"/>
      <c r="GN111" s="42" t="str">
        <f t="shared" si="766"/>
        <v/>
      </c>
      <c r="GO111" s="43">
        <f t="shared" si="767"/>
        <v>2</v>
      </c>
      <c r="GP111" s="8"/>
      <c r="GQ111" s="38">
        <v>2</v>
      </c>
      <c r="GR111" s="44" t="s">
        <v>4</v>
      </c>
      <c r="GS111" s="40">
        <v>1</v>
      </c>
      <c r="GT111" s="8"/>
      <c r="GU111" s="42" t="str">
        <f t="shared" si="768"/>
        <v/>
      </c>
      <c r="GV111" s="43">
        <f t="shared" si="769"/>
        <v>1</v>
      </c>
      <c r="GW111" s="8"/>
      <c r="GX111" s="38">
        <v>2</v>
      </c>
      <c r="GY111" s="44" t="s">
        <v>4</v>
      </c>
      <c r="GZ111" s="40">
        <v>0</v>
      </c>
      <c r="HA111" s="8"/>
      <c r="HB111" s="42" t="str">
        <f t="shared" si="770"/>
        <v/>
      </c>
      <c r="HC111" s="43">
        <f t="shared" si="771"/>
        <v>2</v>
      </c>
      <c r="HD111" s="8"/>
      <c r="HE111" s="38">
        <v>2</v>
      </c>
      <c r="HF111" s="44" t="s">
        <v>4</v>
      </c>
      <c r="HG111" s="40">
        <v>1</v>
      </c>
      <c r="HH111" s="8"/>
      <c r="HI111" s="42" t="str">
        <f t="shared" si="772"/>
        <v/>
      </c>
      <c r="HJ111" s="43">
        <f t="shared" si="773"/>
        <v>1</v>
      </c>
      <c r="HK111" s="8"/>
      <c r="HL111" s="38">
        <v>2</v>
      </c>
      <c r="HM111" s="44" t="s">
        <v>4</v>
      </c>
      <c r="HN111" s="40">
        <v>0</v>
      </c>
      <c r="HO111" s="8"/>
      <c r="HP111" s="42" t="str">
        <f t="shared" si="774"/>
        <v/>
      </c>
      <c r="HQ111" s="43">
        <f t="shared" si="775"/>
        <v>2</v>
      </c>
      <c r="HR111" s="8"/>
      <c r="HS111" s="38">
        <v>2</v>
      </c>
      <c r="HT111" s="44" t="s">
        <v>4</v>
      </c>
      <c r="HU111" s="40">
        <v>1</v>
      </c>
      <c r="HV111" s="8"/>
      <c r="HW111" s="42" t="str">
        <f t="shared" si="776"/>
        <v/>
      </c>
      <c r="HX111" s="43">
        <f t="shared" si="777"/>
        <v>1</v>
      </c>
      <c r="HY111" s="8"/>
      <c r="HZ111" s="38">
        <v>2</v>
      </c>
      <c r="IA111" s="44" t="s">
        <v>4</v>
      </c>
      <c r="IB111" s="40">
        <v>1</v>
      </c>
      <c r="IC111" s="8"/>
      <c r="ID111" s="42" t="str">
        <f t="shared" si="778"/>
        <v/>
      </c>
      <c r="IE111" s="43">
        <f t="shared" si="779"/>
        <v>1</v>
      </c>
      <c r="IF111" s="8"/>
      <c r="IG111" s="38">
        <v>3</v>
      </c>
      <c r="IH111" s="44" t="s">
        <v>4</v>
      </c>
      <c r="II111" s="40">
        <v>1</v>
      </c>
      <c r="IJ111" s="8"/>
      <c r="IK111" s="42" t="str">
        <f t="shared" si="780"/>
        <v/>
      </c>
      <c r="IL111" s="43">
        <f t="shared" si="781"/>
        <v>2</v>
      </c>
      <c r="IM111" s="8"/>
      <c r="IN111" s="38">
        <v>2</v>
      </c>
      <c r="IO111" s="44" t="s">
        <v>4</v>
      </c>
      <c r="IP111" s="40">
        <v>0</v>
      </c>
      <c r="IQ111" s="8"/>
      <c r="IR111" s="42" t="str">
        <f t="shared" si="782"/>
        <v/>
      </c>
      <c r="IS111" s="43">
        <f t="shared" si="783"/>
        <v>2</v>
      </c>
      <c r="IT111" s="8"/>
      <c r="IU111" s="38">
        <v>3</v>
      </c>
      <c r="IV111" s="44" t="s">
        <v>4</v>
      </c>
      <c r="IW111" s="40">
        <v>1</v>
      </c>
      <c r="IX111" s="8"/>
      <c r="IY111" s="42" t="str">
        <f t="shared" si="784"/>
        <v/>
      </c>
      <c r="IZ111" s="43">
        <f t="shared" si="785"/>
        <v>2</v>
      </c>
      <c r="JA111" s="8"/>
      <c r="JB111" s="38">
        <v>5</v>
      </c>
      <c r="JC111" s="44" t="s">
        <v>4</v>
      </c>
      <c r="JD111" s="40">
        <v>4</v>
      </c>
      <c r="JE111" s="8"/>
      <c r="JF111" s="42" t="str">
        <f t="shared" si="786"/>
        <v/>
      </c>
      <c r="JG111" s="43">
        <f t="shared" si="787"/>
        <v>1</v>
      </c>
      <c r="JH111" s="8"/>
      <c r="JI111" s="38">
        <v>2</v>
      </c>
      <c r="JJ111" s="44" t="s">
        <v>4</v>
      </c>
      <c r="JK111" s="40">
        <v>1</v>
      </c>
      <c r="JL111" s="8"/>
      <c r="JM111" s="42" t="str">
        <f t="shared" si="788"/>
        <v/>
      </c>
      <c r="JN111" s="43">
        <f t="shared" si="789"/>
        <v>1</v>
      </c>
      <c r="JO111" s="8"/>
      <c r="JP111" s="38">
        <v>2</v>
      </c>
      <c r="JQ111" s="44" t="s">
        <v>4</v>
      </c>
      <c r="JR111" s="40">
        <v>0</v>
      </c>
      <c r="JS111" s="8"/>
      <c r="JT111" s="42" t="str">
        <f t="shared" si="790"/>
        <v/>
      </c>
      <c r="JU111" s="43">
        <f t="shared" si="791"/>
        <v>2</v>
      </c>
      <c r="JV111" s="8"/>
      <c r="JW111" s="38">
        <v>2</v>
      </c>
      <c r="JX111" s="44" t="s">
        <v>4</v>
      </c>
      <c r="JY111" s="40">
        <v>1</v>
      </c>
      <c r="JZ111" s="8"/>
      <c r="KA111" s="42" t="str">
        <f t="shared" si="792"/>
        <v/>
      </c>
      <c r="KB111" s="43">
        <f t="shared" si="793"/>
        <v>1</v>
      </c>
      <c r="KC111" s="8"/>
      <c r="KD111" s="38">
        <v>2</v>
      </c>
      <c r="KE111" s="44" t="s">
        <v>4</v>
      </c>
      <c r="KF111" s="40">
        <v>1</v>
      </c>
      <c r="KG111" s="8"/>
      <c r="KH111" s="42" t="str">
        <f t="shared" si="794"/>
        <v/>
      </c>
      <c r="KI111" s="43">
        <f t="shared" si="795"/>
        <v>1</v>
      </c>
      <c r="KJ111" s="8"/>
      <c r="KK111" s="38">
        <v>1</v>
      </c>
      <c r="KL111" s="44" t="s">
        <v>4</v>
      </c>
      <c r="KM111" s="40">
        <v>0</v>
      </c>
      <c r="KN111" s="8"/>
      <c r="KO111" s="42" t="str">
        <f t="shared" si="796"/>
        <v/>
      </c>
      <c r="KP111" s="43">
        <f t="shared" si="797"/>
        <v>1</v>
      </c>
      <c r="KQ111" s="8"/>
      <c r="KR111" s="38">
        <v>1</v>
      </c>
      <c r="KS111" s="44" t="s">
        <v>4</v>
      </c>
      <c r="KT111" s="40">
        <v>2</v>
      </c>
      <c r="KU111" s="8"/>
      <c r="KV111" s="42" t="str">
        <f t="shared" si="798"/>
        <v/>
      </c>
      <c r="KW111" s="43">
        <f t="shared" si="799"/>
        <v>-1</v>
      </c>
      <c r="KX111" s="8"/>
      <c r="KY111" s="38">
        <v>1</v>
      </c>
      <c r="KZ111" s="44" t="s">
        <v>4</v>
      </c>
      <c r="LA111" s="40">
        <v>2</v>
      </c>
      <c r="LB111" s="8"/>
      <c r="LC111" s="42" t="str">
        <f t="shared" si="800"/>
        <v/>
      </c>
      <c r="LD111" s="43">
        <f t="shared" si="801"/>
        <v>-1</v>
      </c>
      <c r="LE111" s="8"/>
      <c r="LF111" s="38">
        <v>2</v>
      </c>
      <c r="LG111" s="44" t="s">
        <v>4</v>
      </c>
      <c r="LH111" s="40">
        <v>0</v>
      </c>
      <c r="LI111" s="8"/>
      <c r="LJ111" s="42" t="str">
        <f t="shared" si="802"/>
        <v/>
      </c>
      <c r="LK111" s="43">
        <f t="shared" si="803"/>
        <v>2</v>
      </c>
      <c r="LL111" s="8"/>
      <c r="LM111" s="38">
        <v>3</v>
      </c>
      <c r="LN111" s="44" t="s">
        <v>4</v>
      </c>
      <c r="LO111" s="40">
        <v>1</v>
      </c>
      <c r="LP111" s="8"/>
      <c r="LQ111" s="42" t="str">
        <f t="shared" si="804"/>
        <v/>
      </c>
      <c r="LR111" s="43">
        <f t="shared" si="805"/>
        <v>2</v>
      </c>
      <c r="LS111" s="8"/>
      <c r="LT111" s="38">
        <v>2</v>
      </c>
      <c r="LU111" s="44" t="s">
        <v>4</v>
      </c>
      <c r="LV111" s="40">
        <v>0</v>
      </c>
      <c r="LW111" s="8"/>
      <c r="LX111" s="42" t="str">
        <f t="shared" si="806"/>
        <v/>
      </c>
      <c r="LY111" s="43">
        <f t="shared" si="807"/>
        <v>2</v>
      </c>
      <c r="LZ111" s="8"/>
      <c r="MA111" s="38">
        <v>3</v>
      </c>
      <c r="MB111" s="44" t="s">
        <v>4</v>
      </c>
      <c r="MC111" s="40">
        <v>1</v>
      </c>
      <c r="MD111" s="8"/>
      <c r="ME111" s="42" t="str">
        <f t="shared" si="808"/>
        <v/>
      </c>
      <c r="MF111" s="43">
        <f t="shared" si="809"/>
        <v>2</v>
      </c>
      <c r="MG111" s="8"/>
      <c r="MH111" s="38">
        <v>1</v>
      </c>
      <c r="MI111" s="44" t="s">
        <v>4</v>
      </c>
      <c r="MJ111" s="40">
        <v>0</v>
      </c>
      <c r="MK111" s="8"/>
      <c r="ML111" s="42" t="str">
        <f t="shared" si="810"/>
        <v/>
      </c>
      <c r="MM111" s="43">
        <f t="shared" si="811"/>
        <v>1</v>
      </c>
      <c r="MN111" s="8"/>
      <c r="MO111" s="38">
        <v>2</v>
      </c>
      <c r="MP111" s="44" t="s">
        <v>4</v>
      </c>
      <c r="MQ111" s="40">
        <v>1</v>
      </c>
      <c r="MR111" s="8"/>
      <c r="MS111" s="42" t="str">
        <f t="shared" si="812"/>
        <v/>
      </c>
      <c r="MT111" s="43">
        <f t="shared" si="813"/>
        <v>1</v>
      </c>
      <c r="MU111" s="8"/>
      <c r="MV111" s="38">
        <v>3</v>
      </c>
      <c r="MW111" s="44" t="s">
        <v>4</v>
      </c>
      <c r="MX111" s="40">
        <v>1</v>
      </c>
      <c r="MY111" s="8"/>
      <c r="MZ111" s="42" t="str">
        <f t="shared" si="814"/>
        <v/>
      </c>
      <c r="NA111" s="43">
        <f t="shared" si="815"/>
        <v>2</v>
      </c>
      <c r="NB111" s="8"/>
      <c r="NC111" s="38">
        <v>2</v>
      </c>
      <c r="ND111" s="44" t="s">
        <v>4</v>
      </c>
      <c r="NE111" s="40">
        <v>0</v>
      </c>
      <c r="NF111" s="8"/>
      <c r="NG111" s="42" t="str">
        <f t="shared" si="816"/>
        <v/>
      </c>
      <c r="NH111" s="43">
        <f t="shared" si="817"/>
        <v>2</v>
      </c>
      <c r="NI111" s="8"/>
      <c r="NJ111" s="38">
        <v>3</v>
      </c>
      <c r="NK111" s="44" t="s">
        <v>4</v>
      </c>
      <c r="NL111" s="40">
        <v>1</v>
      </c>
      <c r="NM111" s="8"/>
      <c r="NN111" s="42" t="str">
        <f t="shared" si="818"/>
        <v/>
      </c>
      <c r="NO111" s="43">
        <f t="shared" si="819"/>
        <v>2</v>
      </c>
      <c r="NP111" s="8"/>
      <c r="NQ111" s="38">
        <v>2</v>
      </c>
      <c r="NR111" s="44" t="s">
        <v>4</v>
      </c>
      <c r="NS111" s="40">
        <v>0</v>
      </c>
      <c r="NT111" s="8"/>
      <c r="NU111" s="42" t="str">
        <f t="shared" si="820"/>
        <v/>
      </c>
      <c r="NV111" s="43">
        <f t="shared" si="821"/>
        <v>2</v>
      </c>
      <c r="NW111" s="8"/>
      <c r="NX111" s="38">
        <v>2</v>
      </c>
      <c r="NY111" s="44" t="s">
        <v>4</v>
      </c>
      <c r="NZ111" s="40">
        <v>0</v>
      </c>
      <c r="OA111" s="8"/>
      <c r="OB111" s="42" t="str">
        <f t="shared" si="822"/>
        <v/>
      </c>
      <c r="OC111" s="43">
        <f t="shared" si="823"/>
        <v>2</v>
      </c>
      <c r="OD111" s="8"/>
      <c r="OE111" s="38">
        <v>3</v>
      </c>
      <c r="OF111" s="44" t="s">
        <v>4</v>
      </c>
      <c r="OG111" s="40">
        <v>2</v>
      </c>
      <c r="OH111" s="8"/>
      <c r="OI111" s="42" t="str">
        <f t="shared" si="824"/>
        <v/>
      </c>
      <c r="OJ111" s="43">
        <f t="shared" si="825"/>
        <v>1</v>
      </c>
      <c r="OK111" s="8"/>
      <c r="OL111" s="38">
        <v>3</v>
      </c>
      <c r="OM111" s="44" t="s">
        <v>4</v>
      </c>
      <c r="ON111" s="40">
        <v>0</v>
      </c>
      <c r="OO111" s="8"/>
      <c r="OP111" s="42" t="str">
        <f t="shared" si="826"/>
        <v/>
      </c>
      <c r="OQ111" s="43">
        <f t="shared" si="827"/>
        <v>3</v>
      </c>
      <c r="OR111" s="8"/>
      <c r="OS111" s="38">
        <v>2</v>
      </c>
      <c r="OT111" s="44" t="s">
        <v>4</v>
      </c>
      <c r="OU111" s="40">
        <v>0</v>
      </c>
      <c r="OV111" s="8"/>
      <c r="OW111" s="42" t="str">
        <f t="shared" si="828"/>
        <v/>
      </c>
      <c r="OX111" s="43">
        <f t="shared" si="829"/>
        <v>2</v>
      </c>
      <c r="OY111" s="8"/>
      <c r="OZ111" s="38">
        <v>3</v>
      </c>
      <c r="PA111" s="44" t="s">
        <v>4</v>
      </c>
      <c r="PB111" s="40">
        <v>2</v>
      </c>
      <c r="PC111" s="8"/>
      <c r="PD111" s="42" t="str">
        <f t="shared" si="830"/>
        <v/>
      </c>
      <c r="PE111" s="43">
        <f t="shared" si="831"/>
        <v>1</v>
      </c>
      <c r="PF111" s="8"/>
      <c r="PG111" s="38">
        <v>2</v>
      </c>
      <c r="PH111" s="44" t="s">
        <v>4</v>
      </c>
      <c r="PI111" s="40">
        <v>0</v>
      </c>
      <c r="PJ111" s="8"/>
      <c r="PK111" s="42" t="str">
        <f t="shared" si="832"/>
        <v/>
      </c>
      <c r="PL111" s="43">
        <f t="shared" si="833"/>
        <v>2</v>
      </c>
      <c r="PM111" s="8"/>
      <c r="PN111" s="38">
        <v>2</v>
      </c>
      <c r="PO111" s="44" t="s">
        <v>4</v>
      </c>
      <c r="PP111" s="40">
        <v>1</v>
      </c>
      <c r="PQ111" s="8"/>
      <c r="PR111" s="42" t="str">
        <f t="shared" si="834"/>
        <v/>
      </c>
      <c r="PS111" s="43">
        <f t="shared" si="835"/>
        <v>1</v>
      </c>
      <c r="PT111" s="8"/>
      <c r="PU111" s="38">
        <v>2</v>
      </c>
      <c r="PV111" s="44" t="s">
        <v>4</v>
      </c>
      <c r="PW111" s="40">
        <v>0</v>
      </c>
      <c r="PX111" s="8"/>
      <c r="PY111" s="42" t="str">
        <f t="shared" si="836"/>
        <v/>
      </c>
      <c r="PZ111" s="43">
        <f t="shared" si="837"/>
        <v>2</v>
      </c>
      <c r="QA111" s="8"/>
      <c r="QB111" s="38">
        <v>2</v>
      </c>
      <c r="QC111" s="44" t="s">
        <v>4</v>
      </c>
      <c r="QD111" s="40">
        <v>1</v>
      </c>
      <c r="QE111" s="8"/>
      <c r="QF111" s="42" t="str">
        <f t="shared" si="838"/>
        <v/>
      </c>
      <c r="QG111" s="43">
        <f t="shared" si="839"/>
        <v>1</v>
      </c>
      <c r="QH111" s="8"/>
      <c r="QI111" s="38">
        <v>2</v>
      </c>
      <c r="QJ111" s="44" t="s">
        <v>4</v>
      </c>
      <c r="QK111" s="40">
        <v>1</v>
      </c>
      <c r="QL111" s="8"/>
      <c r="QM111" s="42" t="str">
        <f t="shared" si="840"/>
        <v/>
      </c>
      <c r="QN111" s="43">
        <f t="shared" si="841"/>
        <v>1</v>
      </c>
      <c r="QO111" s="8"/>
      <c r="QP111" s="38">
        <v>3</v>
      </c>
      <c r="QQ111" s="44" t="s">
        <v>4</v>
      </c>
      <c r="QR111" s="40">
        <v>1</v>
      </c>
      <c r="QS111" s="8"/>
      <c r="QT111" s="42" t="str">
        <f t="shared" si="842"/>
        <v/>
      </c>
      <c r="QU111" s="43">
        <f t="shared" si="843"/>
        <v>2</v>
      </c>
      <c r="QV111" s="8"/>
      <c r="QW111" s="38">
        <v>3</v>
      </c>
      <c r="QX111" s="44" t="s">
        <v>4</v>
      </c>
      <c r="QY111" s="40">
        <v>1</v>
      </c>
      <c r="QZ111" s="8"/>
      <c r="RA111" s="42" t="str">
        <f t="shared" si="844"/>
        <v/>
      </c>
      <c r="RB111" s="43">
        <f t="shared" si="845"/>
        <v>2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>
        <v>1</v>
      </c>
      <c r="RL111" s="44" t="s">
        <v>4</v>
      </c>
      <c r="RM111" s="40">
        <v>0</v>
      </c>
      <c r="RN111" s="8"/>
      <c r="RO111" s="42" t="str">
        <f t="shared" si="848"/>
        <v/>
      </c>
      <c r="RP111" s="43">
        <f t="shared" si="849"/>
        <v>1</v>
      </c>
      <c r="RQ111" s="8"/>
      <c r="RR111" s="38">
        <v>2</v>
      </c>
      <c r="RS111" s="44" t="s">
        <v>4</v>
      </c>
      <c r="RT111" s="40">
        <v>0</v>
      </c>
      <c r="RU111" s="8"/>
      <c r="RV111" s="42" t="str">
        <f t="shared" si="850"/>
        <v/>
      </c>
      <c r="RW111" s="43">
        <f t="shared" si="851"/>
        <v>2</v>
      </c>
      <c r="RX111" s="8"/>
      <c r="RY111" s="38">
        <v>1</v>
      </c>
      <c r="RZ111" s="44" t="s">
        <v>4</v>
      </c>
      <c r="SA111" s="40">
        <v>3</v>
      </c>
      <c r="SB111" s="8"/>
      <c r="SC111" s="42" t="str">
        <f t="shared" si="852"/>
        <v/>
      </c>
      <c r="SD111" s="43">
        <f t="shared" si="853"/>
        <v>-2</v>
      </c>
      <c r="SE111" s="8"/>
      <c r="SF111" s="38">
        <v>2</v>
      </c>
      <c r="SG111" s="44" t="s">
        <v>4</v>
      </c>
      <c r="SH111" s="40">
        <v>0</v>
      </c>
      <c r="SI111" s="8"/>
      <c r="SJ111" s="42" t="str">
        <f t="shared" si="854"/>
        <v/>
      </c>
      <c r="SK111" s="43">
        <f t="shared" si="855"/>
        <v>2</v>
      </c>
      <c r="SL111" s="8"/>
      <c r="SM111" s="38">
        <v>2</v>
      </c>
      <c r="SN111" s="44" t="s">
        <v>4</v>
      </c>
      <c r="SO111" s="40">
        <v>1</v>
      </c>
      <c r="SP111" s="8"/>
      <c r="SQ111" s="42" t="str">
        <f t="shared" si="856"/>
        <v/>
      </c>
      <c r="SR111" s="43">
        <f t="shared" si="857"/>
        <v>1</v>
      </c>
    </row>
    <row r="112" spans="1:512" ht="16" customHeight="1" x14ac:dyDescent="0.15">
      <c r="A112" s="53">
        <v>46214</v>
      </c>
      <c r="B112" s="46">
        <v>0.95833333333333337</v>
      </c>
      <c r="C112" s="82" t="s">
        <v>53</v>
      </c>
      <c r="D112" s="83" t="s">
        <v>8</v>
      </c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>
        <v>1</v>
      </c>
      <c r="AF112" s="44" t="s">
        <v>4</v>
      </c>
      <c r="AG112" s="40">
        <v>2</v>
      </c>
      <c r="AH112" s="8"/>
      <c r="AI112" s="42" t="str">
        <f t="shared" si="720"/>
        <v/>
      </c>
      <c r="AJ112" s="43">
        <f t="shared" si="721"/>
        <v>-1</v>
      </c>
      <c r="AK112" s="8"/>
      <c r="AL112" s="38">
        <v>5</v>
      </c>
      <c r="AM112" s="44" t="s">
        <v>4</v>
      </c>
      <c r="AN112" s="40">
        <v>6</v>
      </c>
      <c r="AO112" s="8"/>
      <c r="AP112" s="42" t="str">
        <f t="shared" si="722"/>
        <v/>
      </c>
      <c r="AQ112" s="43">
        <f t="shared" si="723"/>
        <v>-1</v>
      </c>
      <c r="AR112" s="8"/>
      <c r="AS112" s="38">
        <v>3</v>
      </c>
      <c r="AT112" s="44" t="s">
        <v>4</v>
      </c>
      <c r="AU112" s="40">
        <v>2</v>
      </c>
      <c r="AV112" s="8"/>
      <c r="AW112" s="42" t="str">
        <f t="shared" si="724"/>
        <v/>
      </c>
      <c r="AX112" s="43">
        <f t="shared" si="725"/>
        <v>1</v>
      </c>
      <c r="AY112" s="8"/>
      <c r="AZ112" s="38">
        <v>5</v>
      </c>
      <c r="BA112" s="44" t="s">
        <v>4</v>
      </c>
      <c r="BB112" s="40">
        <v>6</v>
      </c>
      <c r="BC112" s="8"/>
      <c r="BD112" s="42" t="str">
        <f t="shared" si="726"/>
        <v/>
      </c>
      <c r="BE112" s="43">
        <f t="shared" si="727"/>
        <v>-1</v>
      </c>
      <c r="BF112" s="8"/>
      <c r="BG112" s="38">
        <v>3</v>
      </c>
      <c r="BH112" s="44" t="s">
        <v>4</v>
      </c>
      <c r="BI112" s="40">
        <v>0</v>
      </c>
      <c r="BJ112" s="8"/>
      <c r="BK112" s="42" t="str">
        <f t="shared" si="728"/>
        <v/>
      </c>
      <c r="BL112" s="43">
        <f t="shared" si="729"/>
        <v>3</v>
      </c>
      <c r="BM112" s="8"/>
      <c r="BN112" s="38">
        <v>1</v>
      </c>
      <c r="BO112" s="44" t="s">
        <v>4</v>
      </c>
      <c r="BP112" s="40">
        <v>2</v>
      </c>
      <c r="BQ112" s="8"/>
      <c r="BR112" s="42" t="str">
        <f t="shared" si="730"/>
        <v/>
      </c>
      <c r="BS112" s="43">
        <f t="shared" si="731"/>
        <v>-1</v>
      </c>
      <c r="BT112" s="8"/>
      <c r="BU112" s="38">
        <v>1</v>
      </c>
      <c r="BV112" s="44" t="s">
        <v>4</v>
      </c>
      <c r="BW112" s="40">
        <v>3</v>
      </c>
      <c r="BX112" s="8"/>
      <c r="BY112" s="42" t="str">
        <f t="shared" si="732"/>
        <v/>
      </c>
      <c r="BZ112" s="43">
        <f t="shared" si="733"/>
        <v>-2</v>
      </c>
      <c r="CA112" s="8"/>
      <c r="CB112" s="38">
        <v>2</v>
      </c>
      <c r="CC112" s="44" t="s">
        <v>4</v>
      </c>
      <c r="CD112" s="40">
        <v>3</v>
      </c>
      <c r="CE112" s="8"/>
      <c r="CF112" s="42" t="str">
        <f t="shared" si="734"/>
        <v/>
      </c>
      <c r="CG112" s="43">
        <f t="shared" si="735"/>
        <v>-1</v>
      </c>
      <c r="CH112" s="8"/>
      <c r="CI112" s="38">
        <v>2</v>
      </c>
      <c r="CJ112" s="44" t="s">
        <v>4</v>
      </c>
      <c r="CK112" s="40">
        <v>3</v>
      </c>
      <c r="CL112" s="8"/>
      <c r="CM112" s="42" t="str">
        <f t="shared" si="736"/>
        <v/>
      </c>
      <c r="CN112" s="43">
        <f t="shared" si="737"/>
        <v>-1</v>
      </c>
      <c r="CO112" s="8"/>
      <c r="CP112" s="38">
        <v>1</v>
      </c>
      <c r="CQ112" s="44" t="s">
        <v>4</v>
      </c>
      <c r="CR112" s="40">
        <v>2</v>
      </c>
      <c r="CS112" s="8"/>
      <c r="CT112" s="42" t="str">
        <f t="shared" si="738"/>
        <v/>
      </c>
      <c r="CU112" s="43">
        <f t="shared" si="739"/>
        <v>-1</v>
      </c>
      <c r="CV112" s="8"/>
      <c r="CW112" s="38">
        <v>2</v>
      </c>
      <c r="CX112" s="44" t="s">
        <v>4</v>
      </c>
      <c r="CY112" s="40">
        <v>3</v>
      </c>
      <c r="CZ112" s="8"/>
      <c r="DA112" s="42" t="str">
        <f t="shared" si="740"/>
        <v/>
      </c>
      <c r="DB112" s="43">
        <f t="shared" si="741"/>
        <v>-1</v>
      </c>
      <c r="DC112" s="8"/>
      <c r="DD112" s="38">
        <v>2</v>
      </c>
      <c r="DE112" s="44" t="s">
        <v>4</v>
      </c>
      <c r="DF112" s="40">
        <v>1</v>
      </c>
      <c r="DG112" s="8"/>
      <c r="DH112" s="42" t="str">
        <f t="shared" si="742"/>
        <v/>
      </c>
      <c r="DI112" s="43">
        <f t="shared" si="743"/>
        <v>1</v>
      </c>
      <c r="DJ112" s="8"/>
      <c r="DK112" s="38">
        <v>2</v>
      </c>
      <c r="DL112" s="44" t="s">
        <v>4</v>
      </c>
      <c r="DM112" s="40">
        <v>1</v>
      </c>
      <c r="DN112" s="8"/>
      <c r="DO112" s="42" t="str">
        <f t="shared" si="744"/>
        <v/>
      </c>
      <c r="DP112" s="43">
        <f t="shared" si="745"/>
        <v>1</v>
      </c>
      <c r="DQ112" s="8"/>
      <c r="DR112" s="38">
        <v>2</v>
      </c>
      <c r="DS112" s="44" t="s">
        <v>4</v>
      </c>
      <c r="DT112" s="40">
        <v>3</v>
      </c>
      <c r="DU112" s="8"/>
      <c r="DV112" s="42" t="str">
        <f t="shared" si="746"/>
        <v/>
      </c>
      <c r="DW112" s="43">
        <f t="shared" si="747"/>
        <v>-1</v>
      </c>
      <c r="DX112" s="8"/>
      <c r="DY112" s="38">
        <v>3</v>
      </c>
      <c r="DZ112" s="44" t="s">
        <v>4</v>
      </c>
      <c r="EA112" s="40">
        <v>4</v>
      </c>
      <c r="EB112" s="8"/>
      <c r="EC112" s="42" t="str">
        <f t="shared" si="748"/>
        <v/>
      </c>
      <c r="ED112" s="43">
        <f t="shared" si="749"/>
        <v>-1</v>
      </c>
      <c r="EE112" s="8"/>
      <c r="EF112" s="38">
        <v>2</v>
      </c>
      <c r="EG112" s="44" t="s">
        <v>4</v>
      </c>
      <c r="EH112" s="40">
        <v>3</v>
      </c>
      <c r="EI112" s="8"/>
      <c r="EJ112" s="42" t="str">
        <f t="shared" si="750"/>
        <v/>
      </c>
      <c r="EK112" s="43">
        <f t="shared" si="751"/>
        <v>-1</v>
      </c>
      <c r="EL112" s="8"/>
      <c r="EM112" s="38">
        <v>2</v>
      </c>
      <c r="EN112" s="44" t="s">
        <v>4</v>
      </c>
      <c r="EO112" s="40">
        <v>3</v>
      </c>
      <c r="EP112" s="8"/>
      <c r="EQ112" s="42" t="str">
        <f t="shared" si="752"/>
        <v/>
      </c>
      <c r="ER112" s="43">
        <f t="shared" si="753"/>
        <v>-1</v>
      </c>
      <c r="ES112" s="8"/>
      <c r="ET112" s="38">
        <v>2</v>
      </c>
      <c r="EU112" s="44" t="s">
        <v>4</v>
      </c>
      <c r="EV112" s="40">
        <v>1</v>
      </c>
      <c r="EW112" s="8"/>
      <c r="EX112" s="42" t="str">
        <f t="shared" si="754"/>
        <v/>
      </c>
      <c r="EY112" s="43">
        <f t="shared" si="755"/>
        <v>1</v>
      </c>
      <c r="EZ112" s="8"/>
      <c r="FA112" s="38">
        <v>0</v>
      </c>
      <c r="FB112" s="44" t="s">
        <v>4</v>
      </c>
      <c r="FC112" s="40">
        <v>1</v>
      </c>
      <c r="FD112" s="8"/>
      <c r="FE112" s="42" t="str">
        <f t="shared" si="756"/>
        <v/>
      </c>
      <c r="FF112" s="43">
        <f t="shared" si="757"/>
        <v>-1</v>
      </c>
      <c r="FG112" s="8"/>
      <c r="FH112" s="38">
        <v>2</v>
      </c>
      <c r="FI112" s="44" t="s">
        <v>4</v>
      </c>
      <c r="FJ112" s="40">
        <v>1</v>
      </c>
      <c r="FK112" s="8"/>
      <c r="FL112" s="42" t="str">
        <f t="shared" si="758"/>
        <v/>
      </c>
      <c r="FM112" s="43">
        <f t="shared" si="759"/>
        <v>1</v>
      </c>
      <c r="FN112" s="8"/>
      <c r="FO112" s="38">
        <v>2</v>
      </c>
      <c r="FP112" s="44" t="s">
        <v>4</v>
      </c>
      <c r="FQ112" s="40">
        <v>0</v>
      </c>
      <c r="FR112" s="8"/>
      <c r="FS112" s="42" t="str">
        <f t="shared" si="760"/>
        <v/>
      </c>
      <c r="FT112" s="43">
        <f t="shared" si="761"/>
        <v>2</v>
      </c>
      <c r="FU112" s="8"/>
      <c r="FV112" s="38">
        <v>1</v>
      </c>
      <c r="FW112" s="44" t="s">
        <v>4</v>
      </c>
      <c r="FX112" s="40">
        <v>2</v>
      </c>
      <c r="FY112" s="8"/>
      <c r="FZ112" s="42" t="str">
        <f t="shared" si="762"/>
        <v/>
      </c>
      <c r="GA112" s="43">
        <f t="shared" si="763"/>
        <v>-1</v>
      </c>
      <c r="GB112" s="8"/>
      <c r="GC112" s="38">
        <v>3</v>
      </c>
      <c r="GD112" s="44" t="s">
        <v>4</v>
      </c>
      <c r="GE112" s="40">
        <v>2</v>
      </c>
      <c r="GF112" s="8"/>
      <c r="GG112" s="42" t="str">
        <f t="shared" si="764"/>
        <v/>
      </c>
      <c r="GH112" s="43">
        <f t="shared" si="765"/>
        <v>1</v>
      </c>
      <c r="GI112" s="8"/>
      <c r="GJ112" s="38">
        <v>2</v>
      </c>
      <c r="GK112" s="44" t="s">
        <v>4</v>
      </c>
      <c r="GL112" s="40">
        <v>3</v>
      </c>
      <c r="GM112" s="8"/>
      <c r="GN112" s="42" t="str">
        <f t="shared" si="766"/>
        <v/>
      </c>
      <c r="GO112" s="43">
        <f t="shared" si="767"/>
        <v>-1</v>
      </c>
      <c r="GP112" s="8"/>
      <c r="GQ112" s="38">
        <v>5</v>
      </c>
      <c r="GR112" s="44" t="s">
        <v>4</v>
      </c>
      <c r="GS112" s="40">
        <v>6</v>
      </c>
      <c r="GT112" s="8"/>
      <c r="GU112" s="42" t="str">
        <f t="shared" si="768"/>
        <v/>
      </c>
      <c r="GV112" s="43">
        <f t="shared" si="769"/>
        <v>-1</v>
      </c>
      <c r="GW112" s="8"/>
      <c r="GX112" s="38">
        <v>1</v>
      </c>
      <c r="GY112" s="44" t="s">
        <v>4</v>
      </c>
      <c r="GZ112" s="40">
        <v>3</v>
      </c>
      <c r="HA112" s="8"/>
      <c r="HB112" s="42" t="str">
        <f t="shared" si="770"/>
        <v/>
      </c>
      <c r="HC112" s="43">
        <f t="shared" si="771"/>
        <v>-2</v>
      </c>
      <c r="HD112" s="8"/>
      <c r="HE112" s="38">
        <v>2</v>
      </c>
      <c r="HF112" s="44" t="s">
        <v>4</v>
      </c>
      <c r="HG112" s="40">
        <v>3</v>
      </c>
      <c r="HH112" s="8"/>
      <c r="HI112" s="42" t="str">
        <f t="shared" si="772"/>
        <v/>
      </c>
      <c r="HJ112" s="43">
        <f t="shared" si="773"/>
        <v>-1</v>
      </c>
      <c r="HK112" s="8"/>
      <c r="HL112" s="38">
        <v>2</v>
      </c>
      <c r="HM112" s="44" t="s">
        <v>4</v>
      </c>
      <c r="HN112" s="40">
        <v>3</v>
      </c>
      <c r="HO112" s="8"/>
      <c r="HP112" s="42" t="str">
        <f t="shared" si="774"/>
        <v/>
      </c>
      <c r="HQ112" s="43">
        <f t="shared" si="775"/>
        <v>-1</v>
      </c>
      <c r="HR112" s="8"/>
      <c r="HS112" s="38">
        <v>1</v>
      </c>
      <c r="HT112" s="44" t="s">
        <v>4</v>
      </c>
      <c r="HU112" s="40">
        <v>2</v>
      </c>
      <c r="HV112" s="8"/>
      <c r="HW112" s="42" t="str">
        <f t="shared" si="776"/>
        <v/>
      </c>
      <c r="HX112" s="43">
        <f t="shared" si="777"/>
        <v>-1</v>
      </c>
      <c r="HY112" s="8"/>
      <c r="HZ112" s="38">
        <v>2</v>
      </c>
      <c r="IA112" s="44" t="s">
        <v>4</v>
      </c>
      <c r="IB112" s="40">
        <v>3</v>
      </c>
      <c r="IC112" s="8"/>
      <c r="ID112" s="42" t="str">
        <f t="shared" si="778"/>
        <v/>
      </c>
      <c r="IE112" s="43">
        <f t="shared" si="779"/>
        <v>-1</v>
      </c>
      <c r="IF112" s="8"/>
      <c r="IG112" s="38">
        <v>4</v>
      </c>
      <c r="IH112" s="44" t="s">
        <v>4</v>
      </c>
      <c r="II112" s="40">
        <v>2</v>
      </c>
      <c r="IJ112" s="8"/>
      <c r="IK112" s="42" t="str">
        <f t="shared" si="780"/>
        <v/>
      </c>
      <c r="IL112" s="43">
        <f t="shared" si="781"/>
        <v>2</v>
      </c>
      <c r="IM112" s="8"/>
      <c r="IN112" s="38">
        <v>2</v>
      </c>
      <c r="IO112" s="44" t="s">
        <v>4</v>
      </c>
      <c r="IP112" s="40">
        <v>3</v>
      </c>
      <c r="IQ112" s="8"/>
      <c r="IR112" s="42" t="str">
        <f t="shared" si="782"/>
        <v/>
      </c>
      <c r="IS112" s="43">
        <f t="shared" si="783"/>
        <v>-1</v>
      </c>
      <c r="IT112" s="8"/>
      <c r="IU112" s="38">
        <v>2</v>
      </c>
      <c r="IV112" s="44" t="s">
        <v>4</v>
      </c>
      <c r="IW112" s="40">
        <v>3</v>
      </c>
      <c r="IX112" s="8"/>
      <c r="IY112" s="42" t="str">
        <f t="shared" si="784"/>
        <v/>
      </c>
      <c r="IZ112" s="43">
        <f t="shared" si="785"/>
        <v>-1</v>
      </c>
      <c r="JA112" s="8"/>
      <c r="JB112" s="38">
        <v>1</v>
      </c>
      <c r="JC112" s="44" t="s">
        <v>4</v>
      </c>
      <c r="JD112" s="40">
        <v>2</v>
      </c>
      <c r="JE112" s="8"/>
      <c r="JF112" s="42" t="str">
        <f t="shared" si="786"/>
        <v/>
      </c>
      <c r="JG112" s="43">
        <f t="shared" si="787"/>
        <v>-1</v>
      </c>
      <c r="JH112" s="8"/>
      <c r="JI112" s="38">
        <v>5</v>
      </c>
      <c r="JJ112" s="44" t="s">
        <v>4</v>
      </c>
      <c r="JK112" s="40">
        <v>4</v>
      </c>
      <c r="JL112" s="8"/>
      <c r="JM112" s="42" t="str">
        <f t="shared" si="788"/>
        <v/>
      </c>
      <c r="JN112" s="43">
        <f t="shared" si="789"/>
        <v>1</v>
      </c>
      <c r="JO112" s="8"/>
      <c r="JP112" s="38">
        <v>6</v>
      </c>
      <c r="JQ112" s="44" t="s">
        <v>4</v>
      </c>
      <c r="JR112" s="40">
        <v>5</v>
      </c>
      <c r="JS112" s="8"/>
      <c r="JT112" s="42" t="str">
        <f t="shared" si="790"/>
        <v/>
      </c>
      <c r="JU112" s="43">
        <f t="shared" si="791"/>
        <v>1</v>
      </c>
      <c r="JV112" s="8"/>
      <c r="JW112" s="38">
        <v>2</v>
      </c>
      <c r="JX112" s="44" t="s">
        <v>4</v>
      </c>
      <c r="JY112" s="40">
        <v>1</v>
      </c>
      <c r="JZ112" s="8"/>
      <c r="KA112" s="42" t="str">
        <f t="shared" si="792"/>
        <v/>
      </c>
      <c r="KB112" s="43">
        <f t="shared" si="793"/>
        <v>1</v>
      </c>
      <c r="KC112" s="8"/>
      <c r="KD112" s="38">
        <v>1</v>
      </c>
      <c r="KE112" s="44" t="s">
        <v>4</v>
      </c>
      <c r="KF112" s="40">
        <v>2</v>
      </c>
      <c r="KG112" s="8"/>
      <c r="KH112" s="42" t="str">
        <f t="shared" si="794"/>
        <v/>
      </c>
      <c r="KI112" s="43">
        <f t="shared" si="795"/>
        <v>-1</v>
      </c>
      <c r="KJ112" s="8"/>
      <c r="KK112" s="38">
        <v>1</v>
      </c>
      <c r="KL112" s="44" t="s">
        <v>4</v>
      </c>
      <c r="KM112" s="40">
        <v>2</v>
      </c>
      <c r="KN112" s="8"/>
      <c r="KO112" s="42" t="str">
        <f t="shared" si="796"/>
        <v/>
      </c>
      <c r="KP112" s="43">
        <f t="shared" si="797"/>
        <v>-1</v>
      </c>
      <c r="KQ112" s="8"/>
      <c r="KR112" s="38">
        <v>2</v>
      </c>
      <c r="KS112" s="44" t="s">
        <v>4</v>
      </c>
      <c r="KT112" s="40">
        <v>1</v>
      </c>
      <c r="KU112" s="8"/>
      <c r="KV112" s="42" t="str">
        <f t="shared" si="798"/>
        <v/>
      </c>
      <c r="KW112" s="43">
        <f t="shared" si="799"/>
        <v>1</v>
      </c>
      <c r="KX112" s="8"/>
      <c r="KY112" s="38">
        <v>2</v>
      </c>
      <c r="KZ112" s="44" t="s">
        <v>4</v>
      </c>
      <c r="LA112" s="40">
        <v>1</v>
      </c>
      <c r="LB112" s="8"/>
      <c r="LC112" s="42" t="str">
        <f t="shared" si="800"/>
        <v/>
      </c>
      <c r="LD112" s="43">
        <f t="shared" si="801"/>
        <v>1</v>
      </c>
      <c r="LE112" s="8"/>
      <c r="LF112" s="38">
        <v>2</v>
      </c>
      <c r="LG112" s="44" t="s">
        <v>4</v>
      </c>
      <c r="LH112" s="40">
        <v>3</v>
      </c>
      <c r="LI112" s="8"/>
      <c r="LJ112" s="42" t="str">
        <f t="shared" si="802"/>
        <v/>
      </c>
      <c r="LK112" s="43">
        <f t="shared" si="803"/>
        <v>-1</v>
      </c>
      <c r="LL112" s="8"/>
      <c r="LM112" s="38">
        <v>3</v>
      </c>
      <c r="LN112" s="44" t="s">
        <v>4</v>
      </c>
      <c r="LO112" s="40">
        <v>4</v>
      </c>
      <c r="LP112" s="8"/>
      <c r="LQ112" s="42" t="str">
        <f t="shared" si="804"/>
        <v/>
      </c>
      <c r="LR112" s="43">
        <f t="shared" si="805"/>
        <v>-1</v>
      </c>
      <c r="LS112" s="8"/>
      <c r="LT112" s="38">
        <v>2</v>
      </c>
      <c r="LU112" s="44" t="s">
        <v>4</v>
      </c>
      <c r="LV112" s="40">
        <v>1</v>
      </c>
      <c r="LW112" s="8"/>
      <c r="LX112" s="42" t="str">
        <f t="shared" si="806"/>
        <v/>
      </c>
      <c r="LY112" s="43">
        <f t="shared" si="807"/>
        <v>1</v>
      </c>
      <c r="LZ112" s="8"/>
      <c r="MA112" s="38">
        <v>0</v>
      </c>
      <c r="MB112" s="44" t="s">
        <v>4</v>
      </c>
      <c r="MC112" s="40">
        <v>2</v>
      </c>
      <c r="MD112" s="8"/>
      <c r="ME112" s="42" t="str">
        <f t="shared" si="808"/>
        <v/>
      </c>
      <c r="MF112" s="43">
        <f t="shared" si="809"/>
        <v>-2</v>
      </c>
      <c r="MG112" s="8"/>
      <c r="MH112" s="38">
        <v>2</v>
      </c>
      <c r="MI112" s="44" t="s">
        <v>4</v>
      </c>
      <c r="MJ112" s="40">
        <v>3</v>
      </c>
      <c r="MK112" s="8"/>
      <c r="ML112" s="42" t="str">
        <f t="shared" si="810"/>
        <v/>
      </c>
      <c r="MM112" s="43">
        <f t="shared" si="811"/>
        <v>-1</v>
      </c>
      <c r="MN112" s="8"/>
      <c r="MO112" s="38">
        <v>0</v>
      </c>
      <c r="MP112" s="44" t="s">
        <v>4</v>
      </c>
      <c r="MQ112" s="40">
        <v>2</v>
      </c>
      <c r="MR112" s="8"/>
      <c r="MS112" s="42" t="str">
        <f t="shared" si="812"/>
        <v/>
      </c>
      <c r="MT112" s="43">
        <f t="shared" si="813"/>
        <v>-2</v>
      </c>
      <c r="MU112" s="8"/>
      <c r="MV112" s="38">
        <v>0</v>
      </c>
      <c r="MW112" s="44" t="s">
        <v>4</v>
      </c>
      <c r="MX112" s="40">
        <v>1</v>
      </c>
      <c r="MY112" s="8"/>
      <c r="MZ112" s="42" t="str">
        <f t="shared" si="814"/>
        <v/>
      </c>
      <c r="NA112" s="43">
        <f t="shared" si="815"/>
        <v>-1</v>
      </c>
      <c r="NB112" s="8"/>
      <c r="NC112" s="38">
        <v>2</v>
      </c>
      <c r="ND112" s="44" t="s">
        <v>4</v>
      </c>
      <c r="NE112" s="40">
        <v>1</v>
      </c>
      <c r="NF112" s="8"/>
      <c r="NG112" s="42" t="str">
        <f t="shared" si="816"/>
        <v/>
      </c>
      <c r="NH112" s="43">
        <f t="shared" si="817"/>
        <v>1</v>
      </c>
      <c r="NI112" s="8"/>
      <c r="NJ112" s="38">
        <v>2</v>
      </c>
      <c r="NK112" s="44" t="s">
        <v>4</v>
      </c>
      <c r="NL112" s="40">
        <v>1</v>
      </c>
      <c r="NM112" s="8"/>
      <c r="NN112" s="42" t="str">
        <f t="shared" si="818"/>
        <v/>
      </c>
      <c r="NO112" s="43">
        <f t="shared" si="819"/>
        <v>1</v>
      </c>
      <c r="NP112" s="8"/>
      <c r="NQ112" s="38">
        <v>4</v>
      </c>
      <c r="NR112" s="44" t="s">
        <v>4</v>
      </c>
      <c r="NS112" s="40">
        <v>5</v>
      </c>
      <c r="NT112" s="8"/>
      <c r="NU112" s="42" t="str">
        <f t="shared" si="820"/>
        <v/>
      </c>
      <c r="NV112" s="43">
        <f t="shared" si="821"/>
        <v>-1</v>
      </c>
      <c r="NW112" s="8"/>
      <c r="NX112" s="38">
        <v>5</v>
      </c>
      <c r="NY112" s="44" t="s">
        <v>4</v>
      </c>
      <c r="NZ112" s="40">
        <v>6</v>
      </c>
      <c r="OA112" s="8"/>
      <c r="OB112" s="42" t="str">
        <f t="shared" si="822"/>
        <v/>
      </c>
      <c r="OC112" s="43">
        <f t="shared" si="823"/>
        <v>-1</v>
      </c>
      <c r="OD112" s="8"/>
      <c r="OE112" s="38">
        <v>4</v>
      </c>
      <c r="OF112" s="44" t="s">
        <v>4</v>
      </c>
      <c r="OG112" s="40">
        <v>3</v>
      </c>
      <c r="OH112" s="8"/>
      <c r="OI112" s="42" t="str">
        <f t="shared" si="824"/>
        <v/>
      </c>
      <c r="OJ112" s="43">
        <f t="shared" si="825"/>
        <v>1</v>
      </c>
      <c r="OK112" s="8"/>
      <c r="OL112" s="38">
        <v>0</v>
      </c>
      <c r="OM112" s="44" t="s">
        <v>4</v>
      </c>
      <c r="ON112" s="40">
        <v>2</v>
      </c>
      <c r="OO112" s="8"/>
      <c r="OP112" s="42" t="str">
        <f t="shared" si="826"/>
        <v/>
      </c>
      <c r="OQ112" s="43">
        <f t="shared" si="827"/>
        <v>-2</v>
      </c>
      <c r="OR112" s="8"/>
      <c r="OS112" s="38">
        <v>2</v>
      </c>
      <c r="OT112" s="44" t="s">
        <v>4</v>
      </c>
      <c r="OU112" s="40">
        <v>1</v>
      </c>
      <c r="OV112" s="8"/>
      <c r="OW112" s="42" t="str">
        <f t="shared" si="828"/>
        <v/>
      </c>
      <c r="OX112" s="43">
        <f t="shared" si="829"/>
        <v>1</v>
      </c>
      <c r="OY112" s="8"/>
      <c r="OZ112" s="38">
        <v>4</v>
      </c>
      <c r="PA112" s="44" t="s">
        <v>4</v>
      </c>
      <c r="PB112" s="40">
        <v>3</v>
      </c>
      <c r="PC112" s="8"/>
      <c r="PD112" s="42" t="str">
        <f t="shared" si="830"/>
        <v/>
      </c>
      <c r="PE112" s="43">
        <f t="shared" si="831"/>
        <v>1</v>
      </c>
      <c r="PF112" s="8"/>
      <c r="PG112" s="38">
        <v>1</v>
      </c>
      <c r="PH112" s="44" t="s">
        <v>4</v>
      </c>
      <c r="PI112" s="40">
        <v>2</v>
      </c>
      <c r="PJ112" s="8"/>
      <c r="PK112" s="42" t="str">
        <f t="shared" si="832"/>
        <v/>
      </c>
      <c r="PL112" s="43">
        <f t="shared" si="833"/>
        <v>-1</v>
      </c>
      <c r="PM112" s="8"/>
      <c r="PN112" s="38">
        <v>1</v>
      </c>
      <c r="PO112" s="44" t="s">
        <v>4</v>
      </c>
      <c r="PP112" s="40">
        <v>2</v>
      </c>
      <c r="PQ112" s="8"/>
      <c r="PR112" s="42" t="str">
        <f t="shared" si="834"/>
        <v/>
      </c>
      <c r="PS112" s="43">
        <f t="shared" si="835"/>
        <v>-1</v>
      </c>
      <c r="PT112" s="8"/>
      <c r="PU112" s="38">
        <v>2</v>
      </c>
      <c r="PV112" s="44" t="s">
        <v>4</v>
      </c>
      <c r="PW112" s="40">
        <v>3</v>
      </c>
      <c r="PX112" s="8"/>
      <c r="PY112" s="42" t="str">
        <f t="shared" si="836"/>
        <v/>
      </c>
      <c r="PZ112" s="43">
        <f t="shared" si="837"/>
        <v>-1</v>
      </c>
      <c r="QA112" s="8"/>
      <c r="QB112" s="38">
        <v>1</v>
      </c>
      <c r="QC112" s="44" t="s">
        <v>4</v>
      </c>
      <c r="QD112" s="40">
        <v>2</v>
      </c>
      <c r="QE112" s="8"/>
      <c r="QF112" s="42" t="str">
        <f t="shared" si="838"/>
        <v/>
      </c>
      <c r="QG112" s="43">
        <f t="shared" si="839"/>
        <v>-1</v>
      </c>
      <c r="QH112" s="8"/>
      <c r="QI112" s="38">
        <v>4</v>
      </c>
      <c r="QJ112" s="44" t="s">
        <v>4</v>
      </c>
      <c r="QK112" s="40">
        <v>3</v>
      </c>
      <c r="QL112" s="8"/>
      <c r="QM112" s="42" t="str">
        <f t="shared" si="840"/>
        <v/>
      </c>
      <c r="QN112" s="43">
        <f t="shared" si="841"/>
        <v>1</v>
      </c>
      <c r="QO112" s="8"/>
      <c r="QP112" s="38">
        <v>1</v>
      </c>
      <c r="QQ112" s="44" t="s">
        <v>4</v>
      </c>
      <c r="QR112" s="40">
        <v>2</v>
      </c>
      <c r="QS112" s="8"/>
      <c r="QT112" s="42" t="str">
        <f t="shared" si="842"/>
        <v/>
      </c>
      <c r="QU112" s="43">
        <f t="shared" si="843"/>
        <v>-1</v>
      </c>
      <c r="QV112" s="8"/>
      <c r="QW112" s="38">
        <v>1</v>
      </c>
      <c r="QX112" s="44" t="s">
        <v>4</v>
      </c>
      <c r="QY112" s="40">
        <v>2</v>
      </c>
      <c r="QZ112" s="8"/>
      <c r="RA112" s="42" t="str">
        <f t="shared" si="844"/>
        <v/>
      </c>
      <c r="RB112" s="43">
        <f t="shared" si="845"/>
        <v>-1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>
        <v>0</v>
      </c>
      <c r="RL112" s="44" t="s">
        <v>4</v>
      </c>
      <c r="RM112" s="40">
        <v>2</v>
      </c>
      <c r="RN112" s="8"/>
      <c r="RO112" s="42" t="str">
        <f t="shared" si="848"/>
        <v/>
      </c>
      <c r="RP112" s="43">
        <f t="shared" si="849"/>
        <v>-2</v>
      </c>
      <c r="RQ112" s="8"/>
      <c r="RR112" s="38">
        <v>2</v>
      </c>
      <c r="RS112" s="44" t="s">
        <v>4</v>
      </c>
      <c r="RT112" s="40">
        <v>1</v>
      </c>
      <c r="RU112" s="8"/>
      <c r="RV112" s="42" t="str">
        <f t="shared" si="850"/>
        <v/>
      </c>
      <c r="RW112" s="43">
        <f t="shared" si="851"/>
        <v>1</v>
      </c>
      <c r="RX112" s="8"/>
      <c r="RY112" s="38">
        <v>2</v>
      </c>
      <c r="RZ112" s="44" t="s">
        <v>4</v>
      </c>
      <c r="SA112" s="40">
        <v>1</v>
      </c>
      <c r="SB112" s="8"/>
      <c r="SC112" s="42" t="str">
        <f t="shared" si="852"/>
        <v/>
      </c>
      <c r="SD112" s="43">
        <f t="shared" si="853"/>
        <v>1</v>
      </c>
      <c r="SE112" s="8"/>
      <c r="SF112" s="38">
        <v>1</v>
      </c>
      <c r="SG112" s="44" t="s">
        <v>4</v>
      </c>
      <c r="SH112" s="40">
        <v>0</v>
      </c>
      <c r="SI112" s="8"/>
      <c r="SJ112" s="42" t="str">
        <f t="shared" si="854"/>
        <v/>
      </c>
      <c r="SK112" s="43">
        <f t="shared" si="855"/>
        <v>1</v>
      </c>
      <c r="SL112" s="8"/>
      <c r="SM112" s="38">
        <v>1</v>
      </c>
      <c r="SN112" s="44" t="s">
        <v>4</v>
      </c>
      <c r="SO112" s="40">
        <v>2</v>
      </c>
      <c r="SP112" s="8"/>
      <c r="SQ112" s="42" t="str">
        <f t="shared" si="856"/>
        <v/>
      </c>
      <c r="SR112" s="43">
        <f t="shared" si="857"/>
        <v>-1</v>
      </c>
    </row>
    <row r="113" spans="1:512" ht="16" customHeight="1" x14ac:dyDescent="0.15">
      <c r="A113" s="53">
        <v>46215</v>
      </c>
      <c r="B113" s="46">
        <v>0.125</v>
      </c>
      <c r="C113" s="82" t="s">
        <v>54</v>
      </c>
      <c r="D113" s="82" t="s">
        <v>21</v>
      </c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>
        <v>1</v>
      </c>
      <c r="AF113" s="44" t="s">
        <v>4</v>
      </c>
      <c r="AG113" s="40">
        <v>2</v>
      </c>
      <c r="AH113" s="8"/>
      <c r="AI113" s="42" t="str">
        <f t="shared" si="720"/>
        <v/>
      </c>
      <c r="AJ113" s="43">
        <f t="shared" si="721"/>
        <v>-1</v>
      </c>
      <c r="AK113" s="8"/>
      <c r="AL113" s="38">
        <v>2</v>
      </c>
      <c r="AM113" s="44" t="s">
        <v>4</v>
      </c>
      <c r="AN113" s="40">
        <v>0</v>
      </c>
      <c r="AO113" s="8"/>
      <c r="AP113" s="42" t="str">
        <f t="shared" si="722"/>
        <v/>
      </c>
      <c r="AQ113" s="43">
        <f t="shared" si="723"/>
        <v>2</v>
      </c>
      <c r="AR113" s="8"/>
      <c r="AS113" s="38">
        <v>2</v>
      </c>
      <c r="AT113" s="44" t="s">
        <v>4</v>
      </c>
      <c r="AU113" s="40">
        <v>0</v>
      </c>
      <c r="AV113" s="8"/>
      <c r="AW113" s="42" t="str">
        <f t="shared" si="724"/>
        <v/>
      </c>
      <c r="AX113" s="43">
        <f t="shared" si="725"/>
        <v>2</v>
      </c>
      <c r="AY113" s="8"/>
      <c r="AZ113" s="38">
        <v>1</v>
      </c>
      <c r="BA113" s="44" t="s">
        <v>4</v>
      </c>
      <c r="BB113" s="40">
        <v>0</v>
      </c>
      <c r="BC113" s="8"/>
      <c r="BD113" s="42" t="str">
        <f t="shared" si="726"/>
        <v/>
      </c>
      <c r="BE113" s="43">
        <f t="shared" si="727"/>
        <v>1</v>
      </c>
      <c r="BF113" s="8"/>
      <c r="BG113" s="38">
        <v>1</v>
      </c>
      <c r="BH113" s="44" t="s">
        <v>4</v>
      </c>
      <c r="BI113" s="40">
        <v>2</v>
      </c>
      <c r="BJ113" s="8"/>
      <c r="BK113" s="42" t="str">
        <f t="shared" si="728"/>
        <v/>
      </c>
      <c r="BL113" s="43">
        <f t="shared" si="729"/>
        <v>-1</v>
      </c>
      <c r="BM113" s="8"/>
      <c r="BN113" s="38">
        <v>3</v>
      </c>
      <c r="BO113" s="44" t="s">
        <v>4</v>
      </c>
      <c r="BP113" s="40">
        <v>1</v>
      </c>
      <c r="BQ113" s="8"/>
      <c r="BR113" s="42" t="str">
        <f t="shared" si="730"/>
        <v/>
      </c>
      <c r="BS113" s="43">
        <f t="shared" si="731"/>
        <v>2</v>
      </c>
      <c r="BT113" s="8"/>
      <c r="BU113" s="38">
        <v>1</v>
      </c>
      <c r="BV113" s="44" t="s">
        <v>4</v>
      </c>
      <c r="BW113" s="40">
        <v>0</v>
      </c>
      <c r="BX113" s="8"/>
      <c r="BY113" s="42" t="str">
        <f t="shared" si="732"/>
        <v/>
      </c>
      <c r="BZ113" s="43">
        <f t="shared" si="733"/>
        <v>1</v>
      </c>
      <c r="CA113" s="8"/>
      <c r="CB113" s="38">
        <v>1</v>
      </c>
      <c r="CC113" s="44" t="s">
        <v>4</v>
      </c>
      <c r="CD113" s="40">
        <v>2</v>
      </c>
      <c r="CE113" s="8"/>
      <c r="CF113" s="42" t="str">
        <f t="shared" si="734"/>
        <v/>
      </c>
      <c r="CG113" s="43">
        <f t="shared" si="735"/>
        <v>-1</v>
      </c>
      <c r="CH113" s="8"/>
      <c r="CI113" s="38">
        <v>3</v>
      </c>
      <c r="CJ113" s="44" t="s">
        <v>4</v>
      </c>
      <c r="CK113" s="40">
        <v>2</v>
      </c>
      <c r="CL113" s="8"/>
      <c r="CM113" s="42" t="str">
        <f t="shared" si="736"/>
        <v/>
      </c>
      <c r="CN113" s="43">
        <f t="shared" si="737"/>
        <v>1</v>
      </c>
      <c r="CO113" s="8"/>
      <c r="CP113" s="38">
        <v>1</v>
      </c>
      <c r="CQ113" s="44" t="s">
        <v>4</v>
      </c>
      <c r="CR113" s="40">
        <v>0</v>
      </c>
      <c r="CS113" s="8"/>
      <c r="CT113" s="42" t="str">
        <f t="shared" si="738"/>
        <v/>
      </c>
      <c r="CU113" s="43">
        <f t="shared" si="739"/>
        <v>1</v>
      </c>
      <c r="CV113" s="8"/>
      <c r="CW113" s="38">
        <v>4</v>
      </c>
      <c r="CX113" s="44" t="s">
        <v>4</v>
      </c>
      <c r="CY113" s="40">
        <v>3</v>
      </c>
      <c r="CZ113" s="8"/>
      <c r="DA113" s="42" t="str">
        <f t="shared" si="740"/>
        <v/>
      </c>
      <c r="DB113" s="43">
        <f t="shared" si="741"/>
        <v>1</v>
      </c>
      <c r="DC113" s="8"/>
      <c r="DD113" s="38">
        <v>2</v>
      </c>
      <c r="DE113" s="44" t="s">
        <v>4</v>
      </c>
      <c r="DF113" s="40">
        <v>1</v>
      </c>
      <c r="DG113" s="8"/>
      <c r="DH113" s="42" t="str">
        <f t="shared" si="742"/>
        <v/>
      </c>
      <c r="DI113" s="43">
        <f t="shared" si="743"/>
        <v>1</v>
      </c>
      <c r="DJ113" s="8"/>
      <c r="DK113" s="38">
        <v>1</v>
      </c>
      <c r="DL113" s="44" t="s">
        <v>4</v>
      </c>
      <c r="DM113" s="40">
        <v>0</v>
      </c>
      <c r="DN113" s="8"/>
      <c r="DO113" s="42" t="str">
        <f t="shared" si="744"/>
        <v/>
      </c>
      <c r="DP113" s="43">
        <f t="shared" si="745"/>
        <v>1</v>
      </c>
      <c r="DQ113" s="8"/>
      <c r="DR113" s="38">
        <v>2</v>
      </c>
      <c r="DS113" s="44" t="s">
        <v>4</v>
      </c>
      <c r="DT113" s="40">
        <v>1</v>
      </c>
      <c r="DU113" s="8"/>
      <c r="DV113" s="42" t="str">
        <f t="shared" si="746"/>
        <v/>
      </c>
      <c r="DW113" s="43">
        <f t="shared" si="747"/>
        <v>1</v>
      </c>
      <c r="DX113" s="8"/>
      <c r="DY113" s="38">
        <v>2</v>
      </c>
      <c r="DZ113" s="44" t="s">
        <v>4</v>
      </c>
      <c r="EA113" s="40">
        <v>3</v>
      </c>
      <c r="EB113" s="8"/>
      <c r="EC113" s="42" t="str">
        <f t="shared" si="748"/>
        <v/>
      </c>
      <c r="ED113" s="43">
        <f t="shared" si="749"/>
        <v>-1</v>
      </c>
      <c r="EE113" s="8"/>
      <c r="EF113" s="38">
        <v>2</v>
      </c>
      <c r="EG113" s="44" t="s">
        <v>4</v>
      </c>
      <c r="EH113" s="40">
        <v>1</v>
      </c>
      <c r="EI113" s="8"/>
      <c r="EJ113" s="42" t="str">
        <f t="shared" si="750"/>
        <v/>
      </c>
      <c r="EK113" s="43">
        <f t="shared" si="751"/>
        <v>1</v>
      </c>
      <c r="EL113" s="8"/>
      <c r="EM113" s="38">
        <v>4</v>
      </c>
      <c r="EN113" s="44" t="s">
        <v>4</v>
      </c>
      <c r="EO113" s="40">
        <v>5</v>
      </c>
      <c r="EP113" s="8"/>
      <c r="EQ113" s="42" t="str">
        <f t="shared" si="752"/>
        <v/>
      </c>
      <c r="ER113" s="43">
        <f t="shared" si="753"/>
        <v>-1</v>
      </c>
      <c r="ES113" s="8"/>
      <c r="ET113" s="38">
        <v>2</v>
      </c>
      <c r="EU113" s="44" t="s">
        <v>4</v>
      </c>
      <c r="EV113" s="40">
        <v>0</v>
      </c>
      <c r="EW113" s="8"/>
      <c r="EX113" s="42" t="str">
        <f t="shared" si="754"/>
        <v/>
      </c>
      <c r="EY113" s="43">
        <f t="shared" si="755"/>
        <v>2</v>
      </c>
      <c r="EZ113" s="8"/>
      <c r="FA113" s="38">
        <v>2</v>
      </c>
      <c r="FB113" s="44" t="s">
        <v>4</v>
      </c>
      <c r="FC113" s="40">
        <v>0</v>
      </c>
      <c r="FD113" s="8"/>
      <c r="FE113" s="42" t="str">
        <f t="shared" si="756"/>
        <v/>
      </c>
      <c r="FF113" s="43">
        <f t="shared" si="757"/>
        <v>2</v>
      </c>
      <c r="FG113" s="8"/>
      <c r="FH113" s="38">
        <v>2</v>
      </c>
      <c r="FI113" s="44" t="s">
        <v>4</v>
      </c>
      <c r="FJ113" s="40">
        <v>0</v>
      </c>
      <c r="FK113" s="8"/>
      <c r="FL113" s="42" t="str">
        <f t="shared" si="758"/>
        <v/>
      </c>
      <c r="FM113" s="43">
        <f t="shared" si="759"/>
        <v>2</v>
      </c>
      <c r="FN113" s="8"/>
      <c r="FO113" s="38">
        <v>0</v>
      </c>
      <c r="FP113" s="44" t="s">
        <v>4</v>
      </c>
      <c r="FQ113" s="40">
        <v>1</v>
      </c>
      <c r="FR113" s="8"/>
      <c r="FS113" s="42" t="str">
        <f t="shared" si="760"/>
        <v/>
      </c>
      <c r="FT113" s="43">
        <f t="shared" si="761"/>
        <v>-1</v>
      </c>
      <c r="FU113" s="8"/>
      <c r="FV113" s="38">
        <v>1</v>
      </c>
      <c r="FW113" s="44" t="s">
        <v>4</v>
      </c>
      <c r="FX113" s="40">
        <v>0</v>
      </c>
      <c r="FY113" s="8"/>
      <c r="FZ113" s="42" t="str">
        <f t="shared" si="762"/>
        <v/>
      </c>
      <c r="GA113" s="43">
        <f t="shared" si="763"/>
        <v>1</v>
      </c>
      <c r="GB113" s="8"/>
      <c r="GC113" s="38">
        <v>2</v>
      </c>
      <c r="GD113" s="44" t="s">
        <v>4</v>
      </c>
      <c r="GE113" s="40">
        <v>1</v>
      </c>
      <c r="GF113" s="8"/>
      <c r="GG113" s="42" t="str">
        <f t="shared" si="764"/>
        <v/>
      </c>
      <c r="GH113" s="43">
        <f t="shared" si="765"/>
        <v>1</v>
      </c>
      <c r="GI113" s="8"/>
      <c r="GJ113" s="38">
        <v>2</v>
      </c>
      <c r="GK113" s="44" t="s">
        <v>4</v>
      </c>
      <c r="GL113" s="40">
        <v>1</v>
      </c>
      <c r="GM113" s="8"/>
      <c r="GN113" s="42" t="str">
        <f t="shared" si="766"/>
        <v/>
      </c>
      <c r="GO113" s="43">
        <f t="shared" si="767"/>
        <v>1</v>
      </c>
      <c r="GP113" s="8"/>
      <c r="GQ113" s="38">
        <v>2</v>
      </c>
      <c r="GR113" s="44" t="s">
        <v>4</v>
      </c>
      <c r="GS113" s="40">
        <v>0</v>
      </c>
      <c r="GT113" s="8"/>
      <c r="GU113" s="42" t="str">
        <f t="shared" si="768"/>
        <v/>
      </c>
      <c r="GV113" s="43">
        <f t="shared" si="769"/>
        <v>2</v>
      </c>
      <c r="GW113" s="8"/>
      <c r="GX113" s="38">
        <v>3</v>
      </c>
      <c r="GY113" s="44" t="s">
        <v>4</v>
      </c>
      <c r="GZ113" s="40">
        <v>2</v>
      </c>
      <c r="HA113" s="8"/>
      <c r="HB113" s="42" t="str">
        <f t="shared" si="770"/>
        <v/>
      </c>
      <c r="HC113" s="43">
        <f t="shared" si="771"/>
        <v>1</v>
      </c>
      <c r="HD113" s="8"/>
      <c r="HE113" s="38">
        <v>2</v>
      </c>
      <c r="HF113" s="44" t="s">
        <v>4</v>
      </c>
      <c r="HG113" s="40">
        <v>1</v>
      </c>
      <c r="HH113" s="8"/>
      <c r="HI113" s="42" t="str">
        <f t="shared" si="772"/>
        <v/>
      </c>
      <c r="HJ113" s="43">
        <f t="shared" si="773"/>
        <v>1</v>
      </c>
      <c r="HK113" s="8"/>
      <c r="HL113" s="38">
        <v>2</v>
      </c>
      <c r="HM113" s="44" t="s">
        <v>4</v>
      </c>
      <c r="HN113" s="40">
        <v>0</v>
      </c>
      <c r="HO113" s="8"/>
      <c r="HP113" s="42" t="str">
        <f t="shared" si="774"/>
        <v/>
      </c>
      <c r="HQ113" s="43">
        <f t="shared" si="775"/>
        <v>2</v>
      </c>
      <c r="HR113" s="8"/>
      <c r="HS113" s="38">
        <v>2</v>
      </c>
      <c r="HT113" s="44" t="s">
        <v>4</v>
      </c>
      <c r="HU113" s="40">
        <v>0</v>
      </c>
      <c r="HV113" s="8"/>
      <c r="HW113" s="42" t="str">
        <f t="shared" si="776"/>
        <v/>
      </c>
      <c r="HX113" s="43">
        <f t="shared" si="777"/>
        <v>2</v>
      </c>
      <c r="HY113" s="8"/>
      <c r="HZ113" s="38">
        <v>2</v>
      </c>
      <c r="IA113" s="44" t="s">
        <v>4</v>
      </c>
      <c r="IB113" s="40">
        <v>1</v>
      </c>
      <c r="IC113" s="8"/>
      <c r="ID113" s="42" t="str">
        <f t="shared" si="778"/>
        <v/>
      </c>
      <c r="IE113" s="43">
        <f t="shared" si="779"/>
        <v>1</v>
      </c>
      <c r="IF113" s="8"/>
      <c r="IG113" s="38">
        <v>2</v>
      </c>
      <c r="IH113" s="44" t="s">
        <v>4</v>
      </c>
      <c r="II113" s="40">
        <v>3</v>
      </c>
      <c r="IJ113" s="8"/>
      <c r="IK113" s="42" t="str">
        <f t="shared" si="780"/>
        <v/>
      </c>
      <c r="IL113" s="43">
        <f t="shared" si="781"/>
        <v>-1</v>
      </c>
      <c r="IM113" s="8"/>
      <c r="IN113" s="38">
        <v>1</v>
      </c>
      <c r="IO113" s="44" t="s">
        <v>4</v>
      </c>
      <c r="IP113" s="40">
        <v>2</v>
      </c>
      <c r="IQ113" s="8"/>
      <c r="IR113" s="42" t="str">
        <f t="shared" si="782"/>
        <v/>
      </c>
      <c r="IS113" s="43">
        <f t="shared" si="783"/>
        <v>-1</v>
      </c>
      <c r="IT113" s="8"/>
      <c r="IU113" s="38">
        <v>4</v>
      </c>
      <c r="IV113" s="44" t="s">
        <v>4</v>
      </c>
      <c r="IW113" s="40">
        <v>5</v>
      </c>
      <c r="IX113" s="8"/>
      <c r="IY113" s="42" t="str">
        <f t="shared" si="784"/>
        <v/>
      </c>
      <c r="IZ113" s="43">
        <f t="shared" si="785"/>
        <v>-1</v>
      </c>
      <c r="JA113" s="8"/>
      <c r="JB113" s="38">
        <v>4</v>
      </c>
      <c r="JC113" s="44" t="s">
        <v>4</v>
      </c>
      <c r="JD113" s="40">
        <v>3</v>
      </c>
      <c r="JE113" s="8"/>
      <c r="JF113" s="42" t="str">
        <f t="shared" si="786"/>
        <v/>
      </c>
      <c r="JG113" s="43">
        <f t="shared" si="787"/>
        <v>1</v>
      </c>
      <c r="JH113" s="8"/>
      <c r="JI113" s="38">
        <v>2</v>
      </c>
      <c r="JJ113" s="44" t="s">
        <v>4</v>
      </c>
      <c r="JK113" s="40">
        <v>0</v>
      </c>
      <c r="JL113" s="8"/>
      <c r="JM113" s="42" t="str">
        <f t="shared" si="788"/>
        <v/>
      </c>
      <c r="JN113" s="43">
        <f t="shared" si="789"/>
        <v>2</v>
      </c>
      <c r="JO113" s="8"/>
      <c r="JP113" s="38">
        <v>1</v>
      </c>
      <c r="JQ113" s="44" t="s">
        <v>4</v>
      </c>
      <c r="JR113" s="40">
        <v>0</v>
      </c>
      <c r="JS113" s="8"/>
      <c r="JT113" s="42" t="str">
        <f t="shared" si="790"/>
        <v/>
      </c>
      <c r="JU113" s="43">
        <f t="shared" si="791"/>
        <v>1</v>
      </c>
      <c r="JV113" s="8"/>
      <c r="JW113" s="38">
        <v>4</v>
      </c>
      <c r="JX113" s="44" t="s">
        <v>4</v>
      </c>
      <c r="JY113" s="40">
        <v>5</v>
      </c>
      <c r="JZ113" s="8"/>
      <c r="KA113" s="42" t="str">
        <f t="shared" si="792"/>
        <v/>
      </c>
      <c r="KB113" s="43">
        <f t="shared" si="793"/>
        <v>-1</v>
      </c>
      <c r="KC113" s="8"/>
      <c r="KD113" s="38">
        <v>1</v>
      </c>
      <c r="KE113" s="44" t="s">
        <v>4</v>
      </c>
      <c r="KF113" s="40">
        <v>2</v>
      </c>
      <c r="KG113" s="8"/>
      <c r="KH113" s="42" t="str">
        <f t="shared" si="794"/>
        <v/>
      </c>
      <c r="KI113" s="43">
        <f t="shared" si="795"/>
        <v>-1</v>
      </c>
      <c r="KJ113" s="8"/>
      <c r="KK113" s="38">
        <v>2</v>
      </c>
      <c r="KL113" s="44" t="s">
        <v>4</v>
      </c>
      <c r="KM113" s="40">
        <v>0</v>
      </c>
      <c r="KN113" s="8"/>
      <c r="KO113" s="42" t="str">
        <f t="shared" si="796"/>
        <v/>
      </c>
      <c r="KP113" s="43">
        <f t="shared" si="797"/>
        <v>2</v>
      </c>
      <c r="KQ113" s="8"/>
      <c r="KR113" s="38">
        <v>0</v>
      </c>
      <c r="KS113" s="44" t="s">
        <v>4</v>
      </c>
      <c r="KT113" s="40">
        <v>1</v>
      </c>
      <c r="KU113" s="8"/>
      <c r="KV113" s="42" t="str">
        <f t="shared" si="798"/>
        <v/>
      </c>
      <c r="KW113" s="43">
        <f t="shared" si="799"/>
        <v>-1</v>
      </c>
      <c r="KX113" s="8"/>
      <c r="KY113" s="38">
        <v>2</v>
      </c>
      <c r="KZ113" s="44" t="s">
        <v>4</v>
      </c>
      <c r="LA113" s="40">
        <v>1</v>
      </c>
      <c r="LB113" s="8"/>
      <c r="LC113" s="42" t="str">
        <f t="shared" si="800"/>
        <v/>
      </c>
      <c r="LD113" s="43">
        <f t="shared" si="801"/>
        <v>1</v>
      </c>
      <c r="LE113" s="8"/>
      <c r="LF113" s="38">
        <v>1</v>
      </c>
      <c r="LG113" s="44" t="s">
        <v>4</v>
      </c>
      <c r="LH113" s="40">
        <v>0</v>
      </c>
      <c r="LI113" s="8"/>
      <c r="LJ113" s="42" t="str">
        <f t="shared" si="802"/>
        <v/>
      </c>
      <c r="LK113" s="43">
        <f t="shared" si="803"/>
        <v>1</v>
      </c>
      <c r="LL113" s="8"/>
      <c r="LM113" s="38">
        <v>2</v>
      </c>
      <c r="LN113" s="44" t="s">
        <v>4</v>
      </c>
      <c r="LO113" s="40">
        <v>3</v>
      </c>
      <c r="LP113" s="8"/>
      <c r="LQ113" s="42" t="str">
        <f t="shared" si="804"/>
        <v/>
      </c>
      <c r="LR113" s="43">
        <f t="shared" si="805"/>
        <v>-1</v>
      </c>
      <c r="LS113" s="8"/>
      <c r="LT113" s="38">
        <v>2</v>
      </c>
      <c r="LU113" s="44" t="s">
        <v>4</v>
      </c>
      <c r="LV113" s="40">
        <v>1</v>
      </c>
      <c r="LW113" s="8"/>
      <c r="LX113" s="42" t="str">
        <f t="shared" si="806"/>
        <v/>
      </c>
      <c r="LY113" s="43">
        <f t="shared" si="807"/>
        <v>1</v>
      </c>
      <c r="LZ113" s="8"/>
      <c r="MA113" s="38">
        <v>1</v>
      </c>
      <c r="MB113" s="44" t="s">
        <v>4</v>
      </c>
      <c r="MC113" s="40">
        <v>0</v>
      </c>
      <c r="MD113" s="8"/>
      <c r="ME113" s="42" t="str">
        <f t="shared" si="808"/>
        <v/>
      </c>
      <c r="MF113" s="43">
        <f t="shared" si="809"/>
        <v>1</v>
      </c>
      <c r="MG113" s="8"/>
      <c r="MH113" s="38">
        <v>3</v>
      </c>
      <c r="MI113" s="44" t="s">
        <v>4</v>
      </c>
      <c r="MJ113" s="40">
        <v>0</v>
      </c>
      <c r="MK113" s="8"/>
      <c r="ML113" s="42" t="str">
        <f t="shared" si="810"/>
        <v/>
      </c>
      <c r="MM113" s="43">
        <f t="shared" si="811"/>
        <v>3</v>
      </c>
      <c r="MN113" s="8"/>
      <c r="MO113" s="38">
        <v>1</v>
      </c>
      <c r="MP113" s="44" t="s">
        <v>4</v>
      </c>
      <c r="MQ113" s="40">
        <v>0</v>
      </c>
      <c r="MR113" s="8"/>
      <c r="MS113" s="42" t="str">
        <f t="shared" si="812"/>
        <v/>
      </c>
      <c r="MT113" s="43">
        <f t="shared" si="813"/>
        <v>1</v>
      </c>
      <c r="MU113" s="8"/>
      <c r="MV113" s="38">
        <v>2</v>
      </c>
      <c r="MW113" s="44" t="s">
        <v>4</v>
      </c>
      <c r="MX113" s="40">
        <v>1</v>
      </c>
      <c r="MY113" s="8"/>
      <c r="MZ113" s="42" t="str">
        <f t="shared" si="814"/>
        <v/>
      </c>
      <c r="NA113" s="43">
        <f t="shared" si="815"/>
        <v>1</v>
      </c>
      <c r="NB113" s="8"/>
      <c r="NC113" s="38">
        <v>3</v>
      </c>
      <c r="ND113" s="44" t="s">
        <v>4</v>
      </c>
      <c r="NE113" s="40">
        <v>2</v>
      </c>
      <c r="NF113" s="8"/>
      <c r="NG113" s="42" t="str">
        <f t="shared" si="816"/>
        <v/>
      </c>
      <c r="NH113" s="43">
        <f t="shared" si="817"/>
        <v>1</v>
      </c>
      <c r="NI113" s="8"/>
      <c r="NJ113" s="38">
        <v>7</v>
      </c>
      <c r="NK113" s="44" t="s">
        <v>4</v>
      </c>
      <c r="NL113" s="40">
        <v>5</v>
      </c>
      <c r="NM113" s="8"/>
      <c r="NN113" s="42" t="str">
        <f t="shared" si="818"/>
        <v/>
      </c>
      <c r="NO113" s="43">
        <f t="shared" si="819"/>
        <v>2</v>
      </c>
      <c r="NP113" s="8"/>
      <c r="NQ113" s="38">
        <v>3</v>
      </c>
      <c r="NR113" s="44" t="s">
        <v>4</v>
      </c>
      <c r="NS113" s="40">
        <v>1</v>
      </c>
      <c r="NT113" s="8"/>
      <c r="NU113" s="42" t="str">
        <f t="shared" si="820"/>
        <v/>
      </c>
      <c r="NV113" s="43">
        <f t="shared" si="821"/>
        <v>2</v>
      </c>
      <c r="NW113" s="8"/>
      <c r="NX113" s="38">
        <v>2</v>
      </c>
      <c r="NY113" s="44" t="s">
        <v>4</v>
      </c>
      <c r="NZ113" s="40">
        <v>1</v>
      </c>
      <c r="OA113" s="8"/>
      <c r="OB113" s="42" t="str">
        <f t="shared" si="822"/>
        <v/>
      </c>
      <c r="OC113" s="43">
        <f t="shared" si="823"/>
        <v>1</v>
      </c>
      <c r="OD113" s="8"/>
      <c r="OE113" s="38">
        <v>2</v>
      </c>
      <c r="OF113" s="44" t="s">
        <v>4</v>
      </c>
      <c r="OG113" s="40">
        <v>0</v>
      </c>
      <c r="OH113" s="8"/>
      <c r="OI113" s="42" t="str">
        <f t="shared" si="824"/>
        <v/>
      </c>
      <c r="OJ113" s="43">
        <f t="shared" si="825"/>
        <v>2</v>
      </c>
      <c r="OK113" s="8"/>
      <c r="OL113" s="38">
        <v>3</v>
      </c>
      <c r="OM113" s="44" t="s">
        <v>4</v>
      </c>
      <c r="ON113" s="40">
        <v>1</v>
      </c>
      <c r="OO113" s="8"/>
      <c r="OP113" s="42" t="str">
        <f t="shared" si="826"/>
        <v/>
      </c>
      <c r="OQ113" s="43">
        <f t="shared" si="827"/>
        <v>2</v>
      </c>
      <c r="OR113" s="8"/>
      <c r="OS113" s="38">
        <v>0</v>
      </c>
      <c r="OT113" s="44" t="s">
        <v>4</v>
      </c>
      <c r="OU113" s="40">
        <v>2</v>
      </c>
      <c r="OV113" s="8"/>
      <c r="OW113" s="42" t="str">
        <f t="shared" si="828"/>
        <v/>
      </c>
      <c r="OX113" s="43">
        <f t="shared" si="829"/>
        <v>-2</v>
      </c>
      <c r="OY113" s="8"/>
      <c r="OZ113" s="38">
        <v>1</v>
      </c>
      <c r="PA113" s="44" t="s">
        <v>4</v>
      </c>
      <c r="PB113" s="40">
        <v>0</v>
      </c>
      <c r="PC113" s="8"/>
      <c r="PD113" s="42" t="str">
        <f t="shared" si="830"/>
        <v/>
      </c>
      <c r="PE113" s="43">
        <f t="shared" si="831"/>
        <v>1</v>
      </c>
      <c r="PF113" s="8"/>
      <c r="PG113" s="38">
        <v>2</v>
      </c>
      <c r="PH113" s="44" t="s">
        <v>4</v>
      </c>
      <c r="PI113" s="40">
        <v>1</v>
      </c>
      <c r="PJ113" s="8"/>
      <c r="PK113" s="42" t="str">
        <f t="shared" si="832"/>
        <v/>
      </c>
      <c r="PL113" s="43">
        <f t="shared" si="833"/>
        <v>1</v>
      </c>
      <c r="PM113" s="8"/>
      <c r="PN113" s="38">
        <v>2</v>
      </c>
      <c r="PO113" s="44" t="s">
        <v>4</v>
      </c>
      <c r="PP113" s="40">
        <v>0</v>
      </c>
      <c r="PQ113" s="8"/>
      <c r="PR113" s="42" t="str">
        <f t="shared" si="834"/>
        <v/>
      </c>
      <c r="PS113" s="43">
        <f t="shared" si="835"/>
        <v>2</v>
      </c>
      <c r="PT113" s="8"/>
      <c r="PU113" s="38">
        <v>3</v>
      </c>
      <c r="PV113" s="44" t="s">
        <v>4</v>
      </c>
      <c r="PW113" s="40">
        <v>0</v>
      </c>
      <c r="PX113" s="8"/>
      <c r="PY113" s="42" t="str">
        <f t="shared" si="836"/>
        <v/>
      </c>
      <c r="PZ113" s="43">
        <f t="shared" si="837"/>
        <v>3</v>
      </c>
      <c r="QA113" s="8"/>
      <c r="QB113" s="38">
        <v>2</v>
      </c>
      <c r="QC113" s="44" t="s">
        <v>4</v>
      </c>
      <c r="QD113" s="40">
        <v>0</v>
      </c>
      <c r="QE113" s="8"/>
      <c r="QF113" s="42" t="str">
        <f t="shared" si="838"/>
        <v/>
      </c>
      <c r="QG113" s="43">
        <f t="shared" si="839"/>
        <v>2</v>
      </c>
      <c r="QH113" s="8"/>
      <c r="QI113" s="38">
        <v>2</v>
      </c>
      <c r="QJ113" s="44" t="s">
        <v>4</v>
      </c>
      <c r="QK113" s="40">
        <v>1</v>
      </c>
      <c r="QL113" s="8"/>
      <c r="QM113" s="42" t="str">
        <f t="shared" si="840"/>
        <v/>
      </c>
      <c r="QN113" s="43">
        <f t="shared" si="841"/>
        <v>1</v>
      </c>
      <c r="QO113" s="8"/>
      <c r="QP113" s="38">
        <v>2</v>
      </c>
      <c r="QQ113" s="44" t="s">
        <v>4</v>
      </c>
      <c r="QR113" s="40">
        <v>0</v>
      </c>
      <c r="QS113" s="8"/>
      <c r="QT113" s="42" t="str">
        <f t="shared" si="842"/>
        <v/>
      </c>
      <c r="QU113" s="43">
        <f t="shared" si="843"/>
        <v>2</v>
      </c>
      <c r="QV113" s="8"/>
      <c r="QW113" s="38">
        <v>2</v>
      </c>
      <c r="QX113" s="44" t="s">
        <v>4</v>
      </c>
      <c r="QY113" s="40">
        <v>0</v>
      </c>
      <c r="QZ113" s="8"/>
      <c r="RA113" s="42" t="str">
        <f t="shared" si="844"/>
        <v/>
      </c>
      <c r="RB113" s="43">
        <f t="shared" si="845"/>
        <v>2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>
        <v>1</v>
      </c>
      <c r="RL113" s="44" t="s">
        <v>4</v>
      </c>
      <c r="RM113" s="40">
        <v>3</v>
      </c>
      <c r="RN113" s="8"/>
      <c r="RO113" s="42" t="str">
        <f t="shared" si="848"/>
        <v/>
      </c>
      <c r="RP113" s="43">
        <f t="shared" si="849"/>
        <v>-2</v>
      </c>
      <c r="RQ113" s="8"/>
      <c r="RR113" s="38">
        <v>2</v>
      </c>
      <c r="RS113" s="44" t="s">
        <v>4</v>
      </c>
      <c r="RT113" s="40">
        <v>0</v>
      </c>
      <c r="RU113" s="8"/>
      <c r="RV113" s="42" t="str">
        <f t="shared" si="850"/>
        <v/>
      </c>
      <c r="RW113" s="43">
        <f t="shared" si="851"/>
        <v>2</v>
      </c>
      <c r="RX113" s="8"/>
      <c r="RY113" s="38">
        <v>2</v>
      </c>
      <c r="RZ113" s="44" t="s">
        <v>4</v>
      </c>
      <c r="SA113" s="40">
        <v>0</v>
      </c>
      <c r="SB113" s="8"/>
      <c r="SC113" s="42" t="str">
        <f t="shared" si="852"/>
        <v/>
      </c>
      <c r="SD113" s="43">
        <f t="shared" si="853"/>
        <v>2</v>
      </c>
      <c r="SE113" s="8"/>
      <c r="SF113" s="38">
        <v>3</v>
      </c>
      <c r="SG113" s="44" t="s">
        <v>4</v>
      </c>
      <c r="SH113" s="40">
        <v>0</v>
      </c>
      <c r="SI113" s="8"/>
      <c r="SJ113" s="42" t="str">
        <f t="shared" si="854"/>
        <v/>
      </c>
      <c r="SK113" s="43">
        <f t="shared" si="855"/>
        <v>3</v>
      </c>
      <c r="SL113" s="8"/>
      <c r="SM113" s="38">
        <v>1</v>
      </c>
      <c r="SN113" s="44" t="s">
        <v>4</v>
      </c>
      <c r="SO113" s="40">
        <v>2</v>
      </c>
      <c r="SP113" s="8"/>
      <c r="SQ113" s="42" t="str">
        <f t="shared" si="856"/>
        <v/>
      </c>
      <c r="SR113" s="43">
        <f t="shared" si="857"/>
        <v>-1</v>
      </c>
    </row>
    <row r="114" spans="1:512" ht="16" customHeight="1" x14ac:dyDescent="0.15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15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15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 x14ac:dyDescent="0.15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 x14ac:dyDescent="0.15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15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15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15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15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15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15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15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15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2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2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36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2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2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18</v>
      </c>
      <c r="O130" s="55"/>
      <c r="Q130" s="124" t="s">
        <v>314</v>
      </c>
      <c r="R130" s="125"/>
      <c r="S130" s="125"/>
      <c r="T130" s="126"/>
      <c r="U130" s="57">
        <f>C130*H138</f>
        <v>18</v>
      </c>
      <c r="V130" s="55"/>
      <c r="W130" s="54"/>
      <c r="X130" s="124" t="s">
        <v>317</v>
      </c>
      <c r="Y130" s="125"/>
      <c r="Z130" s="125"/>
      <c r="AA130" s="126"/>
      <c r="AB130" s="57">
        <f>3*H141</f>
        <v>24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18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24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18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12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24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9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18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18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18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24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24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24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24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24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18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18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18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24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18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21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15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18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18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24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24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18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18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24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24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24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18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24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18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24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24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18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24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24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24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18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24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18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18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24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18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18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18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18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21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24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12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21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18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24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15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18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18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21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24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24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24</v>
      </c>
      <c r="SR130" s="55"/>
    </row>
    <row r="131" spans="1:512" ht="16" customHeight="1" thickBot="1" x14ac:dyDescent="0.2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2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15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 x14ac:dyDescent="0.2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 x14ac:dyDescent="0.2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 x14ac:dyDescent="0.2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15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15">
      <c r="A138" s="89">
        <v>1</v>
      </c>
      <c r="B138" s="90">
        <v>1</v>
      </c>
      <c r="C138" s="91" t="str">
        <f t="shared" ref="C138:C201" ca="1" si="1555">VLOOKUP(B138,$P$138:$R$214,2,0)</f>
        <v>Lukas</v>
      </c>
      <c r="D138" s="108">
        <f ca="1">VLOOKUP(B138,$P$138:$R$209,3,0)</f>
        <v>320.7999999999999</v>
      </c>
      <c r="E138" s="25"/>
      <c r="G138" s="88" t="s">
        <v>18</v>
      </c>
      <c r="H138" s="119">
        <v>6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71</v>
      </c>
      <c r="Q138" s="32" t="str">
        <f t="shared" ref="Q138:Q169" ca="1" si="1557">INDIRECT(N138)</f>
        <v>Börn</v>
      </c>
      <c r="R138" s="113">
        <f t="shared" ref="R138:R169" ca="1" si="1558">INDIRECT(M139)</f>
        <v>147.6</v>
      </c>
      <c r="S138" s="73">
        <v>1</v>
      </c>
      <c r="T138" s="32">
        <f ca="1">R138+S138/100000</f>
        <v>147.60001</v>
      </c>
      <c r="U138" s="32"/>
      <c r="V138" s="32"/>
      <c r="W138" s="32"/>
      <c r="X138" s="116">
        <f t="shared" ref="X138:X151" si="1559">RANK(AB138,$AB$138:$AB$152)</f>
        <v>4</v>
      </c>
      <c r="Y138" s="62" t="s">
        <v>567</v>
      </c>
      <c r="Z138" s="117">
        <f>(AJ3+BE3+CN3+ER3+IS3)/5</f>
        <v>276.85999999999996</v>
      </c>
      <c r="AA138" s="32">
        <v>1</v>
      </c>
      <c r="AB138" s="32">
        <f>Z138+AA138/100000</f>
        <v>276.86000999999993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15">
      <c r="A139" s="93">
        <f ca="1">IF(D139=D138,A138,B139)</f>
        <v>2</v>
      </c>
      <c r="B139" s="94">
        <v>2</v>
      </c>
      <c r="C139" s="95" t="str">
        <f t="shared" ca="1" si="1555"/>
        <v>Arnd</v>
      </c>
      <c r="D139" s="109">
        <f ca="1">VLOOKUP(B139,$P$138:$R$209,3,0)</f>
        <v>317.59999999999997</v>
      </c>
      <c r="E139" s="25"/>
      <c r="G139" s="88" t="s">
        <v>321</v>
      </c>
      <c r="H139" s="119">
        <v>4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61</v>
      </c>
      <c r="Q139" s="32" t="str">
        <f t="shared" ca="1" si="1557"/>
        <v>Julian</v>
      </c>
      <c r="R139" s="113">
        <f t="shared" ca="1" si="1558"/>
        <v>217.49999999999994</v>
      </c>
      <c r="S139" s="73">
        <v>2</v>
      </c>
      <c r="T139" s="32">
        <f ca="1">R139+S139/100000</f>
        <v>217.50001999999995</v>
      </c>
      <c r="U139" s="32"/>
      <c r="V139" s="61"/>
      <c r="W139" s="62"/>
      <c r="X139" s="32">
        <f t="shared" si="1559"/>
        <v>8</v>
      </c>
      <c r="Y139" s="63" t="s">
        <v>568</v>
      </c>
      <c r="Z139" s="118">
        <f>(DB3+DI3+JU3+NH3)/4</f>
        <v>263.625</v>
      </c>
      <c r="AA139" s="32">
        <v>2</v>
      </c>
      <c r="AB139" s="32">
        <f t="shared" ref="AB139:AB147" si="1560">Z139+AA139/100000</f>
        <v>263.62502000000001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15">
      <c r="A140" s="97">
        <f ca="1">IF(D140=D139,A139,B140)</f>
        <v>3</v>
      </c>
      <c r="B140" s="98">
        <v>3</v>
      </c>
      <c r="C140" s="99" t="str">
        <f t="shared" ca="1" si="1555"/>
        <v>Ben L</v>
      </c>
      <c r="D140" s="110">
        <f ca="1">VLOOKUP(B140,$P$138:$R$209,3,0)</f>
        <v>316.7</v>
      </c>
      <c r="E140" s="25"/>
      <c r="G140" s="88" t="s">
        <v>329</v>
      </c>
      <c r="H140" s="119">
        <v>3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70</v>
      </c>
      <c r="Q140" s="32" t="str">
        <f t="shared" ca="1" si="1557"/>
        <v>Kohls</v>
      </c>
      <c r="R140" s="113">
        <f t="shared" ca="1" si="1558"/>
        <v>150</v>
      </c>
      <c r="S140" s="73">
        <v>3</v>
      </c>
      <c r="T140" s="32">
        <f t="shared" ref="T140:T182" ca="1" si="1561">R140+S140/100000</f>
        <v>150.00003000000001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280.74999999999994</v>
      </c>
      <c r="AA140" s="32">
        <v>3</v>
      </c>
      <c r="AB140" s="32">
        <f t="shared" si="1560"/>
        <v>280.75002999999992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15">
      <c r="A141" s="101">
        <f ca="1">IF(D141=D140,A140,B141)</f>
        <v>4</v>
      </c>
      <c r="B141" s="111">
        <v>4</v>
      </c>
      <c r="C141" s="71" t="str">
        <f t="shared" ca="1" si="1555"/>
        <v>Cathrin</v>
      </c>
      <c r="D141" s="112">
        <f ca="1">VLOOKUP(B141,$P$138:$R$209,3,0)</f>
        <v>314</v>
      </c>
      <c r="E141" s="25"/>
      <c r="G141" s="88" t="s">
        <v>19</v>
      </c>
      <c r="H141" s="119">
        <v>8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54</v>
      </c>
      <c r="Q141" s="32" t="str">
        <f t="shared" ca="1" si="1557"/>
        <v>Tina</v>
      </c>
      <c r="R141" s="113">
        <f t="shared" ca="1" si="1558"/>
        <v>250.99999999999994</v>
      </c>
      <c r="S141" s="73">
        <v>4</v>
      </c>
      <c r="T141" s="32">
        <f ca="1">R141+S141/100000</f>
        <v>251.00003999999996</v>
      </c>
      <c r="U141" s="32"/>
      <c r="V141" s="61"/>
      <c r="W141" s="62"/>
      <c r="X141" s="32">
        <f t="shared" si="1559"/>
        <v>1</v>
      </c>
      <c r="Y141" s="63" t="s">
        <v>570</v>
      </c>
      <c r="Z141" s="118">
        <f>(ED3+HC3+HJ3+HQ3)/4</f>
        <v>307.77499999999998</v>
      </c>
      <c r="AA141" s="32">
        <v>4</v>
      </c>
      <c r="AB141" s="32">
        <f t="shared" si="1560"/>
        <v>307.77503999999999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15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Jochen</v>
      </c>
      <c r="D142" s="112">
        <f t="shared" ref="D142:D203" ca="1" si="1563">VLOOKUP(B142,$P$138:$R$209,3,0)</f>
        <v>312.2</v>
      </c>
      <c r="E142" s="25"/>
      <c r="G142" s="88" t="s">
        <v>341</v>
      </c>
      <c r="H142" s="119">
        <v>7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10</v>
      </c>
      <c r="Q142" s="32" t="str">
        <f t="shared" ca="1" si="1557"/>
        <v>ChatGPT-Charly</v>
      </c>
      <c r="R142" s="113">
        <f t="shared" ca="1" si="1558"/>
        <v>304.29999999999995</v>
      </c>
      <c r="S142" s="73">
        <v>5</v>
      </c>
      <c r="T142" s="32">
        <f t="shared" ca="1" si="1561"/>
        <v>304.30004999999994</v>
      </c>
      <c r="U142" s="32"/>
      <c r="V142" s="61"/>
      <c r="W142" s="62"/>
      <c r="X142" s="32">
        <f t="shared" si="1559"/>
        <v>2</v>
      </c>
      <c r="Y142" s="63" t="s">
        <v>575</v>
      </c>
      <c r="Z142" s="118">
        <f>(DP3+DW3+GO3)/3</f>
        <v>296.39999999999992</v>
      </c>
      <c r="AA142" s="32">
        <v>5</v>
      </c>
      <c r="AB142" s="32">
        <f t="shared" si="1560"/>
        <v>296.40004999999991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15">
      <c r="A143" s="101">
        <f t="shared" ca="1" si="1562"/>
        <v>6</v>
      </c>
      <c r="B143" s="111">
        <v>6</v>
      </c>
      <c r="C143" s="71" t="str">
        <f t="shared" ca="1" si="1555"/>
        <v>Severin</v>
      </c>
      <c r="D143" s="112">
        <f t="shared" ca="1" si="1563"/>
        <v>308.09999999999997</v>
      </c>
      <c r="E143" s="25"/>
      <c r="G143" s="88" t="s">
        <v>343</v>
      </c>
      <c r="H143" s="119">
        <v>5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50</v>
      </c>
      <c r="Q143" s="32" t="str">
        <f t="shared" ca="1" si="1557"/>
        <v>Johanna</v>
      </c>
      <c r="R143" s="113">
        <f t="shared" ca="1" si="1558"/>
        <v>254.5</v>
      </c>
      <c r="S143" s="73">
        <v>6</v>
      </c>
      <c r="T143" s="32">
        <f t="shared" ca="1" si="1561"/>
        <v>254.50005999999999</v>
      </c>
      <c r="U143" s="32"/>
      <c r="V143" s="61"/>
      <c r="W143" s="62"/>
      <c r="X143" s="32">
        <f t="shared" si="1559"/>
        <v>6</v>
      </c>
      <c r="Y143" s="63" t="s">
        <v>572</v>
      </c>
      <c r="Z143" s="118">
        <f>(KB3+KI3+KP3+KW3)/4</f>
        <v>267.625</v>
      </c>
      <c r="AA143" s="32">
        <v>6</v>
      </c>
      <c r="AB143" s="32">
        <f t="shared" si="1560"/>
        <v>267.62506000000002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15">
      <c r="A144" s="101">
        <f t="shared" ca="1" si="1562"/>
        <v>7</v>
      </c>
      <c r="B144" s="111">
        <v>7</v>
      </c>
      <c r="C144" s="71" t="str">
        <f t="shared" ca="1" si="1555"/>
        <v>Alfons</v>
      </c>
      <c r="D144" s="112">
        <f t="shared" ca="1" si="1563"/>
        <v>306.89999999999998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22</v>
      </c>
      <c r="Q144" s="32" t="str">
        <f t="shared" ca="1" si="1557"/>
        <v>Basti</v>
      </c>
      <c r="R144" s="113">
        <f t="shared" ca="1" si="1558"/>
        <v>285.7999999999999</v>
      </c>
      <c r="S144" s="73">
        <v>7</v>
      </c>
      <c r="T144" s="32">
        <f t="shared" ca="1" si="1561"/>
        <v>285.80006999999989</v>
      </c>
      <c r="U144" s="32"/>
      <c r="V144" s="61"/>
      <c r="W144" s="62"/>
      <c r="X144" s="32">
        <f t="shared" si="1559"/>
        <v>10</v>
      </c>
      <c r="Y144" s="63" t="s">
        <v>573</v>
      </c>
      <c r="Z144" s="118">
        <f>(JG3+IL3+IZ3+LD3)/4</f>
        <v>258.42499999999995</v>
      </c>
      <c r="AA144" s="32">
        <v>7</v>
      </c>
      <c r="AB144" s="32">
        <f t="shared" si="1560"/>
        <v>258.42506999999995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15">
      <c r="A145" s="101">
        <f t="shared" ca="1" si="1562"/>
        <v>8</v>
      </c>
      <c r="B145" s="111">
        <v>8</v>
      </c>
      <c r="C145" s="71" t="str">
        <f t="shared" ca="1" si="1555"/>
        <v>Ferdi</v>
      </c>
      <c r="D145" s="112">
        <f t="shared" ca="1" si="1563"/>
        <v>305.99999999999989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51</v>
      </c>
      <c r="Q145" s="32" t="str">
        <f t="shared" ca="1" si="1557"/>
        <v>Andrea</v>
      </c>
      <c r="R145" s="113">
        <f t="shared" ca="1" si="1558"/>
        <v>252.99999999999994</v>
      </c>
      <c r="S145" s="73">
        <v>8</v>
      </c>
      <c r="T145" s="32">
        <f t="shared" ca="1" si="1561"/>
        <v>253.00007999999994</v>
      </c>
      <c r="U145" s="32"/>
      <c r="V145" s="61"/>
      <c r="W145" s="62"/>
      <c r="X145" s="32">
        <f t="shared" si="1559"/>
        <v>12</v>
      </c>
      <c r="Y145" s="63" t="s">
        <v>574</v>
      </c>
      <c r="Z145" s="118">
        <f>(AJ3+BL3+CG3)/3</f>
        <v>228.19999999999996</v>
      </c>
      <c r="AA145" s="32">
        <v>8</v>
      </c>
      <c r="AB145" s="32">
        <f t="shared" si="1560"/>
        <v>228.20007999999996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15">
      <c r="A146" s="101">
        <f t="shared" ca="1" si="1562"/>
        <v>9</v>
      </c>
      <c r="B146" s="111">
        <v>9</v>
      </c>
      <c r="C146" s="71" t="str">
        <f t="shared" ca="1" si="1555"/>
        <v>Evelyn</v>
      </c>
      <c r="D146" s="112">
        <f t="shared" ca="1" si="1563"/>
        <v>304.2999999999999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47</v>
      </c>
      <c r="Q146" s="32" t="str">
        <f t="shared" ca="1" si="1557"/>
        <v>Folker</v>
      </c>
      <c r="R146" s="113">
        <f t="shared" ca="1" si="1558"/>
        <v>259.70000000000005</v>
      </c>
      <c r="S146" s="73">
        <v>9</v>
      </c>
      <c r="T146" s="32">
        <f t="shared" ca="1" si="1561"/>
        <v>259.70009000000005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264.23333333333329</v>
      </c>
      <c r="AA146" s="32">
        <v>9</v>
      </c>
      <c r="AB146" s="32">
        <f t="shared" si="1560"/>
        <v>264.23342333333329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15">
      <c r="A147" s="101">
        <f t="shared" ca="1" si="1562"/>
        <v>9</v>
      </c>
      <c r="B147" s="111">
        <v>10</v>
      </c>
      <c r="C147" s="71" t="str">
        <f t="shared" ca="1" si="1555"/>
        <v>ChatGPT-Charly</v>
      </c>
      <c r="D147" s="112">
        <f t="shared" ca="1" si="1563"/>
        <v>304.29999999999995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43</v>
      </c>
      <c r="Q147" s="32" t="str">
        <f t="shared" ca="1" si="1557"/>
        <v>Franzi</v>
      </c>
      <c r="R147" s="113">
        <f t="shared" ca="1" si="1558"/>
        <v>265.60000000000002</v>
      </c>
      <c r="S147" s="73">
        <v>10</v>
      </c>
      <c r="T147" s="32">
        <f t="shared" ca="1" si="1561"/>
        <v>265.6001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204.14999999999998</v>
      </c>
      <c r="AA147" s="32">
        <v>10</v>
      </c>
      <c r="AB147" s="32">
        <f t="shared" si="1560"/>
        <v>204.15009999999998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15">
      <c r="A148" s="101">
        <f t="shared" ca="1" si="1562"/>
        <v>11</v>
      </c>
      <c r="B148" s="111">
        <v>11</v>
      </c>
      <c r="C148" s="71" t="str">
        <f t="shared" ca="1" si="1555"/>
        <v>Tanja</v>
      </c>
      <c r="D148" s="112">
        <f t="shared" ca="1" si="1563"/>
        <v>295.19999999999993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68</v>
      </c>
      <c r="Q148" s="32" t="str">
        <f t="shared" ca="1" si="1557"/>
        <v>Albert</v>
      </c>
      <c r="R148" s="113">
        <f t="shared" ca="1" si="1558"/>
        <v>180.60000000000002</v>
      </c>
      <c r="S148" s="73">
        <v>11</v>
      </c>
      <c r="T148" s="32">
        <f t="shared" ca="1" si="1561"/>
        <v>180.60011000000003</v>
      </c>
      <c r="U148" s="32"/>
      <c r="V148" s="61"/>
      <c r="W148" s="62"/>
      <c r="X148" s="32">
        <f t="shared" si="1559"/>
        <v>9</v>
      </c>
      <c r="Y148" s="63" t="s">
        <v>609</v>
      </c>
      <c r="Z148" s="73">
        <f>(QN3+QG3+AX3+PZ3)/4</f>
        <v>260.82499999999993</v>
      </c>
      <c r="AA148" s="32">
        <v>11</v>
      </c>
      <c r="AB148" s="32">
        <f t="shared" ref="AB148" si="1564">Z148+AA148/100000</f>
        <v>260.82510999999994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15">
      <c r="A149" s="101">
        <f t="shared" ca="1" si="1562"/>
        <v>12</v>
      </c>
      <c r="B149" s="111">
        <v>12</v>
      </c>
      <c r="C149" s="71" t="str">
        <f t="shared" ca="1" si="1555"/>
        <v>Marius</v>
      </c>
      <c r="D149" s="112">
        <f t="shared" ca="1" si="1563"/>
        <v>293.89999999999998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29</v>
      </c>
      <c r="Q149" s="32" t="str">
        <f t="shared" ca="1" si="1557"/>
        <v>Helene</v>
      </c>
      <c r="R149" s="113">
        <f t="shared" ca="1" si="1558"/>
        <v>275.39999999999998</v>
      </c>
      <c r="S149" s="73">
        <v>12</v>
      </c>
      <c r="T149" s="32">
        <f t="shared" ca="1" si="1561"/>
        <v>275.40011999999996</v>
      </c>
      <c r="U149" s="32"/>
      <c r="V149" s="61"/>
      <c r="W149" s="62"/>
      <c r="X149" s="32">
        <f t="shared" si="1559"/>
        <v>5</v>
      </c>
      <c r="Y149" s="63" t="s">
        <v>610</v>
      </c>
      <c r="Z149" s="73">
        <f>(PE3+OJ3+LR3)/3</f>
        <v>267.93333333333334</v>
      </c>
      <c r="AA149" s="32">
        <v>12</v>
      </c>
      <c r="AB149" s="32">
        <f t="shared" ref="AB149:AB151" si="1565">Z149+AA149/100000</f>
        <v>267.93345333333332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15">
      <c r="A150" s="101">
        <f t="shared" ca="1" si="1562"/>
        <v>13</v>
      </c>
      <c r="B150" s="111">
        <v>13</v>
      </c>
      <c r="C150" s="71" t="str">
        <f t="shared" ca="1" si="1555"/>
        <v>Tobi</v>
      </c>
      <c r="D150" s="112">
        <f t="shared" ca="1" si="1563"/>
        <v>293.2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21</v>
      </c>
      <c r="Q150" s="32" t="str">
        <f t="shared" ca="1" si="1557"/>
        <v>Carl</v>
      </c>
      <c r="R150" s="113">
        <f t="shared" ca="1" si="1558"/>
        <v>286.79999999999995</v>
      </c>
      <c r="S150" s="73">
        <v>13</v>
      </c>
      <c r="T150" s="32">
        <f t="shared" ca="1" si="1561"/>
        <v>286.80012999999997</v>
      </c>
      <c r="U150" s="32"/>
      <c r="V150" s="61"/>
      <c r="W150" s="62"/>
      <c r="X150" s="32">
        <f t="shared" si="1559"/>
        <v>11</v>
      </c>
      <c r="Y150" s="63" t="s">
        <v>616</v>
      </c>
      <c r="Z150" s="73">
        <f>(RB3+QU3+OX3+OQ3)/4</f>
        <v>251.69999999999996</v>
      </c>
      <c r="AA150" s="32">
        <v>13</v>
      </c>
      <c r="AB150" s="32">
        <f t="shared" si="1565"/>
        <v>251.70012999999997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15">
      <c r="A151" s="101">
        <f t="shared" ca="1" si="1562"/>
        <v>14</v>
      </c>
      <c r="B151" s="111">
        <v>14</v>
      </c>
      <c r="C151" s="71" t="str">
        <f t="shared" ca="1" si="1555"/>
        <v>Paul</v>
      </c>
      <c r="D151" s="112">
        <f t="shared" ca="1" si="1563"/>
        <v>292.79999999999995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7</v>
      </c>
      <c r="Q151" s="32" t="str">
        <f t="shared" ca="1" si="1557"/>
        <v>Alfons</v>
      </c>
      <c r="R151" s="113">
        <f t="shared" ca="1" si="1558"/>
        <v>306.89999999999998</v>
      </c>
      <c r="S151" s="73">
        <v>14</v>
      </c>
      <c r="T151" s="32">
        <f t="shared" ca="1" si="1561"/>
        <v>306.90013999999996</v>
      </c>
      <c r="U151" s="32"/>
      <c r="V151" s="61"/>
      <c r="W151" s="62"/>
      <c r="X151" s="32">
        <f t="shared" si="1559"/>
        <v>13</v>
      </c>
      <c r="Y151" s="63" t="s">
        <v>625</v>
      </c>
      <c r="Z151" s="73">
        <f>(SR3+SK3+SD3+RP3+RW3)/5</f>
        <v>211.97999999999996</v>
      </c>
      <c r="AA151" s="32">
        <v>14</v>
      </c>
      <c r="AB151" s="32">
        <f t="shared" si="1565"/>
        <v>211.98013999999995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15">
      <c r="A152" s="101">
        <f t="shared" ca="1" si="1562"/>
        <v>15</v>
      </c>
      <c r="B152" s="111">
        <v>15</v>
      </c>
      <c r="C152" s="71" t="str">
        <f t="shared" ca="1" si="1555"/>
        <v>Xaver</v>
      </c>
      <c r="D152" s="112">
        <f t="shared" ca="1" si="1563"/>
        <v>291.39999999999998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38</v>
      </c>
      <c r="Q152" s="32" t="str">
        <f t="shared" ca="1" si="1557"/>
        <v>Claudia B</v>
      </c>
      <c r="R152" s="113">
        <f t="shared" ca="1" si="1558"/>
        <v>268.39999999999998</v>
      </c>
      <c r="S152" s="73">
        <v>15</v>
      </c>
      <c r="T152" s="32">
        <f t="shared" ca="1" si="1561"/>
        <v>268.40015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15">
      <c r="A153" s="101">
        <f t="shared" ca="1" si="1562"/>
        <v>16</v>
      </c>
      <c r="B153" s="111">
        <v>16</v>
      </c>
      <c r="C153" s="71" t="str">
        <f t="shared" ca="1" si="1555"/>
        <v>Emma H</v>
      </c>
      <c r="D153" s="112">
        <f t="shared" ca="1" si="1563"/>
        <v>289.19999999999993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13</v>
      </c>
      <c r="Q153" s="32" t="str">
        <f t="shared" ca="1" si="1557"/>
        <v>Tobi</v>
      </c>
      <c r="R153" s="113">
        <f t="shared" ca="1" si="1558"/>
        <v>293.2</v>
      </c>
      <c r="S153" s="73">
        <v>16</v>
      </c>
      <c r="T153" s="32">
        <f t="shared" ca="1" si="1561"/>
        <v>293.20015999999998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15">
      <c r="A154" s="101">
        <f t="shared" ca="1" si="1562"/>
        <v>17</v>
      </c>
      <c r="B154" s="111">
        <v>17</v>
      </c>
      <c r="C154" s="71" t="str">
        <f t="shared" ca="1" si="1555"/>
        <v>Ben W</v>
      </c>
      <c r="D154" s="112">
        <f t="shared" ca="1" si="1563"/>
        <v>288.49999999999989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1</v>
      </c>
      <c r="Q154" s="32" t="str">
        <f t="shared" ca="1" si="1557"/>
        <v>Lukas</v>
      </c>
      <c r="R154" s="113">
        <f t="shared" ca="1" si="1558"/>
        <v>320.7999999999999</v>
      </c>
      <c r="S154" s="73">
        <v>17</v>
      </c>
      <c r="T154" s="32">
        <f t="shared" ca="1" si="1561"/>
        <v>320.80016999999992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15">
      <c r="A155" s="101">
        <f t="shared" ca="1" si="1562"/>
        <v>17</v>
      </c>
      <c r="B155" s="111">
        <v>18</v>
      </c>
      <c r="C155" s="71" t="str">
        <f t="shared" ca="1" si="1555"/>
        <v>Valentina</v>
      </c>
      <c r="D155" s="112">
        <f t="shared" ca="1" si="1563"/>
        <v>288.49999999999994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4</v>
      </c>
      <c r="Q155" s="32" t="str">
        <f t="shared" ca="1" si="1557"/>
        <v>Cathrin</v>
      </c>
      <c r="R155" s="113">
        <f t="shared" ca="1" si="1558"/>
        <v>314</v>
      </c>
      <c r="S155" s="73">
        <v>18</v>
      </c>
      <c r="T155" s="32">
        <f t="shared" ca="1" si="1561"/>
        <v>314.00018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15">
      <c r="A156" s="101">
        <f t="shared" ca="1" si="1562"/>
        <v>19</v>
      </c>
      <c r="B156" s="111">
        <v>19</v>
      </c>
      <c r="C156" s="71" t="str">
        <f t="shared" ca="1" si="1555"/>
        <v>Frank</v>
      </c>
      <c r="D156" s="112">
        <f t="shared" ca="1" si="1563"/>
        <v>288.2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35</v>
      </c>
      <c r="Q156" s="32" t="str">
        <f t="shared" ca="1" si="1557"/>
        <v>Vroni</v>
      </c>
      <c r="R156" s="113">
        <f t="shared" ca="1" si="1558"/>
        <v>270.29999999999995</v>
      </c>
      <c r="S156" s="73">
        <v>19</v>
      </c>
      <c r="T156" s="32">
        <f t="shared" ca="1" si="1561"/>
        <v>270.30018999999993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15">
      <c r="A157" s="101">
        <f t="shared" ca="1" si="1562"/>
        <v>20</v>
      </c>
      <c r="B157" s="111">
        <v>20</v>
      </c>
      <c r="C157" s="71" t="str">
        <f t="shared" ca="1" si="1555"/>
        <v>Tabea</v>
      </c>
      <c r="D157" s="112">
        <f t="shared" ca="1" si="1563"/>
        <v>287.10000000000002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8</v>
      </c>
      <c r="Q157" s="32" t="str">
        <f t="shared" ca="1" si="1557"/>
        <v>Ferdi</v>
      </c>
      <c r="R157" s="113">
        <f t="shared" ca="1" si="1558"/>
        <v>305.99999999999989</v>
      </c>
      <c r="S157" s="73">
        <v>20</v>
      </c>
      <c r="T157" s="32">
        <f t="shared" ca="1" si="1561"/>
        <v>306.00019999999989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15">
      <c r="A158" s="101">
        <f t="shared" ca="1" si="1562"/>
        <v>21</v>
      </c>
      <c r="B158" s="111">
        <v>21</v>
      </c>
      <c r="C158" s="71" t="str">
        <f t="shared" ca="1" si="1555"/>
        <v>Carl</v>
      </c>
      <c r="D158" s="112">
        <f t="shared" ca="1" si="1563"/>
        <v>286.79999999999995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31</v>
      </c>
      <c r="Q158" s="32" t="str">
        <f t="shared" ca="1" si="1557"/>
        <v>Emma E</v>
      </c>
      <c r="R158" s="113">
        <f t="shared" ca="1" si="1558"/>
        <v>274.69999999999993</v>
      </c>
      <c r="S158" s="73">
        <v>21</v>
      </c>
      <c r="T158" s="32">
        <f t="shared" ca="1" si="1561"/>
        <v>274.70020999999991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15">
      <c r="A159" s="101">
        <f t="shared" ca="1" si="1562"/>
        <v>22</v>
      </c>
      <c r="B159" s="111">
        <v>22</v>
      </c>
      <c r="C159" s="71" t="str">
        <f t="shared" ca="1" si="1555"/>
        <v>Basti</v>
      </c>
      <c r="D159" s="112">
        <f t="shared" ca="1" si="1563"/>
        <v>285.7999999999999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26</v>
      </c>
      <c r="Q159" s="32" t="str">
        <f t="shared" ca="1" si="1557"/>
        <v>Pepe</v>
      </c>
      <c r="R159" s="113">
        <f t="shared" ca="1" si="1558"/>
        <v>277.79999999999995</v>
      </c>
      <c r="S159" s="73">
        <v>22</v>
      </c>
      <c r="T159" s="32">
        <f t="shared" ca="1" si="1561"/>
        <v>277.80021999999997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15">
      <c r="A160" s="101">
        <f t="shared" ca="1" si="1562"/>
        <v>23</v>
      </c>
      <c r="B160" s="111">
        <v>23</v>
      </c>
      <c r="C160" s="71" t="str">
        <f t="shared" ca="1" si="1555"/>
        <v>Nico</v>
      </c>
      <c r="D160" s="112">
        <f t="shared" ca="1" si="1563"/>
        <v>283.59999999999997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3</v>
      </c>
      <c r="Q160" s="32" t="str">
        <f t="shared" ca="1" si="1557"/>
        <v>Ben L</v>
      </c>
      <c r="R160" s="113">
        <f t="shared" ca="1" si="1558"/>
        <v>316.7</v>
      </c>
      <c r="S160" s="73">
        <v>23</v>
      </c>
      <c r="T160" s="32">
        <f t="shared" ca="1" si="1561"/>
        <v>316.70022999999998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15">
      <c r="A161" s="101">
        <f t="shared" ca="1" si="1562"/>
        <v>24</v>
      </c>
      <c r="B161" s="111">
        <v>24</v>
      </c>
      <c r="C161" s="71" t="str">
        <f t="shared" ca="1" si="1555"/>
        <v>Anton</v>
      </c>
      <c r="D161" s="112">
        <f t="shared" ca="1" si="1563"/>
        <v>282.09999999999997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28</v>
      </c>
      <c r="Q161" s="32" t="str">
        <f t="shared" ca="1" si="1557"/>
        <v>Conrad</v>
      </c>
      <c r="R161" s="113">
        <f t="shared" ca="1" si="1558"/>
        <v>277.10000000000002</v>
      </c>
      <c r="S161" s="73">
        <v>24</v>
      </c>
      <c r="T161" s="32">
        <f t="shared" ca="1" si="1561"/>
        <v>277.10024000000004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15">
      <c r="A162" s="101">
        <f t="shared" ca="1" si="1562"/>
        <v>25</v>
      </c>
      <c r="B162" s="111">
        <v>25</v>
      </c>
      <c r="C162" s="71" t="str">
        <f t="shared" ca="1" si="1555"/>
        <v>Carsten</v>
      </c>
      <c r="D162" s="112">
        <f t="shared" ca="1" si="1563"/>
        <v>280.10000000000002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44</v>
      </c>
      <c r="Q162" s="32" t="str">
        <f t="shared" ca="1" si="1557"/>
        <v>Christian</v>
      </c>
      <c r="R162" s="113">
        <f t="shared" ca="1" si="1558"/>
        <v>265.39999999999992</v>
      </c>
      <c r="S162" s="73">
        <v>25</v>
      </c>
      <c r="T162" s="32">
        <f t="shared" ca="1" si="1561"/>
        <v>265.40024999999991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15">
      <c r="A163" s="101">
        <f t="shared" ca="1" si="1562"/>
        <v>26</v>
      </c>
      <c r="B163" s="111">
        <v>26</v>
      </c>
      <c r="C163" s="71" t="str">
        <f t="shared" ca="1" si="1555"/>
        <v>Pepe</v>
      </c>
      <c r="D163" s="112">
        <f t="shared" ca="1" si="1563"/>
        <v>277.79999999999995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46</v>
      </c>
      <c r="Q163" s="32" t="str">
        <f t="shared" ca="1" si="1557"/>
        <v>Kay</v>
      </c>
      <c r="R163" s="113">
        <f t="shared" ca="1" si="1558"/>
        <v>261.5</v>
      </c>
      <c r="S163" s="73">
        <v>26</v>
      </c>
      <c r="T163" s="32">
        <f t="shared" ca="1" si="1561"/>
        <v>261.50026000000003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15">
      <c r="A164" s="101">
        <f t="shared" ca="1" si="1562"/>
        <v>27</v>
      </c>
      <c r="B164" s="111">
        <v>27</v>
      </c>
      <c r="C164" s="71" t="str">
        <f t="shared" ca="1" si="1555"/>
        <v>Marietta</v>
      </c>
      <c r="D164" s="112">
        <f t="shared" ca="1" si="1563"/>
        <v>277.19999999999993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30</v>
      </c>
      <c r="Q164" s="32" t="str">
        <f t="shared" ca="1" si="1557"/>
        <v>Ingrid</v>
      </c>
      <c r="R164" s="113">
        <f t="shared" ca="1" si="1558"/>
        <v>275.19999999999993</v>
      </c>
      <c r="S164" s="73">
        <v>27</v>
      </c>
      <c r="T164" s="32">
        <f t="shared" ca="1" si="1561"/>
        <v>275.20026999999993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15">
      <c r="A165" s="101">
        <f t="shared" ca="1" si="1562"/>
        <v>28</v>
      </c>
      <c r="B165" s="111">
        <v>28</v>
      </c>
      <c r="C165" s="71" t="str">
        <f t="shared" ca="1" si="1555"/>
        <v>Conrad</v>
      </c>
      <c r="D165" s="112">
        <f t="shared" ca="1" si="1563"/>
        <v>277.10000000000002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32</v>
      </c>
      <c r="Q165" s="32" t="str">
        <f t="shared" ca="1" si="1557"/>
        <v>Alexander</v>
      </c>
      <c r="R165" s="113">
        <f t="shared" ca="1" si="1558"/>
        <v>273.69999999999993</v>
      </c>
      <c r="S165" s="73">
        <v>28</v>
      </c>
      <c r="T165" s="32">
        <f t="shared" ca="1" si="1561"/>
        <v>273.70027999999991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15">
      <c r="A166" s="101">
        <f t="shared" ca="1" si="1562"/>
        <v>29</v>
      </c>
      <c r="B166" s="111">
        <v>29</v>
      </c>
      <c r="C166" s="71" t="str">
        <f t="shared" ca="1" si="1555"/>
        <v>Helene</v>
      </c>
      <c r="D166" s="112">
        <f t="shared" ca="1" si="1563"/>
        <v>275.39999999999998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6</v>
      </c>
      <c r="Q166" s="32" t="str">
        <f t="shared" ca="1" si="1557"/>
        <v>Severin</v>
      </c>
      <c r="R166" s="113">
        <f t="shared" ca="1" si="1558"/>
        <v>308.09999999999997</v>
      </c>
      <c r="S166" s="73">
        <v>29</v>
      </c>
      <c r="T166" s="32">
        <f t="shared" ca="1" si="1561"/>
        <v>308.10028999999997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15">
      <c r="A167" s="101">
        <f t="shared" ca="1" si="1562"/>
        <v>30</v>
      </c>
      <c r="B167" s="111">
        <v>30</v>
      </c>
      <c r="C167" s="71" t="str">
        <f t="shared" ca="1" si="1555"/>
        <v>Ingrid</v>
      </c>
      <c r="D167" s="112">
        <f t="shared" ca="1" si="1563"/>
        <v>275.19999999999993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15</v>
      </c>
      <c r="Q167" s="32" t="str">
        <f t="shared" ca="1" si="1557"/>
        <v>Xaver</v>
      </c>
      <c r="R167" s="113">
        <f t="shared" ca="1" si="1558"/>
        <v>291.39999999999998</v>
      </c>
      <c r="S167" s="73">
        <v>30</v>
      </c>
      <c r="T167" s="32">
        <f t="shared" ca="1" si="1561"/>
        <v>291.40029999999996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15">
      <c r="A168" s="101">
        <f t="shared" ca="1" si="1562"/>
        <v>31</v>
      </c>
      <c r="B168" s="111">
        <v>31</v>
      </c>
      <c r="C168" s="71" t="str">
        <f t="shared" ca="1" si="1555"/>
        <v>Emma E</v>
      </c>
      <c r="D168" s="112">
        <f t="shared" ca="1" si="1563"/>
        <v>274.69999999999993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2</v>
      </c>
      <c r="Q168" s="32" t="str">
        <f t="shared" ca="1" si="1557"/>
        <v>Arnd</v>
      </c>
      <c r="R168" s="113">
        <f t="shared" ca="1" si="1558"/>
        <v>317.59999999999997</v>
      </c>
      <c r="S168" s="73">
        <v>31</v>
      </c>
      <c r="T168" s="32">
        <f t="shared" ca="1" si="1561"/>
        <v>317.60030999999998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15">
      <c r="A169" s="101">
        <f t="shared" ca="1" si="1562"/>
        <v>32</v>
      </c>
      <c r="B169" s="111">
        <v>32</v>
      </c>
      <c r="C169" s="71" t="str">
        <f t="shared" ca="1" si="1555"/>
        <v>Alexander</v>
      </c>
      <c r="D169" s="112">
        <f t="shared" ca="1" si="1563"/>
        <v>273.69999999999993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20</v>
      </c>
      <c r="Q169" s="32" t="str">
        <f t="shared" ca="1" si="1557"/>
        <v>Tabea</v>
      </c>
      <c r="R169" s="113">
        <f t="shared" ca="1" si="1558"/>
        <v>287.10000000000002</v>
      </c>
      <c r="S169" s="73">
        <v>32</v>
      </c>
      <c r="T169" s="32">
        <f t="shared" ca="1" si="1561"/>
        <v>287.10032000000001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15">
      <c r="A170" s="101">
        <f t="shared" ca="1" si="1562"/>
        <v>33</v>
      </c>
      <c r="B170" s="111">
        <v>33</v>
      </c>
      <c r="C170" s="71" t="str">
        <f t="shared" ca="1" si="1555"/>
        <v>Evi</v>
      </c>
      <c r="D170" s="112">
        <f t="shared" ca="1" si="1563"/>
        <v>271.39999999999998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14</v>
      </c>
      <c r="Q170" s="32" t="str">
        <f t="shared" ref="Q170:Q201" ca="1" si="1567">INDIRECT(N170)</f>
        <v>Paul</v>
      </c>
      <c r="R170" s="113">
        <f t="shared" ref="R170:R201" ca="1" si="1568">INDIRECT(M171)</f>
        <v>292.79999999999995</v>
      </c>
      <c r="S170" s="73">
        <v>33</v>
      </c>
      <c r="T170" s="32">
        <f t="shared" ca="1" si="1561"/>
        <v>292.80032999999997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15">
      <c r="A171" s="101">
        <f t="shared" ca="1" si="1562"/>
        <v>34</v>
      </c>
      <c r="B171" s="111">
        <v>34</v>
      </c>
      <c r="C171" s="71" t="str">
        <f t="shared" ca="1" si="1555"/>
        <v>Sandra</v>
      </c>
      <c r="D171" s="112">
        <f t="shared" ca="1" si="1563"/>
        <v>270.39999999999998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67</v>
      </c>
      <c r="Q171" s="32" t="str">
        <f t="shared" ca="1" si="1567"/>
        <v>Lou</v>
      </c>
      <c r="R171" s="113">
        <f t="shared" ca="1" si="1568"/>
        <v>200.99999999999994</v>
      </c>
      <c r="S171" s="73">
        <v>34</v>
      </c>
      <c r="T171" s="32">
        <f t="shared" ca="1" si="1561"/>
        <v>201.00033999999994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15">
      <c r="A172" s="101">
        <f t="shared" ca="1" si="1562"/>
        <v>35</v>
      </c>
      <c r="B172" s="111">
        <v>35</v>
      </c>
      <c r="C172" s="71" t="str">
        <f t="shared" ca="1" si="1555"/>
        <v>Vroni</v>
      </c>
      <c r="D172" s="112">
        <f t="shared" ca="1" si="1563"/>
        <v>270.29999999999995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41</v>
      </c>
      <c r="Q172" s="32" t="str">
        <f t="shared" ca="1" si="1567"/>
        <v>Valentin</v>
      </c>
      <c r="R172" s="113">
        <f t="shared" ca="1" si="1568"/>
        <v>266.09999999999997</v>
      </c>
      <c r="S172" s="73">
        <v>35</v>
      </c>
      <c r="T172" s="32">
        <f t="shared" ca="1" si="1561"/>
        <v>266.10034999999999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15">
      <c r="A173" s="101">
        <f t="shared" ca="1" si="1562"/>
        <v>36</v>
      </c>
      <c r="B173" s="111">
        <v>36</v>
      </c>
      <c r="C173" s="71" t="str">
        <f t="shared" ca="1" si="1555"/>
        <v>Nuria</v>
      </c>
      <c r="D173" s="112">
        <f t="shared" ca="1" si="1563"/>
        <v>269.7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9</v>
      </c>
      <c r="Q173" s="32" t="str">
        <f t="shared" ca="1" si="1567"/>
        <v>Evelyn</v>
      </c>
      <c r="R173" s="113">
        <f t="shared" ca="1" si="1568"/>
        <v>304.2999999999999</v>
      </c>
      <c r="S173" s="73">
        <v>36</v>
      </c>
      <c r="T173" s="32">
        <f t="shared" ca="1" si="1561"/>
        <v>304.3003599999999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15">
      <c r="A174" s="101">
        <f t="shared" ca="1" si="1562"/>
        <v>37</v>
      </c>
      <c r="B174" s="111">
        <v>37</v>
      </c>
      <c r="C174" s="71" t="str">
        <f t="shared" ca="1" si="1555"/>
        <v>Peter</v>
      </c>
      <c r="D174" s="112">
        <f t="shared" ca="1" si="1563"/>
        <v>268.89999999999998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25</v>
      </c>
      <c r="Q174" s="32" t="str">
        <f t="shared" ca="1" si="1567"/>
        <v>Carsten</v>
      </c>
      <c r="R174" s="113">
        <f t="shared" ca="1" si="1568"/>
        <v>280.10000000000002</v>
      </c>
      <c r="S174" s="73">
        <v>37</v>
      </c>
      <c r="T174" s="32">
        <f t="shared" ca="1" si="1561"/>
        <v>280.10037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15">
      <c r="A175" s="101">
        <f t="shared" ca="1" si="1562"/>
        <v>38</v>
      </c>
      <c r="B175" s="111">
        <v>38</v>
      </c>
      <c r="C175" s="71" t="str">
        <f t="shared" ca="1" si="1555"/>
        <v>Claudia B</v>
      </c>
      <c r="D175" s="112">
        <f t="shared" ca="1" si="1563"/>
        <v>268.39999999999998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36</v>
      </c>
      <c r="Q175" s="32" t="str">
        <f t="shared" ca="1" si="1567"/>
        <v>Nuria</v>
      </c>
      <c r="R175" s="113">
        <f t="shared" ca="1" si="1568"/>
        <v>269.7</v>
      </c>
      <c r="S175" s="73">
        <v>38</v>
      </c>
      <c r="T175" s="32">
        <f t="shared" ca="1" si="1561"/>
        <v>269.70038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15">
      <c r="A176" s="101">
        <f t="shared" ca="1" si="1562"/>
        <v>39</v>
      </c>
      <c r="B176" s="111">
        <v>39</v>
      </c>
      <c r="C176" s="71" t="str">
        <f t="shared" ca="1" si="1555"/>
        <v>Marlene</v>
      </c>
      <c r="D176" s="112">
        <f t="shared" ca="1" si="1563"/>
        <v>268.29999999999995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40</v>
      </c>
      <c r="Q176" s="32" t="str">
        <f t="shared" ca="1" si="1567"/>
        <v>Joseph</v>
      </c>
      <c r="R176" s="113">
        <f t="shared" ca="1" si="1568"/>
        <v>267</v>
      </c>
      <c r="S176" s="73">
        <v>39</v>
      </c>
      <c r="T176" s="32">
        <f t="shared" ca="1" si="1561"/>
        <v>267.00038999999998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15">
      <c r="A177" s="101">
        <f t="shared" ca="1" si="1562"/>
        <v>40</v>
      </c>
      <c r="B177" s="111">
        <v>40</v>
      </c>
      <c r="C177" s="71" t="str">
        <f t="shared" ca="1" si="1555"/>
        <v>Joseph</v>
      </c>
      <c r="D177" s="112">
        <f t="shared" ca="1" si="1563"/>
        <v>267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48</v>
      </c>
      <c r="Q177" s="32" t="str">
        <f t="shared" ca="1" si="1567"/>
        <v>Sören</v>
      </c>
      <c r="R177" s="113">
        <f t="shared" ca="1" si="1568"/>
        <v>259.20000000000005</v>
      </c>
      <c r="S177" s="73">
        <v>40</v>
      </c>
      <c r="T177" s="32">
        <f t="shared" ca="1" si="1561"/>
        <v>259.20040000000006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15">
      <c r="A178" s="101">
        <f t="shared" ca="1" si="1562"/>
        <v>41</v>
      </c>
      <c r="B178" s="111">
        <v>41</v>
      </c>
      <c r="C178" s="71" t="str">
        <f t="shared" ca="1" si="1555"/>
        <v>Valentin</v>
      </c>
      <c r="D178" s="112">
        <f t="shared" ca="1" si="1563"/>
        <v>266.09999999999997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27</v>
      </c>
      <c r="Q178" s="32" t="str">
        <f t="shared" ca="1" si="1567"/>
        <v>Marietta</v>
      </c>
      <c r="R178" s="113">
        <f t="shared" ca="1" si="1568"/>
        <v>277.19999999999993</v>
      </c>
      <c r="S178" s="73">
        <v>41</v>
      </c>
      <c r="T178" s="32">
        <f t="shared" ca="1" si="1561"/>
        <v>277.20040999999992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15">
      <c r="A179" s="101">
        <f t="shared" ca="1" si="1562"/>
        <v>42</v>
      </c>
      <c r="B179" s="111">
        <v>42</v>
      </c>
      <c r="C179" s="71" t="str">
        <f t="shared" ca="1" si="1555"/>
        <v>Uwe</v>
      </c>
      <c r="D179" s="112">
        <f t="shared" ca="1" si="1563"/>
        <v>265.79999999999995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39</v>
      </c>
      <c r="Q179" s="32" t="str">
        <f t="shared" ca="1" si="1567"/>
        <v>Marlene</v>
      </c>
      <c r="R179" s="113">
        <f t="shared" ca="1" si="1568"/>
        <v>268.29999999999995</v>
      </c>
      <c r="S179" s="73">
        <v>42</v>
      </c>
      <c r="T179" s="32">
        <f t="shared" ca="1" si="1561"/>
        <v>268.30041999999997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15">
      <c r="A180" s="101">
        <f t="shared" ca="1" si="1562"/>
        <v>43</v>
      </c>
      <c r="B180" s="111">
        <v>43</v>
      </c>
      <c r="C180" s="71" t="str">
        <f t="shared" ca="1" si="1555"/>
        <v>Franzi</v>
      </c>
      <c r="D180" s="112">
        <f t="shared" ca="1" si="1563"/>
        <v>265.60000000000002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42</v>
      </c>
      <c r="Q180" s="32" t="str">
        <f t="shared" ca="1" si="1567"/>
        <v>Uwe</v>
      </c>
      <c r="R180" s="113">
        <f t="shared" ca="1" si="1568"/>
        <v>265.79999999999995</v>
      </c>
      <c r="S180" s="73">
        <v>43</v>
      </c>
      <c r="T180" s="32">
        <f t="shared" ca="1" si="1561"/>
        <v>265.80042999999995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15">
      <c r="A181" s="101">
        <f t="shared" ca="1" si="1562"/>
        <v>44</v>
      </c>
      <c r="B181" s="111">
        <v>44</v>
      </c>
      <c r="C181" s="71" t="str">
        <f t="shared" ca="1" si="1555"/>
        <v>Christian</v>
      </c>
      <c r="D181" s="112">
        <f t="shared" ca="1" si="1563"/>
        <v>265.39999999999992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55</v>
      </c>
      <c r="Q181" s="32" t="str">
        <f t="shared" ca="1" si="1567"/>
        <v>Jonathan</v>
      </c>
      <c r="R181" s="113">
        <f t="shared" ca="1" si="1568"/>
        <v>248.3</v>
      </c>
      <c r="S181" s="73">
        <v>44</v>
      </c>
      <c r="T181" s="32">
        <f t="shared" ca="1" si="1561"/>
        <v>248.30044000000001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15">
      <c r="A182" s="101">
        <f t="shared" ca="1" si="1562"/>
        <v>45</v>
      </c>
      <c r="B182" s="111">
        <v>45</v>
      </c>
      <c r="C182" s="71" t="str">
        <f t="shared" ca="1" si="1555"/>
        <v>Claudia F</v>
      </c>
      <c r="D182" s="112">
        <f t="shared" ca="1" si="1563"/>
        <v>263.60000000000002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12</v>
      </c>
      <c r="Q182" s="32" t="str">
        <f t="shared" ca="1" si="1567"/>
        <v>Marius</v>
      </c>
      <c r="R182" s="113">
        <f t="shared" ca="1" si="1568"/>
        <v>293.89999999999998</v>
      </c>
      <c r="S182" s="73">
        <v>45</v>
      </c>
      <c r="T182" s="32">
        <f t="shared" ca="1" si="1561"/>
        <v>293.90044999999998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15">
      <c r="A183" s="101">
        <f t="shared" ca="1" si="1562"/>
        <v>46</v>
      </c>
      <c r="B183" s="111">
        <v>46</v>
      </c>
      <c r="C183" s="71" t="str">
        <f t="shared" ca="1" si="1555"/>
        <v>Kay</v>
      </c>
      <c r="D183" s="112">
        <f t="shared" ca="1" si="1563"/>
        <v>261.5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45</v>
      </c>
      <c r="Q183" s="32" t="str">
        <f t="shared" ca="1" si="1567"/>
        <v>Claudia F</v>
      </c>
      <c r="R183" s="113">
        <f t="shared" ca="1" si="1568"/>
        <v>263.60000000000002</v>
      </c>
      <c r="S183" s="73">
        <v>46</v>
      </c>
      <c r="T183" s="32">
        <f t="shared" ref="T183:T185" ca="1" si="1569">R183+S183/100000</f>
        <v>263.60046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15">
      <c r="A184" s="101">
        <f t="shared" ca="1" si="1562"/>
        <v>47</v>
      </c>
      <c r="B184" s="111">
        <v>47</v>
      </c>
      <c r="C184" s="71" t="str">
        <f t="shared" ca="1" si="1555"/>
        <v>Folker</v>
      </c>
      <c r="D184" s="112">
        <f t="shared" ca="1" si="1563"/>
        <v>259.70000000000005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24</v>
      </c>
      <c r="Q184" s="32" t="str">
        <f t="shared" ca="1" si="1567"/>
        <v>Anton</v>
      </c>
      <c r="R184" s="113">
        <f t="shared" ca="1" si="1568"/>
        <v>282.09999999999997</v>
      </c>
      <c r="S184" s="73">
        <v>47</v>
      </c>
      <c r="T184" s="32">
        <f t="shared" ca="1" si="1569"/>
        <v>282.10046999999997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15">
      <c r="A185" s="101">
        <f t="shared" ca="1" si="1562"/>
        <v>48</v>
      </c>
      <c r="B185" s="111">
        <v>48</v>
      </c>
      <c r="C185" s="71" t="str">
        <f t="shared" ca="1" si="1555"/>
        <v>Sören</v>
      </c>
      <c r="D185" s="112">
        <f t="shared" ca="1" si="1563"/>
        <v>259.20000000000005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58</v>
      </c>
      <c r="Q185" s="32" t="str">
        <f t="shared" ca="1" si="1567"/>
        <v>Jörg</v>
      </c>
      <c r="R185" s="113">
        <f t="shared" ca="1" si="1568"/>
        <v>237.69999999999996</v>
      </c>
      <c r="S185" s="73">
        <v>48</v>
      </c>
      <c r="T185" s="32">
        <f t="shared" ca="1" si="1569"/>
        <v>237.70047999999997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15">
      <c r="A186" s="101">
        <f t="shared" ca="1" si="1562"/>
        <v>49</v>
      </c>
      <c r="B186" s="111">
        <v>49</v>
      </c>
      <c r="C186" s="71" t="str">
        <f t="shared" ca="1" si="1555"/>
        <v>Mimi</v>
      </c>
      <c r="D186" s="112">
        <f t="shared" ca="1" si="1563"/>
        <v>255.9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23</v>
      </c>
      <c r="Q186" s="32" t="str">
        <f t="shared" ca="1" si="1567"/>
        <v>Nico</v>
      </c>
      <c r="R186" s="113">
        <f t="shared" ca="1" si="1568"/>
        <v>283.59999999999997</v>
      </c>
      <c r="S186" s="73">
        <v>49</v>
      </c>
      <c r="T186" s="32">
        <f t="shared" ref="T186:T188" ca="1" si="1570">R186+S186/100000</f>
        <v>283.60048999999998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15">
      <c r="A187" s="101">
        <f t="shared" ca="1" si="1562"/>
        <v>50</v>
      </c>
      <c r="B187" s="111">
        <v>50</v>
      </c>
      <c r="C187" s="71" t="str">
        <f t="shared" ca="1" si="1555"/>
        <v>Johanna</v>
      </c>
      <c r="D187" s="112">
        <f t="shared" ca="1" si="1563"/>
        <v>254.5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33</v>
      </c>
      <c r="Q187" s="32" t="str">
        <f t="shared" ca="1" si="1567"/>
        <v>Evi</v>
      </c>
      <c r="R187" s="113">
        <f t="shared" ca="1" si="1568"/>
        <v>271.39999999999998</v>
      </c>
      <c r="S187" s="73">
        <v>50</v>
      </c>
      <c r="T187" s="32">
        <f t="shared" ca="1" si="1570"/>
        <v>271.40049999999997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15">
      <c r="A188" s="101">
        <f t="shared" ca="1" si="1562"/>
        <v>51</v>
      </c>
      <c r="B188" s="111">
        <v>51</v>
      </c>
      <c r="C188" s="71" t="str">
        <f t="shared" ca="1" si="1555"/>
        <v>Andrea</v>
      </c>
      <c r="D188" s="112">
        <f t="shared" ca="1" si="1563"/>
        <v>252.99999999999994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18</v>
      </c>
      <c r="Q188" s="32" t="str">
        <f t="shared" ca="1" si="1567"/>
        <v>Valentina</v>
      </c>
      <c r="R188" s="113">
        <f t="shared" ca="1" si="1568"/>
        <v>288.49999999999994</v>
      </c>
      <c r="S188" s="73">
        <v>51</v>
      </c>
      <c r="T188" s="32">
        <f t="shared" ca="1" si="1570"/>
        <v>288.50050999999996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15">
      <c r="A189" s="101">
        <f t="shared" ca="1" si="1562"/>
        <v>52</v>
      </c>
      <c r="B189" s="111">
        <v>52</v>
      </c>
      <c r="C189" s="71" t="str">
        <f t="shared" ca="1" si="1555"/>
        <v>Kere</v>
      </c>
      <c r="D189" s="112">
        <f t="shared" ca="1" si="1563"/>
        <v>252.4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64</v>
      </c>
      <c r="Q189" s="32" t="str">
        <f t="shared" ca="1" si="1567"/>
        <v>Rebecca</v>
      </c>
      <c r="R189" s="113">
        <f t="shared" ca="1" si="1568"/>
        <v>212.2</v>
      </c>
      <c r="S189" s="73">
        <v>52</v>
      </c>
      <c r="T189" s="32">
        <f t="shared" ref="T189:T191" ca="1" si="1571">R189+S189/100000</f>
        <v>212.20051999999998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15">
      <c r="A190" s="101">
        <f t="shared" ca="1" si="1562"/>
        <v>53</v>
      </c>
      <c r="B190" s="111">
        <v>53</v>
      </c>
      <c r="C190" s="71" t="str">
        <f t="shared" ca="1" si="1555"/>
        <v>Jens</v>
      </c>
      <c r="D190" s="112">
        <f t="shared" ca="1" si="1563"/>
        <v>251.99999999999997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66</v>
      </c>
      <c r="Q190" s="32" t="str">
        <f t="shared" ca="1" si="1567"/>
        <v>Lucian</v>
      </c>
      <c r="R190" s="113">
        <f t="shared" ca="1" si="1568"/>
        <v>207.49999999999994</v>
      </c>
      <c r="S190" s="73">
        <v>53</v>
      </c>
      <c r="T190" s="32">
        <f t="shared" ca="1" si="1571"/>
        <v>207.50052999999994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15">
      <c r="A191" s="101">
        <f t="shared" ca="1" si="1562"/>
        <v>54</v>
      </c>
      <c r="B191" s="111">
        <v>54</v>
      </c>
      <c r="C191" s="71" t="str">
        <f t="shared" ca="1" si="1555"/>
        <v>Tina</v>
      </c>
      <c r="D191" s="112">
        <f t="shared" ca="1" si="1563"/>
        <v>250.99999999999994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34</v>
      </c>
      <c r="Q191" s="32" t="str">
        <f t="shared" ca="1" si="1567"/>
        <v>Sandra</v>
      </c>
      <c r="R191" s="113">
        <f t="shared" ca="1" si="1568"/>
        <v>270.39999999999998</v>
      </c>
      <c r="S191" s="73">
        <v>54</v>
      </c>
      <c r="T191" s="32">
        <f t="shared" ca="1" si="1571"/>
        <v>270.40053999999998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15">
      <c r="A192" s="101">
        <f t="shared" ca="1" si="1562"/>
        <v>55</v>
      </c>
      <c r="B192" s="111">
        <v>55</v>
      </c>
      <c r="C192" s="71" t="str">
        <f t="shared" ca="1" si="1555"/>
        <v>Jonathan</v>
      </c>
      <c r="D192" s="112">
        <f t="shared" ca="1" si="1563"/>
        <v>248.3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5</v>
      </c>
      <c r="Q192" s="32" t="str">
        <f t="shared" ca="1" si="1567"/>
        <v>Jochen</v>
      </c>
      <c r="R192" s="113">
        <f t="shared" ca="1" si="1568"/>
        <v>312.2</v>
      </c>
      <c r="S192" s="73">
        <v>55</v>
      </c>
      <c r="T192" s="32">
        <f t="shared" ref="T192:T204" ca="1" si="1572">R192+S192/100000</f>
        <v>312.20054999999996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15">
      <c r="A193" s="101">
        <f t="shared" ca="1" si="1562"/>
        <v>56</v>
      </c>
      <c r="B193" s="111">
        <v>56</v>
      </c>
      <c r="C193" s="71" t="str">
        <f t="shared" ca="1" si="1555"/>
        <v>Pascal</v>
      </c>
      <c r="D193" s="112">
        <f t="shared" ca="1" si="1563"/>
        <v>247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53</v>
      </c>
      <c r="Q193" s="32" t="str">
        <f t="shared" ca="1" si="1567"/>
        <v>Jens</v>
      </c>
      <c r="R193" s="113">
        <f t="shared" ca="1" si="1568"/>
        <v>251.99999999999997</v>
      </c>
      <c r="S193" s="73">
        <v>56</v>
      </c>
      <c r="T193" s="32">
        <f t="shared" ca="1" si="1572"/>
        <v>252.00055999999998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15">
      <c r="A194" s="101">
        <f t="shared" ca="1" si="1562"/>
        <v>57</v>
      </c>
      <c r="B194" s="111">
        <v>57</v>
      </c>
      <c r="C194" s="71" t="str">
        <f t="shared" ca="1" si="1555"/>
        <v>Martina</v>
      </c>
      <c r="D194" s="112">
        <f t="shared" ca="1" si="1563"/>
        <v>244.39999999999998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16</v>
      </c>
      <c r="Q194" s="32" t="str">
        <f t="shared" ca="1" si="1567"/>
        <v>Emma H</v>
      </c>
      <c r="R194" s="113">
        <f t="shared" ca="1" si="1568"/>
        <v>289.19999999999993</v>
      </c>
      <c r="S194" s="73">
        <v>57</v>
      </c>
      <c r="T194" s="32">
        <f t="shared" ca="1" si="1572"/>
        <v>289.20056999999991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15">
      <c r="A195" s="101">
        <f t="shared" ca="1" si="1562"/>
        <v>58</v>
      </c>
      <c r="B195" s="111">
        <v>58</v>
      </c>
      <c r="C195" s="71" t="str">
        <f t="shared" ca="1" si="1555"/>
        <v>Jörg</v>
      </c>
      <c r="D195" s="112">
        <f t="shared" ca="1" si="1563"/>
        <v>237.69999999999996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59</v>
      </c>
      <c r="Q195" s="32" t="str">
        <f t="shared" ca="1" si="1567"/>
        <v>Luise</v>
      </c>
      <c r="R195" s="113">
        <f t="shared" ca="1" si="1568"/>
        <v>236.49999999999997</v>
      </c>
      <c r="S195" s="73">
        <v>58</v>
      </c>
      <c r="T195" s="32">
        <f t="shared" ca="1" si="1572"/>
        <v>236.50057999999999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15">
      <c r="A196" s="101">
        <f t="shared" ca="1" si="1562"/>
        <v>59</v>
      </c>
      <c r="B196" s="111">
        <v>59</v>
      </c>
      <c r="C196" s="71" t="str">
        <f t="shared" ca="1" si="1555"/>
        <v>Luise</v>
      </c>
      <c r="D196" s="112">
        <f t="shared" ca="1" si="1563"/>
        <v>236.49999999999997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19</v>
      </c>
      <c r="Q196" s="32" t="str">
        <f t="shared" ca="1" si="1567"/>
        <v>Frank</v>
      </c>
      <c r="R196" s="113">
        <f t="shared" ca="1" si="1568"/>
        <v>288.2</v>
      </c>
      <c r="S196" s="73">
        <v>59</v>
      </c>
      <c r="T196" s="32">
        <f t="shared" ca="1" si="1572"/>
        <v>288.20058999999998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15">
      <c r="A197" s="101">
        <f t="shared" ca="1" si="1562"/>
        <v>60</v>
      </c>
      <c r="B197" s="111">
        <v>60</v>
      </c>
      <c r="C197" s="71" t="str">
        <f t="shared" ca="1" si="1555"/>
        <v>Frieda</v>
      </c>
      <c r="D197" s="112">
        <f t="shared" ca="1" si="1563"/>
        <v>228.69999999999996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37</v>
      </c>
      <c r="Q197" s="32" t="str">
        <f t="shared" ca="1" si="1567"/>
        <v>Peter</v>
      </c>
      <c r="R197" s="113">
        <f t="shared" ca="1" si="1568"/>
        <v>268.89999999999998</v>
      </c>
      <c r="S197" s="73">
        <v>60</v>
      </c>
      <c r="T197" s="32">
        <f t="shared" ca="1" si="1572"/>
        <v>268.9006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15">
      <c r="A198" s="101">
        <f t="shared" ca="1" si="1562"/>
        <v>61</v>
      </c>
      <c r="B198" s="111">
        <v>61</v>
      </c>
      <c r="C198" s="71" t="str">
        <f t="shared" ca="1" si="1555"/>
        <v>Julian</v>
      </c>
      <c r="D198" s="112">
        <f t="shared" ca="1" si="1563"/>
        <v>217.49999999999994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11</v>
      </c>
      <c r="Q198" s="32" t="str">
        <f t="shared" ca="1" si="1567"/>
        <v>Tanja</v>
      </c>
      <c r="R198" s="113">
        <f t="shared" ca="1" si="1568"/>
        <v>295.19999999999993</v>
      </c>
      <c r="S198" s="73">
        <v>61</v>
      </c>
      <c r="T198" s="32">
        <f t="shared" ca="1" si="1572"/>
        <v>295.20060999999993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15">
      <c r="A199" s="101">
        <f t="shared" ca="1" si="1562"/>
        <v>62</v>
      </c>
      <c r="B199" s="111">
        <v>62</v>
      </c>
      <c r="C199" s="71" t="str">
        <f t="shared" ca="1" si="1555"/>
        <v>Rosa</v>
      </c>
      <c r="D199" s="112">
        <f t="shared" ca="1" si="1563"/>
        <v>215.39999999999998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57</v>
      </c>
      <c r="Q199" s="32" t="str">
        <f t="shared" ca="1" si="1567"/>
        <v>Martina</v>
      </c>
      <c r="R199" s="113">
        <f t="shared" ca="1" si="1568"/>
        <v>244.39999999999998</v>
      </c>
      <c r="S199" s="73">
        <v>62</v>
      </c>
      <c r="T199" s="32">
        <f t="shared" ca="1" si="1572"/>
        <v>244.40061999999998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15">
      <c r="A200" s="101">
        <f t="shared" ca="1" si="1562"/>
        <v>63</v>
      </c>
      <c r="B200" s="111">
        <v>63</v>
      </c>
      <c r="C200" s="71" t="str">
        <f t="shared" ca="1" si="1555"/>
        <v>Daphne</v>
      </c>
      <c r="D200" s="112">
        <f t="shared" ca="1" si="1563"/>
        <v>214.3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49</v>
      </c>
      <c r="Q200" s="32" t="str">
        <f t="shared" ca="1" si="1567"/>
        <v>Mimi</v>
      </c>
      <c r="R200" s="113">
        <f t="shared" ca="1" si="1568"/>
        <v>255.9</v>
      </c>
      <c r="S200" s="73">
        <v>63</v>
      </c>
      <c r="T200" s="32">
        <f t="shared" ca="1" si="1572"/>
        <v>255.90063000000001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15">
      <c r="A201" s="101">
        <f t="shared" ca="1" si="1562"/>
        <v>64</v>
      </c>
      <c r="B201" s="111">
        <v>64</v>
      </c>
      <c r="C201" s="71" t="str">
        <f t="shared" ca="1" si="1555"/>
        <v>Rebecca</v>
      </c>
      <c r="D201" s="112">
        <f t="shared" ca="1" si="1563"/>
        <v>212.2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17</v>
      </c>
      <c r="Q201" s="32" t="str">
        <f t="shared" ca="1" si="1567"/>
        <v>Ben W</v>
      </c>
      <c r="R201" s="113">
        <f t="shared" ca="1" si="1568"/>
        <v>288.49999999999989</v>
      </c>
      <c r="S201" s="73">
        <v>64</v>
      </c>
      <c r="T201" s="32">
        <f t="shared" ca="1" si="1572"/>
        <v>288.50063999999986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15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Avinash</v>
      </c>
      <c r="D202" s="112">
        <f t="shared" ca="1" si="1563"/>
        <v>208.29999999999998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52</v>
      </c>
      <c r="Q202" s="32" t="str">
        <f t="shared" ref="Q202:Q204" ca="1" si="1574">INDIRECT(N202)</f>
        <v>Kere</v>
      </c>
      <c r="R202" s="113">
        <f t="shared" ref="R202:R204" ca="1" si="1575">INDIRECT(M203)</f>
        <v>252.4</v>
      </c>
      <c r="S202" s="73">
        <v>65</v>
      </c>
      <c r="T202" s="32">
        <f t="shared" ca="1" si="1572"/>
        <v>252.40065000000001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15">
      <c r="A203" s="101">
        <f t="shared" ca="1" si="1562"/>
        <v>66</v>
      </c>
      <c r="B203" s="111">
        <v>66</v>
      </c>
      <c r="C203" s="71" t="str">
        <f t="shared" ca="1" si="1573"/>
        <v>Lucian</v>
      </c>
      <c r="D203" s="112">
        <f t="shared" ca="1" si="1563"/>
        <v>207.49999999999994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60</v>
      </c>
      <c r="Q203" s="32" t="str">
        <f t="shared" ca="1" si="1574"/>
        <v>Frieda</v>
      </c>
      <c r="R203" s="113">
        <f t="shared" ca="1" si="1575"/>
        <v>228.69999999999996</v>
      </c>
      <c r="S203" s="73">
        <v>66</v>
      </c>
      <c r="T203" s="32">
        <f t="shared" ca="1" si="1572"/>
        <v>228.70065999999997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15">
      <c r="A204" s="101">
        <f ca="1">IF(D204=D203,A203,B204)</f>
        <v>67</v>
      </c>
      <c r="B204" s="111">
        <v>67</v>
      </c>
      <c r="C204" s="71" t="str">
        <f t="shared" ca="1" si="1573"/>
        <v>Lou</v>
      </c>
      <c r="D204" s="112">
        <f ca="1">VLOOKUP(B204,$P$138:$R$209,3,0)</f>
        <v>200.99999999999994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15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Albert</v>
      </c>
      <c r="D205" s="112">
        <f t="shared" ref="D205:D208" ca="1" si="1577">VLOOKUP(B205,$P$138:$R$209,3,0)</f>
        <v>180.60000000000002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63</v>
      </c>
      <c r="Q205" s="32" t="str">
        <f t="shared" ref="Q205:Q209" ca="1" si="1579">INDIRECT(N205)</f>
        <v>Daphne</v>
      </c>
      <c r="R205" s="113">
        <f t="shared" ref="R205:R209" ca="1" si="1580">INDIRECT(M206)</f>
        <v>214.3</v>
      </c>
      <c r="S205" s="73">
        <v>68</v>
      </c>
      <c r="T205" s="32">
        <f t="shared" ref="T205:T209" ca="1" si="1581">R205+S205/100000</f>
        <v>214.30068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15">
      <c r="A206" s="101">
        <f t="shared" ca="1" si="1576"/>
        <v>69</v>
      </c>
      <c r="B206" s="111">
        <v>69</v>
      </c>
      <c r="C206" s="71" t="str">
        <f t="shared" ca="1" si="1573"/>
        <v>Alma</v>
      </c>
      <c r="D206" s="112">
        <f t="shared" ca="1" si="1577"/>
        <v>174.9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56</v>
      </c>
      <c r="Q206" s="32" t="str">
        <f t="shared" ca="1" si="1579"/>
        <v>Pascal</v>
      </c>
      <c r="R206" s="113">
        <f t="shared" ca="1" si="1580"/>
        <v>247</v>
      </c>
      <c r="S206" s="73">
        <v>69</v>
      </c>
      <c r="T206" s="32">
        <f t="shared" ca="1" si="1581"/>
        <v>247.00068999999999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15">
      <c r="A207" s="101">
        <f t="shared" ca="1" si="1576"/>
        <v>70</v>
      </c>
      <c r="B207" s="111">
        <v>70</v>
      </c>
      <c r="C207" s="71" t="str">
        <f t="shared" ca="1" si="1573"/>
        <v>Kohls</v>
      </c>
      <c r="D207" s="112">
        <f t="shared" ca="1" si="1577"/>
        <v>150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62</v>
      </c>
      <c r="Q207" s="32" t="str">
        <f t="shared" ca="1" si="1579"/>
        <v>Rosa</v>
      </c>
      <c r="R207" s="113">
        <f t="shared" ca="1" si="1580"/>
        <v>215.39999999999998</v>
      </c>
      <c r="S207" s="73">
        <v>70</v>
      </c>
      <c r="T207" s="32">
        <f t="shared" ca="1" si="1581"/>
        <v>215.40069999999997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15">
      <c r="A208" s="101">
        <f t="shared" ca="1" si="1576"/>
        <v>71</v>
      </c>
      <c r="B208" s="111">
        <v>71</v>
      </c>
      <c r="C208" s="71" t="str">
        <f t="shared" ca="1" si="1573"/>
        <v>Börn</v>
      </c>
      <c r="D208" s="112">
        <f t="shared" ca="1" si="1577"/>
        <v>147.6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69</v>
      </c>
      <c r="Q208" s="32" t="str">
        <f t="shared" ca="1" si="1579"/>
        <v>Alma</v>
      </c>
      <c r="R208" s="113">
        <f t="shared" ca="1" si="1580"/>
        <v>174.9</v>
      </c>
      <c r="S208" s="73">
        <v>71</v>
      </c>
      <c r="T208" s="32">
        <f t="shared" ca="1" si="1581"/>
        <v>174.90071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15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65</v>
      </c>
      <c r="Q209" s="32" t="str">
        <f t="shared" ca="1" si="1579"/>
        <v>Avinash</v>
      </c>
      <c r="R209" s="113">
        <f t="shared" ca="1" si="1580"/>
        <v>208.29999999999998</v>
      </c>
      <c r="S209" s="73">
        <v>72</v>
      </c>
      <c r="T209" s="32">
        <f t="shared" ca="1" si="1581"/>
        <v>208.30071999999998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 x14ac:dyDescent="0.2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15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15">
      <c r="A212" s="89">
        <v>1</v>
      </c>
      <c r="B212" s="90">
        <v>1</v>
      </c>
      <c r="C212" s="91" t="str">
        <f t="shared" ref="C212:C224" si="1582">VLOOKUP(B212,$X$138:$Z$152,2,0)</f>
        <v>Fam. Caspary</v>
      </c>
      <c r="D212" s="92">
        <f>VLOOKUP(B212,$X$138:$Z$152,3,0)</f>
        <v>307.77499999999998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15">
      <c r="A213" s="93">
        <f t="shared" ref="A213:A219" si="1583">IF(D213=D212,A212,B213)</f>
        <v>2</v>
      </c>
      <c r="B213" s="94">
        <v>2</v>
      </c>
      <c r="C213" s="95" t="str">
        <f t="shared" si="1582"/>
        <v>Fam. Klesbiehl</v>
      </c>
      <c r="D213" s="96">
        <f t="shared" ref="D213:D224" si="1584">VLOOKUP(B213,$X$138:$Z$152,3,0)</f>
        <v>296.39999999999992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15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280.74999999999994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15">
      <c r="A215" s="101">
        <f t="shared" si="1583"/>
        <v>4</v>
      </c>
      <c r="B215" s="74">
        <v>4</v>
      </c>
      <c r="C215" s="71" t="str">
        <f t="shared" si="1582"/>
        <v>Fam. Baum</v>
      </c>
      <c r="D215" s="102">
        <f t="shared" si="1584"/>
        <v>276.85999999999996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15">
      <c r="A216" s="101">
        <f t="shared" si="1583"/>
        <v>5</v>
      </c>
      <c r="B216" s="74">
        <v>5</v>
      </c>
      <c r="C216" s="71" t="str">
        <f t="shared" si="1582"/>
        <v>Manzambi Beimer</v>
      </c>
      <c r="D216" s="102">
        <f t="shared" si="1584"/>
        <v>267.93333333333334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15">
      <c r="A217" s="101">
        <f t="shared" si="1583"/>
        <v>6</v>
      </c>
      <c r="B217" s="74">
        <v>6</v>
      </c>
      <c r="C217" s="71" t="str">
        <f t="shared" si="1582"/>
        <v>Fam. Brockamp</v>
      </c>
      <c r="D217" s="102">
        <f t="shared" si="1584"/>
        <v>267.625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15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264.23333333333329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15">
      <c r="A219" s="103">
        <f t="shared" si="1583"/>
        <v>8</v>
      </c>
      <c r="B219" s="74">
        <v>8</v>
      </c>
      <c r="C219" s="71" t="str">
        <f t="shared" si="1582"/>
        <v>Fam. Bieling</v>
      </c>
      <c r="D219" s="102">
        <f t="shared" si="1584"/>
        <v>263.625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15">
      <c r="A220" s="103">
        <f>IF(D220=D219,A219,B220)</f>
        <v>9</v>
      </c>
      <c r="B220" s="74">
        <v>9</v>
      </c>
      <c r="C220" s="71" t="str">
        <f t="shared" si="1582"/>
        <v>Fam. Weiher</v>
      </c>
      <c r="D220" s="102">
        <f t="shared" si="1584"/>
        <v>260.82499999999993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15">
      <c r="A221" s="103">
        <f>IF(D221=D220,A220,B221)</f>
        <v>10</v>
      </c>
      <c r="B221" s="74">
        <v>10</v>
      </c>
      <c r="C221" s="71" t="str">
        <f t="shared" si="1582"/>
        <v>Fam. Schulz</v>
      </c>
      <c r="D221" s="102">
        <f t="shared" si="1584"/>
        <v>258.42499999999995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15">
      <c r="A222" s="103">
        <f>IF(D222=D221,A221,B222)</f>
        <v>11</v>
      </c>
      <c r="B222" s="74">
        <v>11</v>
      </c>
      <c r="C222" s="71" t="str">
        <f t="shared" si="1582"/>
        <v>Fam. Hofmann</v>
      </c>
      <c r="D222" s="102">
        <f t="shared" si="1584"/>
        <v>251.69999999999996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15">
      <c r="A223" s="103">
        <f>IF(D223=D222,A222,B223)</f>
        <v>12</v>
      </c>
      <c r="B223" s="74">
        <v>12</v>
      </c>
      <c r="C223" s="71" t="str">
        <f t="shared" si="1582"/>
        <v>Fam. Hitzfeld</v>
      </c>
      <c r="D223" s="102">
        <f t="shared" si="1584"/>
        <v>228.19999999999996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15">
      <c r="A224" s="103">
        <f t="shared" ref="A224" si="1585">IF(D224=D223,A223,B224)</f>
        <v>13</v>
      </c>
      <c r="B224" s="74">
        <v>13</v>
      </c>
      <c r="C224" s="71" t="str">
        <f t="shared" si="1582"/>
        <v>Fam. Keilmann</v>
      </c>
      <c r="D224" s="102">
        <f t="shared" si="1584"/>
        <v>211.97999999999996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 x14ac:dyDescent="0.2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204.14999999999998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15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15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15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15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15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15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15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15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15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15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15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15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15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15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15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15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15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15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15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15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15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15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15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15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15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15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15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15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15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15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15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15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15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15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15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15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15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15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15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15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15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15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15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15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15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15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15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15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15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15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15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15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15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15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15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15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15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15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15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15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15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15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15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15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WrhqCJ1Wd58aI4Bc2UrSpG2J95WequikROr/NQFwNoV3o2EJ+4rnINxiEwFlvyEHJzC1teJAGf2Qt5PL0uySgg==" saltValue="sj0DYYxoNMEsP2HJnjZZkQ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2026-07-09T22:34:41Z</dcterms:modified>
</cp:coreProperties>
</file>