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73D1B01A-6E90-5248-8E5B-9442E11EB04B}" xr6:coauthVersionLast="47" xr6:coauthVersionMax="47" xr10:uidLastSave="{00000000-0000-0000-0000-000000000000}"/>
  <bookViews>
    <workbookView xWindow="2680" yWindow="2300" windowWidth="34840" windowHeight="1796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Q103" i="2"/>
  <c r="SR102" i="2"/>
  <c r="SQ102" i="2"/>
  <c r="SR101" i="2"/>
  <c r="SQ101" i="2"/>
  <c r="SR100" i="2"/>
  <c r="SQ100" i="2"/>
  <c r="SR97" i="2"/>
  <c r="SQ97" i="2"/>
  <c r="SR96" i="2"/>
  <c r="SQ96" i="2"/>
  <c r="SR95" i="2"/>
  <c r="SQ95" i="2"/>
  <c r="SR94" i="2"/>
  <c r="SQ94" i="2"/>
  <c r="SR93" i="2"/>
  <c r="SQ93" i="2"/>
  <c r="SR92" i="2"/>
  <c r="SQ92" i="2"/>
  <c r="SR91" i="2"/>
  <c r="SQ91" i="2"/>
  <c r="SR90" i="2"/>
  <c r="SQ90" i="2"/>
  <c r="SR89" i="2"/>
  <c r="SQ89" i="2"/>
  <c r="SR88" i="2"/>
  <c r="SQ88" i="2"/>
  <c r="SR87" i="2"/>
  <c r="SQ87" i="2"/>
  <c r="SR86" i="2"/>
  <c r="SQ86" i="2"/>
  <c r="SR85" i="2"/>
  <c r="SQ85" i="2"/>
  <c r="SR84" i="2"/>
  <c r="SQ84" i="2"/>
  <c r="SR83" i="2"/>
  <c r="SQ83" i="2"/>
  <c r="SR82" i="2"/>
  <c r="SR79" i="2"/>
  <c r="SR78" i="2"/>
  <c r="SR77" i="2"/>
  <c r="SR76" i="2"/>
  <c r="SR75" i="2"/>
  <c r="SR74" i="2"/>
  <c r="SR73" i="2"/>
  <c r="SR72" i="2"/>
  <c r="SQ72" i="2"/>
  <c r="SR71" i="2"/>
  <c r="SR70" i="2"/>
  <c r="SR69" i="2"/>
  <c r="SR68" i="2"/>
  <c r="SR67" i="2"/>
  <c r="SR66" i="2"/>
  <c r="SR65" i="2"/>
  <c r="SR64" i="2"/>
  <c r="SR63" i="2"/>
  <c r="SR62" i="2"/>
  <c r="SR61" i="2"/>
  <c r="SR60" i="2"/>
  <c r="SR59" i="2"/>
  <c r="SR58" i="2"/>
  <c r="SR57" i="2"/>
  <c r="SR56" i="2"/>
  <c r="SQ56" i="2"/>
  <c r="SR54" i="2"/>
  <c r="SR53" i="2"/>
  <c r="SR52" i="2"/>
  <c r="SR51" i="2"/>
  <c r="SR50" i="2"/>
  <c r="SQ50" i="2"/>
  <c r="SR49" i="2"/>
  <c r="SR48" i="2"/>
  <c r="SQ48" i="2"/>
  <c r="SR47" i="2"/>
  <c r="SR46" i="2"/>
  <c r="SR45" i="2"/>
  <c r="SR44" i="2"/>
  <c r="SR43" i="2"/>
  <c r="SR42" i="2"/>
  <c r="SR41" i="2"/>
  <c r="SR40" i="2"/>
  <c r="SR39" i="2"/>
  <c r="SR38" i="2"/>
  <c r="SR37" i="2"/>
  <c r="SR36" i="2"/>
  <c r="SR35" i="2"/>
  <c r="SR34" i="2"/>
  <c r="SR33" i="2"/>
  <c r="SR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J103" i="2"/>
  <c r="SD103" i="2"/>
  <c r="SC103" i="2"/>
  <c r="RW103" i="2"/>
  <c r="RV103" i="2"/>
  <c r="RP103" i="2"/>
  <c r="RO103" i="2"/>
  <c r="SK102" i="2"/>
  <c r="SJ102" i="2"/>
  <c r="SD102" i="2"/>
  <c r="SC102" i="2"/>
  <c r="RW102" i="2"/>
  <c r="RV102" i="2"/>
  <c r="RP102" i="2"/>
  <c r="RO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J97" i="2"/>
  <c r="SD97" i="2"/>
  <c r="SC97" i="2"/>
  <c r="RW97" i="2"/>
  <c r="RV97" i="2"/>
  <c r="RP97" i="2"/>
  <c r="RO97" i="2"/>
  <c r="SK96" i="2"/>
  <c r="SJ96" i="2"/>
  <c r="SD96" i="2"/>
  <c r="SC96" i="2"/>
  <c r="RW96" i="2"/>
  <c r="RV96" i="2"/>
  <c r="RP96" i="2"/>
  <c r="RO96" i="2"/>
  <c r="SK95" i="2"/>
  <c r="SJ95" i="2"/>
  <c r="SD95" i="2"/>
  <c r="SC95" i="2"/>
  <c r="RW95" i="2"/>
  <c r="RV95" i="2"/>
  <c r="RP95" i="2"/>
  <c r="RO95" i="2"/>
  <c r="SK94" i="2"/>
  <c r="SJ94" i="2"/>
  <c r="SD94" i="2"/>
  <c r="SC94" i="2"/>
  <c r="RW94" i="2"/>
  <c r="RV94" i="2"/>
  <c r="RP94" i="2"/>
  <c r="RO94" i="2"/>
  <c r="SK93" i="2"/>
  <c r="SJ93" i="2"/>
  <c r="SD93" i="2"/>
  <c r="SC93" i="2"/>
  <c r="RW93" i="2"/>
  <c r="RV93" i="2"/>
  <c r="RP93" i="2"/>
  <c r="RO93" i="2"/>
  <c r="SK92" i="2"/>
  <c r="SJ92" i="2"/>
  <c r="SD92" i="2"/>
  <c r="SC92" i="2"/>
  <c r="RW92" i="2"/>
  <c r="RV92" i="2"/>
  <c r="RP92" i="2"/>
  <c r="RO92" i="2"/>
  <c r="SK91" i="2"/>
  <c r="SJ91" i="2"/>
  <c r="SD91" i="2"/>
  <c r="SC91" i="2"/>
  <c r="RW91" i="2"/>
  <c r="RV91" i="2"/>
  <c r="RP91" i="2"/>
  <c r="RO91" i="2"/>
  <c r="SK90" i="2"/>
  <c r="SJ90" i="2"/>
  <c r="SD90" i="2"/>
  <c r="SC90" i="2"/>
  <c r="RW90" i="2"/>
  <c r="RV90" i="2"/>
  <c r="RP90" i="2"/>
  <c r="RO90" i="2"/>
  <c r="SK89" i="2"/>
  <c r="SJ89" i="2"/>
  <c r="SD89" i="2"/>
  <c r="SC89" i="2"/>
  <c r="RW89" i="2"/>
  <c r="RV89" i="2"/>
  <c r="RP89" i="2"/>
  <c r="RO89" i="2"/>
  <c r="SK88" i="2"/>
  <c r="SJ88" i="2"/>
  <c r="SD88" i="2"/>
  <c r="SC88" i="2"/>
  <c r="RW88" i="2"/>
  <c r="RV88" i="2"/>
  <c r="RP88" i="2"/>
  <c r="RO88" i="2"/>
  <c r="SK87" i="2"/>
  <c r="SJ87" i="2"/>
  <c r="SD87" i="2"/>
  <c r="SC87" i="2"/>
  <c r="RW87" i="2"/>
  <c r="RV87" i="2"/>
  <c r="RP87" i="2"/>
  <c r="RO87" i="2"/>
  <c r="SK86" i="2"/>
  <c r="SJ86" i="2"/>
  <c r="SD86" i="2"/>
  <c r="SC86" i="2"/>
  <c r="RW86" i="2"/>
  <c r="RV86" i="2"/>
  <c r="RP86" i="2"/>
  <c r="RO86" i="2"/>
  <c r="SK85" i="2"/>
  <c r="SJ85" i="2"/>
  <c r="SD85" i="2"/>
  <c r="SC85" i="2"/>
  <c r="RW85" i="2"/>
  <c r="RV85" i="2"/>
  <c r="RP85" i="2"/>
  <c r="RO85" i="2"/>
  <c r="SK84" i="2"/>
  <c r="SJ84" i="2"/>
  <c r="SD84" i="2"/>
  <c r="SC84" i="2"/>
  <c r="RW84" i="2"/>
  <c r="RV84" i="2"/>
  <c r="RP84" i="2"/>
  <c r="RO84" i="2"/>
  <c r="SK83" i="2"/>
  <c r="SJ83" i="2"/>
  <c r="SD83" i="2"/>
  <c r="SC83" i="2"/>
  <c r="RW83" i="2"/>
  <c r="RV83" i="2"/>
  <c r="RP83" i="2"/>
  <c r="RO83" i="2"/>
  <c r="SK82" i="2"/>
  <c r="SD82" i="2"/>
  <c r="RW82" i="2"/>
  <c r="RV82" i="2"/>
  <c r="RP82" i="2"/>
  <c r="SK79" i="2"/>
  <c r="SD79" i="2"/>
  <c r="RW79" i="2"/>
  <c r="RP79" i="2"/>
  <c r="SK78" i="2"/>
  <c r="SD78" i="2"/>
  <c r="RW78" i="2"/>
  <c r="RP78" i="2"/>
  <c r="SK77" i="2"/>
  <c r="SD77" i="2"/>
  <c r="RW77" i="2"/>
  <c r="RP77" i="2"/>
  <c r="SK76" i="2"/>
  <c r="SD76" i="2"/>
  <c r="RW76" i="2"/>
  <c r="RP76" i="2"/>
  <c r="SK75" i="2"/>
  <c r="SD75" i="2"/>
  <c r="RW75" i="2"/>
  <c r="RP75" i="2"/>
  <c r="SK74" i="2"/>
  <c r="SD74" i="2"/>
  <c r="RW74" i="2"/>
  <c r="RP74" i="2"/>
  <c r="SK73" i="2"/>
  <c r="SD73" i="2"/>
  <c r="RW73" i="2"/>
  <c r="RP73" i="2"/>
  <c r="SK72" i="2"/>
  <c r="SD72" i="2"/>
  <c r="SC72" i="2"/>
  <c r="RW72" i="2"/>
  <c r="RV72" i="2"/>
  <c r="RP72" i="2"/>
  <c r="RO72" i="2"/>
  <c r="SK71" i="2"/>
  <c r="SD71" i="2"/>
  <c r="RW71" i="2"/>
  <c r="RP71" i="2"/>
  <c r="SK70" i="2"/>
  <c r="SD70" i="2"/>
  <c r="RW70" i="2"/>
  <c r="RP70" i="2"/>
  <c r="SK69" i="2"/>
  <c r="SD69" i="2"/>
  <c r="RW69" i="2"/>
  <c r="RP69" i="2"/>
  <c r="SK68" i="2"/>
  <c r="SD68" i="2"/>
  <c r="RW68" i="2"/>
  <c r="RP68" i="2"/>
  <c r="SK67" i="2"/>
  <c r="SD67" i="2"/>
  <c r="RW67" i="2"/>
  <c r="RP67" i="2"/>
  <c r="RO67" i="2"/>
  <c r="SK66" i="2"/>
  <c r="SD66" i="2"/>
  <c r="RW66" i="2"/>
  <c r="RP66" i="2"/>
  <c r="SK65" i="2"/>
  <c r="SD65" i="2"/>
  <c r="RW65" i="2"/>
  <c r="RP65" i="2"/>
  <c r="SK64" i="2"/>
  <c r="SJ64" i="2"/>
  <c r="SD64" i="2"/>
  <c r="SC64" i="2"/>
  <c r="RW64" i="2"/>
  <c r="RV64" i="2"/>
  <c r="RP64" i="2"/>
  <c r="RO64" i="2"/>
  <c r="SK63" i="2"/>
  <c r="SD63" i="2"/>
  <c r="RW63" i="2"/>
  <c r="RP63" i="2"/>
  <c r="SK62" i="2"/>
  <c r="SD62" i="2"/>
  <c r="RW62" i="2"/>
  <c r="RP62" i="2"/>
  <c r="RO62" i="2"/>
  <c r="SK61" i="2"/>
  <c r="SD61" i="2"/>
  <c r="RW61" i="2"/>
  <c r="RP61" i="2"/>
  <c r="SK60" i="2"/>
  <c r="SD60" i="2"/>
  <c r="RW60" i="2"/>
  <c r="RP60" i="2"/>
  <c r="SK59" i="2"/>
  <c r="SD59" i="2"/>
  <c r="RW59" i="2"/>
  <c r="RP59" i="2"/>
  <c r="SK58" i="2"/>
  <c r="SD58" i="2"/>
  <c r="RW58" i="2"/>
  <c r="RP58" i="2"/>
  <c r="SK57" i="2"/>
  <c r="SD57" i="2"/>
  <c r="RW57" i="2"/>
  <c r="RP57" i="2"/>
  <c r="SK56" i="2"/>
  <c r="SD56" i="2"/>
  <c r="RW56" i="2"/>
  <c r="RP56" i="2"/>
  <c r="SK54" i="2"/>
  <c r="SD54" i="2"/>
  <c r="RW54" i="2"/>
  <c r="RP54" i="2"/>
  <c r="SK53" i="2"/>
  <c r="SD53" i="2"/>
  <c r="RW53" i="2"/>
  <c r="RP53" i="2"/>
  <c r="SK52" i="2"/>
  <c r="SD52" i="2"/>
  <c r="RW52" i="2"/>
  <c r="RP52" i="2"/>
  <c r="SK51" i="2"/>
  <c r="SD51" i="2"/>
  <c r="RW51" i="2"/>
  <c r="RP51" i="2"/>
  <c r="SK50" i="2"/>
  <c r="SD50" i="2"/>
  <c r="RW50" i="2"/>
  <c r="RP50" i="2"/>
  <c r="SK49" i="2"/>
  <c r="SD49" i="2"/>
  <c r="RW49" i="2"/>
  <c r="RP49" i="2"/>
  <c r="SK48" i="2"/>
  <c r="SJ48" i="2"/>
  <c r="SD48" i="2"/>
  <c r="SC48" i="2"/>
  <c r="RW48" i="2"/>
  <c r="RV48" i="2"/>
  <c r="RP48" i="2"/>
  <c r="SK47" i="2"/>
  <c r="SD47" i="2"/>
  <c r="RW47" i="2"/>
  <c r="RP47" i="2"/>
  <c r="SK46" i="2"/>
  <c r="SD46" i="2"/>
  <c r="RW46" i="2"/>
  <c r="RP46" i="2"/>
  <c r="SK45" i="2"/>
  <c r="SD45" i="2"/>
  <c r="RW45" i="2"/>
  <c r="RP45" i="2"/>
  <c r="SK44" i="2"/>
  <c r="SD44" i="2"/>
  <c r="RW44" i="2"/>
  <c r="RP44" i="2"/>
  <c r="SK43" i="2"/>
  <c r="SD43" i="2"/>
  <c r="RW43" i="2"/>
  <c r="RP43" i="2"/>
  <c r="SK42" i="2"/>
  <c r="SD42" i="2"/>
  <c r="RW42" i="2"/>
  <c r="RP42" i="2"/>
  <c r="SK41" i="2"/>
  <c r="SD41" i="2"/>
  <c r="RW41" i="2"/>
  <c r="RP41" i="2"/>
  <c r="SK40" i="2"/>
  <c r="SD40" i="2"/>
  <c r="RW40" i="2"/>
  <c r="RP40" i="2"/>
  <c r="SK39" i="2"/>
  <c r="SD39" i="2"/>
  <c r="RW39" i="2"/>
  <c r="RP39" i="2"/>
  <c r="SK38" i="2"/>
  <c r="SD38" i="2"/>
  <c r="RW38" i="2"/>
  <c r="RP38" i="2"/>
  <c r="SK37" i="2"/>
  <c r="SD37" i="2"/>
  <c r="RW37" i="2"/>
  <c r="RP37" i="2"/>
  <c r="SK36" i="2"/>
  <c r="SD36" i="2"/>
  <c r="RW36" i="2"/>
  <c r="RP36" i="2"/>
  <c r="SK35" i="2"/>
  <c r="SD35" i="2"/>
  <c r="RW35" i="2"/>
  <c r="RP35" i="2"/>
  <c r="SK34" i="2"/>
  <c r="SD34" i="2"/>
  <c r="RW34" i="2"/>
  <c r="RP34" i="2"/>
  <c r="SK33" i="2"/>
  <c r="SD33" i="2"/>
  <c r="RW33" i="2"/>
  <c r="RP33" i="2"/>
  <c r="SK32" i="2"/>
  <c r="SD32" i="2"/>
  <c r="RW32" i="2"/>
  <c r="RP32" i="2"/>
  <c r="SK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48" i="2"/>
  <c r="PD50" i="2"/>
  <c r="PD56" i="2"/>
  <c r="PD70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M103" i="2"/>
  <c r="QG103" i="2"/>
  <c r="QF103" i="2"/>
  <c r="PZ103" i="2"/>
  <c r="PY103" i="2"/>
  <c r="PS103" i="2"/>
  <c r="PR103" i="2"/>
  <c r="RI102" i="2"/>
  <c r="RH102" i="2"/>
  <c r="RB102" i="2"/>
  <c r="RA102" i="2"/>
  <c r="QU102" i="2"/>
  <c r="QT102" i="2"/>
  <c r="QN102" i="2"/>
  <c r="QM102" i="2"/>
  <c r="QG102" i="2"/>
  <c r="QF102" i="2"/>
  <c r="PZ102" i="2"/>
  <c r="PY102" i="2"/>
  <c r="PS102" i="2"/>
  <c r="PR102" i="2"/>
  <c r="RI101" i="2"/>
  <c r="RH101" i="2"/>
  <c r="RB101" i="2"/>
  <c r="RA101" i="2"/>
  <c r="QU101" i="2"/>
  <c r="QT101" i="2"/>
  <c r="QN101" i="2"/>
  <c r="QM101" i="2"/>
  <c r="QG101" i="2"/>
  <c r="QF101" i="2"/>
  <c r="PZ101" i="2"/>
  <c r="PY101" i="2"/>
  <c r="PS101" i="2"/>
  <c r="PR101" i="2"/>
  <c r="RI100" i="2"/>
  <c r="RH100" i="2"/>
  <c r="RB100" i="2"/>
  <c r="RA100" i="2"/>
  <c r="QU100" i="2"/>
  <c r="QT100" i="2"/>
  <c r="QN100" i="2"/>
  <c r="QM100" i="2"/>
  <c r="QG100" i="2"/>
  <c r="QF100" i="2"/>
  <c r="PZ100" i="2"/>
  <c r="PY100" i="2"/>
  <c r="PS100" i="2"/>
  <c r="PR100" i="2"/>
  <c r="RI97" i="2"/>
  <c r="RH97" i="2"/>
  <c r="RB97" i="2"/>
  <c r="RA97" i="2"/>
  <c r="QU97" i="2"/>
  <c r="QT97" i="2"/>
  <c r="QN97" i="2"/>
  <c r="QM97" i="2"/>
  <c r="QG97" i="2"/>
  <c r="QF97" i="2"/>
  <c r="PZ97" i="2"/>
  <c r="PY97" i="2"/>
  <c r="PS97" i="2"/>
  <c r="PR97" i="2"/>
  <c r="RI96" i="2"/>
  <c r="RH96" i="2"/>
  <c r="RB96" i="2"/>
  <c r="RA96" i="2"/>
  <c r="QU96" i="2"/>
  <c r="QT96" i="2"/>
  <c r="QN96" i="2"/>
  <c r="QM96" i="2"/>
  <c r="QG96" i="2"/>
  <c r="QF96" i="2"/>
  <c r="PZ96" i="2"/>
  <c r="PY96" i="2"/>
  <c r="PS96" i="2"/>
  <c r="PR96" i="2"/>
  <c r="RI95" i="2"/>
  <c r="RH95" i="2"/>
  <c r="RB95" i="2"/>
  <c r="RA95" i="2"/>
  <c r="QU95" i="2"/>
  <c r="QT95" i="2"/>
  <c r="QN95" i="2"/>
  <c r="QM95" i="2"/>
  <c r="QG95" i="2"/>
  <c r="QF95" i="2"/>
  <c r="PZ95" i="2"/>
  <c r="PY95" i="2"/>
  <c r="PS95" i="2"/>
  <c r="PR95" i="2"/>
  <c r="RI94" i="2"/>
  <c r="RH94" i="2"/>
  <c r="RB94" i="2"/>
  <c r="RA94" i="2"/>
  <c r="QU94" i="2"/>
  <c r="QT94" i="2"/>
  <c r="QN94" i="2"/>
  <c r="QM94" i="2"/>
  <c r="QG94" i="2"/>
  <c r="QF94" i="2"/>
  <c r="PZ94" i="2"/>
  <c r="PY94" i="2"/>
  <c r="PS94" i="2"/>
  <c r="PR94" i="2"/>
  <c r="RI93" i="2"/>
  <c r="RH93" i="2"/>
  <c r="RB93" i="2"/>
  <c r="RA93" i="2"/>
  <c r="QU93" i="2"/>
  <c r="QT93" i="2"/>
  <c r="QN93" i="2"/>
  <c r="QM93" i="2"/>
  <c r="QG93" i="2"/>
  <c r="QF93" i="2"/>
  <c r="PZ93" i="2"/>
  <c r="PY93" i="2"/>
  <c r="PS93" i="2"/>
  <c r="PR93" i="2"/>
  <c r="RI92" i="2"/>
  <c r="RH92" i="2"/>
  <c r="RB92" i="2"/>
  <c r="RA92" i="2"/>
  <c r="QU92" i="2"/>
  <c r="QT92" i="2"/>
  <c r="QN92" i="2"/>
  <c r="QM92" i="2"/>
  <c r="QG92" i="2"/>
  <c r="QF92" i="2"/>
  <c r="PZ92" i="2"/>
  <c r="PY92" i="2"/>
  <c r="PS92" i="2"/>
  <c r="PR92" i="2"/>
  <c r="RI91" i="2"/>
  <c r="RH91" i="2"/>
  <c r="RB91" i="2"/>
  <c r="RA91" i="2"/>
  <c r="QU91" i="2"/>
  <c r="QT91" i="2"/>
  <c r="QN91" i="2"/>
  <c r="QM91" i="2"/>
  <c r="QG91" i="2"/>
  <c r="QF91" i="2"/>
  <c r="PZ91" i="2"/>
  <c r="PY91" i="2"/>
  <c r="PS91" i="2"/>
  <c r="PR91" i="2"/>
  <c r="RI90" i="2"/>
  <c r="RH90" i="2"/>
  <c r="RB90" i="2"/>
  <c r="RA90" i="2"/>
  <c r="QU90" i="2"/>
  <c r="QT90" i="2"/>
  <c r="QN90" i="2"/>
  <c r="QM90" i="2"/>
  <c r="QG90" i="2"/>
  <c r="QF90" i="2"/>
  <c r="PZ90" i="2"/>
  <c r="PY90" i="2"/>
  <c r="PS90" i="2"/>
  <c r="PR90" i="2"/>
  <c r="RI89" i="2"/>
  <c r="RH89" i="2"/>
  <c r="RB89" i="2"/>
  <c r="RA89" i="2"/>
  <c r="QU89" i="2"/>
  <c r="QT89" i="2"/>
  <c r="QN89" i="2"/>
  <c r="QM89" i="2"/>
  <c r="QG89" i="2"/>
  <c r="QF89" i="2"/>
  <c r="PZ89" i="2"/>
  <c r="PY89" i="2"/>
  <c r="PS89" i="2"/>
  <c r="PR89" i="2"/>
  <c r="RI88" i="2"/>
  <c r="RH88" i="2"/>
  <c r="RB88" i="2"/>
  <c r="RA88" i="2"/>
  <c r="QU88" i="2"/>
  <c r="QT88" i="2"/>
  <c r="QN88" i="2"/>
  <c r="QM88" i="2"/>
  <c r="QG88" i="2"/>
  <c r="QF88" i="2"/>
  <c r="PZ88" i="2"/>
  <c r="PY88" i="2"/>
  <c r="PS88" i="2"/>
  <c r="PR88" i="2"/>
  <c r="RI87" i="2"/>
  <c r="RH87" i="2"/>
  <c r="RB87" i="2"/>
  <c r="RA87" i="2"/>
  <c r="QU87" i="2"/>
  <c r="QT87" i="2"/>
  <c r="QN87" i="2"/>
  <c r="QM87" i="2"/>
  <c r="QG87" i="2"/>
  <c r="QF87" i="2"/>
  <c r="PZ87" i="2"/>
  <c r="PY87" i="2"/>
  <c r="PS87" i="2"/>
  <c r="PR87" i="2"/>
  <c r="RI86" i="2"/>
  <c r="RH86" i="2"/>
  <c r="RB86" i="2"/>
  <c r="RA86" i="2"/>
  <c r="QU86" i="2"/>
  <c r="QT86" i="2"/>
  <c r="QN86" i="2"/>
  <c r="QM86" i="2"/>
  <c r="QG86" i="2"/>
  <c r="QF86" i="2"/>
  <c r="PZ86" i="2"/>
  <c r="PY86" i="2"/>
  <c r="PS86" i="2"/>
  <c r="PR86" i="2"/>
  <c r="RI85" i="2"/>
  <c r="RH85" i="2"/>
  <c r="RB85" i="2"/>
  <c r="RA85" i="2"/>
  <c r="QU85" i="2"/>
  <c r="QT85" i="2"/>
  <c r="QN85" i="2"/>
  <c r="QM85" i="2"/>
  <c r="QG85" i="2"/>
  <c r="QF85" i="2"/>
  <c r="PZ85" i="2"/>
  <c r="PY85" i="2"/>
  <c r="PS85" i="2"/>
  <c r="PR85" i="2"/>
  <c r="RI84" i="2"/>
  <c r="RH84" i="2"/>
  <c r="RB84" i="2"/>
  <c r="RA84" i="2"/>
  <c r="QU84" i="2"/>
  <c r="QT84" i="2"/>
  <c r="QN84" i="2"/>
  <c r="QM84" i="2"/>
  <c r="QG84" i="2"/>
  <c r="QF84" i="2"/>
  <c r="PZ84" i="2"/>
  <c r="PY84" i="2"/>
  <c r="PS84" i="2"/>
  <c r="PR84" i="2"/>
  <c r="RI83" i="2"/>
  <c r="RH83" i="2"/>
  <c r="RB83" i="2"/>
  <c r="RA83" i="2"/>
  <c r="QU83" i="2"/>
  <c r="QT83" i="2"/>
  <c r="QN83" i="2"/>
  <c r="QM83" i="2"/>
  <c r="QG83" i="2"/>
  <c r="QF83" i="2"/>
  <c r="PZ83" i="2"/>
  <c r="PY83" i="2"/>
  <c r="PS83" i="2"/>
  <c r="PR83" i="2"/>
  <c r="RI82" i="2"/>
  <c r="RH82" i="2"/>
  <c r="RB82" i="2"/>
  <c r="QU82" i="2"/>
  <c r="QN82" i="2"/>
  <c r="QM82" i="2"/>
  <c r="QG82" i="2"/>
  <c r="PZ82" i="2"/>
  <c r="PS82" i="2"/>
  <c r="RI79" i="2"/>
  <c r="RH79" i="2"/>
  <c r="RB79" i="2"/>
  <c r="QU79" i="2"/>
  <c r="QN79" i="2"/>
  <c r="QG79" i="2"/>
  <c r="PZ79" i="2"/>
  <c r="PS79" i="2"/>
  <c r="RI78" i="2"/>
  <c r="RH78" i="2"/>
  <c r="RB78" i="2"/>
  <c r="QU78" i="2"/>
  <c r="QN78" i="2"/>
  <c r="QG78" i="2"/>
  <c r="PZ78" i="2"/>
  <c r="PS78" i="2"/>
  <c r="RI77" i="2"/>
  <c r="RH77" i="2"/>
  <c r="RB77" i="2"/>
  <c r="QU77" i="2"/>
  <c r="QN77" i="2"/>
  <c r="QG77" i="2"/>
  <c r="PZ77" i="2"/>
  <c r="PS77" i="2"/>
  <c r="RI76" i="2"/>
  <c r="RH76" i="2"/>
  <c r="RB76" i="2"/>
  <c r="QU76" i="2"/>
  <c r="QN76" i="2"/>
  <c r="QG76" i="2"/>
  <c r="PZ76" i="2"/>
  <c r="PS76" i="2"/>
  <c r="RI75" i="2"/>
  <c r="RH75" i="2"/>
  <c r="RB75" i="2"/>
  <c r="QU75" i="2"/>
  <c r="QN75" i="2"/>
  <c r="QG75" i="2"/>
  <c r="PZ75" i="2"/>
  <c r="PS75" i="2"/>
  <c r="RI74" i="2"/>
  <c r="RH74" i="2"/>
  <c r="RB74" i="2"/>
  <c r="QU74" i="2"/>
  <c r="QN74" i="2"/>
  <c r="QG74" i="2"/>
  <c r="PZ74" i="2"/>
  <c r="PS74" i="2"/>
  <c r="RI73" i="2"/>
  <c r="RH73" i="2"/>
  <c r="RB73" i="2"/>
  <c r="QU73" i="2"/>
  <c r="QN73" i="2"/>
  <c r="QG73" i="2"/>
  <c r="PZ73" i="2"/>
  <c r="PS73" i="2"/>
  <c r="RI72" i="2"/>
  <c r="RH72" i="2"/>
  <c r="RB72" i="2"/>
  <c r="QU72" i="2"/>
  <c r="QN72" i="2"/>
  <c r="QG72" i="2"/>
  <c r="PZ72" i="2"/>
  <c r="PS72" i="2"/>
  <c r="PR72" i="2"/>
  <c r="RI71" i="2"/>
  <c r="RH71" i="2"/>
  <c r="RB71" i="2"/>
  <c r="QU71" i="2"/>
  <c r="QN71" i="2"/>
  <c r="QG71" i="2"/>
  <c r="PZ71" i="2"/>
  <c r="PS71" i="2"/>
  <c r="RI70" i="2"/>
  <c r="RH70" i="2"/>
  <c r="RB70" i="2"/>
  <c r="QU70" i="2"/>
  <c r="QN70" i="2"/>
  <c r="QM70" i="2"/>
  <c r="QG70" i="2"/>
  <c r="PZ70" i="2"/>
  <c r="PS70" i="2"/>
  <c r="RI69" i="2"/>
  <c r="RH69" i="2"/>
  <c r="RB69" i="2"/>
  <c r="QU69" i="2"/>
  <c r="QN69" i="2"/>
  <c r="QG69" i="2"/>
  <c r="PZ69" i="2"/>
  <c r="PS69" i="2"/>
  <c r="RI68" i="2"/>
  <c r="RH68" i="2"/>
  <c r="RB68" i="2"/>
  <c r="QU68" i="2"/>
  <c r="QT68" i="2"/>
  <c r="QN68" i="2"/>
  <c r="QG68" i="2"/>
  <c r="PZ68" i="2"/>
  <c r="PS68" i="2"/>
  <c r="RI67" i="2"/>
  <c r="RH67" i="2"/>
  <c r="RB67" i="2"/>
  <c r="QU67" i="2"/>
  <c r="QN67" i="2"/>
  <c r="QG67" i="2"/>
  <c r="PZ67" i="2"/>
  <c r="PS67" i="2"/>
  <c r="RI66" i="2"/>
  <c r="RH66" i="2"/>
  <c r="RB66" i="2"/>
  <c r="QU66" i="2"/>
  <c r="QN66" i="2"/>
  <c r="QG66" i="2"/>
  <c r="PZ66" i="2"/>
  <c r="PS66" i="2"/>
  <c r="RI65" i="2"/>
  <c r="RH65" i="2"/>
  <c r="RB65" i="2"/>
  <c r="QU65" i="2"/>
  <c r="QN65" i="2"/>
  <c r="QG65" i="2"/>
  <c r="PZ65" i="2"/>
  <c r="PS65" i="2"/>
  <c r="RI64" i="2"/>
  <c r="RH64" i="2"/>
  <c r="RB64" i="2"/>
  <c r="QU64" i="2"/>
  <c r="QN64" i="2"/>
  <c r="QG64" i="2"/>
  <c r="PZ64" i="2"/>
  <c r="PS64" i="2"/>
  <c r="RI63" i="2"/>
  <c r="RH63" i="2"/>
  <c r="RB63" i="2"/>
  <c r="QU63" i="2"/>
  <c r="QN63" i="2"/>
  <c r="QG63" i="2"/>
  <c r="PZ63" i="2"/>
  <c r="PS63" i="2"/>
  <c r="RI62" i="2"/>
  <c r="RH62" i="2"/>
  <c r="RB62" i="2"/>
  <c r="QU62" i="2"/>
  <c r="QN62" i="2"/>
  <c r="QM62" i="2"/>
  <c r="QG62" i="2"/>
  <c r="PZ62" i="2"/>
  <c r="PS62" i="2"/>
  <c r="RI61" i="2"/>
  <c r="RH61" i="2"/>
  <c r="RB61" i="2"/>
  <c r="QU61" i="2"/>
  <c r="QN61" i="2"/>
  <c r="QG61" i="2"/>
  <c r="PZ61" i="2"/>
  <c r="PS61" i="2"/>
  <c r="RI60" i="2"/>
  <c r="RH60" i="2"/>
  <c r="RB60" i="2"/>
  <c r="QU60" i="2"/>
  <c r="QN60" i="2"/>
  <c r="QG60" i="2"/>
  <c r="PZ60" i="2"/>
  <c r="PS60" i="2"/>
  <c r="RI59" i="2"/>
  <c r="RH59" i="2"/>
  <c r="RB59" i="2"/>
  <c r="QU59" i="2"/>
  <c r="QN59" i="2"/>
  <c r="QG59" i="2"/>
  <c r="PZ59" i="2"/>
  <c r="PS59" i="2"/>
  <c r="RI58" i="2"/>
  <c r="RH58" i="2"/>
  <c r="RB58" i="2"/>
  <c r="QU58" i="2"/>
  <c r="QT58" i="2"/>
  <c r="QN58" i="2"/>
  <c r="QG58" i="2"/>
  <c r="PZ58" i="2"/>
  <c r="PS58" i="2"/>
  <c r="RI57" i="2"/>
  <c r="RH57" i="2"/>
  <c r="RB57" i="2"/>
  <c r="QU57" i="2"/>
  <c r="QN57" i="2"/>
  <c r="QG57" i="2"/>
  <c r="PZ57" i="2"/>
  <c r="PS57" i="2"/>
  <c r="RI56" i="2"/>
  <c r="RH56" i="2"/>
  <c r="RB56" i="2"/>
  <c r="QU56" i="2"/>
  <c r="QN56" i="2"/>
  <c r="QG56" i="2"/>
  <c r="PZ56" i="2"/>
  <c r="PS56" i="2"/>
  <c r="RI54" i="2"/>
  <c r="RH54" i="2"/>
  <c r="RB54" i="2"/>
  <c r="QU54" i="2"/>
  <c r="QN54" i="2"/>
  <c r="QG54" i="2"/>
  <c r="PZ54" i="2"/>
  <c r="PS54" i="2"/>
  <c r="RI53" i="2"/>
  <c r="RH53" i="2"/>
  <c r="RB53" i="2"/>
  <c r="QU53" i="2"/>
  <c r="QN53" i="2"/>
  <c r="QG53" i="2"/>
  <c r="PZ53" i="2"/>
  <c r="PS53" i="2"/>
  <c r="RI52" i="2"/>
  <c r="RH52" i="2"/>
  <c r="RB52" i="2"/>
  <c r="QU52" i="2"/>
  <c r="QN52" i="2"/>
  <c r="QG52" i="2"/>
  <c r="PZ52" i="2"/>
  <c r="PS52" i="2"/>
  <c r="RI51" i="2"/>
  <c r="RH51" i="2"/>
  <c r="RB51" i="2"/>
  <c r="QU51" i="2"/>
  <c r="QN51" i="2"/>
  <c r="QG51" i="2"/>
  <c r="PZ51" i="2"/>
  <c r="PS51" i="2"/>
  <c r="RI50" i="2"/>
  <c r="RH50" i="2"/>
  <c r="RB50" i="2"/>
  <c r="QU50" i="2"/>
  <c r="QN50" i="2"/>
  <c r="QG50" i="2"/>
  <c r="PZ50" i="2"/>
  <c r="PS50" i="2"/>
  <c r="RI49" i="2"/>
  <c r="RH49" i="2"/>
  <c r="RB49" i="2"/>
  <c r="QU49" i="2"/>
  <c r="QN49" i="2"/>
  <c r="QG49" i="2"/>
  <c r="PZ49" i="2"/>
  <c r="PS49" i="2"/>
  <c r="RI48" i="2"/>
  <c r="RH48" i="2"/>
  <c r="RB48" i="2"/>
  <c r="QU48" i="2"/>
  <c r="QN48" i="2"/>
  <c r="QG48" i="2"/>
  <c r="PZ48" i="2"/>
  <c r="PS48" i="2"/>
  <c r="RI47" i="2"/>
  <c r="RH47" i="2"/>
  <c r="RB47" i="2"/>
  <c r="QU47" i="2"/>
  <c r="QN47" i="2"/>
  <c r="QG47" i="2"/>
  <c r="PZ47" i="2"/>
  <c r="PS47" i="2"/>
  <c r="RI46" i="2"/>
  <c r="RH46" i="2"/>
  <c r="RB46" i="2"/>
  <c r="QU46" i="2"/>
  <c r="QN46" i="2"/>
  <c r="QG46" i="2"/>
  <c r="PZ46" i="2"/>
  <c r="PS46" i="2"/>
  <c r="RI45" i="2"/>
  <c r="RH45" i="2"/>
  <c r="RB45" i="2"/>
  <c r="QU45" i="2"/>
  <c r="QN45" i="2"/>
  <c r="QG45" i="2"/>
  <c r="PZ45" i="2"/>
  <c r="PS45" i="2"/>
  <c r="RI44" i="2"/>
  <c r="RH44" i="2"/>
  <c r="RB44" i="2"/>
  <c r="QU44" i="2"/>
  <c r="QN44" i="2"/>
  <c r="QG44" i="2"/>
  <c r="PZ44" i="2"/>
  <c r="PS44" i="2"/>
  <c r="RI43" i="2"/>
  <c r="RH43" i="2"/>
  <c r="RB43" i="2"/>
  <c r="QU43" i="2"/>
  <c r="QN43" i="2"/>
  <c r="QG43" i="2"/>
  <c r="PZ43" i="2"/>
  <c r="PS43" i="2"/>
  <c r="RI42" i="2"/>
  <c r="RH42" i="2"/>
  <c r="RB42" i="2"/>
  <c r="QU42" i="2"/>
  <c r="QN42" i="2"/>
  <c r="QG42" i="2"/>
  <c r="PZ42" i="2"/>
  <c r="PS42" i="2"/>
  <c r="RI41" i="2"/>
  <c r="RH41" i="2"/>
  <c r="RB41" i="2"/>
  <c r="QU41" i="2"/>
  <c r="QN41" i="2"/>
  <c r="QG41" i="2"/>
  <c r="PZ41" i="2"/>
  <c r="PS41" i="2"/>
  <c r="RI40" i="2"/>
  <c r="RH40" i="2"/>
  <c r="RB40" i="2"/>
  <c r="QU40" i="2"/>
  <c r="QN40" i="2"/>
  <c r="QG40" i="2"/>
  <c r="PZ40" i="2"/>
  <c r="PY40" i="2"/>
  <c r="PS40" i="2"/>
  <c r="RI39" i="2"/>
  <c r="RH39" i="2"/>
  <c r="RB39" i="2"/>
  <c r="QU39" i="2"/>
  <c r="QN39" i="2"/>
  <c r="QG39" i="2"/>
  <c r="PZ39" i="2"/>
  <c r="PS39" i="2"/>
  <c r="RI38" i="2"/>
  <c r="RH38" i="2"/>
  <c r="RB38" i="2"/>
  <c r="QU38" i="2"/>
  <c r="QN38" i="2"/>
  <c r="QG38" i="2"/>
  <c r="PZ38" i="2"/>
  <c r="PS38" i="2"/>
  <c r="RI37" i="2"/>
  <c r="RH37" i="2"/>
  <c r="RB37" i="2"/>
  <c r="QU37" i="2"/>
  <c r="QN37" i="2"/>
  <c r="QG37" i="2"/>
  <c r="PZ37" i="2"/>
  <c r="PS37" i="2"/>
  <c r="RI36" i="2"/>
  <c r="RH36" i="2"/>
  <c r="RB36" i="2"/>
  <c r="QU36" i="2"/>
  <c r="QN36" i="2"/>
  <c r="QG36" i="2"/>
  <c r="PZ36" i="2"/>
  <c r="PS36" i="2"/>
  <c r="RI35" i="2"/>
  <c r="RH35" i="2"/>
  <c r="RB35" i="2"/>
  <c r="QU35" i="2"/>
  <c r="QN35" i="2"/>
  <c r="QG35" i="2"/>
  <c r="QF35" i="2"/>
  <c r="PZ35" i="2"/>
  <c r="PS35" i="2"/>
  <c r="RI34" i="2"/>
  <c r="RH34" i="2"/>
  <c r="RB34" i="2"/>
  <c r="QU34" i="2"/>
  <c r="QN34" i="2"/>
  <c r="QM34" i="2"/>
  <c r="QG34" i="2"/>
  <c r="PZ34" i="2"/>
  <c r="PS34" i="2"/>
  <c r="RI33" i="2"/>
  <c r="RH33" i="2"/>
  <c r="RB33" i="2"/>
  <c r="QU33" i="2"/>
  <c r="QN33" i="2"/>
  <c r="QG33" i="2"/>
  <c r="PZ33" i="2"/>
  <c r="PS33" i="2"/>
  <c r="RI32" i="2"/>
  <c r="RH32" i="2"/>
  <c r="RB32" i="2"/>
  <c r="QU32" i="2"/>
  <c r="QN32" i="2"/>
  <c r="QG32" i="2"/>
  <c r="PZ32" i="2"/>
  <c r="PS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K103" i="2"/>
  <c r="PE103" i="2"/>
  <c r="PD103" i="2"/>
  <c r="OX103" i="2"/>
  <c r="OW103" i="2"/>
  <c r="OQ103" i="2"/>
  <c r="OP103" i="2"/>
  <c r="OJ103" i="2"/>
  <c r="OI103" i="2"/>
  <c r="OC103" i="2"/>
  <c r="OB103" i="2"/>
  <c r="NV103" i="2"/>
  <c r="NU103" i="2"/>
  <c r="NO103" i="2"/>
  <c r="NN103" i="2"/>
  <c r="PL102" i="2"/>
  <c r="PK102" i="2"/>
  <c r="PE102" i="2"/>
  <c r="PD102" i="2"/>
  <c r="OX102" i="2"/>
  <c r="OW102" i="2"/>
  <c r="OQ102" i="2"/>
  <c r="OP102" i="2"/>
  <c r="OJ102" i="2"/>
  <c r="OI102" i="2"/>
  <c r="OC102" i="2"/>
  <c r="OB102" i="2"/>
  <c r="NV102" i="2"/>
  <c r="NU102" i="2"/>
  <c r="NO102" i="2"/>
  <c r="NN102" i="2"/>
  <c r="PL101" i="2"/>
  <c r="PK101" i="2"/>
  <c r="PE101" i="2"/>
  <c r="PD101" i="2"/>
  <c r="OX101" i="2"/>
  <c r="OW101" i="2"/>
  <c r="OQ101" i="2"/>
  <c r="OP101" i="2"/>
  <c r="OJ101" i="2"/>
  <c r="OI101" i="2"/>
  <c r="OC101" i="2"/>
  <c r="OB101" i="2"/>
  <c r="NV101" i="2"/>
  <c r="NU101" i="2"/>
  <c r="NO101" i="2"/>
  <c r="NN101" i="2"/>
  <c r="PL100" i="2"/>
  <c r="PK100" i="2"/>
  <c r="PE100" i="2"/>
  <c r="PD100" i="2"/>
  <c r="OX100" i="2"/>
  <c r="OW100" i="2"/>
  <c r="OQ100" i="2"/>
  <c r="OP100" i="2"/>
  <c r="OJ100" i="2"/>
  <c r="OI100" i="2"/>
  <c r="OC100" i="2"/>
  <c r="OB100" i="2"/>
  <c r="NV100" i="2"/>
  <c r="NU100" i="2"/>
  <c r="NO100" i="2"/>
  <c r="NN100" i="2"/>
  <c r="PL97" i="2"/>
  <c r="PK97" i="2"/>
  <c r="PE97" i="2"/>
  <c r="PD97" i="2"/>
  <c r="OX97" i="2"/>
  <c r="OW97" i="2"/>
  <c r="OQ97" i="2"/>
  <c r="OP97" i="2"/>
  <c r="OJ97" i="2"/>
  <c r="OI97" i="2"/>
  <c r="OC97" i="2"/>
  <c r="OB97" i="2"/>
  <c r="NV97" i="2"/>
  <c r="NU97" i="2"/>
  <c r="NO97" i="2"/>
  <c r="NN97" i="2"/>
  <c r="PL96" i="2"/>
  <c r="PK96" i="2"/>
  <c r="PE96" i="2"/>
  <c r="PD96" i="2"/>
  <c r="OX96" i="2"/>
  <c r="OW96" i="2"/>
  <c r="OQ96" i="2"/>
  <c r="OP96" i="2"/>
  <c r="OJ96" i="2"/>
  <c r="OI96" i="2"/>
  <c r="OC96" i="2"/>
  <c r="OB96" i="2"/>
  <c r="NV96" i="2"/>
  <c r="NU96" i="2"/>
  <c r="NO96" i="2"/>
  <c r="NN96" i="2"/>
  <c r="PL95" i="2"/>
  <c r="PK95" i="2"/>
  <c r="PE95" i="2"/>
  <c r="PD95" i="2"/>
  <c r="OX95" i="2"/>
  <c r="OW95" i="2"/>
  <c r="OQ95" i="2"/>
  <c r="OP95" i="2"/>
  <c r="OJ95" i="2"/>
  <c r="OI95" i="2"/>
  <c r="OC95" i="2"/>
  <c r="OB95" i="2"/>
  <c r="NV95" i="2"/>
  <c r="NU95" i="2"/>
  <c r="NO95" i="2"/>
  <c r="NN95" i="2"/>
  <c r="PL94" i="2"/>
  <c r="PK94" i="2"/>
  <c r="PE94" i="2"/>
  <c r="PD94" i="2"/>
  <c r="OX94" i="2"/>
  <c r="OW94" i="2"/>
  <c r="OQ94" i="2"/>
  <c r="OP94" i="2"/>
  <c r="OJ94" i="2"/>
  <c r="OI94" i="2"/>
  <c r="OC94" i="2"/>
  <c r="OB94" i="2"/>
  <c r="NV94" i="2"/>
  <c r="NU94" i="2"/>
  <c r="NO94" i="2"/>
  <c r="NN94" i="2"/>
  <c r="PL93" i="2"/>
  <c r="PK93" i="2"/>
  <c r="PE93" i="2"/>
  <c r="PD93" i="2"/>
  <c r="OX93" i="2"/>
  <c r="OW93" i="2"/>
  <c r="OQ93" i="2"/>
  <c r="OP93" i="2"/>
  <c r="OJ93" i="2"/>
  <c r="OI93" i="2"/>
  <c r="OC93" i="2"/>
  <c r="OB93" i="2"/>
  <c r="NV93" i="2"/>
  <c r="NU93" i="2"/>
  <c r="NO93" i="2"/>
  <c r="NN93" i="2"/>
  <c r="PL92" i="2"/>
  <c r="PK92" i="2"/>
  <c r="PE92" i="2"/>
  <c r="PD92" i="2"/>
  <c r="OX92" i="2"/>
  <c r="OW92" i="2"/>
  <c r="OQ92" i="2"/>
  <c r="OP92" i="2"/>
  <c r="OJ92" i="2"/>
  <c r="OI92" i="2"/>
  <c r="OC92" i="2"/>
  <c r="OB92" i="2"/>
  <c r="NV92" i="2"/>
  <c r="NU92" i="2"/>
  <c r="NO92" i="2"/>
  <c r="NN92" i="2"/>
  <c r="PL91" i="2"/>
  <c r="PK91" i="2"/>
  <c r="PE91" i="2"/>
  <c r="PD91" i="2"/>
  <c r="OX91" i="2"/>
  <c r="OW91" i="2"/>
  <c r="OQ91" i="2"/>
  <c r="OP91" i="2"/>
  <c r="OJ91" i="2"/>
  <c r="OI91" i="2"/>
  <c r="OC91" i="2"/>
  <c r="OB91" i="2"/>
  <c r="NV91" i="2"/>
  <c r="NU91" i="2"/>
  <c r="NO91" i="2"/>
  <c r="NN91" i="2"/>
  <c r="PL90" i="2"/>
  <c r="PK90" i="2"/>
  <c r="PE90" i="2"/>
  <c r="PD90" i="2"/>
  <c r="OX90" i="2"/>
  <c r="OW90" i="2"/>
  <c r="OQ90" i="2"/>
  <c r="OP90" i="2"/>
  <c r="OJ90" i="2"/>
  <c r="OI90" i="2"/>
  <c r="OC90" i="2"/>
  <c r="OB90" i="2"/>
  <c r="NV90" i="2"/>
  <c r="NU90" i="2"/>
  <c r="NO90" i="2"/>
  <c r="NN90" i="2"/>
  <c r="PL89" i="2"/>
  <c r="PK89" i="2"/>
  <c r="PE89" i="2"/>
  <c r="PD89" i="2"/>
  <c r="OX89" i="2"/>
  <c r="OW89" i="2"/>
  <c r="OQ89" i="2"/>
  <c r="OP89" i="2"/>
  <c r="OJ89" i="2"/>
  <c r="OI89" i="2"/>
  <c r="OC89" i="2"/>
  <c r="OB89" i="2"/>
  <c r="NV89" i="2"/>
  <c r="NU89" i="2"/>
  <c r="NO89" i="2"/>
  <c r="NN89" i="2"/>
  <c r="PL88" i="2"/>
  <c r="PK88" i="2"/>
  <c r="PE88" i="2"/>
  <c r="PD88" i="2"/>
  <c r="OX88" i="2"/>
  <c r="OW88" i="2"/>
  <c r="OQ88" i="2"/>
  <c r="OP88" i="2"/>
  <c r="OJ88" i="2"/>
  <c r="OI88" i="2"/>
  <c r="OC88" i="2"/>
  <c r="OB88" i="2"/>
  <c r="NV88" i="2"/>
  <c r="NU88" i="2"/>
  <c r="NO88" i="2"/>
  <c r="NN88" i="2"/>
  <c r="PL87" i="2"/>
  <c r="PK87" i="2"/>
  <c r="PE87" i="2"/>
  <c r="PD87" i="2"/>
  <c r="OX87" i="2"/>
  <c r="OW87" i="2"/>
  <c r="OQ87" i="2"/>
  <c r="OP87" i="2"/>
  <c r="OJ87" i="2"/>
  <c r="OI87" i="2"/>
  <c r="OC87" i="2"/>
  <c r="OB87" i="2"/>
  <c r="NV87" i="2"/>
  <c r="NU87" i="2"/>
  <c r="NO87" i="2"/>
  <c r="NN87" i="2"/>
  <c r="PL86" i="2"/>
  <c r="PK86" i="2"/>
  <c r="PE86" i="2"/>
  <c r="PD86" i="2"/>
  <c r="OX86" i="2"/>
  <c r="OW86" i="2"/>
  <c r="OQ86" i="2"/>
  <c r="OP86" i="2"/>
  <c r="OJ86" i="2"/>
  <c r="OI86" i="2"/>
  <c r="OC86" i="2"/>
  <c r="OB86" i="2"/>
  <c r="NV86" i="2"/>
  <c r="NU86" i="2"/>
  <c r="NO86" i="2"/>
  <c r="NN86" i="2"/>
  <c r="PL85" i="2"/>
  <c r="PK85" i="2"/>
  <c r="PE85" i="2"/>
  <c r="PD85" i="2"/>
  <c r="OX85" i="2"/>
  <c r="OW85" i="2"/>
  <c r="OQ85" i="2"/>
  <c r="OP85" i="2"/>
  <c r="OJ85" i="2"/>
  <c r="OI85" i="2"/>
  <c r="OC85" i="2"/>
  <c r="OB85" i="2"/>
  <c r="NV85" i="2"/>
  <c r="NU85" i="2"/>
  <c r="NO85" i="2"/>
  <c r="NN85" i="2"/>
  <c r="PL84" i="2"/>
  <c r="PK84" i="2"/>
  <c r="PE84" i="2"/>
  <c r="PD84" i="2"/>
  <c r="OX84" i="2"/>
  <c r="OW84" i="2"/>
  <c r="OQ84" i="2"/>
  <c r="OP84" i="2"/>
  <c r="OJ84" i="2"/>
  <c r="OI84" i="2"/>
  <c r="OC84" i="2"/>
  <c r="OB84" i="2"/>
  <c r="NV84" i="2"/>
  <c r="NU84" i="2"/>
  <c r="NO84" i="2"/>
  <c r="NN84" i="2"/>
  <c r="PL83" i="2"/>
  <c r="PK83" i="2"/>
  <c r="PE83" i="2"/>
  <c r="PD83" i="2"/>
  <c r="OX83" i="2"/>
  <c r="OW83" i="2"/>
  <c r="OQ83" i="2"/>
  <c r="OP83" i="2"/>
  <c r="OJ83" i="2"/>
  <c r="OI83" i="2"/>
  <c r="OC83" i="2"/>
  <c r="OB83" i="2"/>
  <c r="NV83" i="2"/>
  <c r="NU83" i="2"/>
  <c r="NO83" i="2"/>
  <c r="NN83" i="2"/>
  <c r="PL82" i="2"/>
  <c r="PE82" i="2"/>
  <c r="OX82" i="2"/>
  <c r="OQ82" i="2"/>
  <c r="OJ82" i="2"/>
  <c r="OC82" i="2"/>
  <c r="NV82" i="2"/>
  <c r="NO82" i="2"/>
  <c r="PL79" i="2"/>
  <c r="PE79" i="2"/>
  <c r="OX79" i="2"/>
  <c r="OQ79" i="2"/>
  <c r="OJ79" i="2"/>
  <c r="OC79" i="2"/>
  <c r="NV79" i="2"/>
  <c r="NO79" i="2"/>
  <c r="PL78" i="2"/>
  <c r="PE78" i="2"/>
  <c r="OX78" i="2"/>
  <c r="OQ78" i="2"/>
  <c r="OJ78" i="2"/>
  <c r="OC78" i="2"/>
  <c r="NV78" i="2"/>
  <c r="NO78" i="2"/>
  <c r="NN78" i="2"/>
  <c r="PL77" i="2"/>
  <c r="PE77" i="2"/>
  <c r="OX77" i="2"/>
  <c r="OQ77" i="2"/>
  <c r="OJ77" i="2"/>
  <c r="OC77" i="2"/>
  <c r="NV77" i="2"/>
  <c r="NO77" i="2"/>
  <c r="PL76" i="2"/>
  <c r="PE76" i="2"/>
  <c r="OX76" i="2"/>
  <c r="OQ76" i="2"/>
  <c r="OJ76" i="2"/>
  <c r="OC76" i="2"/>
  <c r="NV76" i="2"/>
  <c r="NO76" i="2"/>
  <c r="PL75" i="2"/>
  <c r="PE75" i="2"/>
  <c r="OX75" i="2"/>
  <c r="OQ75" i="2"/>
  <c r="OJ75" i="2"/>
  <c r="OC75" i="2"/>
  <c r="NV75" i="2"/>
  <c r="NO75" i="2"/>
  <c r="PL74" i="2"/>
  <c r="PE74" i="2"/>
  <c r="OX74" i="2"/>
  <c r="OQ74" i="2"/>
  <c r="OJ74" i="2"/>
  <c r="OC74" i="2"/>
  <c r="OB74" i="2"/>
  <c r="NV74" i="2"/>
  <c r="NO74" i="2"/>
  <c r="PL73" i="2"/>
  <c r="PE73" i="2"/>
  <c r="OX73" i="2"/>
  <c r="OQ73" i="2"/>
  <c r="OJ73" i="2"/>
  <c r="OC73" i="2"/>
  <c r="NV73" i="2"/>
  <c r="NO73" i="2"/>
  <c r="PL72" i="2"/>
  <c r="PE72" i="2"/>
  <c r="OX72" i="2"/>
  <c r="OQ72" i="2"/>
  <c r="OJ72" i="2"/>
  <c r="OC72" i="2"/>
  <c r="NV72" i="2"/>
  <c r="NO72" i="2"/>
  <c r="PL71" i="2"/>
  <c r="PE71" i="2"/>
  <c r="OX71" i="2"/>
  <c r="OQ71" i="2"/>
  <c r="OJ71" i="2"/>
  <c r="OC71" i="2"/>
  <c r="NV71" i="2"/>
  <c r="NO71" i="2"/>
  <c r="PL70" i="2"/>
  <c r="PE70" i="2"/>
  <c r="OX70" i="2"/>
  <c r="OQ70" i="2"/>
  <c r="OJ70" i="2"/>
  <c r="OC70" i="2"/>
  <c r="NV70" i="2"/>
  <c r="NO70" i="2"/>
  <c r="PL69" i="2"/>
  <c r="PE69" i="2"/>
  <c r="OX69" i="2"/>
  <c r="OQ69" i="2"/>
  <c r="OJ69" i="2"/>
  <c r="OC69" i="2"/>
  <c r="NV69" i="2"/>
  <c r="NO69" i="2"/>
  <c r="PL68" i="2"/>
  <c r="PE68" i="2"/>
  <c r="OX68" i="2"/>
  <c r="OQ68" i="2"/>
  <c r="OJ68" i="2"/>
  <c r="OC68" i="2"/>
  <c r="NV68" i="2"/>
  <c r="NO68" i="2"/>
  <c r="PL67" i="2"/>
  <c r="PE67" i="2"/>
  <c r="OX67" i="2"/>
  <c r="OQ67" i="2"/>
  <c r="OJ67" i="2"/>
  <c r="OC67" i="2"/>
  <c r="NV67" i="2"/>
  <c r="NO67" i="2"/>
  <c r="PL66" i="2"/>
  <c r="PE66" i="2"/>
  <c r="OX66" i="2"/>
  <c r="OQ66" i="2"/>
  <c r="OJ66" i="2"/>
  <c r="OC66" i="2"/>
  <c r="NV66" i="2"/>
  <c r="NO66" i="2"/>
  <c r="PL65" i="2"/>
  <c r="PE65" i="2"/>
  <c r="OX65" i="2"/>
  <c r="OQ65" i="2"/>
  <c r="OJ65" i="2"/>
  <c r="OC65" i="2"/>
  <c r="NV65" i="2"/>
  <c r="NO65" i="2"/>
  <c r="PL64" i="2"/>
  <c r="PK64" i="2"/>
  <c r="PE64" i="2"/>
  <c r="OX64" i="2"/>
  <c r="OQ64" i="2"/>
  <c r="OJ64" i="2"/>
  <c r="OC64" i="2"/>
  <c r="OB64" i="2"/>
  <c r="NV64" i="2"/>
  <c r="NO64" i="2"/>
  <c r="PL63" i="2"/>
  <c r="PE63" i="2"/>
  <c r="OX63" i="2"/>
  <c r="OQ63" i="2"/>
  <c r="OJ63" i="2"/>
  <c r="OC63" i="2"/>
  <c r="NV63" i="2"/>
  <c r="NO63" i="2"/>
  <c r="PL62" i="2"/>
  <c r="PE62" i="2"/>
  <c r="OX62" i="2"/>
  <c r="OQ62" i="2"/>
  <c r="OJ62" i="2"/>
  <c r="OC62" i="2"/>
  <c r="NV62" i="2"/>
  <c r="NO62" i="2"/>
  <c r="PL61" i="2"/>
  <c r="PE61" i="2"/>
  <c r="OX61" i="2"/>
  <c r="OQ61" i="2"/>
  <c r="OJ61" i="2"/>
  <c r="OC61" i="2"/>
  <c r="NV61" i="2"/>
  <c r="NO61" i="2"/>
  <c r="PL60" i="2"/>
  <c r="PE60" i="2"/>
  <c r="OX60" i="2"/>
  <c r="OQ60" i="2"/>
  <c r="OP60" i="2"/>
  <c r="OJ60" i="2"/>
  <c r="OC60" i="2"/>
  <c r="NV60" i="2"/>
  <c r="NO60" i="2"/>
  <c r="PL59" i="2"/>
  <c r="PE59" i="2"/>
  <c r="OX59" i="2"/>
  <c r="OQ59" i="2"/>
  <c r="OJ59" i="2"/>
  <c r="OC59" i="2"/>
  <c r="NV59" i="2"/>
  <c r="NO59" i="2"/>
  <c r="PL58" i="2"/>
  <c r="PK58" i="2"/>
  <c r="PE58" i="2"/>
  <c r="OX58" i="2"/>
  <c r="OQ58" i="2"/>
  <c r="OP58" i="2"/>
  <c r="OJ58" i="2"/>
  <c r="OC58" i="2"/>
  <c r="OB58" i="2"/>
  <c r="NV58" i="2"/>
  <c r="NO58" i="2"/>
  <c r="PL57" i="2"/>
  <c r="PE57" i="2"/>
  <c r="OX57" i="2"/>
  <c r="OQ57" i="2"/>
  <c r="OJ57" i="2"/>
  <c r="OC57" i="2"/>
  <c r="NV57" i="2"/>
  <c r="NO57" i="2"/>
  <c r="PL56" i="2"/>
  <c r="PE56" i="2"/>
  <c r="OX56" i="2"/>
  <c r="OQ56" i="2"/>
  <c r="OJ56" i="2"/>
  <c r="OC56" i="2"/>
  <c r="OB56" i="2"/>
  <c r="NV56" i="2"/>
  <c r="NO56" i="2"/>
  <c r="PL54" i="2"/>
  <c r="PE54" i="2"/>
  <c r="OX54" i="2"/>
  <c r="OW54" i="2"/>
  <c r="OQ54" i="2"/>
  <c r="OJ54" i="2"/>
  <c r="OC54" i="2"/>
  <c r="NV54" i="2"/>
  <c r="NU54" i="2"/>
  <c r="NO54" i="2"/>
  <c r="PL53" i="2"/>
  <c r="PE53" i="2"/>
  <c r="OX53" i="2"/>
  <c r="OW53" i="2"/>
  <c r="OQ53" i="2"/>
  <c r="OP53" i="2"/>
  <c r="OJ53" i="2"/>
  <c r="OC53" i="2"/>
  <c r="NV53" i="2"/>
  <c r="NO53" i="2"/>
  <c r="PL52" i="2"/>
  <c r="PE52" i="2"/>
  <c r="OX52" i="2"/>
  <c r="OQ52" i="2"/>
  <c r="OJ52" i="2"/>
  <c r="OC52" i="2"/>
  <c r="NV52" i="2"/>
  <c r="NO52" i="2"/>
  <c r="PL51" i="2"/>
  <c r="PE51" i="2"/>
  <c r="OX51" i="2"/>
  <c r="OQ51" i="2"/>
  <c r="OJ51" i="2"/>
  <c r="OC51" i="2"/>
  <c r="NV51" i="2"/>
  <c r="NO51" i="2"/>
  <c r="PL50" i="2"/>
  <c r="PK50" i="2"/>
  <c r="PE50" i="2"/>
  <c r="OX50" i="2"/>
  <c r="OQ50" i="2"/>
  <c r="OJ50" i="2"/>
  <c r="OC50" i="2"/>
  <c r="OB50" i="2"/>
  <c r="NV50" i="2"/>
  <c r="NO50" i="2"/>
  <c r="PL49" i="2"/>
  <c r="PE49" i="2"/>
  <c r="OX49" i="2"/>
  <c r="OQ49" i="2"/>
  <c r="OJ49" i="2"/>
  <c r="OC49" i="2"/>
  <c r="NV49" i="2"/>
  <c r="NO49" i="2"/>
  <c r="PL48" i="2"/>
  <c r="PE48" i="2"/>
  <c r="OX48" i="2"/>
  <c r="OQ48" i="2"/>
  <c r="OJ48" i="2"/>
  <c r="OI48" i="2"/>
  <c r="OC48" i="2"/>
  <c r="NV48" i="2"/>
  <c r="NO48" i="2"/>
  <c r="PL47" i="2"/>
  <c r="PE47" i="2"/>
  <c r="OX47" i="2"/>
  <c r="OQ47" i="2"/>
  <c r="OJ47" i="2"/>
  <c r="OC47" i="2"/>
  <c r="NV47" i="2"/>
  <c r="NO47" i="2"/>
  <c r="PL46" i="2"/>
  <c r="PE46" i="2"/>
  <c r="OX46" i="2"/>
  <c r="OQ46" i="2"/>
  <c r="OJ46" i="2"/>
  <c r="OC46" i="2"/>
  <c r="NV46" i="2"/>
  <c r="NO46" i="2"/>
  <c r="PL45" i="2"/>
  <c r="PE45" i="2"/>
  <c r="OX45" i="2"/>
  <c r="OQ45" i="2"/>
  <c r="OJ45" i="2"/>
  <c r="OC45" i="2"/>
  <c r="NV45" i="2"/>
  <c r="NO45" i="2"/>
  <c r="PL44" i="2"/>
  <c r="PE44" i="2"/>
  <c r="OX44" i="2"/>
  <c r="OQ44" i="2"/>
  <c r="OJ44" i="2"/>
  <c r="OC44" i="2"/>
  <c r="NV44" i="2"/>
  <c r="NO44" i="2"/>
  <c r="PL43" i="2"/>
  <c r="PE43" i="2"/>
  <c r="OX43" i="2"/>
  <c r="OQ43" i="2"/>
  <c r="OJ43" i="2"/>
  <c r="OC43" i="2"/>
  <c r="NV43" i="2"/>
  <c r="NO43" i="2"/>
  <c r="PL42" i="2"/>
  <c r="PE42" i="2"/>
  <c r="OX42" i="2"/>
  <c r="OQ42" i="2"/>
  <c r="OP42" i="2"/>
  <c r="OJ42" i="2"/>
  <c r="OC42" i="2"/>
  <c r="NV42" i="2"/>
  <c r="NO42" i="2"/>
  <c r="PL41" i="2"/>
  <c r="PE41" i="2"/>
  <c r="OX41" i="2"/>
  <c r="OQ41" i="2"/>
  <c r="OJ41" i="2"/>
  <c r="OC41" i="2"/>
  <c r="NV41" i="2"/>
  <c r="NO41" i="2"/>
  <c r="PL40" i="2"/>
  <c r="PK40" i="2"/>
  <c r="PE40" i="2"/>
  <c r="OX40" i="2"/>
  <c r="OQ40" i="2"/>
  <c r="OJ40" i="2"/>
  <c r="OI40" i="2"/>
  <c r="OC40" i="2"/>
  <c r="OB40" i="2"/>
  <c r="NV40" i="2"/>
  <c r="NU40" i="2"/>
  <c r="NO40" i="2"/>
  <c r="PL39" i="2"/>
  <c r="PE39" i="2"/>
  <c r="OX39" i="2"/>
  <c r="OQ39" i="2"/>
  <c r="OJ39" i="2"/>
  <c r="OC39" i="2"/>
  <c r="NV39" i="2"/>
  <c r="NO39" i="2"/>
  <c r="PL38" i="2"/>
  <c r="PE38" i="2"/>
  <c r="OX38" i="2"/>
  <c r="OQ38" i="2"/>
  <c r="OJ38" i="2"/>
  <c r="OC38" i="2"/>
  <c r="NV38" i="2"/>
  <c r="NO38" i="2"/>
  <c r="PL37" i="2"/>
  <c r="PE37" i="2"/>
  <c r="OX37" i="2"/>
  <c r="OQ37" i="2"/>
  <c r="OJ37" i="2"/>
  <c r="OC37" i="2"/>
  <c r="NV37" i="2"/>
  <c r="NO37" i="2"/>
  <c r="PL36" i="2"/>
  <c r="PK36" i="2"/>
  <c r="PE36" i="2"/>
  <c r="OX36" i="2"/>
  <c r="OQ36" i="2"/>
  <c r="OJ36" i="2"/>
  <c r="OC36" i="2"/>
  <c r="NV36" i="2"/>
  <c r="NO36" i="2"/>
  <c r="PL35" i="2"/>
  <c r="PK35" i="2"/>
  <c r="PE35" i="2"/>
  <c r="OX35" i="2"/>
  <c r="OQ35" i="2"/>
  <c r="OP35" i="2"/>
  <c r="OJ35" i="2"/>
  <c r="OC35" i="2"/>
  <c r="NV35" i="2"/>
  <c r="NO35" i="2"/>
  <c r="PL34" i="2"/>
  <c r="PE34" i="2"/>
  <c r="OX34" i="2"/>
  <c r="OQ34" i="2"/>
  <c r="OJ34" i="2"/>
  <c r="OC34" i="2"/>
  <c r="NV34" i="2"/>
  <c r="NO34" i="2"/>
  <c r="PL33" i="2"/>
  <c r="PE33" i="2"/>
  <c r="OX33" i="2"/>
  <c r="OQ33" i="2"/>
  <c r="OJ33" i="2"/>
  <c r="OC33" i="2"/>
  <c r="NV33" i="2"/>
  <c r="NO33" i="2"/>
  <c r="PL32" i="2"/>
  <c r="PE32" i="2"/>
  <c r="OX32" i="2"/>
  <c r="OQ32" i="2"/>
  <c r="OJ32" i="2"/>
  <c r="OC32" i="2"/>
  <c r="NV32" i="2"/>
  <c r="NO32" i="2"/>
  <c r="PL31" i="2"/>
  <c r="PE31" i="2"/>
  <c r="OX31" i="2"/>
  <c r="OQ31" i="2"/>
  <c r="OJ31" i="2"/>
  <c r="OC31" i="2"/>
  <c r="OB31" i="2"/>
  <c r="NV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9" i="2"/>
  <c r="Q206" i="2"/>
  <c r="Q190" i="2"/>
  <c r="Q205" i="2"/>
  <c r="Q148" i="2"/>
  <c r="Q207" i="2"/>
  <c r="Q208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G103" i="2"/>
  <c r="NA103" i="2"/>
  <c r="MZ103" i="2"/>
  <c r="MT103" i="2"/>
  <c r="MS103" i="2"/>
  <c r="MM103" i="2"/>
  <c r="ML103" i="2"/>
  <c r="MF103" i="2"/>
  <c r="ME103" i="2"/>
  <c r="LY103" i="2"/>
  <c r="LX103" i="2"/>
  <c r="NH102" i="2"/>
  <c r="NG102" i="2"/>
  <c r="NA102" i="2"/>
  <c r="MZ102" i="2"/>
  <c r="MT102" i="2"/>
  <c r="MS102" i="2"/>
  <c r="MM102" i="2"/>
  <c r="ML102" i="2"/>
  <c r="MF102" i="2"/>
  <c r="ME102" i="2"/>
  <c r="LY102" i="2"/>
  <c r="LX102" i="2"/>
  <c r="NH101" i="2"/>
  <c r="NG101" i="2"/>
  <c r="NA101" i="2"/>
  <c r="MZ101" i="2"/>
  <c r="MT101" i="2"/>
  <c r="MS101" i="2"/>
  <c r="MM101" i="2"/>
  <c r="ML101" i="2"/>
  <c r="MF101" i="2"/>
  <c r="ME101" i="2"/>
  <c r="LY101" i="2"/>
  <c r="LX101" i="2"/>
  <c r="NH100" i="2"/>
  <c r="NG100" i="2"/>
  <c r="NA100" i="2"/>
  <c r="MZ100" i="2"/>
  <c r="MT100" i="2"/>
  <c r="MS100" i="2"/>
  <c r="MM100" i="2"/>
  <c r="ML100" i="2"/>
  <c r="MF100" i="2"/>
  <c r="ME100" i="2"/>
  <c r="LY100" i="2"/>
  <c r="LX100" i="2"/>
  <c r="NH97" i="2"/>
  <c r="NG97" i="2"/>
  <c r="NA97" i="2"/>
  <c r="MZ97" i="2"/>
  <c r="MT97" i="2"/>
  <c r="MS97" i="2"/>
  <c r="MM97" i="2"/>
  <c r="ML97" i="2"/>
  <c r="MF97" i="2"/>
  <c r="ME97" i="2"/>
  <c r="LY97" i="2"/>
  <c r="LX97" i="2"/>
  <c r="NH96" i="2"/>
  <c r="NG96" i="2"/>
  <c r="NA96" i="2"/>
  <c r="MZ96" i="2"/>
  <c r="MT96" i="2"/>
  <c r="MS96" i="2"/>
  <c r="MM96" i="2"/>
  <c r="ML96" i="2"/>
  <c r="MF96" i="2"/>
  <c r="ME96" i="2"/>
  <c r="LY96" i="2"/>
  <c r="LX96" i="2"/>
  <c r="NH95" i="2"/>
  <c r="NG95" i="2"/>
  <c r="NA95" i="2"/>
  <c r="MZ95" i="2"/>
  <c r="MT95" i="2"/>
  <c r="MS95" i="2"/>
  <c r="MM95" i="2"/>
  <c r="ML95" i="2"/>
  <c r="MF95" i="2"/>
  <c r="ME95" i="2"/>
  <c r="LY95" i="2"/>
  <c r="LX95" i="2"/>
  <c r="NH94" i="2"/>
  <c r="NG94" i="2"/>
  <c r="NA94" i="2"/>
  <c r="MZ94" i="2"/>
  <c r="MT94" i="2"/>
  <c r="MS94" i="2"/>
  <c r="MM94" i="2"/>
  <c r="ML94" i="2"/>
  <c r="MF94" i="2"/>
  <c r="ME94" i="2"/>
  <c r="LY94" i="2"/>
  <c r="LX94" i="2"/>
  <c r="NH93" i="2"/>
  <c r="NG93" i="2"/>
  <c r="NA93" i="2"/>
  <c r="MZ93" i="2"/>
  <c r="MT93" i="2"/>
  <c r="MS93" i="2"/>
  <c r="MM93" i="2"/>
  <c r="ML93" i="2"/>
  <c r="MF93" i="2"/>
  <c r="ME93" i="2"/>
  <c r="LY93" i="2"/>
  <c r="LX93" i="2"/>
  <c r="NH92" i="2"/>
  <c r="NG92" i="2"/>
  <c r="NA92" i="2"/>
  <c r="MZ92" i="2"/>
  <c r="MT92" i="2"/>
  <c r="MS92" i="2"/>
  <c r="MM92" i="2"/>
  <c r="ML92" i="2"/>
  <c r="MF92" i="2"/>
  <c r="ME92" i="2"/>
  <c r="LY92" i="2"/>
  <c r="LX92" i="2"/>
  <c r="NH91" i="2"/>
  <c r="NG91" i="2"/>
  <c r="NA91" i="2"/>
  <c r="MZ91" i="2"/>
  <c r="MT91" i="2"/>
  <c r="MS91" i="2"/>
  <c r="MM91" i="2"/>
  <c r="ML91" i="2"/>
  <c r="MF91" i="2"/>
  <c r="ME91" i="2"/>
  <c r="LY91" i="2"/>
  <c r="LX91" i="2"/>
  <c r="NH90" i="2"/>
  <c r="NG90" i="2"/>
  <c r="NA90" i="2"/>
  <c r="MZ90" i="2"/>
  <c r="MT90" i="2"/>
  <c r="MS90" i="2"/>
  <c r="MM90" i="2"/>
  <c r="ML90" i="2"/>
  <c r="MF90" i="2"/>
  <c r="ME90" i="2"/>
  <c r="LY90" i="2"/>
  <c r="LX90" i="2"/>
  <c r="NH89" i="2"/>
  <c r="NG89" i="2"/>
  <c r="NA89" i="2"/>
  <c r="MZ89" i="2"/>
  <c r="MT89" i="2"/>
  <c r="MS89" i="2"/>
  <c r="MM89" i="2"/>
  <c r="ML89" i="2"/>
  <c r="MF89" i="2"/>
  <c r="ME89" i="2"/>
  <c r="LY89" i="2"/>
  <c r="LX89" i="2"/>
  <c r="NH88" i="2"/>
  <c r="NG88" i="2"/>
  <c r="NA88" i="2"/>
  <c r="MZ88" i="2"/>
  <c r="MT88" i="2"/>
  <c r="MS88" i="2"/>
  <c r="MM88" i="2"/>
  <c r="ML88" i="2"/>
  <c r="MF88" i="2"/>
  <c r="ME88" i="2"/>
  <c r="LY88" i="2"/>
  <c r="LX88" i="2"/>
  <c r="NH87" i="2"/>
  <c r="NG87" i="2"/>
  <c r="NA87" i="2"/>
  <c r="MZ87" i="2"/>
  <c r="MT87" i="2"/>
  <c r="MS87" i="2"/>
  <c r="MM87" i="2"/>
  <c r="ML87" i="2"/>
  <c r="MF87" i="2"/>
  <c r="ME87" i="2"/>
  <c r="LY87" i="2"/>
  <c r="LX87" i="2"/>
  <c r="NH86" i="2"/>
  <c r="NG86" i="2"/>
  <c r="NA86" i="2"/>
  <c r="MZ86" i="2"/>
  <c r="MT86" i="2"/>
  <c r="MS86" i="2"/>
  <c r="MM86" i="2"/>
  <c r="ML86" i="2"/>
  <c r="MF86" i="2"/>
  <c r="ME86" i="2"/>
  <c r="LY86" i="2"/>
  <c r="LX86" i="2"/>
  <c r="NH85" i="2"/>
  <c r="NG85" i="2"/>
  <c r="NA85" i="2"/>
  <c r="MZ85" i="2"/>
  <c r="MT85" i="2"/>
  <c r="MS85" i="2"/>
  <c r="MM85" i="2"/>
  <c r="ML85" i="2"/>
  <c r="MF85" i="2"/>
  <c r="ME85" i="2"/>
  <c r="LY85" i="2"/>
  <c r="LX85" i="2"/>
  <c r="NH84" i="2"/>
  <c r="NG84" i="2"/>
  <c r="NA84" i="2"/>
  <c r="MZ84" i="2"/>
  <c r="MT84" i="2"/>
  <c r="MS84" i="2"/>
  <c r="MM84" i="2"/>
  <c r="ML84" i="2"/>
  <c r="MF84" i="2"/>
  <c r="ME84" i="2"/>
  <c r="LY84" i="2"/>
  <c r="LX84" i="2"/>
  <c r="NH83" i="2"/>
  <c r="NG83" i="2"/>
  <c r="NA83" i="2"/>
  <c r="MZ83" i="2"/>
  <c r="MT83" i="2"/>
  <c r="MS83" i="2"/>
  <c r="MM83" i="2"/>
  <c r="ML83" i="2"/>
  <c r="MF83" i="2"/>
  <c r="ME83" i="2"/>
  <c r="LY83" i="2"/>
  <c r="LX83" i="2"/>
  <c r="NH82" i="2"/>
  <c r="NA82" i="2"/>
  <c r="MT82" i="2"/>
  <c r="MM82" i="2"/>
  <c r="MF82" i="2"/>
  <c r="LY82" i="2"/>
  <c r="NH79" i="2"/>
  <c r="NA79" i="2"/>
  <c r="MT79" i="2"/>
  <c r="MM79" i="2"/>
  <c r="MF79" i="2"/>
  <c r="LY79" i="2"/>
  <c r="NH78" i="2"/>
  <c r="NA78" i="2"/>
  <c r="MT78" i="2"/>
  <c r="MM78" i="2"/>
  <c r="MF78" i="2"/>
  <c r="LY78" i="2"/>
  <c r="NH77" i="2"/>
  <c r="NA77" i="2"/>
  <c r="MT77" i="2"/>
  <c r="MM77" i="2"/>
  <c r="MF77" i="2"/>
  <c r="LY77" i="2"/>
  <c r="NH76" i="2"/>
  <c r="NA76" i="2"/>
  <c r="MT76" i="2"/>
  <c r="MM76" i="2"/>
  <c r="MF76" i="2"/>
  <c r="LY76" i="2"/>
  <c r="NH75" i="2"/>
  <c r="NA75" i="2"/>
  <c r="MT75" i="2"/>
  <c r="MM75" i="2"/>
  <c r="MF75" i="2"/>
  <c r="LY75" i="2"/>
  <c r="NH74" i="2"/>
  <c r="NA74" i="2"/>
  <c r="MZ74" i="2"/>
  <c r="MT74" i="2"/>
  <c r="MM74" i="2"/>
  <c r="MF74" i="2"/>
  <c r="LY74" i="2"/>
  <c r="LX74" i="2"/>
  <c r="NH73" i="2"/>
  <c r="NA73" i="2"/>
  <c r="MT73" i="2"/>
  <c r="MM73" i="2"/>
  <c r="MF73" i="2"/>
  <c r="LY73" i="2"/>
  <c r="NH72" i="2"/>
  <c r="NA72" i="2"/>
  <c r="MT72" i="2"/>
  <c r="MM72" i="2"/>
  <c r="MF72" i="2"/>
  <c r="LY72" i="2"/>
  <c r="NH71" i="2"/>
  <c r="NA71" i="2"/>
  <c r="MT71" i="2"/>
  <c r="MM71" i="2"/>
  <c r="MF71" i="2"/>
  <c r="LY71" i="2"/>
  <c r="NH70" i="2"/>
  <c r="NA70" i="2"/>
  <c r="MT70" i="2"/>
  <c r="MS70" i="2"/>
  <c r="MM70" i="2"/>
  <c r="MF70" i="2"/>
  <c r="LY70" i="2"/>
  <c r="NH69" i="2"/>
  <c r="NA69" i="2"/>
  <c r="MT69" i="2"/>
  <c r="MM69" i="2"/>
  <c r="MF69" i="2"/>
  <c r="LY69" i="2"/>
  <c r="NH68" i="2"/>
  <c r="NA68" i="2"/>
  <c r="MT68" i="2"/>
  <c r="MM68" i="2"/>
  <c r="MF68" i="2"/>
  <c r="LY68" i="2"/>
  <c r="NH67" i="2"/>
  <c r="NA67" i="2"/>
  <c r="MT67" i="2"/>
  <c r="MM67" i="2"/>
  <c r="MF67" i="2"/>
  <c r="LY67" i="2"/>
  <c r="LX67" i="2"/>
  <c r="NH66" i="2"/>
  <c r="NA66" i="2"/>
  <c r="MT66" i="2"/>
  <c r="MM66" i="2"/>
  <c r="MF66" i="2"/>
  <c r="LY66" i="2"/>
  <c r="NH65" i="2"/>
  <c r="NA65" i="2"/>
  <c r="MT65" i="2"/>
  <c r="MM65" i="2"/>
  <c r="MF65" i="2"/>
  <c r="LY65" i="2"/>
  <c r="NH64" i="2"/>
  <c r="NA64" i="2"/>
  <c r="MT64" i="2"/>
  <c r="MM64" i="2"/>
  <c r="MF64" i="2"/>
  <c r="LY64" i="2"/>
  <c r="LX64" i="2"/>
  <c r="NH63" i="2"/>
  <c r="NA63" i="2"/>
  <c r="MT63" i="2"/>
  <c r="MM63" i="2"/>
  <c r="MF63" i="2"/>
  <c r="LY63" i="2"/>
  <c r="NH62" i="2"/>
  <c r="NA62" i="2"/>
  <c r="MT62" i="2"/>
  <c r="MM62" i="2"/>
  <c r="ML62" i="2"/>
  <c r="MF62" i="2"/>
  <c r="LY62" i="2"/>
  <c r="LX62" i="2"/>
  <c r="NH61" i="2"/>
  <c r="NA61" i="2"/>
  <c r="MT61" i="2"/>
  <c r="MM61" i="2"/>
  <c r="ML61" i="2"/>
  <c r="MF61" i="2"/>
  <c r="LY61" i="2"/>
  <c r="NH60" i="2"/>
  <c r="NA60" i="2"/>
  <c r="MT60" i="2"/>
  <c r="MM60" i="2"/>
  <c r="MF60" i="2"/>
  <c r="LY60" i="2"/>
  <c r="NH59" i="2"/>
  <c r="NA59" i="2"/>
  <c r="MT59" i="2"/>
  <c r="MM59" i="2"/>
  <c r="MF59" i="2"/>
  <c r="LY59" i="2"/>
  <c r="NH58" i="2"/>
  <c r="NA58" i="2"/>
  <c r="MT58" i="2"/>
  <c r="MM58" i="2"/>
  <c r="MF58" i="2"/>
  <c r="LY58" i="2"/>
  <c r="NH57" i="2"/>
  <c r="NA57" i="2"/>
  <c r="MT57" i="2"/>
  <c r="MM57" i="2"/>
  <c r="MF57" i="2"/>
  <c r="LY57" i="2"/>
  <c r="NH56" i="2"/>
  <c r="NA56" i="2"/>
  <c r="MZ56" i="2"/>
  <c r="MT56" i="2"/>
  <c r="MS56" i="2"/>
  <c r="MM56" i="2"/>
  <c r="MF56" i="2"/>
  <c r="LY56" i="2"/>
  <c r="NH54" i="2"/>
  <c r="NA54" i="2"/>
  <c r="MT54" i="2"/>
  <c r="MM54" i="2"/>
  <c r="MF54" i="2"/>
  <c r="LY54" i="2"/>
  <c r="NH53" i="2"/>
  <c r="NA53" i="2"/>
  <c r="MT53" i="2"/>
  <c r="MM53" i="2"/>
  <c r="MF53" i="2"/>
  <c r="LY53" i="2"/>
  <c r="NH52" i="2"/>
  <c r="NA52" i="2"/>
  <c r="MT52" i="2"/>
  <c r="MM52" i="2"/>
  <c r="MF52" i="2"/>
  <c r="LY52" i="2"/>
  <c r="NH51" i="2"/>
  <c r="NA51" i="2"/>
  <c r="MT51" i="2"/>
  <c r="MM51" i="2"/>
  <c r="MF51" i="2"/>
  <c r="LY51" i="2"/>
  <c r="NH50" i="2"/>
  <c r="NG50" i="2"/>
  <c r="NA50" i="2"/>
  <c r="MT50" i="2"/>
  <c r="MM50" i="2"/>
  <c r="ML50" i="2"/>
  <c r="MF50" i="2"/>
  <c r="ME50" i="2"/>
  <c r="LY50" i="2"/>
  <c r="NH49" i="2"/>
  <c r="NA49" i="2"/>
  <c r="MT49" i="2"/>
  <c r="MM49" i="2"/>
  <c r="MF49" i="2"/>
  <c r="LY49" i="2"/>
  <c r="NH48" i="2"/>
  <c r="NA48" i="2"/>
  <c r="MT48" i="2"/>
  <c r="MS48" i="2"/>
  <c r="MM48" i="2"/>
  <c r="MF48" i="2"/>
  <c r="LY48" i="2"/>
  <c r="NH47" i="2"/>
  <c r="NA47" i="2"/>
  <c r="MT47" i="2"/>
  <c r="MM47" i="2"/>
  <c r="MF47" i="2"/>
  <c r="LY47" i="2"/>
  <c r="NH46" i="2"/>
  <c r="NA46" i="2"/>
  <c r="MT46" i="2"/>
  <c r="MM46" i="2"/>
  <c r="MF46" i="2"/>
  <c r="LY46" i="2"/>
  <c r="NH45" i="2"/>
  <c r="NA45" i="2"/>
  <c r="MT45" i="2"/>
  <c r="MM45" i="2"/>
  <c r="MF45" i="2"/>
  <c r="LY45" i="2"/>
  <c r="NH44" i="2"/>
  <c r="NA44" i="2"/>
  <c r="MT44" i="2"/>
  <c r="MM44" i="2"/>
  <c r="MF44" i="2"/>
  <c r="LY44" i="2"/>
  <c r="NH43" i="2"/>
  <c r="NA43" i="2"/>
  <c r="MT43" i="2"/>
  <c r="MM43" i="2"/>
  <c r="MF43" i="2"/>
  <c r="LY43" i="2"/>
  <c r="NH42" i="2"/>
  <c r="NA42" i="2"/>
  <c r="MT42" i="2"/>
  <c r="MM42" i="2"/>
  <c r="MF42" i="2"/>
  <c r="LY42" i="2"/>
  <c r="NH41" i="2"/>
  <c r="NA41" i="2"/>
  <c r="MT41" i="2"/>
  <c r="MM41" i="2"/>
  <c r="MF41" i="2"/>
  <c r="LY41" i="2"/>
  <c r="NH40" i="2"/>
  <c r="NA40" i="2"/>
  <c r="MT40" i="2"/>
  <c r="MM40" i="2"/>
  <c r="MF40" i="2"/>
  <c r="LY40" i="2"/>
  <c r="NH39" i="2"/>
  <c r="NA39" i="2"/>
  <c r="MT39" i="2"/>
  <c r="MM39" i="2"/>
  <c r="MF39" i="2"/>
  <c r="LY39" i="2"/>
  <c r="NH38" i="2"/>
  <c r="NA38" i="2"/>
  <c r="MT38" i="2"/>
  <c r="MM38" i="2"/>
  <c r="MF38" i="2"/>
  <c r="LY38" i="2"/>
  <c r="NH37" i="2"/>
  <c r="NA37" i="2"/>
  <c r="MT37" i="2"/>
  <c r="MM37" i="2"/>
  <c r="MF37" i="2"/>
  <c r="LY37" i="2"/>
  <c r="NH36" i="2"/>
  <c r="NA36" i="2"/>
  <c r="MT36" i="2"/>
  <c r="MM36" i="2"/>
  <c r="MF36" i="2"/>
  <c r="LY36" i="2"/>
  <c r="NH35" i="2"/>
  <c r="NA35" i="2"/>
  <c r="MT35" i="2"/>
  <c r="MM35" i="2"/>
  <c r="MF35" i="2"/>
  <c r="LY35" i="2"/>
  <c r="NH34" i="2"/>
  <c r="NA34" i="2"/>
  <c r="MT34" i="2"/>
  <c r="MM34" i="2"/>
  <c r="MF34" i="2"/>
  <c r="LY34" i="2"/>
  <c r="NH33" i="2"/>
  <c r="NA33" i="2"/>
  <c r="MT33" i="2"/>
  <c r="MM33" i="2"/>
  <c r="MF33" i="2"/>
  <c r="LY33" i="2"/>
  <c r="NH32" i="2"/>
  <c r="NA32" i="2"/>
  <c r="MT32" i="2"/>
  <c r="MM32" i="2"/>
  <c r="MF32" i="2"/>
  <c r="LY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Q103" i="2"/>
  <c r="LK103" i="2"/>
  <c r="LJ103" i="2"/>
  <c r="LD103" i="2"/>
  <c r="LC103" i="2"/>
  <c r="LR102" i="2"/>
  <c r="LQ102" i="2"/>
  <c r="LK102" i="2"/>
  <c r="LJ102" i="2"/>
  <c r="LD102" i="2"/>
  <c r="LC102" i="2"/>
  <c r="LR101" i="2"/>
  <c r="LQ101" i="2"/>
  <c r="LK101" i="2"/>
  <c r="LJ101" i="2"/>
  <c r="LD101" i="2"/>
  <c r="LC101" i="2"/>
  <c r="LR100" i="2"/>
  <c r="LQ100" i="2"/>
  <c r="LK100" i="2"/>
  <c r="LJ100" i="2"/>
  <c r="LD100" i="2"/>
  <c r="LC100" i="2"/>
  <c r="LR97" i="2"/>
  <c r="LQ97" i="2"/>
  <c r="LK97" i="2"/>
  <c r="LJ97" i="2"/>
  <c r="LD97" i="2"/>
  <c r="LC97" i="2"/>
  <c r="LR96" i="2"/>
  <c r="LQ96" i="2"/>
  <c r="LK96" i="2"/>
  <c r="LJ96" i="2"/>
  <c r="LD96" i="2"/>
  <c r="LC96" i="2"/>
  <c r="LR95" i="2"/>
  <c r="LQ95" i="2"/>
  <c r="LK95" i="2"/>
  <c r="LJ95" i="2"/>
  <c r="LD95" i="2"/>
  <c r="LC95" i="2"/>
  <c r="LR94" i="2"/>
  <c r="LQ94" i="2"/>
  <c r="LK94" i="2"/>
  <c r="LJ94" i="2"/>
  <c r="LD94" i="2"/>
  <c r="LC94" i="2"/>
  <c r="LR93" i="2"/>
  <c r="LQ93" i="2"/>
  <c r="LK93" i="2"/>
  <c r="LJ93" i="2"/>
  <c r="LD93" i="2"/>
  <c r="LC93" i="2"/>
  <c r="LR92" i="2"/>
  <c r="LQ92" i="2"/>
  <c r="LK92" i="2"/>
  <c r="LJ92" i="2"/>
  <c r="LD92" i="2"/>
  <c r="LC92" i="2"/>
  <c r="LR91" i="2"/>
  <c r="LQ91" i="2"/>
  <c r="LK91" i="2"/>
  <c r="LJ91" i="2"/>
  <c r="LD91" i="2"/>
  <c r="LC91" i="2"/>
  <c r="LR90" i="2"/>
  <c r="LQ90" i="2"/>
  <c r="LK90" i="2"/>
  <c r="LJ90" i="2"/>
  <c r="LD90" i="2"/>
  <c r="LC90" i="2"/>
  <c r="LR89" i="2"/>
  <c r="LQ89" i="2"/>
  <c r="LK89" i="2"/>
  <c r="LJ89" i="2"/>
  <c r="LD89" i="2"/>
  <c r="LC89" i="2"/>
  <c r="LR88" i="2"/>
  <c r="LQ88" i="2"/>
  <c r="LK88" i="2"/>
  <c r="LJ88" i="2"/>
  <c r="LD88" i="2"/>
  <c r="LC88" i="2"/>
  <c r="LR87" i="2"/>
  <c r="LQ87" i="2"/>
  <c r="LK87" i="2"/>
  <c r="LJ87" i="2"/>
  <c r="LD87" i="2"/>
  <c r="LC87" i="2"/>
  <c r="LR86" i="2"/>
  <c r="LQ86" i="2"/>
  <c r="LK86" i="2"/>
  <c r="LJ86" i="2"/>
  <c r="LD86" i="2"/>
  <c r="LC86" i="2"/>
  <c r="LR85" i="2"/>
  <c r="LQ85" i="2"/>
  <c r="LK85" i="2"/>
  <c r="LJ85" i="2"/>
  <c r="LD85" i="2"/>
  <c r="LC85" i="2"/>
  <c r="LR84" i="2"/>
  <c r="LQ84" i="2"/>
  <c r="LK84" i="2"/>
  <c r="LJ84" i="2"/>
  <c r="LD84" i="2"/>
  <c r="LC84" i="2"/>
  <c r="LR83" i="2"/>
  <c r="LQ83" i="2"/>
  <c r="LK83" i="2"/>
  <c r="LJ83" i="2"/>
  <c r="LD83" i="2"/>
  <c r="LC83" i="2"/>
  <c r="LR82" i="2"/>
  <c r="LK82" i="2"/>
  <c r="LD82" i="2"/>
  <c r="LR79" i="2"/>
  <c r="LK79" i="2"/>
  <c r="LD79" i="2"/>
  <c r="LR78" i="2"/>
  <c r="LK78" i="2"/>
  <c r="LD78" i="2"/>
  <c r="LR77" i="2"/>
  <c r="LK77" i="2"/>
  <c r="LD77" i="2"/>
  <c r="LR76" i="2"/>
  <c r="LK76" i="2"/>
  <c r="LD76" i="2"/>
  <c r="LR75" i="2"/>
  <c r="LK75" i="2"/>
  <c r="LD75" i="2"/>
  <c r="LR74" i="2"/>
  <c r="LK74" i="2"/>
  <c r="LD74" i="2"/>
  <c r="LR73" i="2"/>
  <c r="LK73" i="2"/>
  <c r="LD73" i="2"/>
  <c r="LR72" i="2"/>
  <c r="LK72" i="2"/>
  <c r="LD72" i="2"/>
  <c r="LR71" i="2"/>
  <c r="LK71" i="2"/>
  <c r="LD71" i="2"/>
  <c r="LR70" i="2"/>
  <c r="LK70" i="2"/>
  <c r="LD70" i="2"/>
  <c r="LR69" i="2"/>
  <c r="LK69" i="2"/>
  <c r="LD69" i="2"/>
  <c r="LR68" i="2"/>
  <c r="LK68" i="2"/>
  <c r="LD68" i="2"/>
  <c r="LR67" i="2"/>
  <c r="LK67" i="2"/>
  <c r="LD67" i="2"/>
  <c r="LR66" i="2"/>
  <c r="LK66" i="2"/>
  <c r="LJ66" i="2"/>
  <c r="LD66" i="2"/>
  <c r="LR65" i="2"/>
  <c r="LK65" i="2"/>
  <c r="LD65" i="2"/>
  <c r="LR64" i="2"/>
  <c r="LK64" i="2"/>
  <c r="LD64" i="2"/>
  <c r="LR63" i="2"/>
  <c r="LK63" i="2"/>
  <c r="LD63" i="2"/>
  <c r="LR62" i="2"/>
  <c r="LK62" i="2"/>
  <c r="LD62" i="2"/>
  <c r="LR61" i="2"/>
  <c r="LK61" i="2"/>
  <c r="LD61" i="2"/>
  <c r="LR60" i="2"/>
  <c r="LK60" i="2"/>
  <c r="LD60" i="2"/>
  <c r="LR59" i="2"/>
  <c r="LK59" i="2"/>
  <c r="LD59" i="2"/>
  <c r="LR58" i="2"/>
  <c r="LK58" i="2"/>
  <c r="LD58" i="2"/>
  <c r="LR57" i="2"/>
  <c r="LK57" i="2"/>
  <c r="LD57" i="2"/>
  <c r="LR56" i="2"/>
  <c r="LK56" i="2"/>
  <c r="LD56" i="2"/>
  <c r="LC56" i="2"/>
  <c r="LR54" i="2"/>
  <c r="LK54" i="2"/>
  <c r="LD54" i="2"/>
  <c r="LR53" i="2"/>
  <c r="LK53" i="2"/>
  <c r="LD53" i="2"/>
  <c r="LR52" i="2"/>
  <c r="LK52" i="2"/>
  <c r="LD52" i="2"/>
  <c r="LR51" i="2"/>
  <c r="LK51" i="2"/>
  <c r="LD51" i="2"/>
  <c r="LR50" i="2"/>
  <c r="LK50" i="2"/>
  <c r="LD50" i="2"/>
  <c r="LC50" i="2"/>
  <c r="LR49" i="2"/>
  <c r="LK49" i="2"/>
  <c r="LD49" i="2"/>
  <c r="LR48" i="2"/>
  <c r="LK48" i="2"/>
  <c r="LD48" i="2"/>
  <c r="LR47" i="2"/>
  <c r="LK47" i="2"/>
  <c r="LD47" i="2"/>
  <c r="LR46" i="2"/>
  <c r="LK46" i="2"/>
  <c r="LD46" i="2"/>
  <c r="LR45" i="2"/>
  <c r="LK45" i="2"/>
  <c r="LD45" i="2"/>
  <c r="LR44" i="2"/>
  <c r="LK44" i="2"/>
  <c r="LD44" i="2"/>
  <c r="LR43" i="2"/>
  <c r="LK43" i="2"/>
  <c r="LD43" i="2"/>
  <c r="LR42" i="2"/>
  <c r="LK42" i="2"/>
  <c r="LD42" i="2"/>
  <c r="LR41" i="2"/>
  <c r="LK41" i="2"/>
  <c r="LD41" i="2"/>
  <c r="LR40" i="2"/>
  <c r="LK40" i="2"/>
  <c r="LD40" i="2"/>
  <c r="LC40" i="2"/>
  <c r="LR39" i="2"/>
  <c r="LK39" i="2"/>
  <c r="LD39" i="2"/>
  <c r="LR38" i="2"/>
  <c r="LK38" i="2"/>
  <c r="LD38" i="2"/>
  <c r="LR37" i="2"/>
  <c r="LK37" i="2"/>
  <c r="LD37" i="2"/>
  <c r="LR36" i="2"/>
  <c r="LK36" i="2"/>
  <c r="LD36" i="2"/>
  <c r="LR35" i="2"/>
  <c r="LK35" i="2"/>
  <c r="LD35" i="2"/>
  <c r="LR34" i="2"/>
  <c r="LK34" i="2"/>
  <c r="LD34" i="2"/>
  <c r="LR33" i="2"/>
  <c r="LK33" i="2"/>
  <c r="LD33" i="2"/>
  <c r="LR32" i="2"/>
  <c r="LK32" i="2"/>
  <c r="LD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V103" i="2"/>
  <c r="KP103" i="2"/>
  <c r="KO103" i="2"/>
  <c r="KI103" i="2"/>
  <c r="KH103" i="2"/>
  <c r="KW102" i="2"/>
  <c r="KV102" i="2"/>
  <c r="KP102" i="2"/>
  <c r="KO102" i="2"/>
  <c r="KI102" i="2"/>
  <c r="KH102" i="2"/>
  <c r="KW101" i="2"/>
  <c r="KV101" i="2"/>
  <c r="KP101" i="2"/>
  <c r="KO101" i="2"/>
  <c r="KI101" i="2"/>
  <c r="KH101" i="2"/>
  <c r="KW100" i="2"/>
  <c r="KV100" i="2"/>
  <c r="KP100" i="2"/>
  <c r="KO100" i="2"/>
  <c r="KI100" i="2"/>
  <c r="KH100" i="2"/>
  <c r="KW97" i="2"/>
  <c r="KV97" i="2"/>
  <c r="KP97" i="2"/>
  <c r="KO97" i="2"/>
  <c r="KI97" i="2"/>
  <c r="KH97" i="2"/>
  <c r="KW96" i="2"/>
  <c r="KV96" i="2"/>
  <c r="KP96" i="2"/>
  <c r="KO96" i="2"/>
  <c r="KI96" i="2"/>
  <c r="KH96" i="2"/>
  <c r="KW95" i="2"/>
  <c r="KV95" i="2"/>
  <c r="KP95" i="2"/>
  <c r="KO95" i="2"/>
  <c r="KI95" i="2"/>
  <c r="KH95" i="2"/>
  <c r="KW94" i="2"/>
  <c r="KV94" i="2"/>
  <c r="KP94" i="2"/>
  <c r="KO94" i="2"/>
  <c r="KI94" i="2"/>
  <c r="KH94" i="2"/>
  <c r="KW93" i="2"/>
  <c r="KV93" i="2"/>
  <c r="KP93" i="2"/>
  <c r="KO93" i="2"/>
  <c r="KI93" i="2"/>
  <c r="KH93" i="2"/>
  <c r="KW92" i="2"/>
  <c r="KV92" i="2"/>
  <c r="KP92" i="2"/>
  <c r="KO92" i="2"/>
  <c r="KI92" i="2"/>
  <c r="KH92" i="2"/>
  <c r="KW91" i="2"/>
  <c r="KV91" i="2"/>
  <c r="KP91" i="2"/>
  <c r="KO91" i="2"/>
  <c r="KI91" i="2"/>
  <c r="KH91" i="2"/>
  <c r="KW90" i="2"/>
  <c r="KV90" i="2"/>
  <c r="KP90" i="2"/>
  <c r="KO90" i="2"/>
  <c r="KI90" i="2"/>
  <c r="KH90" i="2"/>
  <c r="KW89" i="2"/>
  <c r="KV89" i="2"/>
  <c r="KP89" i="2"/>
  <c r="KO89" i="2"/>
  <c r="KI89" i="2"/>
  <c r="KH89" i="2"/>
  <c r="KW88" i="2"/>
  <c r="KV88" i="2"/>
  <c r="KP88" i="2"/>
  <c r="KO88" i="2"/>
  <c r="KI88" i="2"/>
  <c r="KH88" i="2"/>
  <c r="KW87" i="2"/>
  <c r="KV87" i="2"/>
  <c r="KP87" i="2"/>
  <c r="KO87" i="2"/>
  <c r="KI87" i="2"/>
  <c r="KH87" i="2"/>
  <c r="KW86" i="2"/>
  <c r="KV86" i="2"/>
  <c r="KP86" i="2"/>
  <c r="KO86" i="2"/>
  <c r="KI86" i="2"/>
  <c r="KH86" i="2"/>
  <c r="KW85" i="2"/>
  <c r="KV85" i="2"/>
  <c r="KP85" i="2"/>
  <c r="KO85" i="2"/>
  <c r="KI85" i="2"/>
  <c r="KH85" i="2"/>
  <c r="KW84" i="2"/>
  <c r="KV84" i="2"/>
  <c r="KP84" i="2"/>
  <c r="KO84" i="2"/>
  <c r="KI84" i="2"/>
  <c r="KH84" i="2"/>
  <c r="KW83" i="2"/>
  <c r="KV83" i="2"/>
  <c r="KP83" i="2"/>
  <c r="KO83" i="2"/>
  <c r="KI83" i="2"/>
  <c r="KH83" i="2"/>
  <c r="KW82" i="2"/>
  <c r="KP82" i="2"/>
  <c r="KI82" i="2"/>
  <c r="KW79" i="2"/>
  <c r="KP79" i="2"/>
  <c r="KI79" i="2"/>
  <c r="KW78" i="2"/>
  <c r="KP78" i="2"/>
  <c r="KI78" i="2"/>
  <c r="KW77" i="2"/>
  <c r="KP77" i="2"/>
  <c r="KI77" i="2"/>
  <c r="KW76" i="2"/>
  <c r="KP76" i="2"/>
  <c r="KI76" i="2"/>
  <c r="KW75" i="2"/>
  <c r="KP75" i="2"/>
  <c r="KI75" i="2"/>
  <c r="KW74" i="2"/>
  <c r="KV74" i="2"/>
  <c r="KP74" i="2"/>
  <c r="KO74" i="2"/>
  <c r="KI74" i="2"/>
  <c r="KW73" i="2"/>
  <c r="KP73" i="2"/>
  <c r="KI73" i="2"/>
  <c r="KW72" i="2"/>
  <c r="KP72" i="2"/>
  <c r="KI72" i="2"/>
  <c r="KW71" i="2"/>
  <c r="KV71" i="2"/>
  <c r="KP71" i="2"/>
  <c r="KI71" i="2"/>
  <c r="KW70" i="2"/>
  <c r="KP70" i="2"/>
  <c r="KI70" i="2"/>
  <c r="KW69" i="2"/>
  <c r="KP69" i="2"/>
  <c r="KI69" i="2"/>
  <c r="KW68" i="2"/>
  <c r="KP68" i="2"/>
  <c r="KI68" i="2"/>
  <c r="KW67" i="2"/>
  <c r="KP67" i="2"/>
  <c r="KI67" i="2"/>
  <c r="KW66" i="2"/>
  <c r="KP66" i="2"/>
  <c r="KI66" i="2"/>
  <c r="KW65" i="2"/>
  <c r="KP65" i="2"/>
  <c r="KI65" i="2"/>
  <c r="KW64" i="2"/>
  <c r="KP64" i="2"/>
  <c r="KI64" i="2"/>
  <c r="KW63" i="2"/>
  <c r="KP63" i="2"/>
  <c r="KI63" i="2"/>
  <c r="KW62" i="2"/>
  <c r="KV62" i="2"/>
  <c r="KP62" i="2"/>
  <c r="KI62" i="2"/>
  <c r="KW61" i="2"/>
  <c r="KP61" i="2"/>
  <c r="KI61" i="2"/>
  <c r="KW60" i="2"/>
  <c r="KP60" i="2"/>
  <c r="KI60" i="2"/>
  <c r="KW59" i="2"/>
  <c r="KP59" i="2"/>
  <c r="KI59" i="2"/>
  <c r="KW58" i="2"/>
  <c r="KP58" i="2"/>
  <c r="KI58" i="2"/>
  <c r="KW57" i="2"/>
  <c r="KP57" i="2"/>
  <c r="KI57" i="2"/>
  <c r="KW56" i="2"/>
  <c r="KP56" i="2"/>
  <c r="KI56" i="2"/>
  <c r="KW54" i="2"/>
  <c r="KV54" i="2"/>
  <c r="KP54" i="2"/>
  <c r="KO54" i="2"/>
  <c r="KI54" i="2"/>
  <c r="KW53" i="2"/>
  <c r="KV53" i="2"/>
  <c r="KP53" i="2"/>
  <c r="KO53" i="2"/>
  <c r="KI53" i="2"/>
  <c r="KW52" i="2"/>
  <c r="KP52" i="2"/>
  <c r="KI52" i="2"/>
  <c r="KW51" i="2"/>
  <c r="KP51" i="2"/>
  <c r="KI51" i="2"/>
  <c r="KW50" i="2"/>
  <c r="KP50" i="2"/>
  <c r="KI50" i="2"/>
  <c r="KW49" i="2"/>
  <c r="KP49" i="2"/>
  <c r="KI49" i="2"/>
  <c r="KW48" i="2"/>
  <c r="KP48" i="2"/>
  <c r="KI48" i="2"/>
  <c r="KW47" i="2"/>
  <c r="KP47" i="2"/>
  <c r="KI47" i="2"/>
  <c r="KW46" i="2"/>
  <c r="KP46" i="2"/>
  <c r="KI46" i="2"/>
  <c r="KW45" i="2"/>
  <c r="KP45" i="2"/>
  <c r="KI45" i="2"/>
  <c r="KW44" i="2"/>
  <c r="KP44" i="2"/>
  <c r="KI44" i="2"/>
  <c r="KW43" i="2"/>
  <c r="KP43" i="2"/>
  <c r="KI43" i="2"/>
  <c r="KW42" i="2"/>
  <c r="KP42" i="2"/>
  <c r="KI42" i="2"/>
  <c r="KW41" i="2"/>
  <c r="KV41" i="2"/>
  <c r="KP41" i="2"/>
  <c r="KI41" i="2"/>
  <c r="KW40" i="2"/>
  <c r="KP40" i="2"/>
  <c r="KI40" i="2"/>
  <c r="KW39" i="2"/>
  <c r="KP39" i="2"/>
  <c r="KI39" i="2"/>
  <c r="KW38" i="2"/>
  <c r="KP38" i="2"/>
  <c r="KI38" i="2"/>
  <c r="KW37" i="2"/>
  <c r="KP37" i="2"/>
  <c r="KI37" i="2"/>
  <c r="KW36" i="2"/>
  <c r="KP36" i="2"/>
  <c r="KO36" i="2"/>
  <c r="KI36" i="2"/>
  <c r="KW35" i="2"/>
  <c r="KP35" i="2"/>
  <c r="KI35" i="2"/>
  <c r="KW34" i="2"/>
  <c r="KP34" i="2"/>
  <c r="KO34" i="2"/>
  <c r="KI34" i="2"/>
  <c r="KW33" i="2"/>
  <c r="KP33" i="2"/>
  <c r="KI33" i="2"/>
  <c r="KW32" i="2"/>
  <c r="KP32" i="2"/>
  <c r="KI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KA103" i="2"/>
  <c r="JU103" i="2"/>
  <c r="JT103" i="2"/>
  <c r="JN103" i="2"/>
  <c r="JM103" i="2"/>
  <c r="KB102" i="2"/>
  <c r="KA102" i="2"/>
  <c r="JU102" i="2"/>
  <c r="JT102" i="2"/>
  <c r="JN102" i="2"/>
  <c r="JM102" i="2"/>
  <c r="KB101" i="2"/>
  <c r="KA101" i="2"/>
  <c r="JU101" i="2"/>
  <c r="JT101" i="2"/>
  <c r="JN101" i="2"/>
  <c r="JM101" i="2"/>
  <c r="KB100" i="2"/>
  <c r="KA100" i="2"/>
  <c r="JU100" i="2"/>
  <c r="JT100" i="2"/>
  <c r="JN100" i="2"/>
  <c r="JM100" i="2"/>
  <c r="KB97" i="2"/>
  <c r="KA97" i="2"/>
  <c r="JU97" i="2"/>
  <c r="JT97" i="2"/>
  <c r="JN97" i="2"/>
  <c r="JM97" i="2"/>
  <c r="KB96" i="2"/>
  <c r="KA96" i="2"/>
  <c r="JU96" i="2"/>
  <c r="JT96" i="2"/>
  <c r="JN96" i="2"/>
  <c r="JM96" i="2"/>
  <c r="KB95" i="2"/>
  <c r="KA95" i="2"/>
  <c r="JU95" i="2"/>
  <c r="JT95" i="2"/>
  <c r="JN95" i="2"/>
  <c r="JM95" i="2"/>
  <c r="KB94" i="2"/>
  <c r="KA94" i="2"/>
  <c r="JU94" i="2"/>
  <c r="JT94" i="2"/>
  <c r="JN94" i="2"/>
  <c r="JM94" i="2"/>
  <c r="KB93" i="2"/>
  <c r="KA93" i="2"/>
  <c r="JU93" i="2"/>
  <c r="JT93" i="2"/>
  <c r="JN93" i="2"/>
  <c r="JM93" i="2"/>
  <c r="KB92" i="2"/>
  <c r="KA92" i="2"/>
  <c r="JU92" i="2"/>
  <c r="JT92" i="2"/>
  <c r="JN92" i="2"/>
  <c r="JM92" i="2"/>
  <c r="KB91" i="2"/>
  <c r="KA91" i="2"/>
  <c r="JU91" i="2"/>
  <c r="JT91" i="2"/>
  <c r="JN91" i="2"/>
  <c r="JM91" i="2"/>
  <c r="KB90" i="2"/>
  <c r="KA90" i="2"/>
  <c r="JU90" i="2"/>
  <c r="JT90" i="2"/>
  <c r="JN90" i="2"/>
  <c r="JM90" i="2"/>
  <c r="KB89" i="2"/>
  <c r="KA89" i="2"/>
  <c r="JU89" i="2"/>
  <c r="JT89" i="2"/>
  <c r="JN89" i="2"/>
  <c r="JM89" i="2"/>
  <c r="KB88" i="2"/>
  <c r="KA88" i="2"/>
  <c r="JU88" i="2"/>
  <c r="JT88" i="2"/>
  <c r="JN88" i="2"/>
  <c r="JM88" i="2"/>
  <c r="KB87" i="2"/>
  <c r="KA87" i="2"/>
  <c r="JU87" i="2"/>
  <c r="JT87" i="2"/>
  <c r="JN87" i="2"/>
  <c r="JM87" i="2"/>
  <c r="KB86" i="2"/>
  <c r="KA86" i="2"/>
  <c r="JU86" i="2"/>
  <c r="JT86" i="2"/>
  <c r="JN86" i="2"/>
  <c r="JM86" i="2"/>
  <c r="KB85" i="2"/>
  <c r="KA85" i="2"/>
  <c r="JU85" i="2"/>
  <c r="JT85" i="2"/>
  <c r="JN85" i="2"/>
  <c r="JM85" i="2"/>
  <c r="KB84" i="2"/>
  <c r="KA84" i="2"/>
  <c r="JU84" i="2"/>
  <c r="JT84" i="2"/>
  <c r="JN84" i="2"/>
  <c r="JM84" i="2"/>
  <c r="KB83" i="2"/>
  <c r="KA83" i="2"/>
  <c r="JU83" i="2"/>
  <c r="JT83" i="2"/>
  <c r="JN83" i="2"/>
  <c r="JM83" i="2"/>
  <c r="KB82" i="2"/>
  <c r="JU82" i="2"/>
  <c r="JN82" i="2"/>
  <c r="KB79" i="2"/>
  <c r="JU79" i="2"/>
  <c r="JN79" i="2"/>
  <c r="KB78" i="2"/>
  <c r="JU78" i="2"/>
  <c r="JN78" i="2"/>
  <c r="KB77" i="2"/>
  <c r="JU77" i="2"/>
  <c r="JN77" i="2"/>
  <c r="KB76" i="2"/>
  <c r="JU76" i="2"/>
  <c r="JN76" i="2"/>
  <c r="KB75" i="2"/>
  <c r="JU75" i="2"/>
  <c r="JN75" i="2"/>
  <c r="KB74" i="2"/>
  <c r="JU74" i="2"/>
  <c r="JT74" i="2"/>
  <c r="JN74" i="2"/>
  <c r="KB73" i="2"/>
  <c r="JU73" i="2"/>
  <c r="JN73" i="2"/>
  <c r="KB72" i="2"/>
  <c r="KA72" i="2"/>
  <c r="JU72" i="2"/>
  <c r="JN72" i="2"/>
  <c r="JM72" i="2"/>
  <c r="KB71" i="2"/>
  <c r="JU71" i="2"/>
  <c r="JN71" i="2"/>
  <c r="KB70" i="2"/>
  <c r="JU70" i="2"/>
  <c r="JN70" i="2"/>
  <c r="KB69" i="2"/>
  <c r="JU69" i="2"/>
  <c r="JN69" i="2"/>
  <c r="KB68" i="2"/>
  <c r="JU68" i="2"/>
  <c r="JN68" i="2"/>
  <c r="KB67" i="2"/>
  <c r="JU67" i="2"/>
  <c r="JN67" i="2"/>
  <c r="KB66" i="2"/>
  <c r="JU66" i="2"/>
  <c r="JN66" i="2"/>
  <c r="JM66" i="2"/>
  <c r="KB65" i="2"/>
  <c r="JU65" i="2"/>
  <c r="JN65" i="2"/>
  <c r="KB64" i="2"/>
  <c r="KA64" i="2"/>
  <c r="JU64" i="2"/>
  <c r="JN64" i="2"/>
  <c r="KB63" i="2"/>
  <c r="JU63" i="2"/>
  <c r="JN63" i="2"/>
  <c r="KB62" i="2"/>
  <c r="JU62" i="2"/>
  <c r="JN62" i="2"/>
  <c r="KB61" i="2"/>
  <c r="JU61" i="2"/>
  <c r="JN61" i="2"/>
  <c r="KB60" i="2"/>
  <c r="JU60" i="2"/>
  <c r="JN60" i="2"/>
  <c r="KB59" i="2"/>
  <c r="JU59" i="2"/>
  <c r="JN59" i="2"/>
  <c r="KB58" i="2"/>
  <c r="JU58" i="2"/>
  <c r="JN58" i="2"/>
  <c r="KB57" i="2"/>
  <c r="JU57" i="2"/>
  <c r="JN57" i="2"/>
  <c r="KB56" i="2"/>
  <c r="JU56" i="2"/>
  <c r="JN56" i="2"/>
  <c r="KB54" i="2"/>
  <c r="JU54" i="2"/>
  <c r="JN54" i="2"/>
  <c r="KB53" i="2"/>
  <c r="JU53" i="2"/>
  <c r="JN53" i="2"/>
  <c r="KB52" i="2"/>
  <c r="JU52" i="2"/>
  <c r="JN52" i="2"/>
  <c r="KB51" i="2"/>
  <c r="JU51" i="2"/>
  <c r="JN51" i="2"/>
  <c r="KB50" i="2"/>
  <c r="KA50" i="2"/>
  <c r="JU50" i="2"/>
  <c r="JN50" i="2"/>
  <c r="KB49" i="2"/>
  <c r="JU49" i="2"/>
  <c r="JN49" i="2"/>
  <c r="KB48" i="2"/>
  <c r="JU48" i="2"/>
  <c r="JN48" i="2"/>
  <c r="KB47" i="2"/>
  <c r="JU47" i="2"/>
  <c r="JN47" i="2"/>
  <c r="KB46" i="2"/>
  <c r="JU46" i="2"/>
  <c r="JN46" i="2"/>
  <c r="KB45" i="2"/>
  <c r="JU45" i="2"/>
  <c r="JN45" i="2"/>
  <c r="KB44" i="2"/>
  <c r="JU44" i="2"/>
  <c r="JN44" i="2"/>
  <c r="KB43" i="2"/>
  <c r="JU43" i="2"/>
  <c r="JN43" i="2"/>
  <c r="KB42" i="2"/>
  <c r="JU42" i="2"/>
  <c r="JN42" i="2"/>
  <c r="KB41" i="2"/>
  <c r="JU41" i="2"/>
  <c r="JN41" i="2"/>
  <c r="KB40" i="2"/>
  <c r="JU40" i="2"/>
  <c r="JN40" i="2"/>
  <c r="KB39" i="2"/>
  <c r="JU39" i="2"/>
  <c r="JN39" i="2"/>
  <c r="KB38" i="2"/>
  <c r="JU38" i="2"/>
  <c r="JN38" i="2"/>
  <c r="KB37" i="2"/>
  <c r="JU37" i="2"/>
  <c r="JN37" i="2"/>
  <c r="KB36" i="2"/>
  <c r="JU36" i="2"/>
  <c r="JN36" i="2"/>
  <c r="KB35" i="2"/>
  <c r="JU35" i="2"/>
  <c r="JT35" i="2"/>
  <c r="JN35" i="2"/>
  <c r="KB34" i="2"/>
  <c r="JU34" i="2"/>
  <c r="JN34" i="2"/>
  <c r="KB33" i="2"/>
  <c r="JU33" i="2"/>
  <c r="JN33" i="2"/>
  <c r="KB32" i="2"/>
  <c r="JU32" i="2"/>
  <c r="JN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JF103" i="2"/>
  <c r="IZ103" i="2"/>
  <c r="IY103" i="2"/>
  <c r="IS103" i="2"/>
  <c r="IR103" i="2"/>
  <c r="JG102" i="2"/>
  <c r="JF102" i="2"/>
  <c r="IZ102" i="2"/>
  <c r="IY102" i="2"/>
  <c r="IS102" i="2"/>
  <c r="IR102" i="2"/>
  <c r="JG101" i="2"/>
  <c r="JF101" i="2"/>
  <c r="IZ101" i="2"/>
  <c r="IY101" i="2"/>
  <c r="IS101" i="2"/>
  <c r="IR101" i="2"/>
  <c r="JG100" i="2"/>
  <c r="JF100" i="2"/>
  <c r="IZ100" i="2"/>
  <c r="IY100" i="2"/>
  <c r="IS100" i="2"/>
  <c r="IR100" i="2"/>
  <c r="JG97" i="2"/>
  <c r="JF97" i="2"/>
  <c r="IZ97" i="2"/>
  <c r="IY97" i="2"/>
  <c r="IS97" i="2"/>
  <c r="IR97" i="2"/>
  <c r="JG96" i="2"/>
  <c r="JF96" i="2"/>
  <c r="IZ96" i="2"/>
  <c r="IY96" i="2"/>
  <c r="IS96" i="2"/>
  <c r="IR96" i="2"/>
  <c r="JG95" i="2"/>
  <c r="JF95" i="2"/>
  <c r="IZ95" i="2"/>
  <c r="IY95" i="2"/>
  <c r="IS95" i="2"/>
  <c r="IR95" i="2"/>
  <c r="JG94" i="2"/>
  <c r="JF94" i="2"/>
  <c r="IZ94" i="2"/>
  <c r="IY94" i="2"/>
  <c r="IS94" i="2"/>
  <c r="IR94" i="2"/>
  <c r="JG93" i="2"/>
  <c r="JF93" i="2"/>
  <c r="IZ93" i="2"/>
  <c r="IY93" i="2"/>
  <c r="IS93" i="2"/>
  <c r="IR93" i="2"/>
  <c r="JG92" i="2"/>
  <c r="JF92" i="2"/>
  <c r="IZ92" i="2"/>
  <c r="IY92" i="2"/>
  <c r="IS92" i="2"/>
  <c r="IR92" i="2"/>
  <c r="JG91" i="2"/>
  <c r="JF91" i="2"/>
  <c r="IZ91" i="2"/>
  <c r="IY91" i="2"/>
  <c r="IS91" i="2"/>
  <c r="IR91" i="2"/>
  <c r="JG90" i="2"/>
  <c r="JF90" i="2"/>
  <c r="IZ90" i="2"/>
  <c r="IY90" i="2"/>
  <c r="IS90" i="2"/>
  <c r="IR90" i="2"/>
  <c r="JG89" i="2"/>
  <c r="JF89" i="2"/>
  <c r="IZ89" i="2"/>
  <c r="IY89" i="2"/>
  <c r="IS89" i="2"/>
  <c r="IR89" i="2"/>
  <c r="JG88" i="2"/>
  <c r="JF88" i="2"/>
  <c r="IZ88" i="2"/>
  <c r="IY88" i="2"/>
  <c r="IS88" i="2"/>
  <c r="IR88" i="2"/>
  <c r="JG87" i="2"/>
  <c r="JF87" i="2"/>
  <c r="IZ87" i="2"/>
  <c r="IY87" i="2"/>
  <c r="IS87" i="2"/>
  <c r="IR87" i="2"/>
  <c r="JG86" i="2"/>
  <c r="JF86" i="2"/>
  <c r="IZ86" i="2"/>
  <c r="IY86" i="2"/>
  <c r="IS86" i="2"/>
  <c r="IR86" i="2"/>
  <c r="JG85" i="2"/>
  <c r="JF85" i="2"/>
  <c r="IZ85" i="2"/>
  <c r="IY85" i="2"/>
  <c r="IS85" i="2"/>
  <c r="IR85" i="2"/>
  <c r="JG84" i="2"/>
  <c r="JF84" i="2"/>
  <c r="IZ84" i="2"/>
  <c r="IY84" i="2"/>
  <c r="IS84" i="2"/>
  <c r="IR84" i="2"/>
  <c r="JG83" i="2"/>
  <c r="JF83" i="2"/>
  <c r="IZ83" i="2"/>
  <c r="IY83" i="2"/>
  <c r="IS83" i="2"/>
  <c r="IR83" i="2"/>
  <c r="JG82" i="2"/>
  <c r="IZ82" i="2"/>
  <c r="IS82" i="2"/>
  <c r="JG79" i="2"/>
  <c r="IZ79" i="2"/>
  <c r="IS79" i="2"/>
  <c r="JG78" i="2"/>
  <c r="IZ78" i="2"/>
  <c r="IS78" i="2"/>
  <c r="JG77" i="2"/>
  <c r="IZ77" i="2"/>
  <c r="IS77" i="2"/>
  <c r="JG76" i="2"/>
  <c r="IZ76" i="2"/>
  <c r="IS76" i="2"/>
  <c r="JG75" i="2"/>
  <c r="IZ75" i="2"/>
  <c r="IS75" i="2"/>
  <c r="JG74" i="2"/>
  <c r="IZ74" i="2"/>
  <c r="IY74" i="2"/>
  <c r="IS74" i="2"/>
  <c r="JG73" i="2"/>
  <c r="IZ73" i="2"/>
  <c r="IS73" i="2"/>
  <c r="JG72" i="2"/>
  <c r="IZ72" i="2"/>
  <c r="IS72" i="2"/>
  <c r="IR72" i="2"/>
  <c r="JG71" i="2"/>
  <c r="IZ71" i="2"/>
  <c r="IS71" i="2"/>
  <c r="JG70" i="2"/>
  <c r="IZ70" i="2"/>
  <c r="IS70" i="2"/>
  <c r="JG69" i="2"/>
  <c r="IZ69" i="2"/>
  <c r="IS69" i="2"/>
  <c r="JG68" i="2"/>
  <c r="IZ68" i="2"/>
  <c r="IS68" i="2"/>
  <c r="JG67" i="2"/>
  <c r="IZ67" i="2"/>
  <c r="IS67" i="2"/>
  <c r="JG66" i="2"/>
  <c r="IZ66" i="2"/>
  <c r="IS66" i="2"/>
  <c r="JG65" i="2"/>
  <c r="IZ65" i="2"/>
  <c r="IS65" i="2"/>
  <c r="JG64" i="2"/>
  <c r="IZ64" i="2"/>
  <c r="IS64" i="2"/>
  <c r="JG63" i="2"/>
  <c r="IZ63" i="2"/>
  <c r="IS63" i="2"/>
  <c r="JG62" i="2"/>
  <c r="JF62" i="2"/>
  <c r="IZ62" i="2"/>
  <c r="IY62" i="2"/>
  <c r="IS62" i="2"/>
  <c r="JG61" i="2"/>
  <c r="IZ61" i="2"/>
  <c r="IS61" i="2"/>
  <c r="JG60" i="2"/>
  <c r="IZ60" i="2"/>
  <c r="IS60" i="2"/>
  <c r="JG59" i="2"/>
  <c r="IZ59" i="2"/>
  <c r="IS59" i="2"/>
  <c r="JG58" i="2"/>
  <c r="IZ58" i="2"/>
  <c r="IS58" i="2"/>
  <c r="JG57" i="2"/>
  <c r="IZ57" i="2"/>
  <c r="IS57" i="2"/>
  <c r="JG56" i="2"/>
  <c r="IZ56" i="2"/>
  <c r="IS56" i="2"/>
  <c r="JG54" i="2"/>
  <c r="IZ54" i="2"/>
  <c r="IS54" i="2"/>
  <c r="JG53" i="2"/>
  <c r="IZ53" i="2"/>
  <c r="IS53" i="2"/>
  <c r="JG52" i="2"/>
  <c r="IZ52" i="2"/>
  <c r="IS52" i="2"/>
  <c r="JG51" i="2"/>
  <c r="IZ51" i="2"/>
  <c r="IS51" i="2"/>
  <c r="JG50" i="2"/>
  <c r="IZ50" i="2"/>
  <c r="IS50" i="2"/>
  <c r="JG49" i="2"/>
  <c r="IZ49" i="2"/>
  <c r="IS49" i="2"/>
  <c r="JG48" i="2"/>
  <c r="IZ48" i="2"/>
  <c r="IS48" i="2"/>
  <c r="JG47" i="2"/>
  <c r="IZ47" i="2"/>
  <c r="IS47" i="2"/>
  <c r="JG46" i="2"/>
  <c r="IZ46" i="2"/>
  <c r="IS46" i="2"/>
  <c r="JG45" i="2"/>
  <c r="IZ45" i="2"/>
  <c r="IS45" i="2"/>
  <c r="JG44" i="2"/>
  <c r="IZ44" i="2"/>
  <c r="IS44" i="2"/>
  <c r="JG43" i="2"/>
  <c r="IZ43" i="2"/>
  <c r="IS43" i="2"/>
  <c r="JG42" i="2"/>
  <c r="IZ42" i="2"/>
  <c r="IS42" i="2"/>
  <c r="JG41" i="2"/>
  <c r="IZ41" i="2"/>
  <c r="IS41" i="2"/>
  <c r="JG40" i="2"/>
  <c r="IZ40" i="2"/>
  <c r="IS40" i="2"/>
  <c r="IR40" i="2"/>
  <c r="JG39" i="2"/>
  <c r="IZ39" i="2"/>
  <c r="IS39" i="2"/>
  <c r="JG38" i="2"/>
  <c r="IZ38" i="2"/>
  <c r="IS38" i="2"/>
  <c r="JG37" i="2"/>
  <c r="IZ37" i="2"/>
  <c r="IS37" i="2"/>
  <c r="JG36" i="2"/>
  <c r="IZ36" i="2"/>
  <c r="IS36" i="2"/>
  <c r="JG35" i="2"/>
  <c r="IZ35" i="2"/>
  <c r="IS35" i="2"/>
  <c r="JG34" i="2"/>
  <c r="IZ34" i="2"/>
  <c r="IS34" i="2"/>
  <c r="JG33" i="2"/>
  <c r="IZ33" i="2"/>
  <c r="IS33" i="2"/>
  <c r="JG32" i="2"/>
  <c r="IZ32" i="2"/>
  <c r="IS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K103" i="2"/>
  <c r="IE103" i="2"/>
  <c r="ID103" i="2"/>
  <c r="HX103" i="2"/>
  <c r="HW103" i="2"/>
  <c r="IL102" i="2"/>
  <c r="IK102" i="2"/>
  <c r="IE102" i="2"/>
  <c r="ID102" i="2"/>
  <c r="HX102" i="2"/>
  <c r="HW102" i="2"/>
  <c r="IL101" i="2"/>
  <c r="IK101" i="2"/>
  <c r="IE101" i="2"/>
  <c r="ID101" i="2"/>
  <c r="HX101" i="2"/>
  <c r="HW101" i="2"/>
  <c r="IL100" i="2"/>
  <c r="IK100" i="2"/>
  <c r="IE100" i="2"/>
  <c r="ID100" i="2"/>
  <c r="HX100" i="2"/>
  <c r="HW100" i="2"/>
  <c r="IL97" i="2"/>
  <c r="IK97" i="2"/>
  <c r="IE97" i="2"/>
  <c r="ID97" i="2"/>
  <c r="HX97" i="2"/>
  <c r="HW97" i="2"/>
  <c r="IL96" i="2"/>
  <c r="IK96" i="2"/>
  <c r="IE96" i="2"/>
  <c r="ID96" i="2"/>
  <c r="HX96" i="2"/>
  <c r="HW96" i="2"/>
  <c r="IL95" i="2"/>
  <c r="IK95" i="2"/>
  <c r="IE95" i="2"/>
  <c r="ID95" i="2"/>
  <c r="HX95" i="2"/>
  <c r="HW95" i="2"/>
  <c r="IL94" i="2"/>
  <c r="IK94" i="2"/>
  <c r="IE94" i="2"/>
  <c r="ID94" i="2"/>
  <c r="HX94" i="2"/>
  <c r="HW94" i="2"/>
  <c r="IL93" i="2"/>
  <c r="IK93" i="2"/>
  <c r="IE93" i="2"/>
  <c r="ID93" i="2"/>
  <c r="HX93" i="2"/>
  <c r="HW93" i="2"/>
  <c r="IL92" i="2"/>
  <c r="IK92" i="2"/>
  <c r="IE92" i="2"/>
  <c r="ID92" i="2"/>
  <c r="HX92" i="2"/>
  <c r="HW92" i="2"/>
  <c r="IL91" i="2"/>
  <c r="IK91" i="2"/>
  <c r="IE91" i="2"/>
  <c r="ID91" i="2"/>
  <c r="HX91" i="2"/>
  <c r="HW91" i="2"/>
  <c r="IL90" i="2"/>
  <c r="IK90" i="2"/>
  <c r="IE90" i="2"/>
  <c r="ID90" i="2"/>
  <c r="HX90" i="2"/>
  <c r="HW90" i="2"/>
  <c r="IL89" i="2"/>
  <c r="IK89" i="2"/>
  <c r="IE89" i="2"/>
  <c r="ID89" i="2"/>
  <c r="HX89" i="2"/>
  <c r="HW89" i="2"/>
  <c r="IL88" i="2"/>
  <c r="IK88" i="2"/>
  <c r="IE88" i="2"/>
  <c r="ID88" i="2"/>
  <c r="HX88" i="2"/>
  <c r="HW88" i="2"/>
  <c r="IL87" i="2"/>
  <c r="IK87" i="2"/>
  <c r="IE87" i="2"/>
  <c r="ID87" i="2"/>
  <c r="HX87" i="2"/>
  <c r="HW87" i="2"/>
  <c r="IL86" i="2"/>
  <c r="IK86" i="2"/>
  <c r="IE86" i="2"/>
  <c r="ID86" i="2"/>
  <c r="HX86" i="2"/>
  <c r="HW86" i="2"/>
  <c r="IL85" i="2"/>
  <c r="IK85" i="2"/>
  <c r="IE85" i="2"/>
  <c r="ID85" i="2"/>
  <c r="HX85" i="2"/>
  <c r="HW85" i="2"/>
  <c r="IL84" i="2"/>
  <c r="IK84" i="2"/>
  <c r="IE84" i="2"/>
  <c r="ID84" i="2"/>
  <c r="HX84" i="2"/>
  <c r="HW84" i="2"/>
  <c r="IL83" i="2"/>
  <c r="IK83" i="2"/>
  <c r="IE83" i="2"/>
  <c r="ID83" i="2"/>
  <c r="HX83" i="2"/>
  <c r="HW83" i="2"/>
  <c r="IL82" i="2"/>
  <c r="IE82" i="2"/>
  <c r="HX82" i="2"/>
  <c r="IL79" i="2"/>
  <c r="IE79" i="2"/>
  <c r="HX79" i="2"/>
  <c r="IL78" i="2"/>
  <c r="IE78" i="2"/>
  <c r="HX78" i="2"/>
  <c r="IL77" i="2"/>
  <c r="IE77" i="2"/>
  <c r="HX77" i="2"/>
  <c r="IL76" i="2"/>
  <c r="IE76" i="2"/>
  <c r="HX76" i="2"/>
  <c r="IL75" i="2"/>
  <c r="IE75" i="2"/>
  <c r="HX75" i="2"/>
  <c r="IL74" i="2"/>
  <c r="IE74" i="2"/>
  <c r="HX74" i="2"/>
  <c r="IL73" i="2"/>
  <c r="IE73" i="2"/>
  <c r="HX73" i="2"/>
  <c r="IL72" i="2"/>
  <c r="IE72" i="2"/>
  <c r="HX72" i="2"/>
  <c r="IL71" i="2"/>
  <c r="IE71" i="2"/>
  <c r="HX71" i="2"/>
  <c r="IL70" i="2"/>
  <c r="IE70" i="2"/>
  <c r="ID70" i="2"/>
  <c r="HX70" i="2"/>
  <c r="IL69" i="2"/>
  <c r="IE69" i="2"/>
  <c r="HX69" i="2"/>
  <c r="IL68" i="2"/>
  <c r="IE68" i="2"/>
  <c r="HX68" i="2"/>
  <c r="IL67" i="2"/>
  <c r="IE67" i="2"/>
  <c r="HX67" i="2"/>
  <c r="IL66" i="2"/>
  <c r="IE66" i="2"/>
  <c r="HX66" i="2"/>
  <c r="IL65" i="2"/>
  <c r="IE65" i="2"/>
  <c r="HX65" i="2"/>
  <c r="IL64" i="2"/>
  <c r="IE64" i="2"/>
  <c r="HX64" i="2"/>
  <c r="IL63" i="2"/>
  <c r="IE63" i="2"/>
  <c r="HX63" i="2"/>
  <c r="IL62" i="2"/>
  <c r="IE62" i="2"/>
  <c r="HX62" i="2"/>
  <c r="IL61" i="2"/>
  <c r="IE61" i="2"/>
  <c r="HX61" i="2"/>
  <c r="IL60" i="2"/>
  <c r="IE60" i="2"/>
  <c r="HX60" i="2"/>
  <c r="IL59" i="2"/>
  <c r="IE59" i="2"/>
  <c r="HX59" i="2"/>
  <c r="IL58" i="2"/>
  <c r="IE58" i="2"/>
  <c r="HX58" i="2"/>
  <c r="IL57" i="2"/>
  <c r="IE57" i="2"/>
  <c r="HX57" i="2"/>
  <c r="IL56" i="2"/>
  <c r="IE56" i="2"/>
  <c r="HX56" i="2"/>
  <c r="HW56" i="2"/>
  <c r="IL54" i="2"/>
  <c r="IE54" i="2"/>
  <c r="HX54" i="2"/>
  <c r="HW54" i="2"/>
  <c r="IL53" i="2"/>
  <c r="IE53" i="2"/>
  <c r="HX53" i="2"/>
  <c r="IL52" i="2"/>
  <c r="IE52" i="2"/>
  <c r="HX52" i="2"/>
  <c r="IL51" i="2"/>
  <c r="IE51" i="2"/>
  <c r="HX51" i="2"/>
  <c r="IL50" i="2"/>
  <c r="IE50" i="2"/>
  <c r="ID50" i="2"/>
  <c r="HX50" i="2"/>
  <c r="IL49" i="2"/>
  <c r="IE49" i="2"/>
  <c r="HX49" i="2"/>
  <c r="IL48" i="2"/>
  <c r="IE48" i="2"/>
  <c r="HX48" i="2"/>
  <c r="HW48" i="2"/>
  <c r="IL47" i="2"/>
  <c r="IE47" i="2"/>
  <c r="HX47" i="2"/>
  <c r="IL46" i="2"/>
  <c r="IE46" i="2"/>
  <c r="ID46" i="2"/>
  <c r="HX46" i="2"/>
  <c r="IL45" i="2"/>
  <c r="IE45" i="2"/>
  <c r="HX45" i="2"/>
  <c r="IL44" i="2"/>
  <c r="IE44" i="2"/>
  <c r="HX44" i="2"/>
  <c r="IL43" i="2"/>
  <c r="IE43" i="2"/>
  <c r="HX43" i="2"/>
  <c r="IL42" i="2"/>
  <c r="IE42" i="2"/>
  <c r="HX42" i="2"/>
  <c r="IL41" i="2"/>
  <c r="IE41" i="2"/>
  <c r="HX41" i="2"/>
  <c r="IL40" i="2"/>
  <c r="IE40" i="2"/>
  <c r="ID40" i="2"/>
  <c r="HX40" i="2"/>
  <c r="IL39" i="2"/>
  <c r="IE39" i="2"/>
  <c r="HX39" i="2"/>
  <c r="IL38" i="2"/>
  <c r="IE38" i="2"/>
  <c r="HX38" i="2"/>
  <c r="IL37" i="2"/>
  <c r="IE37" i="2"/>
  <c r="HX37" i="2"/>
  <c r="IL36" i="2"/>
  <c r="IE36" i="2"/>
  <c r="HX36" i="2"/>
  <c r="IL35" i="2"/>
  <c r="IE35" i="2"/>
  <c r="HX35" i="2"/>
  <c r="HW35" i="2"/>
  <c r="IL34" i="2"/>
  <c r="IE34" i="2"/>
  <c r="HX34" i="2"/>
  <c r="HW34" i="2"/>
  <c r="IL33" i="2"/>
  <c r="IE33" i="2"/>
  <c r="HX33" i="2"/>
  <c r="IL32" i="2"/>
  <c r="IE32" i="2"/>
  <c r="HX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P103" i="2"/>
  <c r="HJ103" i="2"/>
  <c r="HI103" i="2"/>
  <c r="HC103" i="2"/>
  <c r="HB103" i="2"/>
  <c r="HQ102" i="2"/>
  <c r="HP102" i="2"/>
  <c r="HJ102" i="2"/>
  <c r="HI102" i="2"/>
  <c r="HC102" i="2"/>
  <c r="HB102" i="2"/>
  <c r="HQ101" i="2"/>
  <c r="HP101" i="2"/>
  <c r="HJ101" i="2"/>
  <c r="HI101" i="2"/>
  <c r="HC101" i="2"/>
  <c r="HB101" i="2"/>
  <c r="HQ100" i="2"/>
  <c r="HP100" i="2"/>
  <c r="HJ100" i="2"/>
  <c r="HI100" i="2"/>
  <c r="HC100" i="2"/>
  <c r="HB100" i="2"/>
  <c r="HQ97" i="2"/>
  <c r="HP97" i="2"/>
  <c r="HJ97" i="2"/>
  <c r="HI97" i="2"/>
  <c r="HC97" i="2"/>
  <c r="HB97" i="2"/>
  <c r="HQ96" i="2"/>
  <c r="HP96" i="2"/>
  <c r="HJ96" i="2"/>
  <c r="HI96" i="2"/>
  <c r="HC96" i="2"/>
  <c r="HB96" i="2"/>
  <c r="HQ95" i="2"/>
  <c r="HP95" i="2"/>
  <c r="HJ95" i="2"/>
  <c r="HI95" i="2"/>
  <c r="HC95" i="2"/>
  <c r="HB95" i="2"/>
  <c r="HQ94" i="2"/>
  <c r="HP94" i="2"/>
  <c r="HJ94" i="2"/>
  <c r="HI94" i="2"/>
  <c r="HC94" i="2"/>
  <c r="HB94" i="2"/>
  <c r="HQ93" i="2"/>
  <c r="HP93" i="2"/>
  <c r="HJ93" i="2"/>
  <c r="HI93" i="2"/>
  <c r="HC93" i="2"/>
  <c r="HB93" i="2"/>
  <c r="HQ92" i="2"/>
  <c r="HP92" i="2"/>
  <c r="HJ92" i="2"/>
  <c r="HI92" i="2"/>
  <c r="HC92" i="2"/>
  <c r="HB92" i="2"/>
  <c r="HQ91" i="2"/>
  <c r="HP91" i="2"/>
  <c r="HJ91" i="2"/>
  <c r="HI91" i="2"/>
  <c r="HC91" i="2"/>
  <c r="HB91" i="2"/>
  <c r="HQ90" i="2"/>
  <c r="HP90" i="2"/>
  <c r="HJ90" i="2"/>
  <c r="HI90" i="2"/>
  <c r="HC90" i="2"/>
  <c r="HB90" i="2"/>
  <c r="HQ89" i="2"/>
  <c r="HP89" i="2"/>
  <c r="HJ89" i="2"/>
  <c r="HI89" i="2"/>
  <c r="HC89" i="2"/>
  <c r="HB89" i="2"/>
  <c r="HQ88" i="2"/>
  <c r="HP88" i="2"/>
  <c r="HJ88" i="2"/>
  <c r="HI88" i="2"/>
  <c r="HC88" i="2"/>
  <c r="HB88" i="2"/>
  <c r="HQ87" i="2"/>
  <c r="HP87" i="2"/>
  <c r="HJ87" i="2"/>
  <c r="HI87" i="2"/>
  <c r="HC87" i="2"/>
  <c r="HB87" i="2"/>
  <c r="HQ86" i="2"/>
  <c r="HP86" i="2"/>
  <c r="HJ86" i="2"/>
  <c r="HI86" i="2"/>
  <c r="HC86" i="2"/>
  <c r="HB86" i="2"/>
  <c r="HQ85" i="2"/>
  <c r="HP85" i="2"/>
  <c r="HJ85" i="2"/>
  <c r="HI85" i="2"/>
  <c r="HC85" i="2"/>
  <c r="HB85" i="2"/>
  <c r="HQ84" i="2"/>
  <c r="HP84" i="2"/>
  <c r="HJ84" i="2"/>
  <c r="HI84" i="2"/>
  <c r="HC84" i="2"/>
  <c r="HB84" i="2"/>
  <c r="HQ83" i="2"/>
  <c r="HP83" i="2"/>
  <c r="HJ83" i="2"/>
  <c r="HI83" i="2"/>
  <c r="HC83" i="2"/>
  <c r="HB83" i="2"/>
  <c r="HQ82" i="2"/>
  <c r="HJ82" i="2"/>
  <c r="HC82" i="2"/>
  <c r="HQ79" i="2"/>
  <c r="HJ79" i="2"/>
  <c r="HC79" i="2"/>
  <c r="HQ78" i="2"/>
  <c r="HJ78" i="2"/>
  <c r="HC78" i="2"/>
  <c r="HQ77" i="2"/>
  <c r="HJ77" i="2"/>
  <c r="HC77" i="2"/>
  <c r="HQ76" i="2"/>
  <c r="HJ76" i="2"/>
  <c r="HC76" i="2"/>
  <c r="HQ75" i="2"/>
  <c r="HJ75" i="2"/>
  <c r="HC75" i="2"/>
  <c r="HQ74" i="2"/>
  <c r="HJ74" i="2"/>
  <c r="HC74" i="2"/>
  <c r="HB74" i="2"/>
  <c r="HQ73" i="2"/>
  <c r="HJ73" i="2"/>
  <c r="HC73" i="2"/>
  <c r="HQ72" i="2"/>
  <c r="HJ72" i="2"/>
  <c r="HC72" i="2"/>
  <c r="HQ71" i="2"/>
  <c r="HJ71" i="2"/>
  <c r="HC71" i="2"/>
  <c r="HQ70" i="2"/>
  <c r="HJ70" i="2"/>
  <c r="HC70" i="2"/>
  <c r="HQ69" i="2"/>
  <c r="HJ69" i="2"/>
  <c r="HC69" i="2"/>
  <c r="HQ68" i="2"/>
  <c r="HJ68" i="2"/>
  <c r="HC68" i="2"/>
  <c r="HQ67" i="2"/>
  <c r="HJ67" i="2"/>
  <c r="HC67" i="2"/>
  <c r="HQ66" i="2"/>
  <c r="HJ66" i="2"/>
  <c r="HC66" i="2"/>
  <c r="HQ65" i="2"/>
  <c r="HJ65" i="2"/>
  <c r="HC65" i="2"/>
  <c r="HQ64" i="2"/>
  <c r="HJ64" i="2"/>
  <c r="HC64" i="2"/>
  <c r="HQ63" i="2"/>
  <c r="HJ63" i="2"/>
  <c r="HC63" i="2"/>
  <c r="HQ62" i="2"/>
  <c r="HP62" i="2"/>
  <c r="HJ62" i="2"/>
  <c r="HC62" i="2"/>
  <c r="HB62" i="2"/>
  <c r="HQ61" i="2"/>
  <c r="HJ61" i="2"/>
  <c r="HC61" i="2"/>
  <c r="HQ60" i="2"/>
  <c r="HJ60" i="2"/>
  <c r="HC60" i="2"/>
  <c r="HQ59" i="2"/>
  <c r="HJ59" i="2"/>
  <c r="HC59" i="2"/>
  <c r="HQ58" i="2"/>
  <c r="HP58" i="2"/>
  <c r="HJ58" i="2"/>
  <c r="HC58" i="2"/>
  <c r="HQ57" i="2"/>
  <c r="HJ57" i="2"/>
  <c r="HC57" i="2"/>
  <c r="HQ56" i="2"/>
  <c r="HP56" i="2"/>
  <c r="HJ56" i="2"/>
  <c r="HI56" i="2"/>
  <c r="HC56" i="2"/>
  <c r="HB56" i="2"/>
  <c r="HQ54" i="2"/>
  <c r="HJ54" i="2"/>
  <c r="HC54" i="2"/>
  <c r="HQ53" i="2"/>
  <c r="HJ53" i="2"/>
  <c r="HC53" i="2"/>
  <c r="HQ52" i="2"/>
  <c r="HJ52" i="2"/>
  <c r="HC52" i="2"/>
  <c r="HQ51" i="2"/>
  <c r="HJ51" i="2"/>
  <c r="HC51" i="2"/>
  <c r="HQ50" i="2"/>
  <c r="HJ50" i="2"/>
  <c r="HC50" i="2"/>
  <c r="HQ49" i="2"/>
  <c r="HJ49" i="2"/>
  <c r="HC49" i="2"/>
  <c r="HQ48" i="2"/>
  <c r="HJ48" i="2"/>
  <c r="HC48" i="2"/>
  <c r="HB48" i="2"/>
  <c r="HQ47" i="2"/>
  <c r="HJ47" i="2"/>
  <c r="HC47" i="2"/>
  <c r="HQ46" i="2"/>
  <c r="HJ46" i="2"/>
  <c r="HC46" i="2"/>
  <c r="HB46" i="2"/>
  <c r="HQ45" i="2"/>
  <c r="HJ45" i="2"/>
  <c r="HC45" i="2"/>
  <c r="HQ44" i="2"/>
  <c r="HJ44" i="2"/>
  <c r="HC44" i="2"/>
  <c r="HQ43" i="2"/>
  <c r="HJ43" i="2"/>
  <c r="HC43" i="2"/>
  <c r="HQ42" i="2"/>
  <c r="HJ42" i="2"/>
  <c r="HC42" i="2"/>
  <c r="HQ41" i="2"/>
  <c r="HJ41" i="2"/>
  <c r="HC41" i="2"/>
  <c r="HQ40" i="2"/>
  <c r="HJ40" i="2"/>
  <c r="HC40" i="2"/>
  <c r="HQ39" i="2"/>
  <c r="HJ39" i="2"/>
  <c r="HC39" i="2"/>
  <c r="HQ38" i="2"/>
  <c r="HJ38" i="2"/>
  <c r="HC38" i="2"/>
  <c r="HQ37" i="2"/>
  <c r="HJ37" i="2"/>
  <c r="HC37" i="2"/>
  <c r="HQ36" i="2"/>
  <c r="HJ36" i="2"/>
  <c r="HC36" i="2"/>
  <c r="HQ35" i="2"/>
  <c r="HJ35" i="2"/>
  <c r="HC35" i="2"/>
  <c r="HB35" i="2"/>
  <c r="HQ34" i="2"/>
  <c r="HJ34" i="2"/>
  <c r="HI34" i="2"/>
  <c r="HC34" i="2"/>
  <c r="HQ33" i="2"/>
  <c r="HJ33" i="2"/>
  <c r="HC33" i="2"/>
  <c r="HQ32" i="2"/>
  <c r="HJ32" i="2"/>
  <c r="HC32" i="2"/>
  <c r="HQ31" i="2"/>
  <c r="HJ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U103" i="2"/>
  <c r="GO103" i="2"/>
  <c r="GN103" i="2"/>
  <c r="GH103" i="2"/>
  <c r="GG103" i="2"/>
  <c r="GV102" i="2"/>
  <c r="GU102" i="2"/>
  <c r="GO102" i="2"/>
  <c r="GN102" i="2"/>
  <c r="GH102" i="2"/>
  <c r="GG102" i="2"/>
  <c r="GV101" i="2"/>
  <c r="GU101" i="2"/>
  <c r="GO101" i="2"/>
  <c r="GN101" i="2"/>
  <c r="GH101" i="2"/>
  <c r="GG101" i="2"/>
  <c r="GV100" i="2"/>
  <c r="GU100" i="2"/>
  <c r="GO100" i="2"/>
  <c r="GN100" i="2"/>
  <c r="GH100" i="2"/>
  <c r="GG100" i="2"/>
  <c r="GV97" i="2"/>
  <c r="GU97" i="2"/>
  <c r="GO97" i="2"/>
  <c r="GN97" i="2"/>
  <c r="GH97" i="2"/>
  <c r="GG97" i="2"/>
  <c r="GV96" i="2"/>
  <c r="GU96" i="2"/>
  <c r="GO96" i="2"/>
  <c r="GN96" i="2"/>
  <c r="GH96" i="2"/>
  <c r="GG96" i="2"/>
  <c r="GV95" i="2"/>
  <c r="GU95" i="2"/>
  <c r="GO95" i="2"/>
  <c r="GN95" i="2"/>
  <c r="GH95" i="2"/>
  <c r="GG95" i="2"/>
  <c r="GV94" i="2"/>
  <c r="GU94" i="2"/>
  <c r="GO94" i="2"/>
  <c r="GN94" i="2"/>
  <c r="GH94" i="2"/>
  <c r="GG94" i="2"/>
  <c r="GV93" i="2"/>
  <c r="GU93" i="2"/>
  <c r="GO93" i="2"/>
  <c r="GN93" i="2"/>
  <c r="GH93" i="2"/>
  <c r="GG93" i="2"/>
  <c r="GV92" i="2"/>
  <c r="GU92" i="2"/>
  <c r="GO92" i="2"/>
  <c r="GN92" i="2"/>
  <c r="GH92" i="2"/>
  <c r="GG92" i="2"/>
  <c r="GV91" i="2"/>
  <c r="GU91" i="2"/>
  <c r="GO91" i="2"/>
  <c r="GN91" i="2"/>
  <c r="GH91" i="2"/>
  <c r="GG91" i="2"/>
  <c r="GV90" i="2"/>
  <c r="GU90" i="2"/>
  <c r="GO90" i="2"/>
  <c r="GN90" i="2"/>
  <c r="GH90" i="2"/>
  <c r="GG90" i="2"/>
  <c r="GV89" i="2"/>
  <c r="GU89" i="2"/>
  <c r="GO89" i="2"/>
  <c r="GN89" i="2"/>
  <c r="GH89" i="2"/>
  <c r="GG89" i="2"/>
  <c r="GV88" i="2"/>
  <c r="GU88" i="2"/>
  <c r="GO88" i="2"/>
  <c r="GN88" i="2"/>
  <c r="GH88" i="2"/>
  <c r="GG88" i="2"/>
  <c r="GV87" i="2"/>
  <c r="GU87" i="2"/>
  <c r="GO87" i="2"/>
  <c r="GN87" i="2"/>
  <c r="GH87" i="2"/>
  <c r="GG87" i="2"/>
  <c r="GV86" i="2"/>
  <c r="GU86" i="2"/>
  <c r="GO86" i="2"/>
  <c r="GN86" i="2"/>
  <c r="GH86" i="2"/>
  <c r="GG86" i="2"/>
  <c r="GV85" i="2"/>
  <c r="GU85" i="2"/>
  <c r="GO85" i="2"/>
  <c r="GN85" i="2"/>
  <c r="GH85" i="2"/>
  <c r="GG85" i="2"/>
  <c r="GV84" i="2"/>
  <c r="GU84" i="2"/>
  <c r="GO84" i="2"/>
  <c r="GN84" i="2"/>
  <c r="GH84" i="2"/>
  <c r="GG84" i="2"/>
  <c r="GV83" i="2"/>
  <c r="GU83" i="2"/>
  <c r="GO83" i="2"/>
  <c r="GN83" i="2"/>
  <c r="GH83" i="2"/>
  <c r="GG83" i="2"/>
  <c r="GV82" i="2"/>
  <c r="GO82" i="2"/>
  <c r="GH82" i="2"/>
  <c r="GV79" i="2"/>
  <c r="GO79" i="2"/>
  <c r="GH79" i="2"/>
  <c r="GV78" i="2"/>
  <c r="GO78" i="2"/>
  <c r="GH78" i="2"/>
  <c r="GV77" i="2"/>
  <c r="GO77" i="2"/>
  <c r="GH77" i="2"/>
  <c r="GV76" i="2"/>
  <c r="GO76" i="2"/>
  <c r="GH76" i="2"/>
  <c r="GV75" i="2"/>
  <c r="GO75" i="2"/>
  <c r="GH75" i="2"/>
  <c r="GV74" i="2"/>
  <c r="GO74" i="2"/>
  <c r="GH74" i="2"/>
  <c r="GV73" i="2"/>
  <c r="GO73" i="2"/>
  <c r="GH73" i="2"/>
  <c r="GV72" i="2"/>
  <c r="GU72" i="2"/>
  <c r="GO72" i="2"/>
  <c r="GN72" i="2"/>
  <c r="GH72" i="2"/>
  <c r="GV71" i="2"/>
  <c r="GO71" i="2"/>
  <c r="GH71" i="2"/>
  <c r="GV70" i="2"/>
  <c r="GO70" i="2"/>
  <c r="GH70" i="2"/>
  <c r="GV69" i="2"/>
  <c r="GO69" i="2"/>
  <c r="GH69" i="2"/>
  <c r="GV68" i="2"/>
  <c r="GO68" i="2"/>
  <c r="GH68" i="2"/>
  <c r="GV67" i="2"/>
  <c r="GO67" i="2"/>
  <c r="GH67" i="2"/>
  <c r="GV66" i="2"/>
  <c r="GO66" i="2"/>
  <c r="GH66" i="2"/>
  <c r="GV65" i="2"/>
  <c r="GO65" i="2"/>
  <c r="GH65" i="2"/>
  <c r="GV64" i="2"/>
  <c r="GU64" i="2"/>
  <c r="GO64" i="2"/>
  <c r="GN64" i="2"/>
  <c r="GH64" i="2"/>
  <c r="GG64" i="2"/>
  <c r="GV63" i="2"/>
  <c r="GO63" i="2"/>
  <c r="GH63" i="2"/>
  <c r="GV62" i="2"/>
  <c r="GO62" i="2"/>
  <c r="GN62" i="2"/>
  <c r="GH62" i="2"/>
  <c r="GV61" i="2"/>
  <c r="GO61" i="2"/>
  <c r="GH61" i="2"/>
  <c r="GV60" i="2"/>
  <c r="GO60" i="2"/>
  <c r="GH60" i="2"/>
  <c r="GV59" i="2"/>
  <c r="GO59" i="2"/>
  <c r="GH59" i="2"/>
  <c r="GV58" i="2"/>
  <c r="GU58" i="2"/>
  <c r="GO58" i="2"/>
  <c r="GN58" i="2"/>
  <c r="GH58" i="2"/>
  <c r="GV57" i="2"/>
  <c r="GO57" i="2"/>
  <c r="GH57" i="2"/>
  <c r="GV56" i="2"/>
  <c r="GO56" i="2"/>
  <c r="GN56" i="2"/>
  <c r="GH56" i="2"/>
  <c r="GV54" i="2"/>
  <c r="GO54" i="2"/>
  <c r="GH54" i="2"/>
  <c r="GV53" i="2"/>
  <c r="GO53" i="2"/>
  <c r="GH53" i="2"/>
  <c r="GG53" i="2"/>
  <c r="GV52" i="2"/>
  <c r="GO52" i="2"/>
  <c r="GH52" i="2"/>
  <c r="GV51" i="2"/>
  <c r="GO51" i="2"/>
  <c r="GH51" i="2"/>
  <c r="GV50" i="2"/>
  <c r="GU50" i="2"/>
  <c r="GO50" i="2"/>
  <c r="GH50" i="2"/>
  <c r="GV49" i="2"/>
  <c r="GO49" i="2"/>
  <c r="GH49" i="2"/>
  <c r="GV48" i="2"/>
  <c r="GO48" i="2"/>
  <c r="GN48" i="2"/>
  <c r="GH48" i="2"/>
  <c r="GV47" i="2"/>
  <c r="GO47" i="2"/>
  <c r="GH47" i="2"/>
  <c r="GV46" i="2"/>
  <c r="GO46" i="2"/>
  <c r="GH46" i="2"/>
  <c r="GV45" i="2"/>
  <c r="GO45" i="2"/>
  <c r="GH45" i="2"/>
  <c r="GV44" i="2"/>
  <c r="GO44" i="2"/>
  <c r="GH44" i="2"/>
  <c r="GV43" i="2"/>
  <c r="GO43" i="2"/>
  <c r="GH43" i="2"/>
  <c r="GV42" i="2"/>
  <c r="GO42" i="2"/>
  <c r="GH42" i="2"/>
  <c r="GV41" i="2"/>
  <c r="GO41" i="2"/>
  <c r="GH41" i="2"/>
  <c r="GV40" i="2"/>
  <c r="GU40" i="2"/>
  <c r="GO40" i="2"/>
  <c r="GN40" i="2"/>
  <c r="GH40" i="2"/>
  <c r="GV39" i="2"/>
  <c r="GO39" i="2"/>
  <c r="GH39" i="2"/>
  <c r="GV38" i="2"/>
  <c r="GO38" i="2"/>
  <c r="GH38" i="2"/>
  <c r="GV37" i="2"/>
  <c r="GO37" i="2"/>
  <c r="GH37" i="2"/>
  <c r="GV36" i="2"/>
  <c r="GO36" i="2"/>
  <c r="GH36" i="2"/>
  <c r="GV35" i="2"/>
  <c r="GU35" i="2"/>
  <c r="GO35" i="2"/>
  <c r="GN35" i="2"/>
  <c r="GH35" i="2"/>
  <c r="GV34" i="2"/>
  <c r="GO34" i="2"/>
  <c r="GH34" i="2"/>
  <c r="GV33" i="2"/>
  <c r="GO33" i="2"/>
  <c r="GH33" i="2"/>
  <c r="GV32" i="2"/>
  <c r="GO32" i="2"/>
  <c r="GH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FZ103" i="2"/>
  <c r="GA102" i="2"/>
  <c r="FZ102" i="2"/>
  <c r="GA101" i="2"/>
  <c r="FZ101" i="2"/>
  <c r="GA100" i="2"/>
  <c r="FZ100" i="2"/>
  <c r="GA97" i="2"/>
  <c r="FZ97" i="2"/>
  <c r="GA96" i="2"/>
  <c r="FZ96" i="2"/>
  <c r="GA95" i="2"/>
  <c r="FZ95" i="2"/>
  <c r="GA94" i="2"/>
  <c r="FZ94" i="2"/>
  <c r="GA93" i="2"/>
  <c r="FZ93" i="2"/>
  <c r="GA92" i="2"/>
  <c r="FZ92" i="2"/>
  <c r="GA91" i="2"/>
  <c r="FZ91" i="2"/>
  <c r="GA90" i="2"/>
  <c r="FZ90" i="2"/>
  <c r="GA89" i="2"/>
  <c r="FZ89" i="2"/>
  <c r="GA88" i="2"/>
  <c r="FZ88" i="2"/>
  <c r="GA87" i="2"/>
  <c r="FZ87" i="2"/>
  <c r="GA86" i="2"/>
  <c r="FZ86" i="2"/>
  <c r="GA85" i="2"/>
  <c r="FZ85" i="2"/>
  <c r="GA84" i="2"/>
  <c r="FZ84" i="2"/>
  <c r="GA83" i="2"/>
  <c r="FZ83" i="2"/>
  <c r="GA82" i="2"/>
  <c r="GA79" i="2"/>
  <c r="GA78" i="2"/>
  <c r="GA77" i="2"/>
  <c r="GA76" i="2"/>
  <c r="GA75" i="2"/>
  <c r="GA74" i="2"/>
  <c r="GA73" i="2"/>
  <c r="GA72" i="2"/>
  <c r="GA71" i="2"/>
  <c r="GA70" i="2"/>
  <c r="GA69" i="2"/>
  <c r="GA68" i="2"/>
  <c r="GA67" i="2"/>
  <c r="GA66" i="2"/>
  <c r="GA65" i="2"/>
  <c r="GA64" i="2"/>
  <c r="GA63" i="2"/>
  <c r="GA62" i="2"/>
  <c r="GA61" i="2"/>
  <c r="GA60" i="2"/>
  <c r="GA59" i="2"/>
  <c r="GA58" i="2"/>
  <c r="GA57" i="2"/>
  <c r="GA56" i="2"/>
  <c r="GA54" i="2"/>
  <c r="GA53" i="2"/>
  <c r="GA52" i="2"/>
  <c r="GA51" i="2"/>
  <c r="GA50" i="2"/>
  <c r="GA49" i="2"/>
  <c r="GA48" i="2"/>
  <c r="GA47" i="2"/>
  <c r="GA46" i="2"/>
  <c r="GA45" i="2"/>
  <c r="GA44" i="2"/>
  <c r="GA43" i="2"/>
  <c r="GA42" i="2"/>
  <c r="GA41" i="2"/>
  <c r="GA40" i="2"/>
  <c r="GA39" i="2"/>
  <c r="GA38" i="2"/>
  <c r="GA37" i="2"/>
  <c r="GA36" i="2"/>
  <c r="GA35" i="2"/>
  <c r="GA34" i="2"/>
  <c r="GA33" i="2"/>
  <c r="GA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S101" i="2"/>
  <c r="FT100" i="2"/>
  <c r="FS100" i="2"/>
  <c r="FT97" i="2"/>
  <c r="FS97" i="2"/>
  <c r="FT96" i="2"/>
  <c r="FS96" i="2"/>
  <c r="FT95" i="2"/>
  <c r="FS95" i="2"/>
  <c r="FT94" i="2"/>
  <c r="FS94" i="2"/>
  <c r="FT93" i="2"/>
  <c r="FS93" i="2"/>
  <c r="FT92" i="2"/>
  <c r="FS92" i="2"/>
  <c r="FT91" i="2"/>
  <c r="FS91" i="2"/>
  <c r="FT90" i="2"/>
  <c r="FS90" i="2"/>
  <c r="FT89" i="2"/>
  <c r="FS89" i="2"/>
  <c r="FT88" i="2"/>
  <c r="FS88" i="2"/>
  <c r="FT87" i="2"/>
  <c r="FS87" i="2"/>
  <c r="FT86" i="2"/>
  <c r="FS86" i="2"/>
  <c r="FT85" i="2"/>
  <c r="FS85" i="2"/>
  <c r="FT84" i="2"/>
  <c r="FS84" i="2"/>
  <c r="FT83" i="2"/>
  <c r="FS83" i="2"/>
  <c r="FT82" i="2"/>
  <c r="FS82" i="2"/>
  <c r="FT79" i="2"/>
  <c r="FT78" i="2"/>
  <c r="FT77" i="2"/>
  <c r="FT76" i="2"/>
  <c r="FT75" i="2"/>
  <c r="FT74" i="2"/>
  <c r="FT73" i="2"/>
  <c r="FT72" i="2"/>
  <c r="FT71" i="2"/>
  <c r="FT70" i="2"/>
  <c r="FT69" i="2"/>
  <c r="FT68" i="2"/>
  <c r="FT67" i="2"/>
  <c r="FT66" i="2"/>
  <c r="FT65" i="2"/>
  <c r="FT64" i="2"/>
  <c r="FT63" i="2"/>
  <c r="FT62" i="2"/>
  <c r="FT61" i="2"/>
  <c r="FT60" i="2"/>
  <c r="FT59" i="2"/>
  <c r="FT58" i="2"/>
  <c r="FT57" i="2"/>
  <c r="FT56" i="2"/>
  <c r="FS56" i="2"/>
  <c r="FT54" i="2"/>
  <c r="FS54" i="2"/>
  <c r="FT53" i="2"/>
  <c r="FT52" i="2"/>
  <c r="FT51" i="2"/>
  <c r="FT50" i="2"/>
  <c r="FT49" i="2"/>
  <c r="FT48" i="2"/>
  <c r="FS48" i="2"/>
  <c r="FT47" i="2"/>
  <c r="FT46" i="2"/>
  <c r="FT45" i="2"/>
  <c r="FT44" i="2"/>
  <c r="FT43" i="2"/>
  <c r="FT42" i="2"/>
  <c r="FT41" i="2"/>
  <c r="FT40" i="2"/>
  <c r="FT39" i="2"/>
  <c r="FT38" i="2"/>
  <c r="FT37" i="2"/>
  <c r="FT36" i="2"/>
  <c r="FT35" i="2"/>
  <c r="FT34" i="2"/>
  <c r="FS34" i="2"/>
  <c r="FT33" i="2"/>
  <c r="FT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V32" i="2"/>
  <c r="AC32" i="2"/>
  <c r="V33" i="2"/>
  <c r="AC33" i="2"/>
  <c r="V34" i="2"/>
  <c r="AC34" i="2"/>
  <c r="V35" i="2"/>
  <c r="AC35" i="2"/>
  <c r="U36" i="2"/>
  <c r="V36" i="2"/>
  <c r="AB36" i="2"/>
  <c r="AC36" i="2"/>
  <c r="V37" i="2"/>
  <c r="AC37" i="2"/>
  <c r="V38" i="2"/>
  <c r="AC38" i="2"/>
  <c r="V39" i="2"/>
  <c r="AC39" i="2"/>
  <c r="V40" i="2"/>
  <c r="AB40" i="2"/>
  <c r="AC40" i="2"/>
  <c r="V41" i="2"/>
  <c r="AC41" i="2"/>
  <c r="V42" i="2"/>
  <c r="AC42" i="2"/>
  <c r="V43" i="2"/>
  <c r="AC43" i="2"/>
  <c r="V44" i="2"/>
  <c r="AC44" i="2"/>
  <c r="V45" i="2"/>
  <c r="AC45" i="2"/>
  <c r="V46" i="2"/>
  <c r="AC46" i="2"/>
  <c r="V47" i="2"/>
  <c r="AC47" i="2"/>
  <c r="U48" i="2"/>
  <c r="V48" i="2"/>
  <c r="AC48" i="2"/>
  <c r="V49" i="2"/>
  <c r="AC49" i="2"/>
  <c r="V50" i="2"/>
  <c r="AC50" i="2"/>
  <c r="V51" i="2"/>
  <c r="AC51" i="2"/>
  <c r="V52" i="2"/>
  <c r="AC52" i="2"/>
  <c r="V53" i="2"/>
  <c r="AB53" i="2"/>
  <c r="AC53" i="2"/>
  <c r="V54" i="2"/>
  <c r="AC54" i="2"/>
  <c r="V56" i="2"/>
  <c r="AC56" i="2"/>
  <c r="V57" i="2"/>
  <c r="AC57" i="2"/>
  <c r="V58" i="2"/>
  <c r="AC58" i="2"/>
  <c r="V59" i="2"/>
  <c r="AC59" i="2"/>
  <c r="V60" i="2"/>
  <c r="AC60" i="2"/>
  <c r="V61" i="2"/>
  <c r="AC61" i="2"/>
  <c r="V62" i="2"/>
  <c r="AC62" i="2"/>
  <c r="V63" i="2"/>
  <c r="AC63" i="2"/>
  <c r="V64" i="2"/>
  <c r="AC64" i="2"/>
  <c r="V65" i="2"/>
  <c r="AC65" i="2"/>
  <c r="V66" i="2"/>
  <c r="AC66" i="2"/>
  <c r="V67" i="2"/>
  <c r="AB67" i="2"/>
  <c r="AC67" i="2"/>
  <c r="V68" i="2"/>
  <c r="AC68" i="2"/>
  <c r="V69" i="2"/>
  <c r="AC69" i="2"/>
  <c r="V70" i="2"/>
  <c r="AC70" i="2"/>
  <c r="V71" i="2"/>
  <c r="AC71" i="2"/>
  <c r="V72" i="2"/>
  <c r="AC72" i="2"/>
  <c r="V73" i="2"/>
  <c r="AC73" i="2"/>
  <c r="V74" i="2"/>
  <c r="AB74" i="2"/>
  <c r="AC74" i="2"/>
  <c r="V75" i="2"/>
  <c r="AC75" i="2"/>
  <c r="V76" i="2"/>
  <c r="AC76" i="2"/>
  <c r="V77" i="2"/>
  <c r="AC77" i="2"/>
  <c r="V78" i="2"/>
  <c r="AC78" i="2"/>
  <c r="V79" i="2"/>
  <c r="AC79" i="2"/>
  <c r="V82" i="2"/>
  <c r="AB82" i="2"/>
  <c r="AC82" i="2"/>
  <c r="U83" i="2"/>
  <c r="V83" i="2"/>
  <c r="AB83" i="2"/>
  <c r="AC83" i="2"/>
  <c r="U84" i="2"/>
  <c r="V84" i="2"/>
  <c r="AB84" i="2"/>
  <c r="AC84" i="2"/>
  <c r="U85" i="2"/>
  <c r="V85" i="2"/>
  <c r="AB85" i="2"/>
  <c r="AC85" i="2"/>
  <c r="U86" i="2"/>
  <c r="V86" i="2"/>
  <c r="AB86" i="2"/>
  <c r="AC86" i="2"/>
  <c r="U87" i="2"/>
  <c r="V87" i="2"/>
  <c r="AB87" i="2"/>
  <c r="AC87" i="2"/>
  <c r="U88" i="2"/>
  <c r="V88" i="2"/>
  <c r="AB88" i="2"/>
  <c r="AC88" i="2"/>
  <c r="U89" i="2"/>
  <c r="V89" i="2"/>
  <c r="AB89" i="2"/>
  <c r="AC89" i="2"/>
  <c r="U90" i="2"/>
  <c r="V90" i="2"/>
  <c r="AB90" i="2"/>
  <c r="AC90" i="2"/>
  <c r="U91" i="2"/>
  <c r="V91" i="2"/>
  <c r="AB91" i="2"/>
  <c r="AC91" i="2"/>
  <c r="U92" i="2"/>
  <c r="V92" i="2"/>
  <c r="AB92" i="2"/>
  <c r="AC92" i="2"/>
  <c r="U93" i="2"/>
  <c r="V93" i="2"/>
  <c r="AB93" i="2"/>
  <c r="AC93" i="2"/>
  <c r="U94" i="2"/>
  <c r="V94" i="2"/>
  <c r="AB94" i="2"/>
  <c r="AC94" i="2"/>
  <c r="U95" i="2"/>
  <c r="V95" i="2"/>
  <c r="AB95" i="2"/>
  <c r="AC95" i="2"/>
  <c r="U96" i="2"/>
  <c r="V96" i="2"/>
  <c r="AB96" i="2"/>
  <c r="AC96" i="2"/>
  <c r="U97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L103" i="2"/>
  <c r="FF103" i="2"/>
  <c r="FE103" i="2"/>
  <c r="EY103" i="2"/>
  <c r="EX103" i="2"/>
  <c r="ER103" i="2"/>
  <c r="EQ103" i="2"/>
  <c r="FM102" i="2"/>
  <c r="FL102" i="2"/>
  <c r="FF102" i="2"/>
  <c r="FE102" i="2"/>
  <c r="EY102" i="2"/>
  <c r="EX102" i="2"/>
  <c r="ER102" i="2"/>
  <c r="EQ102" i="2"/>
  <c r="FM101" i="2"/>
  <c r="FL101" i="2"/>
  <c r="FF101" i="2"/>
  <c r="FE101" i="2"/>
  <c r="EY101" i="2"/>
  <c r="EX101" i="2"/>
  <c r="ER101" i="2"/>
  <c r="EQ101" i="2"/>
  <c r="FM100" i="2"/>
  <c r="FL100" i="2"/>
  <c r="FF100" i="2"/>
  <c r="FE100" i="2"/>
  <c r="EY100" i="2"/>
  <c r="EX100" i="2"/>
  <c r="ER100" i="2"/>
  <c r="EQ100" i="2"/>
  <c r="FM97" i="2"/>
  <c r="FL97" i="2"/>
  <c r="FF97" i="2"/>
  <c r="FE97" i="2"/>
  <c r="EY97" i="2"/>
  <c r="EX97" i="2"/>
  <c r="ER97" i="2"/>
  <c r="EQ97" i="2"/>
  <c r="FM96" i="2"/>
  <c r="FL96" i="2"/>
  <c r="FF96" i="2"/>
  <c r="FE96" i="2"/>
  <c r="EY96" i="2"/>
  <c r="EX96" i="2"/>
  <c r="ER96" i="2"/>
  <c r="EQ96" i="2"/>
  <c r="FM95" i="2"/>
  <c r="FL95" i="2"/>
  <c r="FF95" i="2"/>
  <c r="FE95" i="2"/>
  <c r="EY95" i="2"/>
  <c r="EX95" i="2"/>
  <c r="ER95" i="2"/>
  <c r="EQ95" i="2"/>
  <c r="FM94" i="2"/>
  <c r="FL94" i="2"/>
  <c r="FF94" i="2"/>
  <c r="FE94" i="2"/>
  <c r="EY94" i="2"/>
  <c r="EX94" i="2"/>
  <c r="ER94" i="2"/>
  <c r="EQ94" i="2"/>
  <c r="FM93" i="2"/>
  <c r="FL93" i="2"/>
  <c r="FF93" i="2"/>
  <c r="FE93" i="2"/>
  <c r="EY93" i="2"/>
  <c r="EX93" i="2"/>
  <c r="ER93" i="2"/>
  <c r="EQ93" i="2"/>
  <c r="FM92" i="2"/>
  <c r="FL92" i="2"/>
  <c r="FF92" i="2"/>
  <c r="FE92" i="2"/>
  <c r="EY92" i="2"/>
  <c r="EX92" i="2"/>
  <c r="ER92" i="2"/>
  <c r="EQ92" i="2"/>
  <c r="FM91" i="2"/>
  <c r="FL91" i="2"/>
  <c r="FF91" i="2"/>
  <c r="FE91" i="2"/>
  <c r="EY91" i="2"/>
  <c r="EX91" i="2"/>
  <c r="ER91" i="2"/>
  <c r="EQ91" i="2"/>
  <c r="FM90" i="2"/>
  <c r="FL90" i="2"/>
  <c r="FF90" i="2"/>
  <c r="FE90" i="2"/>
  <c r="EY90" i="2"/>
  <c r="EX90" i="2"/>
  <c r="ER90" i="2"/>
  <c r="EQ90" i="2"/>
  <c r="FM89" i="2"/>
  <c r="FL89" i="2"/>
  <c r="FF89" i="2"/>
  <c r="FE89" i="2"/>
  <c r="EY89" i="2"/>
  <c r="EX89" i="2"/>
  <c r="ER89" i="2"/>
  <c r="EQ89" i="2"/>
  <c r="FM88" i="2"/>
  <c r="FL88" i="2"/>
  <c r="FF88" i="2"/>
  <c r="FE88" i="2"/>
  <c r="EY88" i="2"/>
  <c r="EX88" i="2"/>
  <c r="ER88" i="2"/>
  <c r="EQ88" i="2"/>
  <c r="FM87" i="2"/>
  <c r="FL87" i="2"/>
  <c r="FF87" i="2"/>
  <c r="FE87" i="2"/>
  <c r="EY87" i="2"/>
  <c r="EX87" i="2"/>
  <c r="ER87" i="2"/>
  <c r="EQ87" i="2"/>
  <c r="FM86" i="2"/>
  <c r="FL86" i="2"/>
  <c r="FF86" i="2"/>
  <c r="FE86" i="2"/>
  <c r="EY86" i="2"/>
  <c r="EX86" i="2"/>
  <c r="ER86" i="2"/>
  <c r="EQ86" i="2"/>
  <c r="FM85" i="2"/>
  <c r="FL85" i="2"/>
  <c r="FF85" i="2"/>
  <c r="FE85" i="2"/>
  <c r="EY85" i="2"/>
  <c r="EX85" i="2"/>
  <c r="ER85" i="2"/>
  <c r="EQ85" i="2"/>
  <c r="FM84" i="2"/>
  <c r="FL84" i="2"/>
  <c r="FF84" i="2"/>
  <c r="FE84" i="2"/>
  <c r="EY84" i="2"/>
  <c r="EX84" i="2"/>
  <c r="ER84" i="2"/>
  <c r="EQ84" i="2"/>
  <c r="FM83" i="2"/>
  <c r="FL83" i="2"/>
  <c r="FF83" i="2"/>
  <c r="FE83" i="2"/>
  <c r="EY83" i="2"/>
  <c r="EX83" i="2"/>
  <c r="ER83" i="2"/>
  <c r="EQ83" i="2"/>
  <c r="FM82" i="2"/>
  <c r="FF82" i="2"/>
  <c r="EY82" i="2"/>
  <c r="ER82" i="2"/>
  <c r="FM79" i="2"/>
  <c r="FF79" i="2"/>
  <c r="EY79" i="2"/>
  <c r="ER79" i="2"/>
  <c r="FM78" i="2"/>
  <c r="FF78" i="2"/>
  <c r="EY78" i="2"/>
  <c r="ER78" i="2"/>
  <c r="FM77" i="2"/>
  <c r="FF77" i="2"/>
  <c r="EY77" i="2"/>
  <c r="ER77" i="2"/>
  <c r="FM76" i="2"/>
  <c r="FF76" i="2"/>
  <c r="EY76" i="2"/>
  <c r="ER76" i="2"/>
  <c r="FM75" i="2"/>
  <c r="FF75" i="2"/>
  <c r="EY75" i="2"/>
  <c r="ER75" i="2"/>
  <c r="FM74" i="2"/>
  <c r="FL74" i="2"/>
  <c r="FF74" i="2"/>
  <c r="EY74" i="2"/>
  <c r="ER74" i="2"/>
  <c r="FM73" i="2"/>
  <c r="FF73" i="2"/>
  <c r="EY73" i="2"/>
  <c r="ER73" i="2"/>
  <c r="FM72" i="2"/>
  <c r="FF72" i="2"/>
  <c r="FE72" i="2"/>
  <c r="EY72" i="2"/>
  <c r="ER72" i="2"/>
  <c r="FM71" i="2"/>
  <c r="FF71" i="2"/>
  <c r="EY71" i="2"/>
  <c r="ER71" i="2"/>
  <c r="FM70" i="2"/>
  <c r="FL70" i="2"/>
  <c r="FF70" i="2"/>
  <c r="EY70" i="2"/>
  <c r="ER70" i="2"/>
  <c r="FM69" i="2"/>
  <c r="FF69" i="2"/>
  <c r="EY69" i="2"/>
  <c r="ER69" i="2"/>
  <c r="FM68" i="2"/>
  <c r="FF68" i="2"/>
  <c r="EY68" i="2"/>
  <c r="EX68" i="2"/>
  <c r="ER68" i="2"/>
  <c r="FM67" i="2"/>
  <c r="FL67" i="2"/>
  <c r="FF67" i="2"/>
  <c r="EY67" i="2"/>
  <c r="ER67" i="2"/>
  <c r="FM66" i="2"/>
  <c r="FF66" i="2"/>
  <c r="EY66" i="2"/>
  <c r="ER66" i="2"/>
  <c r="FM65" i="2"/>
  <c r="FF65" i="2"/>
  <c r="EY65" i="2"/>
  <c r="ER65" i="2"/>
  <c r="FM64" i="2"/>
  <c r="FL64" i="2"/>
  <c r="FF64" i="2"/>
  <c r="EY64" i="2"/>
  <c r="ER64" i="2"/>
  <c r="EQ64" i="2"/>
  <c r="FM63" i="2"/>
  <c r="FF63" i="2"/>
  <c r="EY63" i="2"/>
  <c r="ER63" i="2"/>
  <c r="FM62" i="2"/>
  <c r="FF62" i="2"/>
  <c r="FE62" i="2"/>
  <c r="EY62" i="2"/>
  <c r="ER62" i="2"/>
  <c r="FM61" i="2"/>
  <c r="FF61" i="2"/>
  <c r="EY61" i="2"/>
  <c r="ER61" i="2"/>
  <c r="FM60" i="2"/>
  <c r="FF60" i="2"/>
  <c r="EY60" i="2"/>
  <c r="ER60" i="2"/>
  <c r="FM59" i="2"/>
  <c r="FF59" i="2"/>
  <c r="EY59" i="2"/>
  <c r="ER59" i="2"/>
  <c r="FM58" i="2"/>
  <c r="FF58" i="2"/>
  <c r="FE58" i="2"/>
  <c r="EY58" i="2"/>
  <c r="ER58" i="2"/>
  <c r="FM57" i="2"/>
  <c r="FF57" i="2"/>
  <c r="EY57" i="2"/>
  <c r="ER57" i="2"/>
  <c r="FM56" i="2"/>
  <c r="FF56" i="2"/>
  <c r="EY56" i="2"/>
  <c r="ER56" i="2"/>
  <c r="FM54" i="2"/>
  <c r="FF54" i="2"/>
  <c r="EY54" i="2"/>
  <c r="ER54" i="2"/>
  <c r="FM53" i="2"/>
  <c r="FF53" i="2"/>
  <c r="EY53" i="2"/>
  <c r="ER53" i="2"/>
  <c r="FM52" i="2"/>
  <c r="FF52" i="2"/>
  <c r="EY52" i="2"/>
  <c r="ER52" i="2"/>
  <c r="FM51" i="2"/>
  <c r="FF51" i="2"/>
  <c r="EY51" i="2"/>
  <c r="ER51" i="2"/>
  <c r="FM50" i="2"/>
  <c r="FF50" i="2"/>
  <c r="EY50" i="2"/>
  <c r="ER50" i="2"/>
  <c r="FM49" i="2"/>
  <c r="FF49" i="2"/>
  <c r="EY49" i="2"/>
  <c r="ER49" i="2"/>
  <c r="FM48" i="2"/>
  <c r="FF48" i="2"/>
  <c r="FE48" i="2"/>
  <c r="EY48" i="2"/>
  <c r="EX48" i="2"/>
  <c r="ER48" i="2"/>
  <c r="FM47" i="2"/>
  <c r="FF47" i="2"/>
  <c r="EY47" i="2"/>
  <c r="ER47" i="2"/>
  <c r="FM46" i="2"/>
  <c r="FF46" i="2"/>
  <c r="EY46" i="2"/>
  <c r="ER46" i="2"/>
  <c r="FM45" i="2"/>
  <c r="FF45" i="2"/>
  <c r="EY45" i="2"/>
  <c r="ER45" i="2"/>
  <c r="FM44" i="2"/>
  <c r="FF44" i="2"/>
  <c r="EY44" i="2"/>
  <c r="ER44" i="2"/>
  <c r="FM43" i="2"/>
  <c r="FF43" i="2"/>
  <c r="EY43" i="2"/>
  <c r="ER43" i="2"/>
  <c r="FM42" i="2"/>
  <c r="FF42" i="2"/>
  <c r="EY42" i="2"/>
  <c r="ER42" i="2"/>
  <c r="FM41" i="2"/>
  <c r="FF41" i="2"/>
  <c r="EY41" i="2"/>
  <c r="ER41" i="2"/>
  <c r="FM40" i="2"/>
  <c r="FL40" i="2"/>
  <c r="FF40" i="2"/>
  <c r="FE40" i="2"/>
  <c r="EY40" i="2"/>
  <c r="ER40" i="2"/>
  <c r="EQ40" i="2"/>
  <c r="FM39" i="2"/>
  <c r="FF39" i="2"/>
  <c r="EY39" i="2"/>
  <c r="ER39" i="2"/>
  <c r="FM38" i="2"/>
  <c r="FF38" i="2"/>
  <c r="EY38" i="2"/>
  <c r="ER38" i="2"/>
  <c r="FM37" i="2"/>
  <c r="FF37" i="2"/>
  <c r="EY37" i="2"/>
  <c r="ER37" i="2"/>
  <c r="FM36" i="2"/>
  <c r="FF36" i="2"/>
  <c r="EY36" i="2"/>
  <c r="ER36" i="2"/>
  <c r="FM35" i="2"/>
  <c r="FF35" i="2"/>
  <c r="EY35" i="2"/>
  <c r="ER35" i="2"/>
  <c r="EQ35" i="2"/>
  <c r="FM34" i="2"/>
  <c r="FF34" i="2"/>
  <c r="EY34" i="2"/>
  <c r="EX34" i="2"/>
  <c r="ER34" i="2"/>
  <c r="FM33" i="2"/>
  <c r="FF33" i="2"/>
  <c r="EY33" i="2"/>
  <c r="ER33" i="2"/>
  <c r="FM32" i="2"/>
  <c r="FF32" i="2"/>
  <c r="EY32" i="2"/>
  <c r="ER32" i="2"/>
  <c r="FM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J103" i="2"/>
  <c r="ED103" i="2"/>
  <c r="EC103" i="2"/>
  <c r="DW103" i="2"/>
  <c r="DV103" i="2"/>
  <c r="DP103" i="2"/>
  <c r="DO103" i="2"/>
  <c r="DI103" i="2"/>
  <c r="DH103" i="2"/>
  <c r="DB103" i="2"/>
  <c r="DA103" i="2"/>
  <c r="CU103" i="2"/>
  <c r="CT103" i="2"/>
  <c r="CN103" i="2"/>
  <c r="CM103" i="2"/>
  <c r="EK102" i="2"/>
  <c r="EJ102" i="2"/>
  <c r="ED102" i="2"/>
  <c r="EC102" i="2"/>
  <c r="DW102" i="2"/>
  <c r="DV102" i="2"/>
  <c r="DP102" i="2"/>
  <c r="DO102" i="2"/>
  <c r="DI102" i="2"/>
  <c r="DH102" i="2"/>
  <c r="DB102" i="2"/>
  <c r="DA102" i="2"/>
  <c r="CU102" i="2"/>
  <c r="CT102" i="2"/>
  <c r="CN102" i="2"/>
  <c r="CM102" i="2"/>
  <c r="EK101" i="2"/>
  <c r="EJ101" i="2"/>
  <c r="ED101" i="2"/>
  <c r="EC101" i="2"/>
  <c r="DW101" i="2"/>
  <c r="DV101" i="2"/>
  <c r="DP101" i="2"/>
  <c r="DO101" i="2"/>
  <c r="DI101" i="2"/>
  <c r="DH101" i="2"/>
  <c r="DB101" i="2"/>
  <c r="DA101" i="2"/>
  <c r="CU101" i="2"/>
  <c r="CT101" i="2"/>
  <c r="CN101" i="2"/>
  <c r="CM101" i="2"/>
  <c r="EK100" i="2"/>
  <c r="EJ100" i="2"/>
  <c r="ED100" i="2"/>
  <c r="EC100" i="2"/>
  <c r="DW100" i="2"/>
  <c r="DV100" i="2"/>
  <c r="DP100" i="2"/>
  <c r="DO100" i="2"/>
  <c r="DI100" i="2"/>
  <c r="DH100" i="2"/>
  <c r="DB100" i="2"/>
  <c r="DA100" i="2"/>
  <c r="CU100" i="2"/>
  <c r="CT100" i="2"/>
  <c r="CN100" i="2"/>
  <c r="CM100" i="2"/>
  <c r="EK97" i="2"/>
  <c r="EJ97" i="2"/>
  <c r="ED97" i="2"/>
  <c r="EC97" i="2"/>
  <c r="DW97" i="2"/>
  <c r="DV97" i="2"/>
  <c r="DP97" i="2"/>
  <c r="DO97" i="2"/>
  <c r="DI97" i="2"/>
  <c r="DH97" i="2"/>
  <c r="DB97" i="2"/>
  <c r="DA97" i="2"/>
  <c r="CU97" i="2"/>
  <c r="CT97" i="2"/>
  <c r="CN97" i="2"/>
  <c r="CM97" i="2"/>
  <c r="EK96" i="2"/>
  <c r="EJ96" i="2"/>
  <c r="ED96" i="2"/>
  <c r="EC96" i="2"/>
  <c r="DW96" i="2"/>
  <c r="DV96" i="2"/>
  <c r="DP96" i="2"/>
  <c r="DO96" i="2"/>
  <c r="DI96" i="2"/>
  <c r="DH96" i="2"/>
  <c r="DB96" i="2"/>
  <c r="DA96" i="2"/>
  <c r="CU96" i="2"/>
  <c r="CT96" i="2"/>
  <c r="CN96" i="2"/>
  <c r="CM96" i="2"/>
  <c r="EK95" i="2"/>
  <c r="EJ95" i="2"/>
  <c r="ED95" i="2"/>
  <c r="EC95" i="2"/>
  <c r="DW95" i="2"/>
  <c r="DV95" i="2"/>
  <c r="DP95" i="2"/>
  <c r="DO95" i="2"/>
  <c r="DI95" i="2"/>
  <c r="DH95" i="2"/>
  <c r="DB95" i="2"/>
  <c r="DA95" i="2"/>
  <c r="CU95" i="2"/>
  <c r="CT95" i="2"/>
  <c r="CN95" i="2"/>
  <c r="CM95" i="2"/>
  <c r="EK94" i="2"/>
  <c r="EJ94" i="2"/>
  <c r="ED94" i="2"/>
  <c r="EC94" i="2"/>
  <c r="DW94" i="2"/>
  <c r="DV94" i="2"/>
  <c r="DP94" i="2"/>
  <c r="DO94" i="2"/>
  <c r="DI94" i="2"/>
  <c r="DH94" i="2"/>
  <c r="DB94" i="2"/>
  <c r="DA94" i="2"/>
  <c r="CU94" i="2"/>
  <c r="CT94" i="2"/>
  <c r="CN94" i="2"/>
  <c r="CM94" i="2"/>
  <c r="EK93" i="2"/>
  <c r="EJ93" i="2"/>
  <c r="ED93" i="2"/>
  <c r="EC93" i="2"/>
  <c r="DW93" i="2"/>
  <c r="DV93" i="2"/>
  <c r="DP93" i="2"/>
  <c r="DO93" i="2"/>
  <c r="DI93" i="2"/>
  <c r="DH93" i="2"/>
  <c r="DB93" i="2"/>
  <c r="DA93" i="2"/>
  <c r="CU93" i="2"/>
  <c r="CT93" i="2"/>
  <c r="CN93" i="2"/>
  <c r="CM93" i="2"/>
  <c r="EK92" i="2"/>
  <c r="EJ92" i="2"/>
  <c r="ED92" i="2"/>
  <c r="EC92" i="2"/>
  <c r="DW92" i="2"/>
  <c r="DV92" i="2"/>
  <c r="DP92" i="2"/>
  <c r="DO92" i="2"/>
  <c r="DI92" i="2"/>
  <c r="DH92" i="2"/>
  <c r="DB92" i="2"/>
  <c r="DA92" i="2"/>
  <c r="CU92" i="2"/>
  <c r="CT92" i="2"/>
  <c r="CN92" i="2"/>
  <c r="CM92" i="2"/>
  <c r="EK91" i="2"/>
  <c r="EJ91" i="2"/>
  <c r="ED91" i="2"/>
  <c r="EC91" i="2"/>
  <c r="DW91" i="2"/>
  <c r="DV91" i="2"/>
  <c r="DP91" i="2"/>
  <c r="DO91" i="2"/>
  <c r="DI91" i="2"/>
  <c r="DH91" i="2"/>
  <c r="DB91" i="2"/>
  <c r="DA91" i="2"/>
  <c r="CU91" i="2"/>
  <c r="CT91" i="2"/>
  <c r="CN91" i="2"/>
  <c r="CM91" i="2"/>
  <c r="EK90" i="2"/>
  <c r="EJ90" i="2"/>
  <c r="ED90" i="2"/>
  <c r="EC90" i="2"/>
  <c r="DW90" i="2"/>
  <c r="DV90" i="2"/>
  <c r="DP90" i="2"/>
  <c r="DO90" i="2"/>
  <c r="DI90" i="2"/>
  <c r="DH90" i="2"/>
  <c r="DB90" i="2"/>
  <c r="DA90" i="2"/>
  <c r="CU90" i="2"/>
  <c r="CT90" i="2"/>
  <c r="CN90" i="2"/>
  <c r="CM90" i="2"/>
  <c r="EK89" i="2"/>
  <c r="EJ89" i="2"/>
  <c r="ED89" i="2"/>
  <c r="EC89" i="2"/>
  <c r="DW89" i="2"/>
  <c r="DV89" i="2"/>
  <c r="DP89" i="2"/>
  <c r="DO89" i="2"/>
  <c r="DI89" i="2"/>
  <c r="DH89" i="2"/>
  <c r="DB89" i="2"/>
  <c r="DA89" i="2"/>
  <c r="CU89" i="2"/>
  <c r="CT89" i="2"/>
  <c r="CN89" i="2"/>
  <c r="CM89" i="2"/>
  <c r="EK88" i="2"/>
  <c r="EJ88" i="2"/>
  <c r="ED88" i="2"/>
  <c r="EC88" i="2"/>
  <c r="DW88" i="2"/>
  <c r="DV88" i="2"/>
  <c r="DP88" i="2"/>
  <c r="DO88" i="2"/>
  <c r="DI88" i="2"/>
  <c r="DH88" i="2"/>
  <c r="DB88" i="2"/>
  <c r="DA88" i="2"/>
  <c r="CU88" i="2"/>
  <c r="CT88" i="2"/>
  <c r="CN88" i="2"/>
  <c r="CM88" i="2"/>
  <c r="EK87" i="2"/>
  <c r="EJ87" i="2"/>
  <c r="ED87" i="2"/>
  <c r="EC87" i="2"/>
  <c r="DW87" i="2"/>
  <c r="DV87" i="2"/>
  <c r="DP87" i="2"/>
  <c r="DO87" i="2"/>
  <c r="DI87" i="2"/>
  <c r="DH87" i="2"/>
  <c r="DB87" i="2"/>
  <c r="DA87" i="2"/>
  <c r="CU87" i="2"/>
  <c r="CT87" i="2"/>
  <c r="CN87" i="2"/>
  <c r="CM87" i="2"/>
  <c r="EK86" i="2"/>
  <c r="EJ86" i="2"/>
  <c r="ED86" i="2"/>
  <c r="EC86" i="2"/>
  <c r="DW86" i="2"/>
  <c r="DV86" i="2"/>
  <c r="DP86" i="2"/>
  <c r="DO86" i="2"/>
  <c r="DI86" i="2"/>
  <c r="DH86" i="2"/>
  <c r="DB86" i="2"/>
  <c r="DA86" i="2"/>
  <c r="CU86" i="2"/>
  <c r="CT86" i="2"/>
  <c r="CN86" i="2"/>
  <c r="CM86" i="2"/>
  <c r="EK85" i="2"/>
  <c r="EJ85" i="2"/>
  <c r="ED85" i="2"/>
  <c r="EC85" i="2"/>
  <c r="DW85" i="2"/>
  <c r="DV85" i="2"/>
  <c r="DP85" i="2"/>
  <c r="DO85" i="2"/>
  <c r="DI85" i="2"/>
  <c r="DH85" i="2"/>
  <c r="DB85" i="2"/>
  <c r="DA85" i="2"/>
  <c r="CU85" i="2"/>
  <c r="CT85" i="2"/>
  <c r="CN85" i="2"/>
  <c r="CM85" i="2"/>
  <c r="EK84" i="2"/>
  <c r="EJ84" i="2"/>
  <c r="ED84" i="2"/>
  <c r="EC84" i="2"/>
  <c r="DW84" i="2"/>
  <c r="DV84" i="2"/>
  <c r="DP84" i="2"/>
  <c r="DO84" i="2"/>
  <c r="DI84" i="2"/>
  <c r="DH84" i="2"/>
  <c r="DB84" i="2"/>
  <c r="DA84" i="2"/>
  <c r="CU84" i="2"/>
  <c r="CT84" i="2"/>
  <c r="CN84" i="2"/>
  <c r="CM84" i="2"/>
  <c r="EK83" i="2"/>
  <c r="EJ83" i="2"/>
  <c r="ED83" i="2"/>
  <c r="EC83" i="2"/>
  <c r="DW83" i="2"/>
  <c r="DV83" i="2"/>
  <c r="DP83" i="2"/>
  <c r="DO83" i="2"/>
  <c r="DI83" i="2"/>
  <c r="DH83" i="2"/>
  <c r="DB83" i="2"/>
  <c r="DA83" i="2"/>
  <c r="CU83" i="2"/>
  <c r="CT83" i="2"/>
  <c r="CN83" i="2"/>
  <c r="CM83" i="2"/>
  <c r="EK82" i="2"/>
  <c r="ED82" i="2"/>
  <c r="DW82" i="2"/>
  <c r="DP82" i="2"/>
  <c r="DI82" i="2"/>
  <c r="DB82" i="2"/>
  <c r="CU82" i="2"/>
  <c r="CN82" i="2"/>
  <c r="CM82" i="2"/>
  <c r="EK79" i="2"/>
  <c r="ED79" i="2"/>
  <c r="DW79" i="2"/>
  <c r="DP79" i="2"/>
  <c r="DI79" i="2"/>
  <c r="DB79" i="2"/>
  <c r="CU79" i="2"/>
  <c r="CN79" i="2"/>
  <c r="EK78" i="2"/>
  <c r="ED78" i="2"/>
  <c r="DW78" i="2"/>
  <c r="DP78" i="2"/>
  <c r="DI78" i="2"/>
  <c r="DB78" i="2"/>
  <c r="CU78" i="2"/>
  <c r="CN78" i="2"/>
  <c r="EK77" i="2"/>
  <c r="ED77" i="2"/>
  <c r="DW77" i="2"/>
  <c r="DP77" i="2"/>
  <c r="DI77" i="2"/>
  <c r="DB77" i="2"/>
  <c r="CU77" i="2"/>
  <c r="CN77" i="2"/>
  <c r="EK76" i="2"/>
  <c r="ED76" i="2"/>
  <c r="DW76" i="2"/>
  <c r="DP76" i="2"/>
  <c r="DI76" i="2"/>
  <c r="DB76" i="2"/>
  <c r="CU76" i="2"/>
  <c r="CN76" i="2"/>
  <c r="EK75" i="2"/>
  <c r="ED75" i="2"/>
  <c r="DW75" i="2"/>
  <c r="DP75" i="2"/>
  <c r="DI75" i="2"/>
  <c r="DB75" i="2"/>
  <c r="CU75" i="2"/>
  <c r="CN75" i="2"/>
  <c r="EK74" i="2"/>
  <c r="ED74" i="2"/>
  <c r="DW74" i="2"/>
  <c r="DV74" i="2"/>
  <c r="DP74" i="2"/>
  <c r="DO74" i="2"/>
  <c r="DI74" i="2"/>
  <c r="DH74" i="2"/>
  <c r="DB74" i="2"/>
  <c r="CU74" i="2"/>
  <c r="CT74" i="2"/>
  <c r="CN74" i="2"/>
  <c r="EK73" i="2"/>
  <c r="ED73" i="2"/>
  <c r="DW73" i="2"/>
  <c r="DP73" i="2"/>
  <c r="DI73" i="2"/>
  <c r="DB73" i="2"/>
  <c r="CU73" i="2"/>
  <c r="CN73" i="2"/>
  <c r="EK72" i="2"/>
  <c r="ED72" i="2"/>
  <c r="DW72" i="2"/>
  <c r="DP72" i="2"/>
  <c r="DI72" i="2"/>
  <c r="DH72" i="2"/>
  <c r="DB72" i="2"/>
  <c r="CU72" i="2"/>
  <c r="CN72" i="2"/>
  <c r="CM72" i="2"/>
  <c r="EK71" i="2"/>
  <c r="ED71" i="2"/>
  <c r="DW71" i="2"/>
  <c r="DP71" i="2"/>
  <c r="DI71" i="2"/>
  <c r="DB71" i="2"/>
  <c r="CU71" i="2"/>
  <c r="CT71" i="2"/>
  <c r="CN71" i="2"/>
  <c r="EK70" i="2"/>
  <c r="ED70" i="2"/>
  <c r="DW70" i="2"/>
  <c r="DP70" i="2"/>
  <c r="DO70" i="2"/>
  <c r="DI70" i="2"/>
  <c r="DB70" i="2"/>
  <c r="CU70" i="2"/>
  <c r="CT70" i="2"/>
  <c r="CN70" i="2"/>
  <c r="EK69" i="2"/>
  <c r="ED69" i="2"/>
  <c r="DW69" i="2"/>
  <c r="DP69" i="2"/>
  <c r="DI69" i="2"/>
  <c r="DB69" i="2"/>
  <c r="CU69" i="2"/>
  <c r="CN69" i="2"/>
  <c r="EK68" i="2"/>
  <c r="ED68" i="2"/>
  <c r="DW68" i="2"/>
  <c r="DP68" i="2"/>
  <c r="DI68" i="2"/>
  <c r="DB68" i="2"/>
  <c r="CU68" i="2"/>
  <c r="CN68" i="2"/>
  <c r="EK67" i="2"/>
  <c r="ED67" i="2"/>
  <c r="DW67" i="2"/>
  <c r="DP67" i="2"/>
  <c r="DI67" i="2"/>
  <c r="DH67" i="2"/>
  <c r="DB67" i="2"/>
  <c r="CU67" i="2"/>
  <c r="CN67" i="2"/>
  <c r="EK66" i="2"/>
  <c r="ED66" i="2"/>
  <c r="DW66" i="2"/>
  <c r="DP66" i="2"/>
  <c r="DI66" i="2"/>
  <c r="DB66" i="2"/>
  <c r="CU66" i="2"/>
  <c r="CN66" i="2"/>
  <c r="EK65" i="2"/>
  <c r="ED65" i="2"/>
  <c r="DW65" i="2"/>
  <c r="DP65" i="2"/>
  <c r="DI65" i="2"/>
  <c r="DB65" i="2"/>
  <c r="CU65" i="2"/>
  <c r="CN65" i="2"/>
  <c r="EK64" i="2"/>
  <c r="EJ64" i="2"/>
  <c r="ED64" i="2"/>
  <c r="EC64" i="2"/>
  <c r="DW64" i="2"/>
  <c r="DP64" i="2"/>
  <c r="DO64" i="2"/>
  <c r="DI64" i="2"/>
  <c r="DB64" i="2"/>
  <c r="DA64" i="2"/>
  <c r="CU64" i="2"/>
  <c r="CN64" i="2"/>
  <c r="EK63" i="2"/>
  <c r="ED63" i="2"/>
  <c r="DW63" i="2"/>
  <c r="DP63" i="2"/>
  <c r="DI63" i="2"/>
  <c r="DB63" i="2"/>
  <c r="CU63" i="2"/>
  <c r="CN63" i="2"/>
  <c r="EK62" i="2"/>
  <c r="ED62" i="2"/>
  <c r="DW62" i="2"/>
  <c r="DV62" i="2"/>
  <c r="DP62" i="2"/>
  <c r="DO62" i="2"/>
  <c r="DI62" i="2"/>
  <c r="DH62" i="2"/>
  <c r="DB62" i="2"/>
  <c r="CU62" i="2"/>
  <c r="CN62" i="2"/>
  <c r="CM62" i="2"/>
  <c r="EK61" i="2"/>
  <c r="ED61" i="2"/>
  <c r="DW61" i="2"/>
  <c r="DP61" i="2"/>
  <c r="DI61" i="2"/>
  <c r="DB61" i="2"/>
  <c r="CU61" i="2"/>
  <c r="CN61" i="2"/>
  <c r="EK60" i="2"/>
  <c r="ED60" i="2"/>
  <c r="DW60" i="2"/>
  <c r="DP60" i="2"/>
  <c r="DI60" i="2"/>
  <c r="DB60" i="2"/>
  <c r="CU60" i="2"/>
  <c r="CN60" i="2"/>
  <c r="EK59" i="2"/>
  <c r="ED59" i="2"/>
  <c r="DW59" i="2"/>
  <c r="DP59" i="2"/>
  <c r="DI59" i="2"/>
  <c r="DB59" i="2"/>
  <c r="CU59" i="2"/>
  <c r="CN59" i="2"/>
  <c r="EK58" i="2"/>
  <c r="ED58" i="2"/>
  <c r="DW58" i="2"/>
  <c r="DP58" i="2"/>
  <c r="DI58" i="2"/>
  <c r="DB58" i="2"/>
  <c r="CU58" i="2"/>
  <c r="CN58" i="2"/>
  <c r="EK57" i="2"/>
  <c r="ED57" i="2"/>
  <c r="DW57" i="2"/>
  <c r="DP57" i="2"/>
  <c r="DI57" i="2"/>
  <c r="DB57" i="2"/>
  <c r="CU57" i="2"/>
  <c r="CN57" i="2"/>
  <c r="EK56" i="2"/>
  <c r="ED56" i="2"/>
  <c r="EC56" i="2"/>
  <c r="DW56" i="2"/>
  <c r="DP56" i="2"/>
  <c r="DI56" i="2"/>
  <c r="DB56" i="2"/>
  <c r="CU56" i="2"/>
  <c r="CN56" i="2"/>
  <c r="EK54" i="2"/>
  <c r="EJ54" i="2"/>
  <c r="ED54" i="2"/>
  <c r="DW54" i="2"/>
  <c r="DP54" i="2"/>
  <c r="DO54" i="2"/>
  <c r="DI54" i="2"/>
  <c r="DB54" i="2"/>
  <c r="CU54" i="2"/>
  <c r="CN54" i="2"/>
  <c r="EK53" i="2"/>
  <c r="EJ53" i="2"/>
  <c r="ED53" i="2"/>
  <c r="EC53" i="2"/>
  <c r="DW53" i="2"/>
  <c r="DP53" i="2"/>
  <c r="DI53" i="2"/>
  <c r="DH53" i="2"/>
  <c r="DB53" i="2"/>
  <c r="CU53" i="2"/>
  <c r="CN53" i="2"/>
  <c r="EK52" i="2"/>
  <c r="ED52" i="2"/>
  <c r="DW52" i="2"/>
  <c r="DP52" i="2"/>
  <c r="DI52" i="2"/>
  <c r="DB52" i="2"/>
  <c r="CU52" i="2"/>
  <c r="CN52" i="2"/>
  <c r="EK51" i="2"/>
  <c r="ED51" i="2"/>
  <c r="DW51" i="2"/>
  <c r="DP51" i="2"/>
  <c r="DI51" i="2"/>
  <c r="DB51" i="2"/>
  <c r="CU51" i="2"/>
  <c r="CN51" i="2"/>
  <c r="EK50" i="2"/>
  <c r="ED50" i="2"/>
  <c r="DW50" i="2"/>
  <c r="DP50" i="2"/>
  <c r="DI50" i="2"/>
  <c r="DB50" i="2"/>
  <c r="CU50" i="2"/>
  <c r="CN50" i="2"/>
  <c r="EK49" i="2"/>
  <c r="ED49" i="2"/>
  <c r="DW49" i="2"/>
  <c r="DP49" i="2"/>
  <c r="DI49" i="2"/>
  <c r="DB49" i="2"/>
  <c r="CU49" i="2"/>
  <c r="CN49" i="2"/>
  <c r="EK48" i="2"/>
  <c r="ED48" i="2"/>
  <c r="DW48" i="2"/>
  <c r="DP48" i="2"/>
  <c r="DI48" i="2"/>
  <c r="DB48" i="2"/>
  <c r="CU48" i="2"/>
  <c r="CN48" i="2"/>
  <c r="CM48" i="2"/>
  <c r="EK47" i="2"/>
  <c r="ED47" i="2"/>
  <c r="DW47" i="2"/>
  <c r="DP47" i="2"/>
  <c r="DI47" i="2"/>
  <c r="DB47" i="2"/>
  <c r="CU47" i="2"/>
  <c r="CN47" i="2"/>
  <c r="EK46" i="2"/>
  <c r="ED46" i="2"/>
  <c r="DW46" i="2"/>
  <c r="DV46" i="2"/>
  <c r="DP46" i="2"/>
  <c r="DI46" i="2"/>
  <c r="DB46" i="2"/>
  <c r="CU46" i="2"/>
  <c r="CN46" i="2"/>
  <c r="EK45" i="2"/>
  <c r="ED45" i="2"/>
  <c r="DW45" i="2"/>
  <c r="DP45" i="2"/>
  <c r="DI45" i="2"/>
  <c r="DB45" i="2"/>
  <c r="CU45" i="2"/>
  <c r="CN45" i="2"/>
  <c r="EK44" i="2"/>
  <c r="ED44" i="2"/>
  <c r="DW44" i="2"/>
  <c r="DP44" i="2"/>
  <c r="DI44" i="2"/>
  <c r="DB44" i="2"/>
  <c r="CU44" i="2"/>
  <c r="CN44" i="2"/>
  <c r="EK43" i="2"/>
  <c r="ED43" i="2"/>
  <c r="DW43" i="2"/>
  <c r="DP43" i="2"/>
  <c r="DI43" i="2"/>
  <c r="DB43" i="2"/>
  <c r="CU43" i="2"/>
  <c r="CN43" i="2"/>
  <c r="EK42" i="2"/>
  <c r="ED42" i="2"/>
  <c r="DW42" i="2"/>
  <c r="DP42" i="2"/>
  <c r="DI42" i="2"/>
  <c r="DB42" i="2"/>
  <c r="CU42" i="2"/>
  <c r="CN42" i="2"/>
  <c r="EK41" i="2"/>
  <c r="ED41" i="2"/>
  <c r="DW41" i="2"/>
  <c r="DP41" i="2"/>
  <c r="DI41" i="2"/>
  <c r="DB41" i="2"/>
  <c r="CU41" i="2"/>
  <c r="CN41" i="2"/>
  <c r="EK40" i="2"/>
  <c r="ED40" i="2"/>
  <c r="DW40" i="2"/>
  <c r="DV40" i="2"/>
  <c r="DP40" i="2"/>
  <c r="DI40" i="2"/>
  <c r="DB40" i="2"/>
  <c r="CU40" i="2"/>
  <c r="CN40" i="2"/>
  <c r="EK39" i="2"/>
  <c r="ED39" i="2"/>
  <c r="DW39" i="2"/>
  <c r="DP39" i="2"/>
  <c r="DI39" i="2"/>
  <c r="DB39" i="2"/>
  <c r="CU39" i="2"/>
  <c r="CN39" i="2"/>
  <c r="EK38" i="2"/>
  <c r="EJ38" i="2"/>
  <c r="ED38" i="2"/>
  <c r="DW38" i="2"/>
  <c r="DP38" i="2"/>
  <c r="DI38" i="2"/>
  <c r="DB38" i="2"/>
  <c r="CU38" i="2"/>
  <c r="CN38" i="2"/>
  <c r="EK37" i="2"/>
  <c r="ED37" i="2"/>
  <c r="DW37" i="2"/>
  <c r="DP37" i="2"/>
  <c r="DI37" i="2"/>
  <c r="DB37" i="2"/>
  <c r="CU37" i="2"/>
  <c r="CN37" i="2"/>
  <c r="EK36" i="2"/>
  <c r="ED36" i="2"/>
  <c r="DW36" i="2"/>
  <c r="DP36" i="2"/>
  <c r="DO36" i="2"/>
  <c r="DI36" i="2"/>
  <c r="DB36" i="2"/>
  <c r="DA36" i="2"/>
  <c r="CU36" i="2"/>
  <c r="CN36" i="2"/>
  <c r="EK35" i="2"/>
  <c r="ED35" i="2"/>
  <c r="DW35" i="2"/>
  <c r="DP35" i="2"/>
  <c r="DI35" i="2"/>
  <c r="DB35" i="2"/>
  <c r="CU35" i="2"/>
  <c r="CN35" i="2"/>
  <c r="CM35" i="2"/>
  <c r="EK34" i="2"/>
  <c r="EJ34" i="2"/>
  <c r="ED34" i="2"/>
  <c r="DW34" i="2"/>
  <c r="DP34" i="2"/>
  <c r="DI34" i="2"/>
  <c r="DH34" i="2"/>
  <c r="DB34" i="2"/>
  <c r="DA34" i="2"/>
  <c r="CU34" i="2"/>
  <c r="CN34" i="2"/>
  <c r="EK33" i="2"/>
  <c r="ED33" i="2"/>
  <c r="DW33" i="2"/>
  <c r="DP33" i="2"/>
  <c r="DI33" i="2"/>
  <c r="DB33" i="2"/>
  <c r="CU33" i="2"/>
  <c r="CN33" i="2"/>
  <c r="EK32" i="2"/>
  <c r="ED32" i="2"/>
  <c r="DW32" i="2"/>
  <c r="DP32" i="2"/>
  <c r="DI32" i="2"/>
  <c r="DB32" i="2"/>
  <c r="CU32" i="2"/>
  <c r="CN32" i="2"/>
  <c r="EK31" i="2"/>
  <c r="ED31" i="2"/>
  <c r="EC31" i="2"/>
  <c r="DW31" i="2"/>
  <c r="DP31" i="2"/>
  <c r="DI31" i="2"/>
  <c r="DB31" i="2"/>
  <c r="CU31" i="2"/>
  <c r="CN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CF103" i="2"/>
  <c r="BZ103" i="2"/>
  <c r="BY103" i="2"/>
  <c r="BS103" i="2"/>
  <c r="BR103" i="2"/>
  <c r="BL103" i="2"/>
  <c r="BK103" i="2"/>
  <c r="CG102" i="2"/>
  <c r="CF102" i="2"/>
  <c r="BZ102" i="2"/>
  <c r="BY102" i="2"/>
  <c r="BS102" i="2"/>
  <c r="BR102" i="2"/>
  <c r="BL102" i="2"/>
  <c r="BK102" i="2"/>
  <c r="CG101" i="2"/>
  <c r="CF101" i="2"/>
  <c r="BZ101" i="2"/>
  <c r="BY101" i="2"/>
  <c r="BS101" i="2"/>
  <c r="BR101" i="2"/>
  <c r="BL101" i="2"/>
  <c r="BK101" i="2"/>
  <c r="CG100" i="2"/>
  <c r="CF100" i="2"/>
  <c r="BZ100" i="2"/>
  <c r="BY100" i="2"/>
  <c r="BS100" i="2"/>
  <c r="BR100" i="2"/>
  <c r="BL100" i="2"/>
  <c r="BK100" i="2"/>
  <c r="CG97" i="2"/>
  <c r="CF97" i="2"/>
  <c r="BZ97" i="2"/>
  <c r="BY97" i="2"/>
  <c r="BS97" i="2"/>
  <c r="BR97" i="2"/>
  <c r="BL97" i="2"/>
  <c r="BK97" i="2"/>
  <c r="CG96" i="2"/>
  <c r="CF96" i="2"/>
  <c r="BZ96" i="2"/>
  <c r="BY96" i="2"/>
  <c r="BS96" i="2"/>
  <c r="BR96" i="2"/>
  <c r="BL96" i="2"/>
  <c r="BK96" i="2"/>
  <c r="CG95" i="2"/>
  <c r="CF95" i="2"/>
  <c r="BZ95" i="2"/>
  <c r="BY95" i="2"/>
  <c r="BS95" i="2"/>
  <c r="BR95" i="2"/>
  <c r="BL95" i="2"/>
  <c r="BK95" i="2"/>
  <c r="CG94" i="2"/>
  <c r="CF94" i="2"/>
  <c r="BZ94" i="2"/>
  <c r="BY94" i="2"/>
  <c r="BS94" i="2"/>
  <c r="BR94" i="2"/>
  <c r="BL94" i="2"/>
  <c r="BK94" i="2"/>
  <c r="CG93" i="2"/>
  <c r="CF93" i="2"/>
  <c r="BZ93" i="2"/>
  <c r="BY93" i="2"/>
  <c r="BS93" i="2"/>
  <c r="BR93" i="2"/>
  <c r="BL93" i="2"/>
  <c r="BK93" i="2"/>
  <c r="CG92" i="2"/>
  <c r="CF92" i="2"/>
  <c r="BZ92" i="2"/>
  <c r="BY92" i="2"/>
  <c r="BS92" i="2"/>
  <c r="BR92" i="2"/>
  <c r="BL92" i="2"/>
  <c r="BK92" i="2"/>
  <c r="CG91" i="2"/>
  <c r="CF91" i="2"/>
  <c r="BZ91" i="2"/>
  <c r="BY91" i="2"/>
  <c r="BS91" i="2"/>
  <c r="BR91" i="2"/>
  <c r="BL91" i="2"/>
  <c r="BK91" i="2"/>
  <c r="CG90" i="2"/>
  <c r="CF90" i="2"/>
  <c r="BZ90" i="2"/>
  <c r="BY90" i="2"/>
  <c r="BS90" i="2"/>
  <c r="BR90" i="2"/>
  <c r="BL90" i="2"/>
  <c r="BK90" i="2"/>
  <c r="CG89" i="2"/>
  <c r="CF89" i="2"/>
  <c r="BZ89" i="2"/>
  <c r="BY89" i="2"/>
  <c r="BS89" i="2"/>
  <c r="BR89" i="2"/>
  <c r="BL89" i="2"/>
  <c r="BK89" i="2"/>
  <c r="CG88" i="2"/>
  <c r="CF88" i="2"/>
  <c r="BZ88" i="2"/>
  <c r="BY88" i="2"/>
  <c r="BS88" i="2"/>
  <c r="BR88" i="2"/>
  <c r="BL88" i="2"/>
  <c r="BK88" i="2"/>
  <c r="CG87" i="2"/>
  <c r="CF87" i="2"/>
  <c r="BZ87" i="2"/>
  <c r="BY87" i="2"/>
  <c r="BS87" i="2"/>
  <c r="BR87" i="2"/>
  <c r="BL87" i="2"/>
  <c r="BK87" i="2"/>
  <c r="CG86" i="2"/>
  <c r="CF86" i="2"/>
  <c r="BZ86" i="2"/>
  <c r="BY86" i="2"/>
  <c r="BS86" i="2"/>
  <c r="BR86" i="2"/>
  <c r="BL86" i="2"/>
  <c r="BK86" i="2"/>
  <c r="CG85" i="2"/>
  <c r="CF85" i="2"/>
  <c r="BZ85" i="2"/>
  <c r="BY85" i="2"/>
  <c r="BS85" i="2"/>
  <c r="BR85" i="2"/>
  <c r="BL85" i="2"/>
  <c r="BK85" i="2"/>
  <c r="CG84" i="2"/>
  <c r="CF84" i="2"/>
  <c r="BZ84" i="2"/>
  <c r="BY84" i="2"/>
  <c r="BS84" i="2"/>
  <c r="BR84" i="2"/>
  <c r="BL84" i="2"/>
  <c r="BK84" i="2"/>
  <c r="CG83" i="2"/>
  <c r="CF83" i="2"/>
  <c r="BZ83" i="2"/>
  <c r="BY83" i="2"/>
  <c r="BS83" i="2"/>
  <c r="BR83" i="2"/>
  <c r="BL83" i="2"/>
  <c r="BK83" i="2"/>
  <c r="CG82" i="2"/>
  <c r="CF82" i="2"/>
  <c r="BZ82" i="2"/>
  <c r="BY82" i="2"/>
  <c r="BS82" i="2"/>
  <c r="BL82" i="2"/>
  <c r="CG79" i="2"/>
  <c r="BZ79" i="2"/>
  <c r="BS79" i="2"/>
  <c r="BL79" i="2"/>
  <c r="CG78" i="2"/>
  <c r="BZ78" i="2"/>
  <c r="BS78" i="2"/>
  <c r="BL78" i="2"/>
  <c r="CG77" i="2"/>
  <c r="BZ77" i="2"/>
  <c r="BS77" i="2"/>
  <c r="BL77" i="2"/>
  <c r="CG76" i="2"/>
  <c r="BZ76" i="2"/>
  <c r="BS76" i="2"/>
  <c r="BL76" i="2"/>
  <c r="CG75" i="2"/>
  <c r="BZ75" i="2"/>
  <c r="BS75" i="2"/>
  <c r="BL75" i="2"/>
  <c r="CG74" i="2"/>
  <c r="CF74" i="2"/>
  <c r="BZ74" i="2"/>
  <c r="BS74" i="2"/>
  <c r="BL74" i="2"/>
  <c r="CG73" i="2"/>
  <c r="BZ73" i="2"/>
  <c r="BS73" i="2"/>
  <c r="BL73" i="2"/>
  <c r="CG72" i="2"/>
  <c r="BZ72" i="2"/>
  <c r="BY72" i="2"/>
  <c r="BS72" i="2"/>
  <c r="BL72" i="2"/>
  <c r="BK72" i="2"/>
  <c r="CG71" i="2"/>
  <c r="BZ71" i="2"/>
  <c r="BS71" i="2"/>
  <c r="BL71" i="2"/>
  <c r="CG70" i="2"/>
  <c r="BZ70" i="2"/>
  <c r="BS70" i="2"/>
  <c r="BL70" i="2"/>
  <c r="CG69" i="2"/>
  <c r="BZ69" i="2"/>
  <c r="BS69" i="2"/>
  <c r="BL69" i="2"/>
  <c r="CG68" i="2"/>
  <c r="BZ68" i="2"/>
  <c r="BS68" i="2"/>
  <c r="BL68" i="2"/>
  <c r="CG67" i="2"/>
  <c r="BZ67" i="2"/>
  <c r="BS67" i="2"/>
  <c r="BL67" i="2"/>
  <c r="CG66" i="2"/>
  <c r="BZ66" i="2"/>
  <c r="BS66" i="2"/>
  <c r="BL66" i="2"/>
  <c r="CG65" i="2"/>
  <c r="BZ65" i="2"/>
  <c r="BS65" i="2"/>
  <c r="BL65" i="2"/>
  <c r="CG64" i="2"/>
  <c r="BZ64" i="2"/>
  <c r="BS64" i="2"/>
  <c r="BL64" i="2"/>
  <c r="CG63" i="2"/>
  <c r="BZ63" i="2"/>
  <c r="BS63" i="2"/>
  <c r="BL63" i="2"/>
  <c r="CG62" i="2"/>
  <c r="BZ62" i="2"/>
  <c r="BS62" i="2"/>
  <c r="BL62" i="2"/>
  <c r="CG61" i="2"/>
  <c r="BZ61" i="2"/>
  <c r="BS61" i="2"/>
  <c r="BL61" i="2"/>
  <c r="CG60" i="2"/>
  <c r="BZ60" i="2"/>
  <c r="BS60" i="2"/>
  <c r="BL60" i="2"/>
  <c r="CG59" i="2"/>
  <c r="BZ59" i="2"/>
  <c r="BS59" i="2"/>
  <c r="BL59" i="2"/>
  <c r="CG58" i="2"/>
  <c r="BZ58" i="2"/>
  <c r="BS58" i="2"/>
  <c r="BL58" i="2"/>
  <c r="CG57" i="2"/>
  <c r="BZ57" i="2"/>
  <c r="BS57" i="2"/>
  <c r="BL57" i="2"/>
  <c r="CG56" i="2"/>
  <c r="CF56" i="2"/>
  <c r="BZ56" i="2"/>
  <c r="BS56" i="2"/>
  <c r="BL56" i="2"/>
  <c r="CG54" i="2"/>
  <c r="BZ54" i="2"/>
  <c r="BS54" i="2"/>
  <c r="BL54" i="2"/>
  <c r="CG53" i="2"/>
  <c r="BZ53" i="2"/>
  <c r="BY53" i="2"/>
  <c r="BS53" i="2"/>
  <c r="BL53" i="2"/>
  <c r="CG52" i="2"/>
  <c r="BZ52" i="2"/>
  <c r="BS52" i="2"/>
  <c r="BL52" i="2"/>
  <c r="CG51" i="2"/>
  <c r="BZ51" i="2"/>
  <c r="BS51" i="2"/>
  <c r="BL51" i="2"/>
  <c r="CG50" i="2"/>
  <c r="BZ50" i="2"/>
  <c r="BS50" i="2"/>
  <c r="BL50" i="2"/>
  <c r="CG49" i="2"/>
  <c r="BZ49" i="2"/>
  <c r="BS49" i="2"/>
  <c r="BL49" i="2"/>
  <c r="CG48" i="2"/>
  <c r="BZ48" i="2"/>
  <c r="BS48" i="2"/>
  <c r="BL48" i="2"/>
  <c r="CG47" i="2"/>
  <c r="BZ47" i="2"/>
  <c r="BS47" i="2"/>
  <c r="BL47" i="2"/>
  <c r="CG46" i="2"/>
  <c r="BZ46" i="2"/>
  <c r="BS46" i="2"/>
  <c r="BR46" i="2"/>
  <c r="BL46" i="2"/>
  <c r="CG45" i="2"/>
  <c r="BZ45" i="2"/>
  <c r="BS45" i="2"/>
  <c r="BL45" i="2"/>
  <c r="CG44" i="2"/>
  <c r="BZ44" i="2"/>
  <c r="BS44" i="2"/>
  <c r="BL44" i="2"/>
  <c r="CG43" i="2"/>
  <c r="BZ43" i="2"/>
  <c r="BS43" i="2"/>
  <c r="BL43" i="2"/>
  <c r="CG42" i="2"/>
  <c r="BZ42" i="2"/>
  <c r="BS42" i="2"/>
  <c r="BL42" i="2"/>
  <c r="CG41" i="2"/>
  <c r="BZ41" i="2"/>
  <c r="BY41" i="2"/>
  <c r="BS41" i="2"/>
  <c r="BL41" i="2"/>
  <c r="CG40" i="2"/>
  <c r="BZ40" i="2"/>
  <c r="BS40" i="2"/>
  <c r="BL40" i="2"/>
  <c r="BK40" i="2"/>
  <c r="CG39" i="2"/>
  <c r="BZ39" i="2"/>
  <c r="BS39" i="2"/>
  <c r="BL39" i="2"/>
  <c r="CG38" i="2"/>
  <c r="BZ38" i="2"/>
  <c r="BS38" i="2"/>
  <c r="BL38" i="2"/>
  <c r="CG37" i="2"/>
  <c r="BZ37" i="2"/>
  <c r="BS37" i="2"/>
  <c r="BL37" i="2"/>
  <c r="CG36" i="2"/>
  <c r="BZ36" i="2"/>
  <c r="BS36" i="2"/>
  <c r="BL36" i="2"/>
  <c r="CG35" i="2"/>
  <c r="CF35" i="2"/>
  <c r="BZ35" i="2"/>
  <c r="BY35" i="2"/>
  <c r="BS35" i="2"/>
  <c r="BL35" i="2"/>
  <c r="CG34" i="2"/>
  <c r="BZ34" i="2"/>
  <c r="BS34" i="2"/>
  <c r="BL34" i="2"/>
  <c r="CG33" i="2"/>
  <c r="BZ33" i="2"/>
  <c r="BS33" i="2"/>
  <c r="BL33" i="2"/>
  <c r="CG32" i="2"/>
  <c r="BZ32" i="2"/>
  <c r="BS32" i="2"/>
  <c r="BL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D103" i="2"/>
  <c r="BE102" i="2"/>
  <c r="BD102" i="2"/>
  <c r="BE101" i="2"/>
  <c r="BD101" i="2"/>
  <c r="BE100" i="2"/>
  <c r="BD100" i="2"/>
  <c r="BE97" i="2"/>
  <c r="BD97" i="2"/>
  <c r="BE96" i="2"/>
  <c r="BD96" i="2"/>
  <c r="BE95" i="2"/>
  <c r="BD95" i="2"/>
  <c r="BE94" i="2"/>
  <c r="BD94" i="2"/>
  <c r="BE93" i="2"/>
  <c r="BD93" i="2"/>
  <c r="BE92" i="2"/>
  <c r="BD92" i="2"/>
  <c r="BE91" i="2"/>
  <c r="BD91" i="2"/>
  <c r="BE90" i="2"/>
  <c r="BD90" i="2"/>
  <c r="BE89" i="2"/>
  <c r="BD89" i="2"/>
  <c r="BE88" i="2"/>
  <c r="BD88" i="2"/>
  <c r="BE87" i="2"/>
  <c r="BD87" i="2"/>
  <c r="BE86" i="2"/>
  <c r="BD86" i="2"/>
  <c r="BE85" i="2"/>
  <c r="BD85" i="2"/>
  <c r="BE84" i="2"/>
  <c r="BD84" i="2"/>
  <c r="BE83" i="2"/>
  <c r="BD83" i="2"/>
  <c r="BE82" i="2"/>
  <c r="BE79" i="2"/>
  <c r="BE78" i="2"/>
  <c r="BE77" i="2"/>
  <c r="BE76" i="2"/>
  <c r="BE75" i="2"/>
  <c r="BE74" i="2"/>
  <c r="BE73" i="2"/>
  <c r="BE72" i="2"/>
  <c r="BE71" i="2"/>
  <c r="BE70" i="2"/>
  <c r="BE69" i="2"/>
  <c r="BE68" i="2"/>
  <c r="BE67" i="2"/>
  <c r="BE66" i="2"/>
  <c r="BE65" i="2"/>
  <c r="BE64" i="2"/>
  <c r="BE63" i="2"/>
  <c r="BE62" i="2"/>
  <c r="BD62" i="2"/>
  <c r="BE61" i="2"/>
  <c r="BE60" i="2"/>
  <c r="BE59" i="2"/>
  <c r="BE58" i="2"/>
  <c r="BE57" i="2"/>
  <c r="BE56" i="2"/>
  <c r="BE54" i="2"/>
  <c r="BE53" i="2"/>
  <c r="BE52" i="2"/>
  <c r="BE51" i="2"/>
  <c r="BE50" i="2"/>
  <c r="BE49" i="2"/>
  <c r="BE48" i="2"/>
  <c r="BD48" i="2"/>
  <c r="BE47" i="2"/>
  <c r="BE46" i="2"/>
  <c r="BE45" i="2"/>
  <c r="BE44" i="2"/>
  <c r="BE43" i="2"/>
  <c r="BE42" i="2"/>
  <c r="BE41" i="2"/>
  <c r="BE40" i="2"/>
  <c r="BD40" i="2"/>
  <c r="BE39" i="2"/>
  <c r="BE38" i="2"/>
  <c r="BE37" i="2"/>
  <c r="BE36" i="2"/>
  <c r="BE35" i="2"/>
  <c r="BE34" i="2"/>
  <c r="BE33" i="2"/>
  <c r="BE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X100" i="2"/>
  <c r="AW100" i="2"/>
  <c r="AX97" i="2"/>
  <c r="AW97" i="2"/>
  <c r="AX96" i="2"/>
  <c r="AW96" i="2"/>
  <c r="AX95" i="2"/>
  <c r="AW95" i="2"/>
  <c r="AX94" i="2"/>
  <c r="AW94" i="2"/>
  <c r="AX93" i="2"/>
  <c r="AW93" i="2"/>
  <c r="AX92" i="2"/>
  <c r="AW92" i="2"/>
  <c r="AX91" i="2"/>
  <c r="AW91" i="2"/>
  <c r="AX90" i="2"/>
  <c r="AW90" i="2"/>
  <c r="AX89" i="2"/>
  <c r="AW89" i="2"/>
  <c r="AX88" i="2"/>
  <c r="AW88" i="2"/>
  <c r="AX87" i="2"/>
  <c r="AW87" i="2"/>
  <c r="AX86" i="2"/>
  <c r="AW86" i="2"/>
  <c r="AX85" i="2"/>
  <c r="AW85" i="2"/>
  <c r="AX84" i="2"/>
  <c r="AW84" i="2"/>
  <c r="AX83" i="2"/>
  <c r="AW83" i="2"/>
  <c r="AX82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4" i="2"/>
  <c r="AX53" i="2"/>
  <c r="AW53" i="2"/>
  <c r="AX52" i="2"/>
  <c r="AX51" i="2"/>
  <c r="AX50" i="2"/>
  <c r="AX49" i="2"/>
  <c r="AX48" i="2"/>
  <c r="AW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Q101" i="2"/>
  <c r="AP101" i="2"/>
  <c r="AQ100" i="2"/>
  <c r="AP100" i="2"/>
  <c r="AQ97" i="2"/>
  <c r="AP97" i="2"/>
  <c r="AQ96" i="2"/>
  <c r="AP96" i="2"/>
  <c r="AQ95" i="2"/>
  <c r="AP95" i="2"/>
  <c r="AQ94" i="2"/>
  <c r="AP94" i="2"/>
  <c r="AQ93" i="2"/>
  <c r="AP93" i="2"/>
  <c r="AQ92" i="2"/>
  <c r="AP92" i="2"/>
  <c r="AQ91" i="2"/>
  <c r="AP91" i="2"/>
  <c r="AQ90" i="2"/>
  <c r="AP90" i="2"/>
  <c r="AQ89" i="2"/>
  <c r="AP89" i="2"/>
  <c r="AQ88" i="2"/>
  <c r="AP88" i="2"/>
  <c r="AQ87" i="2"/>
  <c r="AP87" i="2"/>
  <c r="AQ86" i="2"/>
  <c r="AP86" i="2"/>
  <c r="AQ85" i="2"/>
  <c r="AP85" i="2"/>
  <c r="AQ84" i="2"/>
  <c r="AP84" i="2"/>
  <c r="AQ83" i="2"/>
  <c r="AP83" i="2"/>
  <c r="AQ82" i="2"/>
  <c r="AQ79" i="2"/>
  <c r="AQ78" i="2"/>
  <c r="AQ77" i="2"/>
  <c r="AQ76" i="2"/>
  <c r="AQ75" i="2"/>
  <c r="AQ74" i="2"/>
  <c r="AQ73" i="2"/>
  <c r="AQ72" i="2"/>
  <c r="AQ71" i="2"/>
  <c r="AQ70" i="2"/>
  <c r="AQ69" i="2"/>
  <c r="AQ68" i="2"/>
  <c r="AQ67" i="2"/>
  <c r="AQ66" i="2"/>
  <c r="AQ65" i="2"/>
  <c r="AQ64" i="2"/>
  <c r="AP64" i="2"/>
  <c r="AQ63" i="2"/>
  <c r="AQ62" i="2"/>
  <c r="AP62" i="2"/>
  <c r="AQ61" i="2"/>
  <c r="AQ60" i="2"/>
  <c r="AQ59" i="2"/>
  <c r="AQ58" i="2"/>
  <c r="AP58" i="2"/>
  <c r="AQ57" i="2"/>
  <c r="AQ56" i="2"/>
  <c r="AQ54" i="2"/>
  <c r="AQ53" i="2"/>
  <c r="AQ52" i="2"/>
  <c r="AQ51" i="2"/>
  <c r="AQ50" i="2"/>
  <c r="AQ49" i="2"/>
  <c r="AQ48" i="2"/>
  <c r="AP48" i="2"/>
  <c r="AQ47" i="2"/>
  <c r="AQ46" i="2"/>
  <c r="AQ45" i="2"/>
  <c r="AQ44" i="2"/>
  <c r="AQ43" i="2"/>
  <c r="AQ42" i="2"/>
  <c r="AQ41" i="2"/>
  <c r="AQ40" i="2"/>
  <c r="AP40" i="2"/>
  <c r="AQ39" i="2"/>
  <c r="AQ38" i="2"/>
  <c r="AQ37" i="2"/>
  <c r="AQ36" i="2"/>
  <c r="AQ35" i="2"/>
  <c r="AQ34" i="2"/>
  <c r="AQ33" i="2"/>
  <c r="AQ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I103" i="2"/>
  <c r="AJ102" i="2"/>
  <c r="AI102" i="2"/>
  <c r="AJ101" i="2"/>
  <c r="AI101" i="2"/>
  <c r="AJ100" i="2"/>
  <c r="AI100" i="2"/>
  <c r="AJ97" i="2"/>
  <c r="AI97" i="2"/>
  <c r="AJ96" i="2"/>
  <c r="AI96" i="2"/>
  <c r="AJ95" i="2"/>
  <c r="AI95" i="2"/>
  <c r="AJ94" i="2"/>
  <c r="AI94" i="2"/>
  <c r="AJ93" i="2"/>
  <c r="AI93" i="2"/>
  <c r="AJ92" i="2"/>
  <c r="AI92" i="2"/>
  <c r="AJ91" i="2"/>
  <c r="AI91" i="2"/>
  <c r="AJ90" i="2"/>
  <c r="AI90" i="2"/>
  <c r="AJ89" i="2"/>
  <c r="AI89" i="2"/>
  <c r="AJ88" i="2"/>
  <c r="AI88" i="2"/>
  <c r="AJ87" i="2"/>
  <c r="AI87" i="2"/>
  <c r="AJ86" i="2"/>
  <c r="AI86" i="2"/>
  <c r="AJ85" i="2"/>
  <c r="AI85" i="2"/>
  <c r="AJ84" i="2"/>
  <c r="AI84" i="2"/>
  <c r="AJ83" i="2"/>
  <c r="AI83" i="2"/>
  <c r="AJ82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4" i="2"/>
  <c r="AJ53" i="2"/>
  <c r="AJ52" i="2"/>
  <c r="AJ51" i="2"/>
  <c r="AJ50" i="2"/>
  <c r="AJ49" i="2"/>
  <c r="AJ48" i="2"/>
  <c r="AI48" i="2"/>
  <c r="AJ47" i="2"/>
  <c r="AJ46" i="2"/>
  <c r="AJ45" i="2"/>
  <c r="AJ44" i="2"/>
  <c r="AJ43" i="2"/>
  <c r="AJ42" i="2"/>
  <c r="AJ41" i="2"/>
  <c r="AJ40" i="2"/>
  <c r="AI40" i="2"/>
  <c r="AJ39" i="2"/>
  <c r="AJ38" i="2"/>
  <c r="AJ37" i="2"/>
  <c r="AJ36" i="2"/>
  <c r="AJ35" i="2"/>
  <c r="AJ34" i="2"/>
  <c r="AJ33" i="2"/>
  <c r="AJ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41" i="2"/>
  <c r="N46" i="2"/>
  <c r="N62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45" i="2"/>
  <c r="Q178" i="2"/>
  <c r="Q147" i="2"/>
  <c r="Q142" i="2"/>
  <c r="Q204" i="2"/>
  <c r="Q173" i="2"/>
  <c r="Q152" i="2"/>
  <c r="Q143" i="2"/>
  <c r="Q179" i="2"/>
  <c r="Q196" i="2"/>
  <c r="Q202" i="2"/>
  <c r="Q186" i="2"/>
  <c r="Q169" i="2"/>
  <c r="Q160" i="2"/>
  <c r="Q197" i="2"/>
  <c r="Q155" i="2"/>
  <c r="Q150" i="2"/>
  <c r="Q181" i="2"/>
  <c r="Q192" i="2"/>
  <c r="Q183" i="2"/>
  <c r="Q144" i="2"/>
  <c r="Q146" i="2"/>
  <c r="Q176" i="2"/>
  <c r="Q188" i="2"/>
  <c r="Q184" i="2"/>
  <c r="Q171" i="2"/>
  <c r="Q174" i="2"/>
  <c r="Q193" i="2"/>
  <c r="Q189" i="2"/>
  <c r="Q203" i="2"/>
  <c r="Q163" i="2"/>
  <c r="Q149" i="2"/>
  <c r="Q165" i="2"/>
  <c r="Q185" i="2"/>
  <c r="Q162" i="2"/>
  <c r="Q151" i="2"/>
  <c r="Q170" i="2"/>
  <c r="Q157" i="2"/>
  <c r="Q172" i="2"/>
  <c r="Q167" i="2"/>
  <c r="Q156" i="2"/>
  <c r="Q153" i="2"/>
  <c r="Q140" i="2"/>
  <c r="Q175" i="2"/>
  <c r="Q141" i="2"/>
  <c r="Q195" i="2"/>
  <c r="Q201" i="2"/>
  <c r="Q200" i="2"/>
  <c r="Q154" i="2"/>
  <c r="Q191" i="2"/>
  <c r="Q194" i="2"/>
  <c r="Q139" i="2"/>
  <c r="Q198" i="2"/>
  <c r="Q138" i="2"/>
  <c r="Q166" i="2"/>
  <c r="Q177" i="2"/>
  <c r="Q158" i="2"/>
  <c r="Q161" i="2"/>
  <c r="Q199" i="2"/>
  <c r="Q180" i="2"/>
  <c r="Q187" i="2"/>
  <c r="Q159" i="2"/>
  <c r="Q164" i="2"/>
  <c r="Q182" i="2"/>
  <c r="Q168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K45" i="2" s="1"/>
  <c r="I46" i="2"/>
  <c r="I47" i="2"/>
  <c r="AW47" i="2" s="1"/>
  <c r="I48" i="2"/>
  <c r="I49" i="2"/>
  <c r="I50" i="2"/>
  <c r="I51" i="2"/>
  <c r="IK51" i="2" s="1"/>
  <c r="I52" i="2"/>
  <c r="I53" i="2"/>
  <c r="I54" i="2"/>
  <c r="I56" i="2"/>
  <c r="I57" i="2"/>
  <c r="HW57" i="2" s="1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KV75" i="2" s="1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SC82" i="2" l="1"/>
  <c r="RO82" i="2"/>
  <c r="QT82" i="2"/>
  <c r="QF82" i="2"/>
  <c r="PR82" i="2"/>
  <c r="PK82" i="2"/>
  <c r="OW82" i="2"/>
  <c r="OI82" i="2"/>
  <c r="NU82" i="2"/>
  <c r="SQ82" i="2"/>
  <c r="SJ82" i="2"/>
  <c r="RA82" i="2"/>
  <c r="PY82" i="2"/>
  <c r="PD82" i="2"/>
  <c r="OP82" i="2"/>
  <c r="OB82" i="2"/>
  <c r="NN82" i="2"/>
  <c r="KO82" i="2"/>
  <c r="HP82" i="2"/>
  <c r="HB82" i="2"/>
  <c r="FL82" i="2"/>
  <c r="EX82" i="2"/>
  <c r="AW82" i="2"/>
  <c r="AI82" i="2"/>
  <c r="MS82" i="2"/>
  <c r="ME82" i="2"/>
  <c r="LJ82" i="2"/>
  <c r="JT82" i="2"/>
  <c r="JF82" i="2"/>
  <c r="IR82" i="2"/>
  <c r="IK82" i="2"/>
  <c r="HW82" i="2"/>
  <c r="GU82" i="2"/>
  <c r="GG82" i="2"/>
  <c r="FZ82" i="2"/>
  <c r="EC82" i="2"/>
  <c r="DO82" i="2"/>
  <c r="DA82" i="2"/>
  <c r="BK82" i="2"/>
  <c r="NG82" i="2"/>
  <c r="KV82" i="2"/>
  <c r="KH82" i="2"/>
  <c r="HI82" i="2"/>
  <c r="FE82" i="2"/>
  <c r="EQ82" i="2"/>
  <c r="BD82" i="2"/>
  <c r="AP82" i="2"/>
  <c r="ML82" i="2"/>
  <c r="LX82" i="2"/>
  <c r="LQ82" i="2"/>
  <c r="LC82" i="2"/>
  <c r="KA82" i="2"/>
  <c r="JM82" i="2"/>
  <c r="IY82" i="2"/>
  <c r="ID82" i="2"/>
  <c r="GN82" i="2"/>
  <c r="EJ82" i="2"/>
  <c r="DV82" i="2"/>
  <c r="DH82" i="2"/>
  <c r="CT82" i="2"/>
  <c r="BR82" i="2"/>
  <c r="U82" i="2"/>
  <c r="MZ82" i="2"/>
  <c r="RO79" i="2"/>
  <c r="RA79" i="2"/>
  <c r="QF79" i="2"/>
  <c r="EQ79" i="2"/>
  <c r="DV79" i="2"/>
  <c r="DA79" i="2"/>
  <c r="HP79" i="2"/>
  <c r="GN79" i="2"/>
  <c r="FE79" i="2"/>
  <c r="AI79" i="2"/>
  <c r="ME79" i="2"/>
  <c r="EC79" i="2"/>
  <c r="CT79" i="2"/>
  <c r="AP79" i="2"/>
  <c r="IR79" i="2"/>
  <c r="HI79" i="2"/>
  <c r="GG79" i="2"/>
  <c r="SQ79" i="2"/>
  <c r="SC79" i="2"/>
  <c r="QM79" i="2"/>
  <c r="PY79" i="2"/>
  <c r="PD79" i="2"/>
  <c r="OP79" i="2"/>
  <c r="OB79" i="2"/>
  <c r="NN79" i="2"/>
  <c r="SJ79" i="2"/>
  <c r="RV79" i="2"/>
  <c r="QT79" i="2"/>
  <c r="PR79" i="2"/>
  <c r="PK79" i="2"/>
  <c r="OW79" i="2"/>
  <c r="OI79" i="2"/>
  <c r="NU79" i="2"/>
  <c r="MZ79" i="2"/>
  <c r="ML79" i="2"/>
  <c r="LX79" i="2"/>
  <c r="LQ79" i="2"/>
  <c r="LC79" i="2"/>
  <c r="KO79" i="2"/>
  <c r="JT79" i="2"/>
  <c r="ID79" i="2"/>
  <c r="HB79" i="2"/>
  <c r="GU79" i="2"/>
  <c r="EJ79" i="2"/>
  <c r="DH79" i="2"/>
  <c r="CF79" i="2"/>
  <c r="BR79" i="2"/>
  <c r="AW79" i="2"/>
  <c r="IY79" i="2"/>
  <c r="AB79" i="2"/>
  <c r="FL79" i="2"/>
  <c r="EX79" i="2"/>
  <c r="BD79" i="2"/>
  <c r="N79" i="2"/>
  <c r="NG79" i="2"/>
  <c r="MS79" i="2"/>
  <c r="LJ79" i="2"/>
  <c r="KV79" i="2"/>
  <c r="KH79" i="2"/>
  <c r="KA79" i="2"/>
  <c r="JM79" i="2"/>
  <c r="IK79" i="2"/>
  <c r="HW79" i="2"/>
  <c r="FS79" i="2"/>
  <c r="DO79" i="2"/>
  <c r="CM79" i="2"/>
  <c r="BY79" i="2"/>
  <c r="BK79" i="2"/>
  <c r="JF79" i="2"/>
  <c r="FZ79" i="2"/>
  <c r="U79" i="2"/>
  <c r="SJ78" i="2"/>
  <c r="RV78" i="2"/>
  <c r="RA78" i="2"/>
  <c r="QM78" i="2"/>
  <c r="PY78" i="2"/>
  <c r="PD78" i="2"/>
  <c r="OP78" i="2"/>
  <c r="OB78" i="2"/>
  <c r="SQ78" i="2"/>
  <c r="SC78" i="2"/>
  <c r="RO78" i="2"/>
  <c r="QT78" i="2"/>
  <c r="QF78" i="2"/>
  <c r="PR78" i="2"/>
  <c r="PK78" i="2"/>
  <c r="OW78" i="2"/>
  <c r="OI78" i="2"/>
  <c r="NU78" i="2"/>
  <c r="MZ78" i="2"/>
  <c r="ML78" i="2"/>
  <c r="LX78" i="2"/>
  <c r="LQ78" i="2"/>
  <c r="LC78" i="2"/>
  <c r="KA78" i="2"/>
  <c r="JM78" i="2"/>
  <c r="JF78" i="2"/>
  <c r="IR78" i="2"/>
  <c r="ID78" i="2"/>
  <c r="GN78" i="2"/>
  <c r="FZ78" i="2"/>
  <c r="FS78" i="2"/>
  <c r="AB78" i="2"/>
  <c r="FL78" i="2"/>
  <c r="EX78" i="2"/>
  <c r="N78" i="2"/>
  <c r="KV78" i="2"/>
  <c r="KH78" i="2"/>
  <c r="HI78" i="2"/>
  <c r="EC78" i="2"/>
  <c r="DO78" i="2"/>
  <c r="DA78" i="2"/>
  <c r="CM78" i="2"/>
  <c r="BY78" i="2"/>
  <c r="BK78" i="2"/>
  <c r="NG78" i="2"/>
  <c r="MS78" i="2"/>
  <c r="ME78" i="2"/>
  <c r="LJ78" i="2"/>
  <c r="JT78" i="2"/>
  <c r="IY78" i="2"/>
  <c r="IK78" i="2"/>
  <c r="HW78" i="2"/>
  <c r="GU78" i="2"/>
  <c r="GG78" i="2"/>
  <c r="U78" i="2"/>
  <c r="FE78" i="2"/>
  <c r="EQ78" i="2"/>
  <c r="BD78" i="2"/>
  <c r="AW78" i="2"/>
  <c r="AP78" i="2"/>
  <c r="AI78" i="2"/>
  <c r="KO78" i="2"/>
  <c r="HP78" i="2"/>
  <c r="HB78" i="2"/>
  <c r="EJ78" i="2"/>
  <c r="DV78" i="2"/>
  <c r="DH78" i="2"/>
  <c r="CT78" i="2"/>
  <c r="CF78" i="2"/>
  <c r="BR78" i="2"/>
  <c r="NN77" i="2"/>
  <c r="AB77" i="2"/>
  <c r="DO77" i="2"/>
  <c r="BR77" i="2"/>
  <c r="SQ77" i="2"/>
  <c r="SJ77" i="2"/>
  <c r="RV77" i="2"/>
  <c r="QT77" i="2"/>
  <c r="QF77" i="2"/>
  <c r="PR77" i="2"/>
  <c r="PK77" i="2"/>
  <c r="OW77" i="2"/>
  <c r="OI77" i="2"/>
  <c r="NU77" i="2"/>
  <c r="SC77" i="2"/>
  <c r="RO77" i="2"/>
  <c r="RA77" i="2"/>
  <c r="QM77" i="2"/>
  <c r="PY77" i="2"/>
  <c r="PD77" i="2"/>
  <c r="OP77" i="2"/>
  <c r="OB77" i="2"/>
  <c r="MZ77" i="2"/>
  <c r="ML77" i="2"/>
  <c r="LX77" i="2"/>
  <c r="LQ77" i="2"/>
  <c r="LC77" i="2"/>
  <c r="KV77" i="2"/>
  <c r="KH77" i="2"/>
  <c r="JT77" i="2"/>
  <c r="ID77" i="2"/>
  <c r="HI77" i="2"/>
  <c r="GU77" i="2"/>
  <c r="GG77" i="2"/>
  <c r="EC77" i="2"/>
  <c r="DA77" i="2"/>
  <c r="CM77" i="2"/>
  <c r="BY77" i="2"/>
  <c r="BK77" i="2"/>
  <c r="AW77" i="2"/>
  <c r="JF77" i="2"/>
  <c r="IR77" i="2"/>
  <c r="FZ77" i="2"/>
  <c r="U77" i="2"/>
  <c r="FE77" i="2"/>
  <c r="EQ77" i="2"/>
  <c r="AP77" i="2"/>
  <c r="NG77" i="2"/>
  <c r="MS77" i="2"/>
  <c r="ME77" i="2"/>
  <c r="LJ77" i="2"/>
  <c r="KO77" i="2"/>
  <c r="KA77" i="2"/>
  <c r="JM77" i="2"/>
  <c r="IK77" i="2"/>
  <c r="HW77" i="2"/>
  <c r="HP77" i="2"/>
  <c r="HB77" i="2"/>
  <c r="GN77" i="2"/>
  <c r="FS77" i="2"/>
  <c r="EJ77" i="2"/>
  <c r="DV77" i="2"/>
  <c r="DH77" i="2"/>
  <c r="CT77" i="2"/>
  <c r="CF77" i="2"/>
  <c r="AI77" i="2"/>
  <c r="IY77" i="2"/>
  <c r="FL77" i="2"/>
  <c r="EX77" i="2"/>
  <c r="BD77" i="2"/>
  <c r="N77" i="2"/>
  <c r="SC76" i="2"/>
  <c r="RO76" i="2"/>
  <c r="QT76" i="2"/>
  <c r="QF76" i="2"/>
  <c r="PR76" i="2"/>
  <c r="PK76" i="2"/>
  <c r="OW76" i="2"/>
  <c r="OI76" i="2"/>
  <c r="NU76" i="2"/>
  <c r="SQ76" i="2"/>
  <c r="SJ76" i="2"/>
  <c r="RV76" i="2"/>
  <c r="RA76" i="2"/>
  <c r="QM76" i="2"/>
  <c r="PY76" i="2"/>
  <c r="PD76" i="2"/>
  <c r="OP76" i="2"/>
  <c r="OB76" i="2"/>
  <c r="NN76" i="2"/>
  <c r="MZ76" i="2"/>
  <c r="ML76" i="2"/>
  <c r="LX76" i="2"/>
  <c r="LQ76" i="2"/>
  <c r="LC76" i="2"/>
  <c r="KA76" i="2"/>
  <c r="JM76" i="2"/>
  <c r="IY76" i="2"/>
  <c r="ID76" i="2"/>
  <c r="GN76" i="2"/>
  <c r="FS76" i="2"/>
  <c r="U76" i="2"/>
  <c r="FE76" i="2"/>
  <c r="EQ76" i="2"/>
  <c r="BD76" i="2"/>
  <c r="AP76" i="2"/>
  <c r="KO76" i="2"/>
  <c r="HP76" i="2"/>
  <c r="HB76" i="2"/>
  <c r="EJ76" i="2"/>
  <c r="DV76" i="2"/>
  <c r="DH76" i="2"/>
  <c r="CT76" i="2"/>
  <c r="CF76" i="2"/>
  <c r="BR76" i="2"/>
  <c r="NG76" i="2"/>
  <c r="MS76" i="2"/>
  <c r="ME76" i="2"/>
  <c r="LJ76" i="2"/>
  <c r="JT76" i="2"/>
  <c r="JF76" i="2"/>
  <c r="IR76" i="2"/>
  <c r="IK76" i="2"/>
  <c r="HW76" i="2"/>
  <c r="GU76" i="2"/>
  <c r="GG76" i="2"/>
  <c r="FZ76" i="2"/>
  <c r="AB76" i="2"/>
  <c r="FL76" i="2"/>
  <c r="EX76" i="2"/>
  <c r="AW76" i="2"/>
  <c r="AI76" i="2"/>
  <c r="N76" i="2"/>
  <c r="KV76" i="2"/>
  <c r="KH76" i="2"/>
  <c r="HI76" i="2"/>
  <c r="EC76" i="2"/>
  <c r="DO76" i="2"/>
  <c r="DA76" i="2"/>
  <c r="CM76" i="2"/>
  <c r="BY76" i="2"/>
  <c r="BK76" i="2"/>
  <c r="SQ75" i="2"/>
  <c r="QT75" i="2"/>
  <c r="QF75" i="2"/>
  <c r="PR75" i="2"/>
  <c r="PK75" i="2"/>
  <c r="SC75" i="2"/>
  <c r="RO75" i="2"/>
  <c r="OP75" i="2"/>
  <c r="OB75" i="2"/>
  <c r="NN75" i="2"/>
  <c r="RA75" i="2"/>
  <c r="QM75" i="2"/>
  <c r="PY75" i="2"/>
  <c r="SJ75" i="2"/>
  <c r="RV75" i="2"/>
  <c r="PD75" i="2"/>
  <c r="OW75" i="2"/>
  <c r="OI75" i="2"/>
  <c r="NU75" i="2"/>
  <c r="MZ75" i="2"/>
  <c r="ML75" i="2"/>
  <c r="LX75" i="2"/>
  <c r="LQ75" i="2"/>
  <c r="LC75" i="2"/>
  <c r="KO75" i="2"/>
  <c r="JT75" i="2"/>
  <c r="ID75" i="2"/>
  <c r="HP75" i="2"/>
  <c r="HB75" i="2"/>
  <c r="GU75" i="2"/>
  <c r="GG75" i="2"/>
  <c r="EJ75" i="2"/>
  <c r="DV75" i="2"/>
  <c r="DH75" i="2"/>
  <c r="CT75" i="2"/>
  <c r="CF75" i="2"/>
  <c r="BR75" i="2"/>
  <c r="AW75" i="2"/>
  <c r="IY75" i="2"/>
  <c r="AB75" i="2"/>
  <c r="FL75" i="2"/>
  <c r="EX75" i="2"/>
  <c r="BD75" i="2"/>
  <c r="N75" i="2"/>
  <c r="NG75" i="2"/>
  <c r="MS75" i="2"/>
  <c r="ME75" i="2"/>
  <c r="LJ75" i="2"/>
  <c r="KH75" i="2"/>
  <c r="KA75" i="2"/>
  <c r="JM75" i="2"/>
  <c r="IK75" i="2"/>
  <c r="HW75" i="2"/>
  <c r="HI75" i="2"/>
  <c r="GN75" i="2"/>
  <c r="FS75" i="2"/>
  <c r="EC75" i="2"/>
  <c r="DO75" i="2"/>
  <c r="DA75" i="2"/>
  <c r="CM75" i="2"/>
  <c r="BY75" i="2"/>
  <c r="BK75" i="2"/>
  <c r="AI75" i="2"/>
  <c r="JF75" i="2"/>
  <c r="IR75" i="2"/>
  <c r="FZ75" i="2"/>
  <c r="U75" i="2"/>
  <c r="FE75" i="2"/>
  <c r="EQ75" i="2"/>
  <c r="AP75" i="2"/>
  <c r="SJ74" i="2"/>
  <c r="RV74" i="2"/>
  <c r="PD74" i="2"/>
  <c r="QT74" i="2"/>
  <c r="QF74" i="2"/>
  <c r="PR74" i="2"/>
  <c r="OP74" i="2"/>
  <c r="NN74" i="2"/>
  <c r="SQ74" i="2"/>
  <c r="SC74" i="2"/>
  <c r="RO74" i="2"/>
  <c r="RA74" i="2"/>
  <c r="QM74" i="2"/>
  <c r="PY74" i="2"/>
  <c r="OW74" i="2"/>
  <c r="OI74" i="2"/>
  <c r="NU74" i="2"/>
  <c r="PK74" i="2"/>
  <c r="ML74" i="2"/>
  <c r="LJ74" i="2"/>
  <c r="KA74" i="2"/>
  <c r="JM74" i="2"/>
  <c r="IK74" i="2"/>
  <c r="HW74" i="2"/>
  <c r="EX74" i="2"/>
  <c r="EC74" i="2"/>
  <c r="DA74" i="2"/>
  <c r="CM74" i="2"/>
  <c r="BY74" i="2"/>
  <c r="BK74" i="2"/>
  <c r="BD74" i="2"/>
  <c r="AW74" i="2"/>
  <c r="AP74" i="2"/>
  <c r="AI74" i="2"/>
  <c r="HP74" i="2"/>
  <c r="GN74" i="2"/>
  <c r="FZ74" i="2"/>
  <c r="FS74" i="2"/>
  <c r="NG74" i="2"/>
  <c r="MS74" i="2"/>
  <c r="ME74" i="2"/>
  <c r="LQ74" i="2"/>
  <c r="LC74" i="2"/>
  <c r="ID74" i="2"/>
  <c r="U74" i="2"/>
  <c r="FE74" i="2"/>
  <c r="EQ74" i="2"/>
  <c r="EJ74" i="2"/>
  <c r="BR74" i="2"/>
  <c r="N74" i="2"/>
  <c r="KH74" i="2"/>
  <c r="JF74" i="2"/>
  <c r="IR74" i="2"/>
  <c r="HI74" i="2"/>
  <c r="GU74" i="2"/>
  <c r="GG74" i="2"/>
  <c r="SQ73" i="2"/>
  <c r="QT73" i="2"/>
  <c r="QF73" i="2"/>
  <c r="PR73" i="2"/>
  <c r="NN73" i="2"/>
  <c r="SJ73" i="2"/>
  <c r="RV73" i="2"/>
  <c r="PD73" i="2"/>
  <c r="OW73" i="2"/>
  <c r="OI73" i="2"/>
  <c r="NU73" i="2"/>
  <c r="OB73" i="2"/>
  <c r="RA73" i="2"/>
  <c r="QM73" i="2"/>
  <c r="PY73" i="2"/>
  <c r="PK73" i="2"/>
  <c r="SC73" i="2"/>
  <c r="RO73" i="2"/>
  <c r="OP73" i="2"/>
  <c r="MZ73" i="2"/>
  <c r="ML73" i="2"/>
  <c r="LX73" i="2"/>
  <c r="LJ73" i="2"/>
  <c r="KO73" i="2"/>
  <c r="JT73" i="2"/>
  <c r="JF73" i="2"/>
  <c r="IR73" i="2"/>
  <c r="IK73" i="2"/>
  <c r="HW73" i="2"/>
  <c r="HP73" i="2"/>
  <c r="HB73" i="2"/>
  <c r="AI73" i="2"/>
  <c r="GU73" i="2"/>
  <c r="GG73" i="2"/>
  <c r="U73" i="2"/>
  <c r="FE73" i="2"/>
  <c r="EQ73" i="2"/>
  <c r="EJ73" i="2"/>
  <c r="DV73" i="2"/>
  <c r="DH73" i="2"/>
  <c r="CT73" i="2"/>
  <c r="CF73" i="2"/>
  <c r="BR73" i="2"/>
  <c r="BD73" i="2"/>
  <c r="N73" i="2"/>
  <c r="NG73" i="2"/>
  <c r="MS73" i="2"/>
  <c r="ME73" i="2"/>
  <c r="LQ73" i="2"/>
  <c r="LC73" i="2"/>
  <c r="KV73" i="2"/>
  <c r="KH73" i="2"/>
  <c r="KA73" i="2"/>
  <c r="JM73" i="2"/>
  <c r="IY73" i="2"/>
  <c r="ID73" i="2"/>
  <c r="HI73" i="2"/>
  <c r="FZ73" i="2"/>
  <c r="AW73" i="2"/>
  <c r="GN73" i="2"/>
  <c r="FS73" i="2"/>
  <c r="AB73" i="2"/>
  <c r="FL73" i="2"/>
  <c r="EX73" i="2"/>
  <c r="EC73" i="2"/>
  <c r="DO73" i="2"/>
  <c r="DA73" i="2"/>
  <c r="CM73" i="2"/>
  <c r="BY73" i="2"/>
  <c r="BK73" i="2"/>
  <c r="AP73" i="2"/>
  <c r="QT72" i="2"/>
  <c r="QF72" i="2"/>
  <c r="PK72" i="2"/>
  <c r="SJ72" i="2"/>
  <c r="OP72" i="2"/>
  <c r="OB72" i="2"/>
  <c r="NN72" i="2"/>
  <c r="PD72" i="2"/>
  <c r="RA72" i="2"/>
  <c r="QM72" i="2"/>
  <c r="PY72" i="2"/>
  <c r="OW72" i="2"/>
  <c r="OI72" i="2"/>
  <c r="NU72" i="2"/>
  <c r="MZ72" i="2"/>
  <c r="ML72" i="2"/>
  <c r="LX72" i="2"/>
  <c r="LJ72" i="2"/>
  <c r="HP72" i="2"/>
  <c r="HB72" i="2"/>
  <c r="GG72" i="2"/>
  <c r="FS72" i="2"/>
  <c r="EC72" i="2"/>
  <c r="DO72" i="2"/>
  <c r="DA72" i="2"/>
  <c r="CF72" i="2"/>
  <c r="BR72" i="2"/>
  <c r="BD72" i="2"/>
  <c r="AP72" i="2"/>
  <c r="KV72" i="2"/>
  <c r="KH72" i="2"/>
  <c r="IY72" i="2"/>
  <c r="IK72" i="2"/>
  <c r="HW72" i="2"/>
  <c r="AB72" i="2"/>
  <c r="FL72" i="2"/>
  <c r="EX72" i="2"/>
  <c r="NG72" i="2"/>
  <c r="MS72" i="2"/>
  <c r="ME72" i="2"/>
  <c r="LQ72" i="2"/>
  <c r="LC72" i="2"/>
  <c r="JT72" i="2"/>
  <c r="HI72" i="2"/>
  <c r="FZ72" i="2"/>
  <c r="EJ72" i="2"/>
  <c r="DV72" i="2"/>
  <c r="CT72" i="2"/>
  <c r="AW72" i="2"/>
  <c r="AI72" i="2"/>
  <c r="N72" i="2"/>
  <c r="KO72" i="2"/>
  <c r="JF72" i="2"/>
  <c r="ID72" i="2"/>
  <c r="U72" i="2"/>
  <c r="EQ72" i="2"/>
  <c r="SQ71" i="2"/>
  <c r="SC71" i="2"/>
  <c r="RO71" i="2"/>
  <c r="QT71" i="2"/>
  <c r="QF71" i="2"/>
  <c r="PR71" i="2"/>
  <c r="OP71" i="2"/>
  <c r="OB71" i="2"/>
  <c r="NN71" i="2"/>
  <c r="SJ71" i="2"/>
  <c r="RV71" i="2"/>
  <c r="RA71" i="2"/>
  <c r="QM71" i="2"/>
  <c r="PY71" i="2"/>
  <c r="OW71" i="2"/>
  <c r="OI71" i="2"/>
  <c r="NU71" i="2"/>
  <c r="PD71" i="2"/>
  <c r="PK71" i="2"/>
  <c r="MZ71" i="2"/>
  <c r="ML71" i="2"/>
  <c r="LX71" i="2"/>
  <c r="LJ71" i="2"/>
  <c r="KH71" i="2"/>
  <c r="IK71" i="2"/>
  <c r="HW71" i="2"/>
  <c r="HI71" i="2"/>
  <c r="EJ71" i="2"/>
  <c r="DV71" i="2"/>
  <c r="DH71" i="2"/>
  <c r="AI71" i="2"/>
  <c r="KA71" i="2"/>
  <c r="JM71" i="2"/>
  <c r="IY71" i="2"/>
  <c r="GU71" i="2"/>
  <c r="GG71" i="2"/>
  <c r="FS71" i="2"/>
  <c r="U71" i="2"/>
  <c r="FE71" i="2"/>
  <c r="EQ71" i="2"/>
  <c r="CF71" i="2"/>
  <c r="BR71" i="2"/>
  <c r="AP71" i="2"/>
  <c r="NG71" i="2"/>
  <c r="MS71" i="2"/>
  <c r="ME71" i="2"/>
  <c r="LQ71" i="2"/>
  <c r="LC71" i="2"/>
  <c r="KO71" i="2"/>
  <c r="ID71" i="2"/>
  <c r="HP71" i="2"/>
  <c r="HB71" i="2"/>
  <c r="FZ71" i="2"/>
  <c r="EC71" i="2"/>
  <c r="DO71" i="2"/>
  <c r="DA71" i="2"/>
  <c r="CM71" i="2"/>
  <c r="AW71" i="2"/>
  <c r="JT71" i="2"/>
  <c r="JF71" i="2"/>
  <c r="IR71" i="2"/>
  <c r="GN71" i="2"/>
  <c r="AB71" i="2"/>
  <c r="FL71" i="2"/>
  <c r="EX71" i="2"/>
  <c r="BY71" i="2"/>
  <c r="BK71" i="2"/>
  <c r="BD71" i="2"/>
  <c r="N71" i="2"/>
  <c r="PK70" i="2"/>
  <c r="SC70" i="2"/>
  <c r="RO70" i="2"/>
  <c r="RA70" i="2"/>
  <c r="PY70" i="2"/>
  <c r="OP70" i="2"/>
  <c r="OB70" i="2"/>
  <c r="NN70" i="2"/>
  <c r="SQ70" i="2"/>
  <c r="SJ70" i="2"/>
  <c r="RV70" i="2"/>
  <c r="QT70" i="2"/>
  <c r="QF70" i="2"/>
  <c r="PR70" i="2"/>
  <c r="OW70" i="2"/>
  <c r="OI70" i="2"/>
  <c r="NU70" i="2"/>
  <c r="MZ70" i="2"/>
  <c r="ML70" i="2"/>
  <c r="LX70" i="2"/>
  <c r="KO70" i="2"/>
  <c r="JT70" i="2"/>
  <c r="AB70" i="2"/>
  <c r="EX70" i="2"/>
  <c r="EJ70" i="2"/>
  <c r="DV70" i="2"/>
  <c r="DH70" i="2"/>
  <c r="LQ70" i="2"/>
  <c r="LC70" i="2"/>
  <c r="IY70" i="2"/>
  <c r="HI70" i="2"/>
  <c r="GU70" i="2"/>
  <c r="GG70" i="2"/>
  <c r="FZ70" i="2"/>
  <c r="FS70" i="2"/>
  <c r="BY70" i="2"/>
  <c r="BK70" i="2"/>
  <c r="N70" i="2"/>
  <c r="NG70" i="2"/>
  <c r="ME70" i="2"/>
  <c r="KV70" i="2"/>
  <c r="KH70" i="2"/>
  <c r="KA70" i="2"/>
  <c r="JM70" i="2"/>
  <c r="U70" i="2"/>
  <c r="FE70" i="2"/>
  <c r="EQ70" i="2"/>
  <c r="EC70" i="2"/>
  <c r="DA70" i="2"/>
  <c r="CM70" i="2"/>
  <c r="LJ70" i="2"/>
  <c r="JF70" i="2"/>
  <c r="IR70" i="2"/>
  <c r="IK70" i="2"/>
  <c r="HW70" i="2"/>
  <c r="HP70" i="2"/>
  <c r="HB70" i="2"/>
  <c r="GN70" i="2"/>
  <c r="CF70" i="2"/>
  <c r="BR70" i="2"/>
  <c r="BD70" i="2"/>
  <c r="AW70" i="2"/>
  <c r="AP70" i="2"/>
  <c r="AI70" i="2"/>
  <c r="P69" i="2"/>
  <c r="SQ69" i="2"/>
  <c r="SJ69" i="2"/>
  <c r="RV69" i="2"/>
  <c r="PD69" i="2"/>
  <c r="OP69" i="2"/>
  <c r="OB69" i="2"/>
  <c r="NN69" i="2"/>
  <c r="RA69" i="2"/>
  <c r="QM69" i="2"/>
  <c r="PY69" i="2"/>
  <c r="SC69" i="2"/>
  <c r="RO69" i="2"/>
  <c r="OW69" i="2"/>
  <c r="OI69" i="2"/>
  <c r="NU69" i="2"/>
  <c r="QT69" i="2"/>
  <c r="QF69" i="2"/>
  <c r="PR69" i="2"/>
  <c r="PK69" i="2"/>
  <c r="MZ69" i="2"/>
  <c r="ML69" i="2"/>
  <c r="LX69" i="2"/>
  <c r="KA69" i="2"/>
  <c r="JM69" i="2"/>
  <c r="JF69" i="2"/>
  <c r="IR69" i="2"/>
  <c r="HI69" i="2"/>
  <c r="BY69" i="2"/>
  <c r="BK69" i="2"/>
  <c r="BD69" i="2"/>
  <c r="N69" i="2"/>
  <c r="LQ69" i="2"/>
  <c r="LC69" i="2"/>
  <c r="KV69" i="2"/>
  <c r="KH69" i="2"/>
  <c r="ID69" i="2"/>
  <c r="GN69" i="2"/>
  <c r="U69" i="2"/>
  <c r="FE69" i="2"/>
  <c r="EQ69" i="2"/>
  <c r="EC69" i="2"/>
  <c r="DO69" i="2"/>
  <c r="DA69" i="2"/>
  <c r="CM69" i="2"/>
  <c r="AW69" i="2"/>
  <c r="NG69" i="2"/>
  <c r="MS69" i="2"/>
  <c r="ME69" i="2"/>
  <c r="JT69" i="2"/>
  <c r="IY69" i="2"/>
  <c r="HP69" i="2"/>
  <c r="HB69" i="2"/>
  <c r="FZ69" i="2"/>
  <c r="CF69" i="2"/>
  <c r="BR69" i="2"/>
  <c r="AP69" i="2"/>
  <c r="LJ69" i="2"/>
  <c r="KO69" i="2"/>
  <c r="IK69" i="2"/>
  <c r="HW69" i="2"/>
  <c r="GU69" i="2"/>
  <c r="GG69" i="2"/>
  <c r="FS69" i="2"/>
  <c r="AB69" i="2"/>
  <c r="FL69" i="2"/>
  <c r="EX69" i="2"/>
  <c r="EJ69" i="2"/>
  <c r="DV69" i="2"/>
  <c r="DH69" i="2"/>
  <c r="CT69" i="2"/>
  <c r="AI69" i="2"/>
  <c r="OW68" i="2"/>
  <c r="OI68" i="2"/>
  <c r="NU68" i="2"/>
  <c r="SJ68" i="2"/>
  <c r="RV68" i="2"/>
  <c r="PD68" i="2"/>
  <c r="RA68" i="2"/>
  <c r="QM68" i="2"/>
  <c r="PY68" i="2"/>
  <c r="PK68" i="2"/>
  <c r="SQ68" i="2"/>
  <c r="OP68" i="2"/>
  <c r="OB68" i="2"/>
  <c r="NN68" i="2"/>
  <c r="SC68" i="2"/>
  <c r="RO68" i="2"/>
  <c r="QF68" i="2"/>
  <c r="PR68" i="2"/>
  <c r="MZ68" i="2"/>
  <c r="ML68" i="2"/>
  <c r="LX68" i="2"/>
  <c r="KV68" i="2"/>
  <c r="KH68" i="2"/>
  <c r="JT68" i="2"/>
  <c r="U68" i="2"/>
  <c r="FE68" i="2"/>
  <c r="EQ68" i="2"/>
  <c r="CF68" i="2"/>
  <c r="BR68" i="2"/>
  <c r="BD68" i="2"/>
  <c r="AP68" i="2"/>
  <c r="LQ68" i="2"/>
  <c r="LC68" i="2"/>
  <c r="JF68" i="2"/>
  <c r="IR68" i="2"/>
  <c r="ID68" i="2"/>
  <c r="HP68" i="2"/>
  <c r="HB68" i="2"/>
  <c r="GU68" i="2"/>
  <c r="GG68" i="2"/>
  <c r="FS68" i="2"/>
  <c r="EJ68" i="2"/>
  <c r="DV68" i="2"/>
  <c r="DH68" i="2"/>
  <c r="CT68" i="2"/>
  <c r="NG68" i="2"/>
  <c r="MS68" i="2"/>
  <c r="ME68" i="2"/>
  <c r="KO68" i="2"/>
  <c r="KA68" i="2"/>
  <c r="JM68" i="2"/>
  <c r="AB68" i="2"/>
  <c r="FL68" i="2"/>
  <c r="BY68" i="2"/>
  <c r="BK68" i="2"/>
  <c r="AW68" i="2"/>
  <c r="AI68" i="2"/>
  <c r="N68" i="2"/>
  <c r="LJ68" i="2"/>
  <c r="IY68" i="2"/>
  <c r="IK68" i="2"/>
  <c r="HW68" i="2"/>
  <c r="HI68" i="2"/>
  <c r="GN68" i="2"/>
  <c r="FZ68" i="2"/>
  <c r="EC68" i="2"/>
  <c r="DO68" i="2"/>
  <c r="DA68" i="2"/>
  <c r="CM68" i="2"/>
  <c r="SQ67" i="2"/>
  <c r="SC67" i="2"/>
  <c r="RA67" i="2"/>
  <c r="QM67" i="2"/>
  <c r="PY67" i="2"/>
  <c r="OP67" i="2"/>
  <c r="OB67" i="2"/>
  <c r="NN67" i="2"/>
  <c r="PD67" i="2"/>
  <c r="SJ67" i="2"/>
  <c r="RV67" i="2"/>
  <c r="QT67" i="2"/>
  <c r="QF67" i="2"/>
  <c r="PR67" i="2"/>
  <c r="OW67" i="2"/>
  <c r="OI67" i="2"/>
  <c r="NU67" i="2"/>
  <c r="PK67" i="2"/>
  <c r="MZ67" i="2"/>
  <c r="ML67" i="2"/>
  <c r="LQ67" i="2"/>
  <c r="LC67" i="2"/>
  <c r="KO67" i="2"/>
  <c r="ID67" i="2"/>
  <c r="GN67" i="2"/>
  <c r="AW67" i="2"/>
  <c r="JT67" i="2"/>
  <c r="JF67" i="2"/>
  <c r="IR67" i="2"/>
  <c r="HI67" i="2"/>
  <c r="U67" i="2"/>
  <c r="FE67" i="2"/>
  <c r="EQ67" i="2"/>
  <c r="EJ67" i="2"/>
  <c r="DV67" i="2"/>
  <c r="CT67" i="2"/>
  <c r="BY67" i="2"/>
  <c r="BK67" i="2"/>
  <c r="BD67" i="2"/>
  <c r="N67" i="2"/>
  <c r="NG67" i="2"/>
  <c r="MS67" i="2"/>
  <c r="ME67" i="2"/>
  <c r="LJ67" i="2"/>
  <c r="KV67" i="2"/>
  <c r="KH67" i="2"/>
  <c r="IK67" i="2"/>
  <c r="HW67" i="2"/>
  <c r="GU67" i="2"/>
  <c r="GG67" i="2"/>
  <c r="FS67" i="2"/>
  <c r="AI67" i="2"/>
  <c r="KA67" i="2"/>
  <c r="JM67" i="2"/>
  <c r="IY67" i="2"/>
  <c r="HP67" i="2"/>
  <c r="HB67" i="2"/>
  <c r="FZ67" i="2"/>
  <c r="EX67" i="2"/>
  <c r="EC67" i="2"/>
  <c r="DO67" i="2"/>
  <c r="DA67" i="2"/>
  <c r="CM67" i="2"/>
  <c r="CF67" i="2"/>
  <c r="BR67" i="2"/>
  <c r="AP67" i="2"/>
  <c r="P66" i="2"/>
  <c r="RA66" i="2"/>
  <c r="QM66" i="2"/>
  <c r="PY66" i="2"/>
  <c r="SC66" i="2"/>
  <c r="RO66" i="2"/>
  <c r="OW66" i="2"/>
  <c r="OI66" i="2"/>
  <c r="NU66" i="2"/>
  <c r="SQ66" i="2"/>
  <c r="PD66" i="2"/>
  <c r="QT66" i="2"/>
  <c r="QF66" i="2"/>
  <c r="PR66" i="2"/>
  <c r="PK66" i="2"/>
  <c r="SJ66" i="2"/>
  <c r="RV66" i="2"/>
  <c r="OP66" i="2"/>
  <c r="OB66" i="2"/>
  <c r="NN66" i="2"/>
  <c r="MZ66" i="2"/>
  <c r="ML66" i="2"/>
  <c r="LX66" i="2"/>
  <c r="LQ66" i="2"/>
  <c r="LC66" i="2"/>
  <c r="KV66" i="2"/>
  <c r="KH66" i="2"/>
  <c r="KA66" i="2"/>
  <c r="JF66" i="2"/>
  <c r="IR66" i="2"/>
  <c r="IK66" i="2"/>
  <c r="HW66" i="2"/>
  <c r="HP66" i="2"/>
  <c r="HB66" i="2"/>
  <c r="GN66" i="2"/>
  <c r="AB66" i="2"/>
  <c r="FL66" i="2"/>
  <c r="EX66" i="2"/>
  <c r="EC66" i="2"/>
  <c r="DO66" i="2"/>
  <c r="DA66" i="2"/>
  <c r="CM66" i="2"/>
  <c r="CF66" i="2"/>
  <c r="BR66" i="2"/>
  <c r="BD66" i="2"/>
  <c r="AW66" i="2"/>
  <c r="AP66" i="2"/>
  <c r="AI66" i="2"/>
  <c r="NG66" i="2"/>
  <c r="MS66" i="2"/>
  <c r="ME66" i="2"/>
  <c r="KO66" i="2"/>
  <c r="JT66" i="2"/>
  <c r="IY66" i="2"/>
  <c r="ID66" i="2"/>
  <c r="HI66" i="2"/>
  <c r="GU66" i="2"/>
  <c r="GG66" i="2"/>
  <c r="FZ66" i="2"/>
  <c r="FS66" i="2"/>
  <c r="U66" i="2"/>
  <c r="FE66" i="2"/>
  <c r="EQ66" i="2"/>
  <c r="EJ66" i="2"/>
  <c r="DV66" i="2"/>
  <c r="DH66" i="2"/>
  <c r="CT66" i="2"/>
  <c r="BY66" i="2"/>
  <c r="BK66" i="2"/>
  <c r="N66" i="2"/>
  <c r="HI65" i="2"/>
  <c r="DO65" i="2"/>
  <c r="HP65" i="2"/>
  <c r="HB65" i="2"/>
  <c r="GU65" i="2"/>
  <c r="P65" i="2"/>
  <c r="SQ65" i="2"/>
  <c r="SJ65" i="2"/>
  <c r="RV65" i="2"/>
  <c r="RA65" i="2"/>
  <c r="QM65" i="2"/>
  <c r="PY65" i="2"/>
  <c r="OW65" i="2"/>
  <c r="OI65" i="2"/>
  <c r="NU65" i="2"/>
  <c r="PK65" i="2"/>
  <c r="SC65" i="2"/>
  <c r="RO65" i="2"/>
  <c r="QT65" i="2"/>
  <c r="QF65" i="2"/>
  <c r="PR65" i="2"/>
  <c r="OP65" i="2"/>
  <c r="OB65" i="2"/>
  <c r="NN65" i="2"/>
  <c r="PD65" i="2"/>
  <c r="MZ65" i="2"/>
  <c r="ML65" i="2"/>
  <c r="LX65" i="2"/>
  <c r="LQ65" i="2"/>
  <c r="LC65" i="2"/>
  <c r="JT65" i="2"/>
  <c r="IK65" i="2"/>
  <c r="HW65" i="2"/>
  <c r="GG65" i="2"/>
  <c r="FS65" i="2"/>
  <c r="AI65" i="2"/>
  <c r="KO65" i="2"/>
  <c r="JF65" i="2"/>
  <c r="IR65" i="2"/>
  <c r="U65" i="2"/>
  <c r="FE65" i="2"/>
  <c r="EQ65" i="2"/>
  <c r="EJ65" i="2"/>
  <c r="DV65" i="2"/>
  <c r="DH65" i="2"/>
  <c r="CT65" i="2"/>
  <c r="BY65" i="2"/>
  <c r="BK65" i="2"/>
  <c r="BD65" i="2"/>
  <c r="N65" i="2"/>
  <c r="NG65" i="2"/>
  <c r="MS65" i="2"/>
  <c r="ME65" i="2"/>
  <c r="LJ65" i="2"/>
  <c r="KA65" i="2"/>
  <c r="JM65" i="2"/>
  <c r="ID65" i="2"/>
  <c r="GN65" i="2"/>
  <c r="AW65" i="2"/>
  <c r="KV65" i="2"/>
  <c r="KH65" i="2"/>
  <c r="IY65" i="2"/>
  <c r="FZ65" i="2"/>
  <c r="AB65" i="2"/>
  <c r="FL65" i="2"/>
  <c r="EX65" i="2"/>
  <c r="EC65" i="2"/>
  <c r="DA65" i="2"/>
  <c r="CM65" i="2"/>
  <c r="CF65" i="2"/>
  <c r="BR65" i="2"/>
  <c r="AP65" i="2"/>
  <c r="PD64" i="2"/>
  <c r="RA64" i="2"/>
  <c r="QM64" i="2"/>
  <c r="PY64" i="2"/>
  <c r="OP64" i="2"/>
  <c r="NN64" i="2"/>
  <c r="SQ64" i="2"/>
  <c r="QT64" i="2"/>
  <c r="QF64" i="2"/>
  <c r="PR64" i="2"/>
  <c r="OW64" i="2"/>
  <c r="OI64" i="2"/>
  <c r="NU64" i="2"/>
  <c r="MZ64" i="2"/>
  <c r="ML64" i="2"/>
  <c r="JF64" i="2"/>
  <c r="IR64" i="2"/>
  <c r="ID64" i="2"/>
  <c r="HP64" i="2"/>
  <c r="HB64" i="2"/>
  <c r="AI64" i="2"/>
  <c r="N64" i="2"/>
  <c r="LJ64" i="2"/>
  <c r="KV64" i="2"/>
  <c r="KH64" i="2"/>
  <c r="JT64" i="2"/>
  <c r="FS64" i="2"/>
  <c r="AB64" i="2"/>
  <c r="EX64" i="2"/>
  <c r="DV64" i="2"/>
  <c r="DH64" i="2"/>
  <c r="CT64" i="2"/>
  <c r="BY64" i="2"/>
  <c r="BK64" i="2"/>
  <c r="AW64" i="2"/>
  <c r="NG64" i="2"/>
  <c r="MS64" i="2"/>
  <c r="ME64" i="2"/>
  <c r="IY64" i="2"/>
  <c r="IK64" i="2"/>
  <c r="HW64" i="2"/>
  <c r="HI64" i="2"/>
  <c r="LQ64" i="2"/>
  <c r="LC64" i="2"/>
  <c r="KO64" i="2"/>
  <c r="JM64" i="2"/>
  <c r="FZ64" i="2"/>
  <c r="U64" i="2"/>
  <c r="FE64" i="2"/>
  <c r="CM64" i="2"/>
  <c r="CF64" i="2"/>
  <c r="BR64" i="2"/>
  <c r="BD64" i="2"/>
  <c r="JF63" i="2"/>
  <c r="HB63" i="2"/>
  <c r="KO63" i="2"/>
  <c r="HW63" i="2"/>
  <c r="DA63" i="2"/>
  <c r="EQ63" i="2"/>
  <c r="KV63" i="2"/>
  <c r="AB63" i="2"/>
  <c r="AW63" i="2"/>
  <c r="SQ63" i="2"/>
  <c r="SC63" i="2"/>
  <c r="RO63" i="2"/>
  <c r="RA63" i="2"/>
  <c r="QM63" i="2"/>
  <c r="PY63" i="2"/>
  <c r="OP63" i="2"/>
  <c r="OB63" i="2"/>
  <c r="NN63" i="2"/>
  <c r="PD63" i="2"/>
  <c r="SJ63" i="2"/>
  <c r="RV63" i="2"/>
  <c r="QT63" i="2"/>
  <c r="QF63" i="2"/>
  <c r="PR63" i="2"/>
  <c r="OW63" i="2"/>
  <c r="OI63" i="2"/>
  <c r="NU63" i="2"/>
  <c r="PK63" i="2"/>
  <c r="MZ63" i="2"/>
  <c r="ML63" i="2"/>
  <c r="LX63" i="2"/>
  <c r="KH63" i="2"/>
  <c r="ID63" i="2"/>
  <c r="GN63" i="2"/>
  <c r="FZ63" i="2"/>
  <c r="FL63" i="2"/>
  <c r="EX63" i="2"/>
  <c r="EJ63" i="2"/>
  <c r="DV63" i="2"/>
  <c r="DH63" i="2"/>
  <c r="CT63" i="2"/>
  <c r="BY63" i="2"/>
  <c r="BK63" i="2"/>
  <c r="BD63" i="2"/>
  <c r="AI63" i="2"/>
  <c r="LJ63" i="2"/>
  <c r="KA63" i="2"/>
  <c r="JM63" i="2"/>
  <c r="IR63" i="2"/>
  <c r="HI63" i="2"/>
  <c r="NG63" i="2"/>
  <c r="MS63" i="2"/>
  <c r="ME63" i="2"/>
  <c r="IK63" i="2"/>
  <c r="GU63" i="2"/>
  <c r="GG63" i="2"/>
  <c r="U63" i="2"/>
  <c r="FE63" i="2"/>
  <c r="EC63" i="2"/>
  <c r="DO63" i="2"/>
  <c r="CM63" i="2"/>
  <c r="CF63" i="2"/>
  <c r="BR63" i="2"/>
  <c r="AP63" i="2"/>
  <c r="LQ63" i="2"/>
  <c r="LC63" i="2"/>
  <c r="JT63" i="2"/>
  <c r="IY63" i="2"/>
  <c r="HP63" i="2"/>
  <c r="FS63" i="2"/>
  <c r="N63" i="2"/>
  <c r="P62" i="2"/>
  <c r="PK62" i="2"/>
  <c r="SC62" i="2"/>
  <c r="PD62" i="2"/>
  <c r="QT62" i="2"/>
  <c r="QF62" i="2"/>
  <c r="PR62" i="2"/>
  <c r="OP62" i="2"/>
  <c r="OB62" i="2"/>
  <c r="NN62" i="2"/>
  <c r="SQ62" i="2"/>
  <c r="SJ62" i="2"/>
  <c r="RV62" i="2"/>
  <c r="RA62" i="2"/>
  <c r="PY62" i="2"/>
  <c r="OW62" i="2"/>
  <c r="OI62" i="2"/>
  <c r="NU62" i="2"/>
  <c r="MZ62" i="2"/>
  <c r="KA62" i="2"/>
  <c r="JM62" i="2"/>
  <c r="EC62" i="2"/>
  <c r="DA62" i="2"/>
  <c r="CF62" i="2"/>
  <c r="BR62" i="2"/>
  <c r="LQ62" i="2"/>
  <c r="LC62" i="2"/>
  <c r="KH62" i="2"/>
  <c r="IK62" i="2"/>
  <c r="HW62" i="2"/>
  <c r="GU62" i="2"/>
  <c r="GG62" i="2"/>
  <c r="FZ62" i="2"/>
  <c r="FS62" i="2"/>
  <c r="U62" i="2"/>
  <c r="EQ62" i="2"/>
  <c r="AI62" i="2"/>
  <c r="NG62" i="2"/>
  <c r="MS62" i="2"/>
  <c r="ME62" i="2"/>
  <c r="JT62" i="2"/>
  <c r="EJ62" i="2"/>
  <c r="CT62" i="2"/>
  <c r="BY62" i="2"/>
  <c r="BK62" i="2"/>
  <c r="LJ62" i="2"/>
  <c r="KO62" i="2"/>
  <c r="IR62" i="2"/>
  <c r="ID62" i="2"/>
  <c r="HI62" i="2"/>
  <c r="AB62" i="2"/>
  <c r="FL62" i="2"/>
  <c r="EX62" i="2"/>
  <c r="AW62" i="2"/>
  <c r="PY61" i="2"/>
  <c r="EQ61" i="2"/>
  <c r="AB61" i="2"/>
  <c r="EJ61" i="2"/>
  <c r="DH61" i="2"/>
  <c r="AW61" i="2"/>
  <c r="IR61" i="2"/>
  <c r="P61" i="2"/>
  <c r="SQ61" i="2"/>
  <c r="SJ61" i="2"/>
  <c r="RV61" i="2"/>
  <c r="OP61" i="2"/>
  <c r="OB61" i="2"/>
  <c r="NN61" i="2"/>
  <c r="QT61" i="2"/>
  <c r="QF61" i="2"/>
  <c r="PR61" i="2"/>
  <c r="SC61" i="2"/>
  <c r="RO61" i="2"/>
  <c r="PD61" i="2"/>
  <c r="OW61" i="2"/>
  <c r="OI61" i="2"/>
  <c r="NU61" i="2"/>
  <c r="RA61" i="2"/>
  <c r="QM61" i="2"/>
  <c r="PK61" i="2"/>
  <c r="MZ61" i="2"/>
  <c r="LX61" i="2"/>
  <c r="LQ61" i="2"/>
  <c r="LC61" i="2"/>
  <c r="IK61" i="2"/>
  <c r="HW61" i="2"/>
  <c r="GN61" i="2"/>
  <c r="DV61" i="2"/>
  <c r="CT61" i="2"/>
  <c r="BY61" i="2"/>
  <c r="BK61" i="2"/>
  <c r="BD61" i="2"/>
  <c r="AI61" i="2"/>
  <c r="N61" i="2"/>
  <c r="KO61" i="2"/>
  <c r="KA61" i="2"/>
  <c r="JM61" i="2"/>
  <c r="IY61" i="2"/>
  <c r="HI61" i="2"/>
  <c r="FZ61" i="2"/>
  <c r="FL61" i="2"/>
  <c r="EX61" i="2"/>
  <c r="AP61" i="2"/>
  <c r="NG61" i="2"/>
  <c r="MS61" i="2"/>
  <c r="ME61" i="2"/>
  <c r="LJ61" i="2"/>
  <c r="ID61" i="2"/>
  <c r="GU61" i="2"/>
  <c r="GG61" i="2"/>
  <c r="FS61" i="2"/>
  <c r="EC61" i="2"/>
  <c r="DO61" i="2"/>
  <c r="DA61" i="2"/>
  <c r="CM61" i="2"/>
  <c r="CF61" i="2"/>
  <c r="BR61" i="2"/>
  <c r="KV61" i="2"/>
  <c r="KH61" i="2"/>
  <c r="JT61" i="2"/>
  <c r="JF61" i="2"/>
  <c r="HP61" i="2"/>
  <c r="HB61" i="2"/>
  <c r="U61" i="2"/>
  <c r="FE61" i="2"/>
  <c r="P60" i="2"/>
  <c r="SJ60" i="2"/>
  <c r="RV60" i="2"/>
  <c r="QT60" i="2"/>
  <c r="QF60" i="2"/>
  <c r="PR60" i="2"/>
  <c r="OW60" i="2"/>
  <c r="OI60" i="2"/>
  <c r="NU60" i="2"/>
  <c r="SQ60" i="2"/>
  <c r="PK60" i="2"/>
  <c r="SC60" i="2"/>
  <c r="RO60" i="2"/>
  <c r="PD60" i="2"/>
  <c r="RA60" i="2"/>
  <c r="QM60" i="2"/>
  <c r="PY60" i="2"/>
  <c r="OB60" i="2"/>
  <c r="NN60" i="2"/>
  <c r="MZ60" i="2"/>
  <c r="ML60" i="2"/>
  <c r="LX60" i="2"/>
  <c r="LQ60" i="2"/>
  <c r="LC60" i="2"/>
  <c r="KO60" i="2"/>
  <c r="JF60" i="2"/>
  <c r="IR60" i="2"/>
  <c r="IK60" i="2"/>
  <c r="HW60" i="2"/>
  <c r="HI60" i="2"/>
  <c r="GU60" i="2"/>
  <c r="GG60" i="2"/>
  <c r="FS60" i="2"/>
  <c r="AB60" i="2"/>
  <c r="FL60" i="2"/>
  <c r="EX60" i="2"/>
  <c r="AP60" i="2"/>
  <c r="AI60" i="2"/>
  <c r="JT60" i="2"/>
  <c r="EC60" i="2"/>
  <c r="DO60" i="2"/>
  <c r="DA60" i="2"/>
  <c r="CM60" i="2"/>
  <c r="CF60" i="2"/>
  <c r="BR60" i="2"/>
  <c r="BD60" i="2"/>
  <c r="NG60" i="2"/>
  <c r="MS60" i="2"/>
  <c r="ME60" i="2"/>
  <c r="LJ60" i="2"/>
  <c r="KV60" i="2"/>
  <c r="KH60" i="2"/>
  <c r="IY60" i="2"/>
  <c r="ID60" i="2"/>
  <c r="HP60" i="2"/>
  <c r="HB60" i="2"/>
  <c r="GN60" i="2"/>
  <c r="FZ60" i="2"/>
  <c r="U60" i="2"/>
  <c r="FE60" i="2"/>
  <c r="EQ60" i="2"/>
  <c r="AW60" i="2"/>
  <c r="KA60" i="2"/>
  <c r="JM60" i="2"/>
  <c r="EJ60" i="2"/>
  <c r="DV60" i="2"/>
  <c r="DH60" i="2"/>
  <c r="CT60" i="2"/>
  <c r="BY60" i="2"/>
  <c r="BK60" i="2"/>
  <c r="N60" i="2"/>
  <c r="P59" i="2"/>
  <c r="SQ59" i="2"/>
  <c r="SC59" i="2"/>
  <c r="RO59" i="2"/>
  <c r="PD59" i="2"/>
  <c r="OW59" i="2"/>
  <c r="OI59" i="2"/>
  <c r="NU59" i="2"/>
  <c r="QT59" i="2"/>
  <c r="QF59" i="2"/>
  <c r="PR59" i="2"/>
  <c r="PK59" i="2"/>
  <c r="SJ59" i="2"/>
  <c r="RV59" i="2"/>
  <c r="OP59" i="2"/>
  <c r="OB59" i="2"/>
  <c r="NN59" i="2"/>
  <c r="RA59" i="2"/>
  <c r="QM59" i="2"/>
  <c r="PY59" i="2"/>
  <c r="MZ59" i="2"/>
  <c r="ML59" i="2"/>
  <c r="LX59" i="2"/>
  <c r="LQ59" i="2"/>
  <c r="LC59" i="2"/>
  <c r="IK59" i="2"/>
  <c r="HW59" i="2"/>
  <c r="GN59" i="2"/>
  <c r="EC59" i="2"/>
  <c r="DO59" i="2"/>
  <c r="DA59" i="2"/>
  <c r="CM59" i="2"/>
  <c r="CF59" i="2"/>
  <c r="BR59" i="2"/>
  <c r="AW59" i="2"/>
  <c r="AI59" i="2"/>
  <c r="KV59" i="2"/>
  <c r="KH59" i="2"/>
  <c r="KA59" i="2"/>
  <c r="JM59" i="2"/>
  <c r="JF59" i="2"/>
  <c r="IR59" i="2"/>
  <c r="HP59" i="2"/>
  <c r="HB59" i="2"/>
  <c r="U59" i="2"/>
  <c r="FE59" i="2"/>
  <c r="EQ59" i="2"/>
  <c r="NG59" i="2"/>
  <c r="MS59" i="2"/>
  <c r="ME59" i="2"/>
  <c r="LJ59" i="2"/>
  <c r="ID59" i="2"/>
  <c r="GU59" i="2"/>
  <c r="GG59" i="2"/>
  <c r="FS59" i="2"/>
  <c r="EJ59" i="2"/>
  <c r="DV59" i="2"/>
  <c r="DH59" i="2"/>
  <c r="CT59" i="2"/>
  <c r="BY59" i="2"/>
  <c r="BK59" i="2"/>
  <c r="BD59" i="2"/>
  <c r="N59" i="2"/>
  <c r="KO59" i="2"/>
  <c r="JT59" i="2"/>
  <c r="IY59" i="2"/>
  <c r="HI59" i="2"/>
  <c r="FZ59" i="2"/>
  <c r="AB59" i="2"/>
  <c r="FL59" i="2"/>
  <c r="EX59" i="2"/>
  <c r="AP59" i="2"/>
  <c r="NN58" i="2"/>
  <c r="SC58" i="2"/>
  <c r="RO58" i="2"/>
  <c r="PD58" i="2"/>
  <c r="QF58" i="2"/>
  <c r="PR58" i="2"/>
  <c r="SQ58" i="2"/>
  <c r="OW58" i="2"/>
  <c r="OI58" i="2"/>
  <c r="NU58" i="2"/>
  <c r="SJ58" i="2"/>
  <c r="RV58" i="2"/>
  <c r="RA58" i="2"/>
  <c r="QM58" i="2"/>
  <c r="PY58" i="2"/>
  <c r="MZ58" i="2"/>
  <c r="ML58" i="2"/>
  <c r="LX58" i="2"/>
  <c r="LQ58" i="2"/>
  <c r="LC58" i="2"/>
  <c r="KV58" i="2"/>
  <c r="KH58" i="2"/>
  <c r="IY58" i="2"/>
  <c r="IK58" i="2"/>
  <c r="HW58" i="2"/>
  <c r="HB58" i="2"/>
  <c r="N58" i="2"/>
  <c r="JT58" i="2"/>
  <c r="FZ58" i="2"/>
  <c r="FS58" i="2"/>
  <c r="U58" i="2"/>
  <c r="EQ58" i="2"/>
  <c r="EJ58" i="2"/>
  <c r="DV58" i="2"/>
  <c r="DH58" i="2"/>
  <c r="CT58" i="2"/>
  <c r="BY58" i="2"/>
  <c r="BK58" i="2"/>
  <c r="NG58" i="2"/>
  <c r="MS58" i="2"/>
  <c r="ME58" i="2"/>
  <c r="LJ58" i="2"/>
  <c r="KO58" i="2"/>
  <c r="JF58" i="2"/>
  <c r="IR58" i="2"/>
  <c r="ID58" i="2"/>
  <c r="HI58" i="2"/>
  <c r="AW58" i="2"/>
  <c r="KA58" i="2"/>
  <c r="JM58" i="2"/>
  <c r="GG58" i="2"/>
  <c r="AB58" i="2"/>
  <c r="FL58" i="2"/>
  <c r="EX58" i="2"/>
  <c r="EC58" i="2"/>
  <c r="DO58" i="2"/>
  <c r="DA58" i="2"/>
  <c r="CM58" i="2"/>
  <c r="CF58" i="2"/>
  <c r="BR58" i="2"/>
  <c r="BD58" i="2"/>
  <c r="AI58" i="2"/>
  <c r="SQ57" i="2"/>
  <c r="SJ57" i="2"/>
  <c r="RV57" i="2"/>
  <c r="QT57" i="2"/>
  <c r="QF57" i="2"/>
  <c r="PR57" i="2"/>
  <c r="OW57" i="2"/>
  <c r="OI57" i="2"/>
  <c r="NU57" i="2"/>
  <c r="SC57" i="2"/>
  <c r="RO57" i="2"/>
  <c r="PD57" i="2"/>
  <c r="PK57" i="2"/>
  <c r="RA57" i="2"/>
  <c r="QM57" i="2"/>
  <c r="PY57" i="2"/>
  <c r="OP57" i="2"/>
  <c r="OB57" i="2"/>
  <c r="NN57" i="2"/>
  <c r="MZ57" i="2"/>
  <c r="ML57" i="2"/>
  <c r="LX57" i="2"/>
  <c r="LQ57" i="2"/>
  <c r="LC57" i="2"/>
  <c r="IK57" i="2"/>
  <c r="U57" i="2"/>
  <c r="FE57" i="2"/>
  <c r="EQ57" i="2"/>
  <c r="EJ57" i="2"/>
  <c r="DV57" i="2"/>
  <c r="DH57" i="2"/>
  <c r="CT57" i="2"/>
  <c r="BY57" i="2"/>
  <c r="BK57" i="2"/>
  <c r="BD57" i="2"/>
  <c r="AW57" i="2"/>
  <c r="KO57" i="2"/>
  <c r="KA57" i="2"/>
  <c r="JM57" i="2"/>
  <c r="IY57" i="2"/>
  <c r="HI57" i="2"/>
  <c r="GU57" i="2"/>
  <c r="GG57" i="2"/>
  <c r="AP57" i="2"/>
  <c r="NG57" i="2"/>
  <c r="MS57" i="2"/>
  <c r="ME57" i="2"/>
  <c r="LJ57" i="2"/>
  <c r="ID57" i="2"/>
  <c r="FZ57" i="2"/>
  <c r="AB57" i="2"/>
  <c r="FL57" i="2"/>
  <c r="EX57" i="2"/>
  <c r="EC57" i="2"/>
  <c r="DO57" i="2"/>
  <c r="DA57" i="2"/>
  <c r="CM57" i="2"/>
  <c r="CF57" i="2"/>
  <c r="BR57" i="2"/>
  <c r="KV57" i="2"/>
  <c r="KH57" i="2"/>
  <c r="JT57" i="2"/>
  <c r="JF57" i="2"/>
  <c r="IR57" i="2"/>
  <c r="HP57" i="2"/>
  <c r="HB57" i="2"/>
  <c r="GN57" i="2"/>
  <c r="FS57" i="2"/>
  <c r="AI57" i="2"/>
  <c r="N57" i="2"/>
  <c r="P56" i="2"/>
  <c r="SJ56" i="2"/>
  <c r="RV56" i="2"/>
  <c r="OP56" i="2"/>
  <c r="NN56" i="2"/>
  <c r="RA56" i="2"/>
  <c r="QM56" i="2"/>
  <c r="PY56" i="2"/>
  <c r="SC56" i="2"/>
  <c r="RO56" i="2"/>
  <c r="OW56" i="2"/>
  <c r="OI56" i="2"/>
  <c r="NU56" i="2"/>
  <c r="QT56" i="2"/>
  <c r="QF56" i="2"/>
  <c r="PR56" i="2"/>
  <c r="PK56" i="2"/>
  <c r="ML56" i="2"/>
  <c r="LX56" i="2"/>
  <c r="LJ56" i="2"/>
  <c r="KA56" i="2"/>
  <c r="JM56" i="2"/>
  <c r="GU56" i="2"/>
  <c r="GG56" i="2"/>
  <c r="AB56" i="2"/>
  <c r="FL56" i="2"/>
  <c r="EX56" i="2"/>
  <c r="DO56" i="2"/>
  <c r="DA56" i="2"/>
  <c r="CM56" i="2"/>
  <c r="AI56" i="2"/>
  <c r="KO56" i="2"/>
  <c r="JF56" i="2"/>
  <c r="IR56" i="2"/>
  <c r="IK56" i="2"/>
  <c r="BY56" i="2"/>
  <c r="BK56" i="2"/>
  <c r="AP56" i="2"/>
  <c r="NG56" i="2"/>
  <c r="ME56" i="2"/>
  <c r="LQ56" i="2"/>
  <c r="JT56" i="2"/>
  <c r="U56" i="2"/>
  <c r="FE56" i="2"/>
  <c r="EQ56" i="2"/>
  <c r="EJ56" i="2"/>
  <c r="DV56" i="2"/>
  <c r="DH56" i="2"/>
  <c r="CT56" i="2"/>
  <c r="BD56" i="2"/>
  <c r="KV56" i="2"/>
  <c r="KH56" i="2"/>
  <c r="IY56" i="2"/>
  <c r="ID56" i="2"/>
  <c r="FZ56" i="2"/>
  <c r="BR56" i="2"/>
  <c r="AW56" i="2"/>
  <c r="N56" i="2"/>
  <c r="P54" i="2"/>
  <c r="SQ54" i="2"/>
  <c r="SJ54" i="2"/>
  <c r="RV54" i="2"/>
  <c r="RA54" i="2"/>
  <c r="QM54" i="2"/>
  <c r="PY54" i="2"/>
  <c r="OI54" i="2"/>
  <c r="PD54" i="2"/>
  <c r="PK54" i="2"/>
  <c r="SC54" i="2"/>
  <c r="RO54" i="2"/>
  <c r="QT54" i="2"/>
  <c r="QF54" i="2"/>
  <c r="PR54" i="2"/>
  <c r="OP54" i="2"/>
  <c r="OB54" i="2"/>
  <c r="NN54" i="2"/>
  <c r="MZ54" i="2"/>
  <c r="ML54" i="2"/>
  <c r="LX54" i="2"/>
  <c r="LJ54" i="2"/>
  <c r="KA54" i="2"/>
  <c r="JM54" i="2"/>
  <c r="JF54" i="2"/>
  <c r="IR54" i="2"/>
  <c r="HI54" i="2"/>
  <c r="CF54" i="2"/>
  <c r="BR54" i="2"/>
  <c r="N54" i="2"/>
  <c r="ID54" i="2"/>
  <c r="GN54" i="2"/>
  <c r="FZ54" i="2"/>
  <c r="U54" i="2"/>
  <c r="FE54" i="2"/>
  <c r="EQ54" i="2"/>
  <c r="DV54" i="2"/>
  <c r="DH54" i="2"/>
  <c r="CT54" i="2"/>
  <c r="BD54" i="2"/>
  <c r="NG54" i="2"/>
  <c r="MS54" i="2"/>
  <c r="ME54" i="2"/>
  <c r="LQ54" i="2"/>
  <c r="LC54" i="2"/>
  <c r="KH54" i="2"/>
  <c r="JT54" i="2"/>
  <c r="IY54" i="2"/>
  <c r="HP54" i="2"/>
  <c r="HB54" i="2"/>
  <c r="BY54" i="2"/>
  <c r="BK54" i="2"/>
  <c r="AP54" i="2"/>
  <c r="AI54" i="2"/>
  <c r="IK54" i="2"/>
  <c r="GU54" i="2"/>
  <c r="GG54" i="2"/>
  <c r="AB54" i="2"/>
  <c r="FL54" i="2"/>
  <c r="EX54" i="2"/>
  <c r="EC54" i="2"/>
  <c r="DA54" i="2"/>
  <c r="CM54" i="2"/>
  <c r="AW54" i="2"/>
  <c r="P53" i="2"/>
  <c r="SC53" i="2"/>
  <c r="RO53" i="2"/>
  <c r="OI53" i="2"/>
  <c r="NU53" i="2"/>
  <c r="RA53" i="2"/>
  <c r="QM53" i="2"/>
  <c r="PY53" i="2"/>
  <c r="PK53" i="2"/>
  <c r="SQ53" i="2"/>
  <c r="SJ53" i="2"/>
  <c r="RV53" i="2"/>
  <c r="OB53" i="2"/>
  <c r="NN53" i="2"/>
  <c r="PD53" i="2"/>
  <c r="QT53" i="2"/>
  <c r="QF53" i="2"/>
  <c r="PR53" i="2"/>
  <c r="MZ53" i="2"/>
  <c r="ML53" i="2"/>
  <c r="LX53" i="2"/>
  <c r="LJ53" i="2"/>
  <c r="KA53" i="2"/>
  <c r="JM53" i="2"/>
  <c r="U53" i="2"/>
  <c r="FE53" i="2"/>
  <c r="EQ53" i="2"/>
  <c r="DV53" i="2"/>
  <c r="CT53" i="2"/>
  <c r="CF53" i="2"/>
  <c r="BR53" i="2"/>
  <c r="AP53" i="2"/>
  <c r="KH53" i="2"/>
  <c r="IY53" i="2"/>
  <c r="IK53" i="2"/>
  <c r="HW53" i="2"/>
  <c r="HI53" i="2"/>
  <c r="GN53" i="2"/>
  <c r="AI53" i="2"/>
  <c r="NG53" i="2"/>
  <c r="MS53" i="2"/>
  <c r="ME53" i="2"/>
  <c r="LQ53" i="2"/>
  <c r="LC53" i="2"/>
  <c r="JT53" i="2"/>
  <c r="FL53" i="2"/>
  <c r="EX53" i="2"/>
  <c r="DO53" i="2"/>
  <c r="DA53" i="2"/>
  <c r="CM53" i="2"/>
  <c r="BK53" i="2"/>
  <c r="BD53" i="2"/>
  <c r="N53" i="2"/>
  <c r="JF53" i="2"/>
  <c r="IR53" i="2"/>
  <c r="ID53" i="2"/>
  <c r="HP53" i="2"/>
  <c r="HB53" i="2"/>
  <c r="GU53" i="2"/>
  <c r="FZ53" i="2"/>
  <c r="FS53" i="2"/>
  <c r="P52" i="2"/>
  <c r="SQ52" i="2"/>
  <c r="PD52" i="2"/>
  <c r="PK52" i="2"/>
  <c r="SC52" i="2"/>
  <c r="RO52" i="2"/>
  <c r="RA52" i="2"/>
  <c r="QM52" i="2"/>
  <c r="PY52" i="2"/>
  <c r="OP52" i="2"/>
  <c r="OB52" i="2"/>
  <c r="NN52" i="2"/>
  <c r="SJ52" i="2"/>
  <c r="RV52" i="2"/>
  <c r="QT52" i="2"/>
  <c r="QF52" i="2"/>
  <c r="PR52" i="2"/>
  <c r="OW52" i="2"/>
  <c r="OI52" i="2"/>
  <c r="NU52" i="2"/>
  <c r="MZ52" i="2"/>
  <c r="ML52" i="2"/>
  <c r="LX52" i="2"/>
  <c r="LJ52" i="2"/>
  <c r="KV52" i="2"/>
  <c r="KH52" i="2"/>
  <c r="JT52" i="2"/>
  <c r="JF52" i="2"/>
  <c r="IR52" i="2"/>
  <c r="HI52" i="2"/>
  <c r="FZ52" i="2"/>
  <c r="IK52" i="2"/>
  <c r="HW52" i="2"/>
  <c r="GU52" i="2"/>
  <c r="GG52" i="2"/>
  <c r="FS52" i="2"/>
  <c r="AB52" i="2"/>
  <c r="FL52" i="2"/>
  <c r="EX52" i="2"/>
  <c r="EC52" i="2"/>
  <c r="DO52" i="2"/>
  <c r="DA52" i="2"/>
  <c r="CM52" i="2"/>
  <c r="BY52" i="2"/>
  <c r="BK52" i="2"/>
  <c r="AI52" i="2"/>
  <c r="N52" i="2"/>
  <c r="NG52" i="2"/>
  <c r="MS52" i="2"/>
  <c r="ME52" i="2"/>
  <c r="LQ52" i="2"/>
  <c r="LC52" i="2"/>
  <c r="KO52" i="2"/>
  <c r="KA52" i="2"/>
  <c r="JM52" i="2"/>
  <c r="IY52" i="2"/>
  <c r="HP52" i="2"/>
  <c r="HB52" i="2"/>
  <c r="ID52" i="2"/>
  <c r="GN52" i="2"/>
  <c r="U52" i="2"/>
  <c r="FE52" i="2"/>
  <c r="EQ52" i="2"/>
  <c r="EJ52" i="2"/>
  <c r="DV52" i="2"/>
  <c r="DH52" i="2"/>
  <c r="CT52" i="2"/>
  <c r="CF52" i="2"/>
  <c r="BR52" i="2"/>
  <c r="BD52" i="2"/>
  <c r="AW52" i="2"/>
  <c r="AP52" i="2"/>
  <c r="P51" i="2"/>
  <c r="SJ51" i="2"/>
  <c r="RV51" i="2"/>
  <c r="OP51" i="2"/>
  <c r="OB51" i="2"/>
  <c r="NN51" i="2"/>
  <c r="PD51" i="2"/>
  <c r="RA51" i="2"/>
  <c r="QM51" i="2"/>
  <c r="PY51" i="2"/>
  <c r="SQ51" i="2"/>
  <c r="SC51" i="2"/>
  <c r="RO51" i="2"/>
  <c r="OW51" i="2"/>
  <c r="OI51" i="2"/>
  <c r="NU51" i="2"/>
  <c r="QT51" i="2"/>
  <c r="QF51" i="2"/>
  <c r="PR51" i="2"/>
  <c r="PK51" i="2"/>
  <c r="MZ51" i="2"/>
  <c r="ML51" i="2"/>
  <c r="LX51" i="2"/>
  <c r="LJ51" i="2"/>
  <c r="KA51" i="2"/>
  <c r="JM51" i="2"/>
  <c r="AB51" i="2"/>
  <c r="FL51" i="2"/>
  <c r="EX51" i="2"/>
  <c r="EC51" i="2"/>
  <c r="DO51" i="2"/>
  <c r="DA51" i="2"/>
  <c r="CM51" i="2"/>
  <c r="BY51" i="2"/>
  <c r="BK51" i="2"/>
  <c r="BD51" i="2"/>
  <c r="N51" i="2"/>
  <c r="KO51" i="2"/>
  <c r="JF51" i="2"/>
  <c r="IR51" i="2"/>
  <c r="HW51" i="2"/>
  <c r="HP51" i="2"/>
  <c r="HB51" i="2"/>
  <c r="GN51" i="2"/>
  <c r="FZ51" i="2"/>
  <c r="AW51" i="2"/>
  <c r="AI51" i="2"/>
  <c r="NG51" i="2"/>
  <c r="MS51" i="2"/>
  <c r="ME51" i="2"/>
  <c r="LQ51" i="2"/>
  <c r="LC51" i="2"/>
  <c r="JT51" i="2"/>
  <c r="U51" i="2"/>
  <c r="FE51" i="2"/>
  <c r="EQ51" i="2"/>
  <c r="EJ51" i="2"/>
  <c r="DV51" i="2"/>
  <c r="DH51" i="2"/>
  <c r="CT51" i="2"/>
  <c r="CF51" i="2"/>
  <c r="BR51" i="2"/>
  <c r="AP51" i="2"/>
  <c r="KV51" i="2"/>
  <c r="KH51" i="2"/>
  <c r="IY51" i="2"/>
  <c r="ID51" i="2"/>
  <c r="HI51" i="2"/>
  <c r="GU51" i="2"/>
  <c r="GG51" i="2"/>
  <c r="FS51" i="2"/>
  <c r="P50" i="2"/>
  <c r="SJ50" i="2"/>
  <c r="RV50" i="2"/>
  <c r="QT50" i="2"/>
  <c r="QF50" i="2"/>
  <c r="PR50" i="2"/>
  <c r="OP50" i="2"/>
  <c r="NN50" i="2"/>
  <c r="SC50" i="2"/>
  <c r="RO50" i="2"/>
  <c r="RA50" i="2"/>
  <c r="QM50" i="2"/>
  <c r="PY50" i="2"/>
  <c r="OW50" i="2"/>
  <c r="OI50" i="2"/>
  <c r="NU50" i="2"/>
  <c r="MZ50" i="2"/>
  <c r="LX50" i="2"/>
  <c r="KO50" i="2"/>
  <c r="JT50" i="2"/>
  <c r="IK50" i="2"/>
  <c r="HW50" i="2"/>
  <c r="HI50" i="2"/>
  <c r="AB50" i="2"/>
  <c r="FL50" i="2"/>
  <c r="EX50" i="2"/>
  <c r="EC50" i="2"/>
  <c r="DO50" i="2"/>
  <c r="DA50" i="2"/>
  <c r="CM50" i="2"/>
  <c r="BY50" i="2"/>
  <c r="BK50" i="2"/>
  <c r="AW50" i="2"/>
  <c r="N50" i="2"/>
  <c r="LJ50" i="2"/>
  <c r="JF50" i="2"/>
  <c r="IR50" i="2"/>
  <c r="GN50" i="2"/>
  <c r="MS50" i="2"/>
  <c r="KV50" i="2"/>
  <c r="KH50" i="2"/>
  <c r="JM50" i="2"/>
  <c r="HP50" i="2"/>
  <c r="HB50" i="2"/>
  <c r="FS50" i="2"/>
  <c r="U50" i="2"/>
  <c r="FE50" i="2"/>
  <c r="EQ50" i="2"/>
  <c r="EJ50" i="2"/>
  <c r="DV50" i="2"/>
  <c r="DH50" i="2"/>
  <c r="CT50" i="2"/>
  <c r="CF50" i="2"/>
  <c r="BR50" i="2"/>
  <c r="BD50" i="2"/>
  <c r="AP50" i="2"/>
  <c r="AI50" i="2"/>
  <c r="LQ50" i="2"/>
  <c r="IY50" i="2"/>
  <c r="GG50" i="2"/>
  <c r="FZ50" i="2"/>
  <c r="P49" i="2"/>
  <c r="OP49" i="2"/>
  <c r="OB49" i="2"/>
  <c r="NN49" i="2"/>
  <c r="SJ49" i="2"/>
  <c r="RV49" i="2"/>
  <c r="PD49" i="2"/>
  <c r="QT49" i="2"/>
  <c r="QF49" i="2"/>
  <c r="PR49" i="2"/>
  <c r="SQ49" i="2"/>
  <c r="OW49" i="2"/>
  <c r="OI49" i="2"/>
  <c r="NU49" i="2"/>
  <c r="SC49" i="2"/>
  <c r="RO49" i="2"/>
  <c r="RA49" i="2"/>
  <c r="QM49" i="2"/>
  <c r="PY49" i="2"/>
  <c r="PK49" i="2"/>
  <c r="MZ49" i="2"/>
  <c r="ML49" i="2"/>
  <c r="LX49" i="2"/>
  <c r="KA49" i="2"/>
  <c r="JM49" i="2"/>
  <c r="IY49" i="2"/>
  <c r="IK49" i="2"/>
  <c r="HW49" i="2"/>
  <c r="FZ49" i="2"/>
  <c r="FS49" i="2"/>
  <c r="LJ49" i="2"/>
  <c r="KV49" i="2"/>
  <c r="KH49" i="2"/>
  <c r="HP49" i="2"/>
  <c r="HB49" i="2"/>
  <c r="GU49" i="2"/>
  <c r="GG49" i="2"/>
  <c r="U49" i="2"/>
  <c r="FE49" i="2"/>
  <c r="EQ49" i="2"/>
  <c r="EJ49" i="2"/>
  <c r="DV49" i="2"/>
  <c r="DH49" i="2"/>
  <c r="CT49" i="2"/>
  <c r="CF49" i="2"/>
  <c r="BR49" i="2"/>
  <c r="AP49" i="2"/>
  <c r="NG49" i="2"/>
  <c r="MS49" i="2"/>
  <c r="ME49" i="2"/>
  <c r="JT49" i="2"/>
  <c r="JF49" i="2"/>
  <c r="IR49" i="2"/>
  <c r="ID49" i="2"/>
  <c r="AW49" i="2"/>
  <c r="AI49" i="2"/>
  <c r="LQ49" i="2"/>
  <c r="LC49" i="2"/>
  <c r="KO49" i="2"/>
  <c r="HI49" i="2"/>
  <c r="GN49" i="2"/>
  <c r="AB49" i="2"/>
  <c r="FL49" i="2"/>
  <c r="EX49" i="2"/>
  <c r="EC49" i="2"/>
  <c r="DO49" i="2"/>
  <c r="DA49" i="2"/>
  <c r="CM49" i="2"/>
  <c r="BY49" i="2"/>
  <c r="BK49" i="2"/>
  <c r="BD49" i="2"/>
  <c r="N49" i="2"/>
  <c r="P48" i="2"/>
  <c r="QT48" i="2"/>
  <c r="QF48" i="2"/>
  <c r="PR48" i="2"/>
  <c r="OW48" i="2"/>
  <c r="NU48" i="2"/>
  <c r="PK48" i="2"/>
  <c r="RA48" i="2"/>
  <c r="QM48" i="2"/>
  <c r="PY48" i="2"/>
  <c r="OP48" i="2"/>
  <c r="OB48" i="2"/>
  <c r="NN48" i="2"/>
  <c r="RO48" i="2"/>
  <c r="MZ48" i="2"/>
  <c r="ML48" i="2"/>
  <c r="LX48" i="2"/>
  <c r="LJ48" i="2"/>
  <c r="IY48" i="2"/>
  <c r="HI48" i="2"/>
  <c r="GU48" i="2"/>
  <c r="GG48" i="2"/>
  <c r="AB48" i="2"/>
  <c r="FL48" i="2"/>
  <c r="EJ48" i="2"/>
  <c r="DV48" i="2"/>
  <c r="DH48" i="2"/>
  <c r="CT48" i="2"/>
  <c r="KO48" i="2"/>
  <c r="KA48" i="2"/>
  <c r="JM48" i="2"/>
  <c r="ID48" i="2"/>
  <c r="FZ48" i="2"/>
  <c r="BY48" i="2"/>
  <c r="BK48" i="2"/>
  <c r="N48" i="2"/>
  <c r="NG48" i="2"/>
  <c r="ME48" i="2"/>
  <c r="LQ48" i="2"/>
  <c r="LC48" i="2"/>
  <c r="JF48" i="2"/>
  <c r="IR48" i="2"/>
  <c r="HP48" i="2"/>
  <c r="EQ48" i="2"/>
  <c r="EC48" i="2"/>
  <c r="DO48" i="2"/>
  <c r="DA48" i="2"/>
  <c r="KV48" i="2"/>
  <c r="KH48" i="2"/>
  <c r="JT48" i="2"/>
  <c r="IK48" i="2"/>
  <c r="CF48" i="2"/>
  <c r="BR48" i="2"/>
  <c r="SC47" i="2"/>
  <c r="RO47" i="2"/>
  <c r="QT47" i="2"/>
  <c r="QF47" i="2"/>
  <c r="PR47" i="2"/>
  <c r="PK47" i="2"/>
  <c r="OP47" i="2"/>
  <c r="OB47" i="2"/>
  <c r="NN47" i="2"/>
  <c r="SQ47" i="2"/>
  <c r="SJ47" i="2"/>
  <c r="RV47" i="2"/>
  <c r="PD47" i="2"/>
  <c r="RA47" i="2"/>
  <c r="QM47" i="2"/>
  <c r="PY47" i="2"/>
  <c r="OW47" i="2"/>
  <c r="OI47" i="2"/>
  <c r="NU47" i="2"/>
  <c r="MZ47" i="2"/>
  <c r="ML47" i="2"/>
  <c r="LX47" i="2"/>
  <c r="LJ47" i="2"/>
  <c r="KO47" i="2"/>
  <c r="GN47" i="2"/>
  <c r="FS47" i="2"/>
  <c r="BY47" i="2"/>
  <c r="BK47" i="2"/>
  <c r="BD47" i="2"/>
  <c r="AP47" i="2"/>
  <c r="N47" i="2"/>
  <c r="JT47" i="2"/>
  <c r="IY47" i="2"/>
  <c r="ID47" i="2"/>
  <c r="HP47" i="2"/>
  <c r="HB47" i="2"/>
  <c r="U47" i="2"/>
  <c r="FE47" i="2"/>
  <c r="EQ47" i="2"/>
  <c r="EC47" i="2"/>
  <c r="DO47" i="2"/>
  <c r="DA47" i="2"/>
  <c r="CM47" i="2"/>
  <c r="NG47" i="2"/>
  <c r="MS47" i="2"/>
  <c r="ME47" i="2"/>
  <c r="LQ47" i="2"/>
  <c r="LC47" i="2"/>
  <c r="KV47" i="2"/>
  <c r="KH47" i="2"/>
  <c r="GU47" i="2"/>
  <c r="GG47" i="2"/>
  <c r="FZ47" i="2"/>
  <c r="CF47" i="2"/>
  <c r="BR47" i="2"/>
  <c r="AI47" i="2"/>
  <c r="KA47" i="2"/>
  <c r="JM47" i="2"/>
  <c r="JF47" i="2"/>
  <c r="IR47" i="2"/>
  <c r="IK47" i="2"/>
  <c r="HW47" i="2"/>
  <c r="HI47" i="2"/>
  <c r="AB47" i="2"/>
  <c r="FL47" i="2"/>
  <c r="EX47" i="2"/>
  <c r="EJ47" i="2"/>
  <c r="DV47" i="2"/>
  <c r="DH47" i="2"/>
  <c r="CT47" i="2"/>
  <c r="SQ46" i="2"/>
  <c r="QT46" i="2"/>
  <c r="QF46" i="2"/>
  <c r="PR46" i="2"/>
  <c r="OP46" i="2"/>
  <c r="OB46" i="2"/>
  <c r="NN46" i="2"/>
  <c r="SC46" i="2"/>
  <c r="RO46" i="2"/>
  <c r="RA46" i="2"/>
  <c r="QM46" i="2"/>
  <c r="PY46" i="2"/>
  <c r="OW46" i="2"/>
  <c r="OI46" i="2"/>
  <c r="NU46" i="2"/>
  <c r="SJ46" i="2"/>
  <c r="RV46" i="2"/>
  <c r="PD46" i="2"/>
  <c r="PK46" i="2"/>
  <c r="MZ46" i="2"/>
  <c r="ML46" i="2"/>
  <c r="LX46" i="2"/>
  <c r="LJ46" i="2"/>
  <c r="JF46" i="2"/>
  <c r="IR46" i="2"/>
  <c r="GN46" i="2"/>
  <c r="FS46" i="2"/>
  <c r="AB46" i="2"/>
  <c r="FL46" i="2"/>
  <c r="EX46" i="2"/>
  <c r="EJ46" i="2"/>
  <c r="DH46" i="2"/>
  <c r="CT46" i="2"/>
  <c r="BY46" i="2"/>
  <c r="BK46" i="2"/>
  <c r="AP46" i="2"/>
  <c r="KV46" i="2"/>
  <c r="KH46" i="2"/>
  <c r="KA46" i="2"/>
  <c r="JM46" i="2"/>
  <c r="HI46" i="2"/>
  <c r="FZ46" i="2"/>
  <c r="BD46" i="2"/>
  <c r="NG46" i="2"/>
  <c r="MS46" i="2"/>
  <c r="ME46" i="2"/>
  <c r="LQ46" i="2"/>
  <c r="LC46" i="2"/>
  <c r="IY46" i="2"/>
  <c r="GU46" i="2"/>
  <c r="GG46" i="2"/>
  <c r="U46" i="2"/>
  <c r="FE46" i="2"/>
  <c r="EQ46" i="2"/>
  <c r="EC46" i="2"/>
  <c r="DO46" i="2"/>
  <c r="DA46" i="2"/>
  <c r="CM46" i="2"/>
  <c r="CF46" i="2"/>
  <c r="AW46" i="2"/>
  <c r="AI46" i="2"/>
  <c r="KO46" i="2"/>
  <c r="JT46" i="2"/>
  <c r="IK46" i="2"/>
  <c r="HW46" i="2"/>
  <c r="HP46" i="2"/>
  <c r="SJ45" i="2"/>
  <c r="RV45" i="2"/>
  <c r="PD45" i="2"/>
  <c r="QT45" i="2"/>
  <c r="QF45" i="2"/>
  <c r="PR45" i="2"/>
  <c r="OW45" i="2"/>
  <c r="OI45" i="2"/>
  <c r="NU45" i="2"/>
  <c r="SQ45" i="2"/>
  <c r="SC45" i="2"/>
  <c r="RO45" i="2"/>
  <c r="RA45" i="2"/>
  <c r="QM45" i="2"/>
  <c r="PY45" i="2"/>
  <c r="PK45" i="2"/>
  <c r="OP45" i="2"/>
  <c r="OB45" i="2"/>
  <c r="NN45" i="2"/>
  <c r="MZ45" i="2"/>
  <c r="ML45" i="2"/>
  <c r="LX45" i="2"/>
  <c r="LJ45" i="2"/>
  <c r="KV45" i="2"/>
  <c r="KH45" i="2"/>
  <c r="HI45" i="2"/>
  <c r="GU45" i="2"/>
  <c r="GG45" i="2"/>
  <c r="AW45" i="2"/>
  <c r="JT45" i="2"/>
  <c r="JF45" i="2"/>
  <c r="IR45" i="2"/>
  <c r="ID45" i="2"/>
  <c r="U45" i="2"/>
  <c r="FE45" i="2"/>
  <c r="EQ45" i="2"/>
  <c r="EC45" i="2"/>
  <c r="DO45" i="2"/>
  <c r="DA45" i="2"/>
  <c r="CM45" i="2"/>
  <c r="CF45" i="2"/>
  <c r="BR45" i="2"/>
  <c r="N45" i="2"/>
  <c r="NG45" i="2"/>
  <c r="MS45" i="2"/>
  <c r="ME45" i="2"/>
  <c r="LQ45" i="2"/>
  <c r="LC45" i="2"/>
  <c r="KO45" i="2"/>
  <c r="HP45" i="2"/>
  <c r="HB45" i="2"/>
  <c r="GN45" i="2"/>
  <c r="FZ45" i="2"/>
  <c r="FS45" i="2"/>
  <c r="BD45" i="2"/>
  <c r="AP45" i="2"/>
  <c r="AI45" i="2"/>
  <c r="KA45" i="2"/>
  <c r="JM45" i="2"/>
  <c r="IY45" i="2"/>
  <c r="HW45" i="2"/>
  <c r="AB45" i="2"/>
  <c r="FL45" i="2"/>
  <c r="EX45" i="2"/>
  <c r="EJ45" i="2"/>
  <c r="DV45" i="2"/>
  <c r="DH45" i="2"/>
  <c r="CT45" i="2"/>
  <c r="BY45" i="2"/>
  <c r="BK45" i="2"/>
  <c r="SQ44" i="2"/>
  <c r="QT44" i="2"/>
  <c r="QF44" i="2"/>
  <c r="PR44" i="2"/>
  <c r="OW44" i="2"/>
  <c r="OI44" i="2"/>
  <c r="NU44" i="2"/>
  <c r="SJ44" i="2"/>
  <c r="RV44" i="2"/>
  <c r="PD44" i="2"/>
  <c r="PK44" i="2"/>
  <c r="RA44" i="2"/>
  <c r="QM44" i="2"/>
  <c r="PY44" i="2"/>
  <c r="OP44" i="2"/>
  <c r="OB44" i="2"/>
  <c r="NN44" i="2"/>
  <c r="SC44" i="2"/>
  <c r="RO44" i="2"/>
  <c r="MZ44" i="2"/>
  <c r="ML44" i="2"/>
  <c r="LX44" i="2"/>
  <c r="LJ44" i="2"/>
  <c r="IY44" i="2"/>
  <c r="GN44" i="2"/>
  <c r="FS44" i="2"/>
  <c r="U44" i="2"/>
  <c r="FE44" i="2"/>
  <c r="EQ44" i="2"/>
  <c r="EC44" i="2"/>
  <c r="DO44" i="2"/>
  <c r="DA44" i="2"/>
  <c r="CM44" i="2"/>
  <c r="CF44" i="2"/>
  <c r="BR44" i="2"/>
  <c r="N44" i="2"/>
  <c r="KO44" i="2"/>
  <c r="KA44" i="2"/>
  <c r="JM44" i="2"/>
  <c r="ID44" i="2"/>
  <c r="HP44" i="2"/>
  <c r="HB44" i="2"/>
  <c r="AP44" i="2"/>
  <c r="NG44" i="2"/>
  <c r="MS44" i="2"/>
  <c r="ME44" i="2"/>
  <c r="LQ44" i="2"/>
  <c r="LC44" i="2"/>
  <c r="JF44" i="2"/>
  <c r="IR44" i="2"/>
  <c r="GU44" i="2"/>
  <c r="GG44" i="2"/>
  <c r="AB44" i="2"/>
  <c r="FL44" i="2"/>
  <c r="EX44" i="2"/>
  <c r="EJ44" i="2"/>
  <c r="DV44" i="2"/>
  <c r="DH44" i="2"/>
  <c r="CT44" i="2"/>
  <c r="BY44" i="2"/>
  <c r="BK44" i="2"/>
  <c r="AW44" i="2"/>
  <c r="AI44" i="2"/>
  <c r="KV44" i="2"/>
  <c r="KH44" i="2"/>
  <c r="JT44" i="2"/>
  <c r="IK44" i="2"/>
  <c r="HW44" i="2"/>
  <c r="HI44" i="2"/>
  <c r="FZ44" i="2"/>
  <c r="BD44" i="2"/>
  <c r="SC43" i="2"/>
  <c r="RO43" i="2"/>
  <c r="QT43" i="2"/>
  <c r="QF43" i="2"/>
  <c r="PR43" i="2"/>
  <c r="PK43" i="2"/>
  <c r="OP43" i="2"/>
  <c r="OB43" i="2"/>
  <c r="NN43" i="2"/>
  <c r="SQ43" i="2"/>
  <c r="SJ43" i="2"/>
  <c r="RV43" i="2"/>
  <c r="PD43" i="2"/>
  <c r="RA43" i="2"/>
  <c r="QM43" i="2"/>
  <c r="PY43" i="2"/>
  <c r="OW43" i="2"/>
  <c r="OI43" i="2"/>
  <c r="NU43" i="2"/>
  <c r="MZ43" i="2"/>
  <c r="ML43" i="2"/>
  <c r="LX43" i="2"/>
  <c r="LJ43" i="2"/>
  <c r="KO43" i="2"/>
  <c r="HP43" i="2"/>
  <c r="HB43" i="2"/>
  <c r="GU43" i="2"/>
  <c r="GG43" i="2"/>
  <c r="FZ43" i="2"/>
  <c r="BD43" i="2"/>
  <c r="AW43" i="2"/>
  <c r="AP43" i="2"/>
  <c r="JT43" i="2"/>
  <c r="IY43" i="2"/>
  <c r="ID43" i="2"/>
  <c r="AB43" i="2"/>
  <c r="FL43" i="2"/>
  <c r="EX43" i="2"/>
  <c r="EJ43" i="2"/>
  <c r="DV43" i="2"/>
  <c r="DH43" i="2"/>
  <c r="CT43" i="2"/>
  <c r="BY43" i="2"/>
  <c r="BK43" i="2"/>
  <c r="NG43" i="2"/>
  <c r="MS43" i="2"/>
  <c r="ME43" i="2"/>
  <c r="LQ43" i="2"/>
  <c r="LC43" i="2"/>
  <c r="KV43" i="2"/>
  <c r="KH43" i="2"/>
  <c r="HI43" i="2"/>
  <c r="GN43" i="2"/>
  <c r="FS43" i="2"/>
  <c r="AI43" i="2"/>
  <c r="KA43" i="2"/>
  <c r="JM43" i="2"/>
  <c r="JF43" i="2"/>
  <c r="IR43" i="2"/>
  <c r="IK43" i="2"/>
  <c r="HW43" i="2"/>
  <c r="U43" i="2"/>
  <c r="FE43" i="2"/>
  <c r="EQ43" i="2"/>
  <c r="EC43" i="2"/>
  <c r="DO43" i="2"/>
  <c r="DA43" i="2"/>
  <c r="CM43" i="2"/>
  <c r="CF43" i="2"/>
  <c r="BR43" i="2"/>
  <c r="N43" i="2"/>
  <c r="SQ42" i="2"/>
  <c r="QT42" i="2"/>
  <c r="QF42" i="2"/>
  <c r="PR42" i="2"/>
  <c r="OB42" i="2"/>
  <c r="NN42" i="2"/>
  <c r="SC42" i="2"/>
  <c r="RO42" i="2"/>
  <c r="RA42" i="2"/>
  <c r="QM42" i="2"/>
  <c r="PY42" i="2"/>
  <c r="OW42" i="2"/>
  <c r="OI42" i="2"/>
  <c r="NU42" i="2"/>
  <c r="SJ42" i="2"/>
  <c r="RV42" i="2"/>
  <c r="PD42" i="2"/>
  <c r="PK42" i="2"/>
  <c r="MZ42" i="2"/>
  <c r="ML42" i="2"/>
  <c r="LX42" i="2"/>
  <c r="LJ42" i="2"/>
  <c r="JF42" i="2"/>
  <c r="IR42" i="2"/>
  <c r="GN42" i="2"/>
  <c r="FS42" i="2"/>
  <c r="AB42" i="2"/>
  <c r="FL42" i="2"/>
  <c r="EX42" i="2"/>
  <c r="EJ42" i="2"/>
  <c r="DV42" i="2"/>
  <c r="DH42" i="2"/>
  <c r="CT42" i="2"/>
  <c r="BY42" i="2"/>
  <c r="BK42" i="2"/>
  <c r="KV42" i="2"/>
  <c r="KH42" i="2"/>
  <c r="KA42" i="2"/>
  <c r="JM42" i="2"/>
  <c r="ID42" i="2"/>
  <c r="HI42" i="2"/>
  <c r="FZ42" i="2"/>
  <c r="BD42" i="2"/>
  <c r="NG42" i="2"/>
  <c r="MS42" i="2"/>
  <c r="ME42" i="2"/>
  <c r="LQ42" i="2"/>
  <c r="LC42" i="2"/>
  <c r="IY42" i="2"/>
  <c r="GU42" i="2"/>
  <c r="GG42" i="2"/>
  <c r="U42" i="2"/>
  <c r="FE42" i="2"/>
  <c r="EQ42" i="2"/>
  <c r="EC42" i="2"/>
  <c r="DO42" i="2"/>
  <c r="DA42" i="2"/>
  <c r="CM42" i="2"/>
  <c r="CF42" i="2"/>
  <c r="BR42" i="2"/>
  <c r="AW42" i="2"/>
  <c r="AI42" i="2"/>
  <c r="N42" i="2"/>
  <c r="KO42" i="2"/>
  <c r="JT42" i="2"/>
  <c r="IK42" i="2"/>
  <c r="HW42" i="2"/>
  <c r="HP42" i="2"/>
  <c r="HB42" i="2"/>
  <c r="AP42" i="2"/>
  <c r="SJ41" i="2"/>
  <c r="RV41" i="2"/>
  <c r="PD41" i="2"/>
  <c r="QT41" i="2"/>
  <c r="QF41" i="2"/>
  <c r="PR41" i="2"/>
  <c r="OW41" i="2"/>
  <c r="OI41" i="2"/>
  <c r="NU41" i="2"/>
  <c r="SQ41" i="2"/>
  <c r="SC41" i="2"/>
  <c r="RO41" i="2"/>
  <c r="RA41" i="2"/>
  <c r="QM41" i="2"/>
  <c r="PY41" i="2"/>
  <c r="PK41" i="2"/>
  <c r="OP41" i="2"/>
  <c r="OB41" i="2"/>
  <c r="NN41" i="2"/>
  <c r="MZ41" i="2"/>
  <c r="ML41" i="2"/>
  <c r="LX41" i="2"/>
  <c r="LJ41" i="2"/>
  <c r="KH41" i="2"/>
  <c r="JT41" i="2"/>
  <c r="JF41" i="2"/>
  <c r="IR41" i="2"/>
  <c r="ID41" i="2"/>
  <c r="U41" i="2"/>
  <c r="FE41" i="2"/>
  <c r="EQ41" i="2"/>
  <c r="EC41" i="2"/>
  <c r="DO41" i="2"/>
  <c r="DA41" i="2"/>
  <c r="CM41" i="2"/>
  <c r="CF41" i="2"/>
  <c r="BR41" i="2"/>
  <c r="BD41" i="2"/>
  <c r="AP41" i="2"/>
  <c r="AI41" i="2"/>
  <c r="HP41" i="2"/>
  <c r="HB41" i="2"/>
  <c r="GN41" i="2"/>
  <c r="FZ41" i="2"/>
  <c r="FS41" i="2"/>
  <c r="NG41" i="2"/>
  <c r="MS41" i="2"/>
  <c r="ME41" i="2"/>
  <c r="LQ41" i="2"/>
  <c r="LC41" i="2"/>
  <c r="KO41" i="2"/>
  <c r="KA41" i="2"/>
  <c r="JM41" i="2"/>
  <c r="IY41" i="2"/>
  <c r="IK41" i="2"/>
  <c r="HW41" i="2"/>
  <c r="AB41" i="2"/>
  <c r="FL41" i="2"/>
  <c r="EX41" i="2"/>
  <c r="EJ41" i="2"/>
  <c r="DV41" i="2"/>
  <c r="DH41" i="2"/>
  <c r="CT41" i="2"/>
  <c r="BK41" i="2"/>
  <c r="AW41" i="2"/>
  <c r="HI41" i="2"/>
  <c r="GU41" i="2"/>
  <c r="GG41" i="2"/>
  <c r="SQ40" i="2"/>
  <c r="QT40" i="2"/>
  <c r="QF40" i="2"/>
  <c r="PR40" i="2"/>
  <c r="SJ40" i="2"/>
  <c r="RV40" i="2"/>
  <c r="PD40" i="2"/>
  <c r="OP40" i="2"/>
  <c r="NN40" i="2"/>
  <c r="RA40" i="2"/>
  <c r="QM40" i="2"/>
  <c r="SC40" i="2"/>
  <c r="RO40" i="2"/>
  <c r="OW40" i="2"/>
  <c r="MZ40" i="2"/>
  <c r="ML40" i="2"/>
  <c r="LX40" i="2"/>
  <c r="LJ40" i="2"/>
  <c r="KO40" i="2"/>
  <c r="JF40" i="2"/>
  <c r="IK40" i="2"/>
  <c r="HW40" i="2"/>
  <c r="EJ40" i="2"/>
  <c r="DH40" i="2"/>
  <c r="CT40" i="2"/>
  <c r="AW40" i="2"/>
  <c r="JT40" i="2"/>
  <c r="HP40" i="2"/>
  <c r="HB40" i="2"/>
  <c r="FZ40" i="2"/>
  <c r="U40" i="2"/>
  <c r="CF40" i="2"/>
  <c r="BR40" i="2"/>
  <c r="NG40" i="2"/>
  <c r="MS40" i="2"/>
  <c r="ME40" i="2"/>
  <c r="LQ40" i="2"/>
  <c r="KV40" i="2"/>
  <c r="KH40" i="2"/>
  <c r="IY40" i="2"/>
  <c r="GG40" i="2"/>
  <c r="FS40" i="2"/>
  <c r="EC40" i="2"/>
  <c r="DO40" i="2"/>
  <c r="DA40" i="2"/>
  <c r="CM40" i="2"/>
  <c r="KA40" i="2"/>
  <c r="JM40" i="2"/>
  <c r="HI40" i="2"/>
  <c r="EX40" i="2"/>
  <c r="BY40" i="2"/>
  <c r="N40" i="2"/>
  <c r="SC39" i="2"/>
  <c r="RO39" i="2"/>
  <c r="QT39" i="2"/>
  <c r="QF39" i="2"/>
  <c r="PR39" i="2"/>
  <c r="OP39" i="2"/>
  <c r="OB39" i="2"/>
  <c r="NN39" i="2"/>
  <c r="PK39" i="2"/>
  <c r="SQ39" i="2"/>
  <c r="SJ39" i="2"/>
  <c r="RV39" i="2"/>
  <c r="PD39" i="2"/>
  <c r="RA39" i="2"/>
  <c r="QM39" i="2"/>
  <c r="PY39" i="2"/>
  <c r="OW39" i="2"/>
  <c r="OI39" i="2"/>
  <c r="NU39" i="2"/>
  <c r="MZ39" i="2"/>
  <c r="ML39" i="2"/>
  <c r="LX39" i="2"/>
  <c r="LJ39" i="2"/>
  <c r="IK39" i="2"/>
  <c r="HW39" i="2"/>
  <c r="HP39" i="2"/>
  <c r="HB39" i="2"/>
  <c r="GU39" i="2"/>
  <c r="GG39" i="2"/>
  <c r="FS39" i="2"/>
  <c r="U39" i="2"/>
  <c r="FE39" i="2"/>
  <c r="EQ39" i="2"/>
  <c r="CF39" i="2"/>
  <c r="BR39" i="2"/>
  <c r="DV39" i="2"/>
  <c r="KV39" i="2"/>
  <c r="KH39" i="2"/>
  <c r="KA39" i="2"/>
  <c r="JM39" i="2"/>
  <c r="JF39" i="2"/>
  <c r="IR39" i="2"/>
  <c r="EC39" i="2"/>
  <c r="DO39" i="2"/>
  <c r="DA39" i="2"/>
  <c r="CM39" i="2"/>
  <c r="KO39" i="2"/>
  <c r="IY39" i="2"/>
  <c r="DH39" i="2"/>
  <c r="NG39" i="2"/>
  <c r="MS39" i="2"/>
  <c r="ME39" i="2"/>
  <c r="LQ39" i="2"/>
  <c r="LC39" i="2"/>
  <c r="ID39" i="2"/>
  <c r="HI39" i="2"/>
  <c r="GN39" i="2"/>
  <c r="FZ39" i="2"/>
  <c r="AB39" i="2"/>
  <c r="FL39" i="2"/>
  <c r="EX39" i="2"/>
  <c r="BY39" i="2"/>
  <c r="BK39" i="2"/>
  <c r="AW39" i="2"/>
  <c r="AP39" i="2"/>
  <c r="N39" i="2"/>
  <c r="JT39" i="2"/>
  <c r="EJ39" i="2"/>
  <c r="CT39" i="2"/>
  <c r="BD39" i="2"/>
  <c r="AI39" i="2"/>
  <c r="SQ38" i="2"/>
  <c r="QT38" i="2"/>
  <c r="QF38" i="2"/>
  <c r="PR38" i="2"/>
  <c r="SC38" i="2"/>
  <c r="RO38" i="2"/>
  <c r="OW38" i="2"/>
  <c r="OI38" i="2"/>
  <c r="NU38" i="2"/>
  <c r="RA38" i="2"/>
  <c r="QM38" i="2"/>
  <c r="PY38" i="2"/>
  <c r="PK38" i="2"/>
  <c r="SJ38" i="2"/>
  <c r="RV38" i="2"/>
  <c r="PD38" i="2"/>
  <c r="OP38" i="2"/>
  <c r="OB38" i="2"/>
  <c r="NN38" i="2"/>
  <c r="MZ38" i="2"/>
  <c r="ML38" i="2"/>
  <c r="LX38" i="2"/>
  <c r="LJ38" i="2"/>
  <c r="KV38" i="2"/>
  <c r="KH38" i="2"/>
  <c r="IY38" i="2"/>
  <c r="IK38" i="2"/>
  <c r="HW38" i="2"/>
  <c r="GN38" i="2"/>
  <c r="EC38" i="2"/>
  <c r="DO38" i="2"/>
  <c r="DA38" i="2"/>
  <c r="CM38" i="2"/>
  <c r="BY38" i="2"/>
  <c r="BK38" i="2"/>
  <c r="AP38" i="2"/>
  <c r="N38" i="2"/>
  <c r="JT38" i="2"/>
  <c r="HI38" i="2"/>
  <c r="AB38" i="2"/>
  <c r="FL38" i="2"/>
  <c r="EX38" i="2"/>
  <c r="NG38" i="2"/>
  <c r="MS38" i="2"/>
  <c r="ME38" i="2"/>
  <c r="LQ38" i="2"/>
  <c r="LC38" i="2"/>
  <c r="KO38" i="2"/>
  <c r="JF38" i="2"/>
  <c r="IR38" i="2"/>
  <c r="ID38" i="2"/>
  <c r="GU38" i="2"/>
  <c r="GG38" i="2"/>
  <c r="FS38" i="2"/>
  <c r="DV38" i="2"/>
  <c r="DH38" i="2"/>
  <c r="CT38" i="2"/>
  <c r="CF38" i="2"/>
  <c r="BR38" i="2"/>
  <c r="AI38" i="2"/>
  <c r="KA38" i="2"/>
  <c r="JM38" i="2"/>
  <c r="HP38" i="2"/>
  <c r="HB38" i="2"/>
  <c r="FZ38" i="2"/>
  <c r="U38" i="2"/>
  <c r="FE38" i="2"/>
  <c r="EQ38" i="2"/>
  <c r="BD38" i="2"/>
  <c r="AW38" i="2"/>
  <c r="SJ37" i="2"/>
  <c r="RV37" i="2"/>
  <c r="PD37" i="2"/>
  <c r="QT37" i="2"/>
  <c r="QF37" i="2"/>
  <c r="PR37" i="2"/>
  <c r="OW37" i="2"/>
  <c r="OI37" i="2"/>
  <c r="NU37" i="2"/>
  <c r="PK37" i="2"/>
  <c r="SQ37" i="2"/>
  <c r="SC37" i="2"/>
  <c r="RO37" i="2"/>
  <c r="RA37" i="2"/>
  <c r="QM37" i="2"/>
  <c r="PY37" i="2"/>
  <c r="OP37" i="2"/>
  <c r="OB37" i="2"/>
  <c r="NN37" i="2"/>
  <c r="MZ37" i="2"/>
  <c r="ML37" i="2"/>
  <c r="LX37" i="2"/>
  <c r="LJ37" i="2"/>
  <c r="IK37" i="2"/>
  <c r="HW37" i="2"/>
  <c r="HI37" i="2"/>
  <c r="GU37" i="2"/>
  <c r="GG37" i="2"/>
  <c r="FZ37" i="2"/>
  <c r="FS37" i="2"/>
  <c r="AB37" i="2"/>
  <c r="FL37" i="2"/>
  <c r="EX37" i="2"/>
  <c r="BD37" i="2"/>
  <c r="KO37" i="2"/>
  <c r="KA37" i="2"/>
  <c r="JM37" i="2"/>
  <c r="IY37" i="2"/>
  <c r="EJ37" i="2"/>
  <c r="DV37" i="2"/>
  <c r="DH37" i="2"/>
  <c r="CT37" i="2"/>
  <c r="CF37" i="2"/>
  <c r="BR37" i="2"/>
  <c r="AW37" i="2"/>
  <c r="NG37" i="2"/>
  <c r="MS37" i="2"/>
  <c r="ME37" i="2"/>
  <c r="LQ37" i="2"/>
  <c r="LC37" i="2"/>
  <c r="ID37" i="2"/>
  <c r="HP37" i="2"/>
  <c r="HB37" i="2"/>
  <c r="GN37" i="2"/>
  <c r="U37" i="2"/>
  <c r="FE37" i="2"/>
  <c r="EQ37" i="2"/>
  <c r="AI37" i="2"/>
  <c r="KV37" i="2"/>
  <c r="KH37" i="2"/>
  <c r="JT37" i="2"/>
  <c r="JF37" i="2"/>
  <c r="IR37" i="2"/>
  <c r="EC37" i="2"/>
  <c r="DO37" i="2"/>
  <c r="DA37" i="2"/>
  <c r="CM37" i="2"/>
  <c r="BY37" i="2"/>
  <c r="BK37" i="2"/>
  <c r="AP37" i="2"/>
  <c r="N37" i="2"/>
  <c r="SQ36" i="2"/>
  <c r="QT36" i="2"/>
  <c r="QF36" i="2"/>
  <c r="PR36" i="2"/>
  <c r="SJ36" i="2"/>
  <c r="RV36" i="2"/>
  <c r="PD36" i="2"/>
  <c r="OP36" i="2"/>
  <c r="OB36" i="2"/>
  <c r="NN36" i="2"/>
  <c r="RA36" i="2"/>
  <c r="QM36" i="2"/>
  <c r="PY36" i="2"/>
  <c r="SC36" i="2"/>
  <c r="RO36" i="2"/>
  <c r="OW36" i="2"/>
  <c r="OI36" i="2"/>
  <c r="NU36" i="2"/>
  <c r="MZ36" i="2"/>
  <c r="ML36" i="2"/>
  <c r="LX36" i="2"/>
  <c r="LJ36" i="2"/>
  <c r="JT36" i="2"/>
  <c r="HP36" i="2"/>
  <c r="HB36" i="2"/>
  <c r="FZ36" i="2"/>
  <c r="FL36" i="2"/>
  <c r="EX36" i="2"/>
  <c r="BD36" i="2"/>
  <c r="IY36" i="2"/>
  <c r="ID36" i="2"/>
  <c r="GU36" i="2"/>
  <c r="GG36" i="2"/>
  <c r="FS36" i="2"/>
  <c r="EJ36" i="2"/>
  <c r="DV36" i="2"/>
  <c r="DH36" i="2"/>
  <c r="CT36" i="2"/>
  <c r="BY36" i="2"/>
  <c r="BK36" i="2"/>
  <c r="AP36" i="2"/>
  <c r="AI36" i="2"/>
  <c r="N36" i="2"/>
  <c r="NG36" i="2"/>
  <c r="MS36" i="2"/>
  <c r="ME36" i="2"/>
  <c r="LQ36" i="2"/>
  <c r="LC36" i="2"/>
  <c r="KV36" i="2"/>
  <c r="KH36" i="2"/>
  <c r="KA36" i="2"/>
  <c r="JM36" i="2"/>
  <c r="HI36" i="2"/>
  <c r="FE36" i="2"/>
  <c r="EQ36" i="2"/>
  <c r="AW36" i="2"/>
  <c r="JF36" i="2"/>
  <c r="IR36" i="2"/>
  <c r="IK36" i="2"/>
  <c r="HW36" i="2"/>
  <c r="GN36" i="2"/>
  <c r="EC36" i="2"/>
  <c r="CM36" i="2"/>
  <c r="CF36" i="2"/>
  <c r="BR36" i="2"/>
  <c r="SC35" i="2"/>
  <c r="RO35" i="2"/>
  <c r="QT35" i="2"/>
  <c r="PR35" i="2"/>
  <c r="OW35" i="2"/>
  <c r="OI35" i="2"/>
  <c r="NU35" i="2"/>
  <c r="SQ35" i="2"/>
  <c r="SJ35" i="2"/>
  <c r="RV35" i="2"/>
  <c r="PD35" i="2"/>
  <c r="RA35" i="2"/>
  <c r="QM35" i="2"/>
  <c r="PY35" i="2"/>
  <c r="OB35" i="2"/>
  <c r="NN35" i="2"/>
  <c r="MZ35" i="2"/>
  <c r="ML35" i="2"/>
  <c r="LX35" i="2"/>
  <c r="LJ35" i="2"/>
  <c r="KA35" i="2"/>
  <c r="JM35" i="2"/>
  <c r="ID35" i="2"/>
  <c r="GG35" i="2"/>
  <c r="FZ35" i="2"/>
  <c r="U35" i="2"/>
  <c r="FE35" i="2"/>
  <c r="EC35" i="2"/>
  <c r="DO35" i="2"/>
  <c r="DA35" i="2"/>
  <c r="BD35" i="2"/>
  <c r="AI35" i="2"/>
  <c r="KV35" i="2"/>
  <c r="KH35" i="2"/>
  <c r="IY35" i="2"/>
  <c r="HP35" i="2"/>
  <c r="BK35" i="2"/>
  <c r="NG35" i="2"/>
  <c r="MS35" i="2"/>
  <c r="ME35" i="2"/>
  <c r="LQ35" i="2"/>
  <c r="LC35" i="2"/>
  <c r="IK35" i="2"/>
  <c r="FS35" i="2"/>
  <c r="AB35" i="2"/>
  <c r="FL35" i="2"/>
  <c r="EX35" i="2"/>
  <c r="EJ35" i="2"/>
  <c r="DV35" i="2"/>
  <c r="DH35" i="2"/>
  <c r="CT35" i="2"/>
  <c r="KO35" i="2"/>
  <c r="JF35" i="2"/>
  <c r="IR35" i="2"/>
  <c r="HI35" i="2"/>
  <c r="BR35" i="2"/>
  <c r="AW35" i="2"/>
  <c r="AP35" i="2"/>
  <c r="N35" i="2"/>
  <c r="SQ34" i="2"/>
  <c r="QT34" i="2"/>
  <c r="QF34" i="2"/>
  <c r="PR34" i="2"/>
  <c r="PK34" i="2"/>
  <c r="SJ34" i="2"/>
  <c r="OI34" i="2"/>
  <c r="SC34" i="2"/>
  <c r="RO34" i="2"/>
  <c r="OP34" i="2"/>
  <c r="OB34" i="2"/>
  <c r="NN34" i="2"/>
  <c r="RV34" i="2"/>
  <c r="OW34" i="2"/>
  <c r="RA34" i="2"/>
  <c r="PY34" i="2"/>
  <c r="PD34" i="2"/>
  <c r="NU34" i="2"/>
  <c r="MZ34" i="2"/>
  <c r="ML34" i="2"/>
  <c r="LX34" i="2"/>
  <c r="LJ34" i="2"/>
  <c r="KV34" i="2"/>
  <c r="KH34" i="2"/>
  <c r="DV34" i="2"/>
  <c r="CT34" i="2"/>
  <c r="BY34" i="2"/>
  <c r="BK34" i="2"/>
  <c r="AI34" i="2"/>
  <c r="GN34" i="2"/>
  <c r="FL34" i="2"/>
  <c r="NG34" i="2"/>
  <c r="MS34" i="2"/>
  <c r="ME34" i="2"/>
  <c r="LQ34" i="2"/>
  <c r="LC34" i="2"/>
  <c r="HP34" i="2"/>
  <c r="HB34" i="2"/>
  <c r="FZ34" i="2"/>
  <c r="EC34" i="2"/>
  <c r="DO34" i="2"/>
  <c r="CM34" i="2"/>
  <c r="CF34" i="2"/>
  <c r="BR34" i="2"/>
  <c r="AP34" i="2"/>
  <c r="N34" i="2"/>
  <c r="KA34" i="2"/>
  <c r="IY34" i="2"/>
  <c r="AB34" i="2"/>
  <c r="AW34" i="2"/>
  <c r="JT34" i="2"/>
  <c r="JF34" i="2"/>
  <c r="IR34" i="2"/>
  <c r="ID34" i="2"/>
  <c r="GU34" i="2"/>
  <c r="GG34" i="2"/>
  <c r="U34" i="2"/>
  <c r="FE34" i="2"/>
  <c r="EQ34" i="2"/>
  <c r="JM34" i="2"/>
  <c r="IK34" i="2"/>
  <c r="BD34" i="2"/>
  <c r="SJ33" i="2"/>
  <c r="RV33" i="2"/>
  <c r="PD33" i="2"/>
  <c r="QT33" i="2"/>
  <c r="QF33" i="2"/>
  <c r="PR33" i="2"/>
  <c r="OP33" i="2"/>
  <c r="OB33" i="2"/>
  <c r="NN33" i="2"/>
  <c r="PK33" i="2"/>
  <c r="SQ33" i="2"/>
  <c r="SC33" i="2"/>
  <c r="RO33" i="2"/>
  <c r="RA33" i="2"/>
  <c r="QM33" i="2"/>
  <c r="PY33" i="2"/>
  <c r="OW33" i="2"/>
  <c r="OI33" i="2"/>
  <c r="NU33" i="2"/>
  <c r="MZ33" i="2"/>
  <c r="ML33" i="2"/>
  <c r="LX33" i="2"/>
  <c r="LJ33" i="2"/>
  <c r="JF33" i="2"/>
  <c r="IR33" i="2"/>
  <c r="AB33" i="2"/>
  <c r="FL33" i="2"/>
  <c r="EX33" i="2"/>
  <c r="AI33" i="2"/>
  <c r="KV33" i="2"/>
  <c r="JM33" i="2"/>
  <c r="HI33" i="2"/>
  <c r="FZ33" i="2"/>
  <c r="DH33" i="2"/>
  <c r="BK33" i="2"/>
  <c r="KO33" i="2"/>
  <c r="JT33" i="2"/>
  <c r="IK33" i="2"/>
  <c r="HW33" i="2"/>
  <c r="HP33" i="2"/>
  <c r="HB33" i="2"/>
  <c r="GU33" i="2"/>
  <c r="GG33" i="2"/>
  <c r="EC33" i="2"/>
  <c r="DO33" i="2"/>
  <c r="DA33" i="2"/>
  <c r="CM33" i="2"/>
  <c r="CF33" i="2"/>
  <c r="BR33" i="2"/>
  <c r="AP33" i="2"/>
  <c r="N33" i="2"/>
  <c r="KA33" i="2"/>
  <c r="ID33" i="2"/>
  <c r="FS33" i="2"/>
  <c r="DV33" i="2"/>
  <c r="AW33" i="2"/>
  <c r="NG33" i="2"/>
  <c r="MS33" i="2"/>
  <c r="ME33" i="2"/>
  <c r="LQ33" i="2"/>
  <c r="LC33" i="2"/>
  <c r="IY33" i="2"/>
  <c r="U33" i="2"/>
  <c r="FE33" i="2"/>
  <c r="EQ33" i="2"/>
  <c r="BD33" i="2"/>
  <c r="KH33" i="2"/>
  <c r="GN33" i="2"/>
  <c r="EJ33" i="2"/>
  <c r="CT33" i="2"/>
  <c r="BY33" i="2"/>
  <c r="SQ32" i="2"/>
  <c r="QT32" i="2"/>
  <c r="QF32" i="2"/>
  <c r="PR32" i="2"/>
  <c r="SJ32" i="2"/>
  <c r="RV32" i="2"/>
  <c r="PD32" i="2"/>
  <c r="OW32" i="2"/>
  <c r="OI32" i="2"/>
  <c r="NU32" i="2"/>
  <c r="RA32" i="2"/>
  <c r="QM32" i="2"/>
  <c r="PY32" i="2"/>
  <c r="PK32" i="2"/>
  <c r="SC32" i="2"/>
  <c r="RO32" i="2"/>
  <c r="OP32" i="2"/>
  <c r="OB32" i="2"/>
  <c r="NN32" i="2"/>
  <c r="MZ32" i="2"/>
  <c r="ML32" i="2"/>
  <c r="LX32" i="2"/>
  <c r="LJ32" i="2"/>
  <c r="KO32" i="2"/>
  <c r="HP32" i="2"/>
  <c r="HB32" i="2"/>
  <c r="FZ32" i="2"/>
  <c r="EC32" i="2"/>
  <c r="DO32" i="2"/>
  <c r="DA32" i="2"/>
  <c r="CM32" i="2"/>
  <c r="CF32" i="2"/>
  <c r="BR32" i="2"/>
  <c r="AP32" i="2"/>
  <c r="AI32" i="2"/>
  <c r="N32" i="2"/>
  <c r="EJ32" i="2"/>
  <c r="KA32" i="2"/>
  <c r="JM32" i="2"/>
  <c r="JF32" i="2"/>
  <c r="IR32" i="2"/>
  <c r="IK32" i="2"/>
  <c r="HW32" i="2"/>
  <c r="GN32" i="2"/>
  <c r="FS32" i="2"/>
  <c r="U32" i="2"/>
  <c r="FE32" i="2"/>
  <c r="EQ32" i="2"/>
  <c r="AW32" i="2"/>
  <c r="DV32" i="2"/>
  <c r="BY32" i="2"/>
  <c r="NG32" i="2"/>
  <c r="MS32" i="2"/>
  <c r="ME32" i="2"/>
  <c r="LQ32" i="2"/>
  <c r="LC32" i="2"/>
  <c r="KV32" i="2"/>
  <c r="KH32" i="2"/>
  <c r="JT32" i="2"/>
  <c r="IY32" i="2"/>
  <c r="ID32" i="2"/>
  <c r="GU32" i="2"/>
  <c r="GG32" i="2"/>
  <c r="AB32" i="2"/>
  <c r="FL32" i="2"/>
  <c r="EX32" i="2"/>
  <c r="BD32" i="2"/>
  <c r="HI32" i="2"/>
  <c r="DH32" i="2"/>
  <c r="CT32" i="2"/>
  <c r="BK32" i="2"/>
  <c r="OW31" i="2"/>
  <c r="OP31" i="2"/>
  <c r="SJ31" i="2"/>
  <c r="NU31" i="2"/>
  <c r="HI31" i="2"/>
  <c r="FL31" i="2"/>
  <c r="CM31" i="2"/>
  <c r="HP31" i="2"/>
  <c r="JM29" i="2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49" i="2"/>
  <c r="R199" i="2"/>
  <c r="R181" i="2"/>
  <c r="R175" i="2"/>
  <c r="R154" i="2"/>
  <c r="R169" i="2"/>
  <c r="R155" i="2"/>
  <c r="R159" i="2"/>
  <c r="R158" i="2"/>
  <c r="R193" i="2"/>
  <c r="R196" i="2"/>
  <c r="R146" i="2"/>
  <c r="R178" i="2"/>
  <c r="R161" i="2"/>
  <c r="R144" i="2"/>
  <c r="R188" i="2"/>
  <c r="R209" i="2"/>
  <c r="R174" i="2"/>
  <c r="R179" i="2"/>
  <c r="R185" i="2"/>
  <c r="R200" i="2"/>
  <c r="R150" i="2"/>
  <c r="R195" i="2"/>
  <c r="R170" i="2"/>
  <c r="R180" i="2"/>
  <c r="R147" i="2"/>
  <c r="R173" i="2"/>
  <c r="R202" i="2"/>
  <c r="R203" i="2"/>
  <c r="R207" i="2"/>
  <c r="R167" i="2"/>
  <c r="R148" i="2"/>
  <c r="R192" i="2"/>
  <c r="R194" i="2"/>
  <c r="R208" i="2"/>
  <c r="R160" i="2"/>
  <c r="R162" i="2"/>
  <c r="R152" i="2"/>
  <c r="R156" i="2"/>
  <c r="R163" i="2"/>
  <c r="R176" i="2"/>
  <c r="R187" i="2"/>
  <c r="R164" i="2"/>
  <c r="R190" i="2"/>
  <c r="R186" i="2"/>
  <c r="R168" i="2"/>
  <c r="R184" i="2"/>
  <c r="R177" i="2"/>
  <c r="R151" i="2"/>
  <c r="R165" i="2"/>
  <c r="R172" i="2"/>
  <c r="R183" i="2"/>
  <c r="R198" i="2"/>
  <c r="R189" i="2"/>
  <c r="R171" i="2"/>
  <c r="R166" i="2"/>
  <c r="R182" i="2"/>
  <c r="R197" i="2"/>
  <c r="R191" i="2"/>
  <c r="R157" i="2"/>
  <c r="R153" i="2"/>
  <c r="R205" i="2"/>
  <c r="R145" i="2"/>
  <c r="R206" i="2"/>
  <c r="R204" i="2"/>
  <c r="R201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1" i="2"/>
  <c r="R143" i="2"/>
  <c r="R140" i="2"/>
  <c r="R139" i="2"/>
  <c r="R142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<sst xmlns="http://schemas.openxmlformats.org/spreadsheetml/2006/main" count="8978" uniqueCount="628">
  <si>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</si>
  <si>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</si>
  <si>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</si>
  <si>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</si>
  <si>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</si>
  <si>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</si>
  <si>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</si>
  <si>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</si>
  <si>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</si>
  <si>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</si>
  <si>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</si>
  <si>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</si>
  <si>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</si>
  <si>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</si>
  <si>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</si>
  <si>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</si>
  <si>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</si>
  <si>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</si>
  <si>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</si>
  <si>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</si>
  <si>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</si>
  <si>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</si>
  <si>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</si>
  <si>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</si>
  <si>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</si>
  <si>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</si>
  <si>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</si>
  <si>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</si>
  <si>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</si>
  <si>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</si>
  <si>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</si>
  <si>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</si>
  <si>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</si>
  <si>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</si>
  <si>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</si>
  <si>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</si>
  <si>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</si>
  <si>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</si>
  <si>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</si>
  <si>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</si>
  <si>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</si>
  <si>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</si>
  <si>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</si>
  <si>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</si>
  <si>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</si>
  <si>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</si>
  <si>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</si>
  <si>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</si>
  <si>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</si>
  <si>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</si>
  <si>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</si>
  <si>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</si>
  <si>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</si>
  <si>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</si>
  <si>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</si>
  <si>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</si>
  <si>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</si>
  <si>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</si>
  <si>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</si>
  <si>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</si>
  <si>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</si>
  <si>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</si>
  <si>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</si>
  <si>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</si>
  <si>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</si>
  <si>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</si>
  <si>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</si>
  <si>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</si>
  <si>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</si>
  <si>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</si>
  <si>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</si>
  <si>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</si>
  <si>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</si>
  <si>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</si>
  <si>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</si>
  <si>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</si>
  <si>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</si>
  <si>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</si>
  <si>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</si>
  <si>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</si>
  <si>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</si>
  <si>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</si>
  <si>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</si>
  <si>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</si>
  <si>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</si>
  <si>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</si>
  <si>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</si>
  <si>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</si>
  <si>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</si>
  <si>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</si>
  <si>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</si>
  <si>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</si>
  <si>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</si>
  <si>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</si>
  <si>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</si>
  <si>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</si>
  <si>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</si>
  <si>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</si>
  <si>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</si>
  <si>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</si>
  <si>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</si>
  <si>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</si>
  <si>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</si>
  <si>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</si>
  <si>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</si>
  <si>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</si>
  <si>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</si>
  <si>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</si>
  <si>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</si>
  <si>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</si>
  <si>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</si>
  <si>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</si>
  <si>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</si>
  <si>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</si>
  <si>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</si>
  <si>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</si>
  <si>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</si>
  <si>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</si>
  <si>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</si>
  <si>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</si>
  <si>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</si>
  <si>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</si>
  <si>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</si>
  <si>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</si>
  <si>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</si>
  <si>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</si>
  <si>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</si>
  <si>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</si>
  <si>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</si>
  <si>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</si>
  <si>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</si>
  <si>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</si>
  <si>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</si>
  <si>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</si>
  <si>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</si>
  <si>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</si>
  <si>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</si>
  <si>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</si>
  <si>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</si>
  <si>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</si>
  <si>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</si>
  <si>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</si>
  <si>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</si>
  <si>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</si>
  <si>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</si>
  <si>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</si>
  <si>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</si>
  <si>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</si>
  <si>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</si>
  <si>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</si>
  <si>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</si>
  <si>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</si>
  <si>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</si>
  <si>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</si>
  <si>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</si>
  <si>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</si>
  <si>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</si>
  <si>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</si>
  <si>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</si>
  <si>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</si>
  <si>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</si>
  <si>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</si>
  <si>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</si>
  <si>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</si>
  <si>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</si>
  <si>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</si>
  <si>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</si>
  <si>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</si>
  <si>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</si>
  <si>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</si>
  <si>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</si>
  <si>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</si>
  <si>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</si>
  <si>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</si>
  <si>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</si>
  <si>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</si>
  <si>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</si>
  <si>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</si>
  <si>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</si>
  <si>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</si>
  <si>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</si>
  <si>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</si>
  <si>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</si>
  <si>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</si>
  <si>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</si>
  <si>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</si>
  <si>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</si>
  <si>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</si>
  <si>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</si>
  <si>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</si>
  <si>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</si>
  <si>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</si>
  <si>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</si>
  <si>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</si>
  <si>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</si>
  <si>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</si>
  <si>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</si>
  <si>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</si>
  <si>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</si>
  <si>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</si>
  <si>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</si>
  <si>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</si>
  <si>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</si>
  <si>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</si>
  <si>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</si>
  <si>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</si>
  <si>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</si>
  <si>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</si>
  <si>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</si>
  <si>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</si>
  <si>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</si>
  <si>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</si>
  <si>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</si>
  <si>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</si>
  <si>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</si>
  <si>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</si>
  <si>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</si>
  <si>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</si>
  <si>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</si>
  <si>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</si>
  <si>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</si>
  <si>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</si>
  <si>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</si>
  <si>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</si>
  <si>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</si>
  <si>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</si>
  <si>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</si>
  <si>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</si>
  <si>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</si>
  <si>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</si>
  <si>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</si>
  <si>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</si>
  <si>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</si>
  <si>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</si>
  <si>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</si>
  <si>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</si>
  <si>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</si>
  <si>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</si>
  <si>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</si>
  <si>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</si>
  <si>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</si>
  <si>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</si>
  <si>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</si>
  <si>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</si>
  <si>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</si>
  <si>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</si>
  <si>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</si>
  <si>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</si>
  <si>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</si>
  <si>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</si>
  <si>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</si>
  <si>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</si>
  <si>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</si>
  <si>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</si>
  <si>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</si>
  <si>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</si>
  <si>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</si>
  <si>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</si>
  <si>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</si>
  <si>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</si>
  <si>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</si>
  <si>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</si>
  <si>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</si>
  <si>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</si>
  <si>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</si>
  <si>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</si>
  <si>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</si>
  <si>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</si>
  <si>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</si>
  <si>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</si>
  <si>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</si>
  <si>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</si>
  <si>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</si>
  <si>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</si>
  <si>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</si>
  <si>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</si>
  <si>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</si>
  <si>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</si>
  <si>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</si>
  <si>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</si>
  <si>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</si>
  <si>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</si>
  <si>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</si>
  <si>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</si>
  <si>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</si>
  <si>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</si>
  <si>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</si>
  <si>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</si>
  <si>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</si>
  <si>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</si>
  <si>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</si>
  <si>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</si>
  <si>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</si>
  <si>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</si>
  <si>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</si>
  <si>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</si>
  <si>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</si>
  <si>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</si>
  <si>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</si>
  <si>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</si>
  <si>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</si>
  <si>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</si>
  <si>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</si>
  <si>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</si>
  <si>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</si>
  <si>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</si>
  <si>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</si>
  <si>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</si>
  <si>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</si>
  <si>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</si>
  <si>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</si>
  <si>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</si>
  <si>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</si>
  <si>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</si>
  <si>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</si>
  <si>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</si>
  <si>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</si>
  <si>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</si>
  <si>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</si>
  <si>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</si>
  <si>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</si>
  <si>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</si>
  <si>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</si>
  <si>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</si>
  <si>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</si>
  <si>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</si>
  <si>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</si>
  <si>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</si>
  <si>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</si>
  <si>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</si>
  <si>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</si>
  <si>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</si>
  <si>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</si>
  <si>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</si>
  <si>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</si>
  <si>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</si>
  <si>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</si>
  <si>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</si>
  <si>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</si>
  <si>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</si>
  <si>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</si>
  <si>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</si>
  <si>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</si>
  <si>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</si>
  <si>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</si>
  <si>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</si>
  <si>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</si>
  <si>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</si>
  <si>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</si>
  <si>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</si>
  <si>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</si>
  <si>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</si>
  <si>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</si>
  <si>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</si>
  <si>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</si>
  <si>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</si>
  <si>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</si>
  <si>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</si>
  <si>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</si>
  <si>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</si>
  <si>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</si>
  <si>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</si>
  <si>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</si>
  <si>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</si>
  <si>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</si>
  <si>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</si>
  <si>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</si>
  <si>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</si>
  <si>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</si>
  <si>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</si>
  <si>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</si>
  <si>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</si>
  <si>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</si>
  <si>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</si>
  <si>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</si>
  <si>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</si>
  <si>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</si>
  <si>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</si>
  <si>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</si>
  <si>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</si>
  <si>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</si>
  <si>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</si>
  <si>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</si>
  <si>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</si>
  <si>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</si>
  <si>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</si>
  <si>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</si>
  <si>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</si>
  <si>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</si>
  <si>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</si>
  <si>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</si>
  <si>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</si>
  <si>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</si>
  <si>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</si>
  <si>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</si>
  <si>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</si>
  <si>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</si>
  <si>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</si>
  <si>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</si>
  <si>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</si>
  <si>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</si>
  <si>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</si>
  <si>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</si>
  <si>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</si>
  <si>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</si>
  <si>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</si>
  <si>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</si>
  <si>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</si>
  <si>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</si>
  <si>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</si>
  <si>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</si>
  <si>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</si>
  <si>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</si>
  <si>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</si>
  <si>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</si>
  <si>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</si>
  <si>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</si>
  <si>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</si>
  <si>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</si>
  <si>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</si>
  <si>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</si>
  <si>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</si>
  <si>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</si>
  <si>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</si>
  <si>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</si>
  <si>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</si>
  <si>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</si>
  <si>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</si>
  <si>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</si>
  <si>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</si>
  <si>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</si>
  <si>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</si>
  <si>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</si>
  <si>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</si>
  <si>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</si>
  <si>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</si>
  <si>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</si>
  <si>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</si>
  <si>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</si>
  <si>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</si>
  <si>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</si>
  <si>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</si>
  <si>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</si>
  <si>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</si>
  <si>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</si>
  <si>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</si>
  <si>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</si>
  <si>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</si>
  <si>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</si>
  <si>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</si>
  <si>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</si>
  <si>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</si>
  <si>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</si>
  <si>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</si>
  <si>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</si>
  <si>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</si>
  <si>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</si>
  <si>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</si>
  <si>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</si>
  <si>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</si>
  <si>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</si>
  <si>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</si>
  <si>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</si>
  <si>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</si>
  <si>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</si>
  <si>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</si>
  <si>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</si>
  <si>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</si>
  <si>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</si>
  <si>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</si>
  <si>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</si>
  <si>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</si>
  <si>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</si>
  <si>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</si>
  <si>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</si>
  <si>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</si>
  <si>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</si>
  <si>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</si>
  <si>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</si>
  <si>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</si>
  <si>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</si>
  <si>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</si>
  <si>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</si>
  <si>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</si>
  <si>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</si>
  <si>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</si>
  <si>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</si>
  <si>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</si>
  <si>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</si>
  <si>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</si>
  <si>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</si>
  <si>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</si>
  <si>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</si>
  <si>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</si>
  <si>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</si>
  <si>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</si>
  <si>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</si>
  <si>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</si>
  <si>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</si>
  <si>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</si>
  <si>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</si>
  <si>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</si>
  <si>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</si>
  <si>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</si>
  <si>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</si>
  <si>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</si>
  <si>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</si>
  <si>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</si>
  <si>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</si>
  <si>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</si>
  <si>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</si>
  <si>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</si>
  <si>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</si>
  <si>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</si>
  <si>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</si>
  <si>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</si>
  <si>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</si>
  <si>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</si>
  <si>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</si>
  <si>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</si>
  <si>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</si>
  <si>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</si>
  <si>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</si>
  <si>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</si>
  <si>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</si>
  <si>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</si>
  <si>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</si>
  <si>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</si>
  <si>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</si>
  <si>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</si>
  <si>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</si>
  <si>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</si>
  <si>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</si>
  <si>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</si>
  <si>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</si>
  <si>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</si>
  <si>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</si>
  <si>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</si>
  <si>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</si>
  <si>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</si>
  <si>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</si>
  <si>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</si>
  <si>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</si>
  <si>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</si>
  <si>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</si>
  <si>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</si>
  <si>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</si>
  <si>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</si>
  <si>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</si>
  <si>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</si>
  <si>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</si>
  <si>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</si>
  <si>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</si>
  <si>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</si>
  <si>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</si>
  <si>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</si>
  <si>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</si>
  <si>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</si>
  <si>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</si>
  <si>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</si>
  <si>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</si>
  <si>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</si>
  <si>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</si>
  <si>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</si>
  <si>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</si>
  <si>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</si>
  <si>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</si>
  <si>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</si>
  <si>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</si>
  <si>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</si>
  <si>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</si>
  <si>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</si>
  <si>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</si>
  <si>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</si>
  <si>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</si>
  <si>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</si>
  <si>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</si>
  <si>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</si>
  <si>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</si>
  <si>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</si>
  <si>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</si>
  <si>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</si>
  <si>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</si>
  <si>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</si>
  <si>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</si>
  <si>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</si>
  <si>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</si>
  <si>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</si>
  <si>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</si>
  <si>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</si>
  <si>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</si>
  <si>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</si>
  <si>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</si>
  <si>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</si>
  <si>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</si>
  <si>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</si>
  <si>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</si>
  <si>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</si>
  <si>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</si>
  <si>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</si>
  <si>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</si>
  <si>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</si>
  <si>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</si>
  <si>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</si>
  <si>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</si>
  <si>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</si>
  <si>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</si>
  <si>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</si>
  <si>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</si>
  <si>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</si>
  <si>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</si>
  <si>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</si>
  <si>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</si>
  <si>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</si>
  <si>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</si>
  <si>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</si>
  <si>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</si>
  <si>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</si>
  <si>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</si>
  <si>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</si>
  <si>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</si>
  <si>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</si>
  <si>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</si>
  <si>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</si>
  <si>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</si>
  <si>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</si>
  <si>
    <t>Mexico</t>
  </si>
  <si>
    <t>Bosnien-Herzog.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</si>
</sst>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Normal="100" workbookViewId="0">
      <pane xSplit="8" ySplit="4" topLeftCell="I72" activePane="bottomRight" state="frozen"/>
      <selection pane="topRight" activeCell="I1" sqref="I1"/>
      <selection pane="bottomLeft" activeCell="A5" sqref="A5"/>
      <selection pane="bottomRight" activeCell="E87" sqref="E87"/>
    </sheetView>
  </sheetViews>
  <sheetFormatPr baseColWidth="10" defaultColWidth="4.1640625" defaultRowHeight="13" x14ac:dyDescent="0.15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 x14ac:dyDescent="0.2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 x14ac:dyDescent="0.15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 x14ac:dyDescent="0.2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138.6</v>
      </c>
      <c r="P3" s="19"/>
      <c r="Q3" s="20" t="s">
        <v>1</v>
      </c>
      <c r="R3" s="21"/>
      <c r="S3" s="21"/>
      <c r="T3" s="21"/>
      <c r="U3" s="21"/>
      <c r="V3" s="77">
        <f>SUM(U6:U132)</f>
        <v>141.69999999999999</v>
      </c>
      <c r="X3" s="20" t="s">
        <v>1</v>
      </c>
      <c r="Y3" s="21"/>
      <c r="Z3" s="21"/>
      <c r="AA3" s="21"/>
      <c r="AB3" s="21"/>
      <c r="AC3" s="77">
        <f>SUM(AB6:AB132)</f>
        <v>138</v>
      </c>
      <c r="AE3" s="20" t="s">
        <v>1</v>
      </c>
      <c r="AF3" s="21"/>
      <c r="AG3" s="21"/>
      <c r="AH3" s="21"/>
      <c r="AI3" s="21"/>
      <c r="AJ3" s="77">
        <f>SUM(AI6:AI132)</f>
        <v>120.2</v>
      </c>
      <c r="AL3" s="20" t="s">
        <v>1</v>
      </c>
      <c r="AM3" s="21"/>
      <c r="AN3" s="21"/>
      <c r="AO3" s="21"/>
      <c r="AP3" s="21"/>
      <c r="AQ3" s="77">
        <f>SUM(AP6:AP132)</f>
        <v>173.8</v>
      </c>
      <c r="AS3" s="20" t="s">
        <v>1</v>
      </c>
      <c r="AT3" s="21"/>
      <c r="AU3" s="21"/>
      <c r="AV3" s="21"/>
      <c r="AW3" s="21"/>
      <c r="AX3" s="77">
        <f>SUM(AW6:AW132)</f>
        <v>156.1</v>
      </c>
      <c r="AZ3" s="20" t="s">
        <v>1</v>
      </c>
      <c r="BA3" s="21"/>
      <c r="BB3" s="21"/>
      <c r="BC3" s="21"/>
      <c r="BD3" s="21"/>
      <c r="BE3" s="77">
        <f>SUM(BD6:BD132)</f>
        <v>137.19999999999996</v>
      </c>
      <c r="BG3" s="20" t="s">
        <v>1</v>
      </c>
      <c r="BH3" s="21"/>
      <c r="BI3" s="21"/>
      <c r="BJ3" s="21"/>
      <c r="BK3" s="21"/>
      <c r="BL3" s="77">
        <f>SUM(BK6:BK132)</f>
        <v>148.4</v>
      </c>
      <c r="BN3" s="20" t="s">
        <v>1</v>
      </c>
      <c r="BO3" s="21"/>
      <c r="BP3" s="21"/>
      <c r="BQ3" s="21"/>
      <c r="BR3" s="21"/>
      <c r="BS3" s="77">
        <f>SUM(BR6:BR132)</f>
        <v>138.60000000000002</v>
      </c>
      <c r="BU3" s="20" t="s">
        <v>1</v>
      </c>
      <c r="BV3" s="21"/>
      <c r="BW3" s="21"/>
      <c r="BX3" s="21"/>
      <c r="BY3" s="21"/>
      <c r="BZ3" s="77">
        <f>SUM(BY6:BY132)</f>
        <v>142.20000000000002</v>
      </c>
      <c r="CB3" s="20" t="s">
        <v>1</v>
      </c>
      <c r="CC3" s="21"/>
      <c r="CD3" s="21"/>
      <c r="CE3" s="21"/>
      <c r="CF3" s="21"/>
      <c r="CG3" s="77">
        <f>SUM(CF6:CF132)</f>
        <v>122.60000000000001</v>
      </c>
      <c r="CI3" s="20" t="s">
        <v>1</v>
      </c>
      <c r="CJ3" s="21"/>
      <c r="CK3" s="21"/>
      <c r="CL3" s="21"/>
      <c r="CM3" s="21"/>
      <c r="CN3" s="77">
        <f>SUM(CM6:CM132)</f>
        <v>138.89999999999998</v>
      </c>
      <c r="CP3" s="20" t="s">
        <v>1</v>
      </c>
      <c r="CQ3" s="21"/>
      <c r="CR3" s="21"/>
      <c r="CS3" s="21"/>
      <c r="CT3" s="21"/>
      <c r="CU3" s="77">
        <f>SUM(CT6:CT132)</f>
        <v>156.19999999999999</v>
      </c>
      <c r="CW3" s="20" t="s">
        <v>1</v>
      </c>
      <c r="CX3" s="21"/>
      <c r="CY3" s="21"/>
      <c r="CZ3" s="21"/>
      <c r="DA3" s="21"/>
      <c r="DB3" s="77">
        <f>SUM(DA6:DA132)</f>
        <v>156.20000000000002</v>
      </c>
      <c r="DD3" s="20" t="s">
        <v>1</v>
      </c>
      <c r="DE3" s="21"/>
      <c r="DF3" s="21"/>
      <c r="DG3" s="21"/>
      <c r="DH3" s="21"/>
      <c r="DI3" s="77">
        <f>SUM(DH6:DH132)</f>
        <v>142.80000000000001</v>
      </c>
      <c r="DK3" s="20" t="s">
        <v>1</v>
      </c>
      <c r="DL3" s="21"/>
      <c r="DM3" s="21"/>
      <c r="DN3" s="21"/>
      <c r="DO3" s="21"/>
      <c r="DP3" s="77">
        <f>SUM(DO6:DO132)</f>
        <v>151.6</v>
      </c>
      <c r="DR3" s="20" t="s">
        <v>1</v>
      </c>
      <c r="DS3" s="21"/>
      <c r="DT3" s="21"/>
      <c r="DU3" s="21"/>
      <c r="DV3" s="21"/>
      <c r="DW3" s="77">
        <f>SUM(DV6:DV132)</f>
        <v>166.20000000000002</v>
      </c>
      <c r="DY3" s="20" t="s">
        <v>1</v>
      </c>
      <c r="DZ3" s="21"/>
      <c r="EA3" s="21"/>
      <c r="EB3" s="21"/>
      <c r="EC3" s="21"/>
      <c r="ED3" s="77">
        <f>SUM(EC6:EC132)</f>
        <v>144.20000000000005</v>
      </c>
      <c r="EF3" s="20" t="s">
        <v>1</v>
      </c>
      <c r="EG3" s="21"/>
      <c r="EH3" s="21"/>
      <c r="EI3" s="21"/>
      <c r="EJ3" s="21"/>
      <c r="EK3" s="77">
        <f>SUM(EJ6:EJ132)</f>
        <v>137</v>
      </c>
      <c r="EM3" s="20" t="s">
        <v>1</v>
      </c>
      <c r="EN3" s="21"/>
      <c r="EO3" s="21"/>
      <c r="EP3" s="21"/>
      <c r="EQ3" s="21"/>
      <c r="ER3" s="77">
        <f>SUM(EQ6:EQ132)</f>
        <v>153.19999999999999</v>
      </c>
      <c r="ET3" s="20" t="s">
        <v>1</v>
      </c>
      <c r="EU3" s="21"/>
      <c r="EV3" s="21"/>
      <c r="EW3" s="21"/>
      <c r="EX3" s="21"/>
      <c r="EY3" s="77">
        <f>SUM(EX6:EX132)</f>
        <v>137.5</v>
      </c>
      <c r="FA3" s="20" t="s">
        <v>1</v>
      </c>
      <c r="FB3" s="21"/>
      <c r="FC3" s="21"/>
      <c r="FD3" s="21"/>
      <c r="FE3" s="21"/>
      <c r="FF3" s="77">
        <f>SUM(FE6:FE132)</f>
        <v>157.79999999999998</v>
      </c>
      <c r="FH3" s="20" t="s">
        <v>1</v>
      </c>
      <c r="FI3" s="21"/>
      <c r="FJ3" s="21"/>
      <c r="FK3" s="21"/>
      <c r="FL3" s="21"/>
      <c r="FM3" s="77">
        <f>SUM(FL6:FL132)</f>
        <v>169.8</v>
      </c>
      <c r="FO3" s="20" t="s">
        <v>1</v>
      </c>
      <c r="FP3" s="21"/>
      <c r="FQ3" s="21"/>
      <c r="FR3" s="21"/>
      <c r="FS3" s="21"/>
      <c r="FT3" s="77">
        <f>SUM(FS6:FS132)</f>
        <v>140.10000000000002</v>
      </c>
      <c r="FV3" s="20" t="s">
        <v>1</v>
      </c>
      <c r="FW3" s="21"/>
      <c r="FX3" s="21"/>
      <c r="FY3" s="21"/>
      <c r="FZ3" s="21"/>
      <c r="GA3" s="77">
        <f>SUM(FZ6:FZ132)</f>
        <v>132.39999999999998</v>
      </c>
      <c r="GC3" s="20" t="s">
        <v>1</v>
      </c>
      <c r="GD3" s="21"/>
      <c r="GE3" s="21"/>
      <c r="GF3" s="21"/>
      <c r="GG3" s="21"/>
      <c r="GH3" s="77">
        <f>SUM(GG6:GG132)</f>
        <v>138.10000000000002</v>
      </c>
      <c r="GJ3" s="20" t="s">
        <v>1</v>
      </c>
      <c r="GK3" s="21"/>
      <c r="GL3" s="21"/>
      <c r="GM3" s="21"/>
      <c r="GN3" s="21"/>
      <c r="GO3" s="77">
        <f>SUM(GN6:GN132)</f>
        <v>164.4</v>
      </c>
      <c r="GQ3" s="20" t="s">
        <v>1</v>
      </c>
      <c r="GR3" s="21"/>
      <c r="GS3" s="21"/>
      <c r="GT3" s="21"/>
      <c r="GU3" s="21"/>
      <c r="GV3" s="77">
        <f>SUM(GU6:GU132)</f>
        <v>148.89999999999998</v>
      </c>
      <c r="GX3" s="20" t="s">
        <v>1</v>
      </c>
      <c r="GY3" s="21"/>
      <c r="GZ3" s="21"/>
      <c r="HA3" s="21"/>
      <c r="HB3" s="21"/>
      <c r="HC3" s="77">
        <f>SUM(HB6:HB132)</f>
        <v>164.00000000000003</v>
      </c>
      <c r="HE3" s="20" t="s">
        <v>1</v>
      </c>
      <c r="HF3" s="21"/>
      <c r="HG3" s="21"/>
      <c r="HH3" s="21"/>
      <c r="HI3" s="21"/>
      <c r="HJ3" s="77">
        <f>SUM(HI6:HI132)</f>
        <v>152.30000000000001</v>
      </c>
      <c r="HL3" s="20" t="s">
        <v>1</v>
      </c>
      <c r="HM3" s="21"/>
      <c r="HN3" s="21"/>
      <c r="HO3" s="21"/>
      <c r="HP3" s="21"/>
      <c r="HQ3" s="77">
        <f>SUM(HP6:HP132)</f>
        <v>154.60000000000002</v>
      </c>
      <c r="HS3" s="20" t="s">
        <v>1</v>
      </c>
      <c r="HT3" s="21"/>
      <c r="HU3" s="21"/>
      <c r="HV3" s="21"/>
      <c r="HW3" s="21"/>
      <c r="HX3" s="77">
        <f>SUM(HW6:HW132)</f>
        <v>153.00000000000003</v>
      </c>
      <c r="HZ3" s="20" t="s">
        <v>1</v>
      </c>
      <c r="IA3" s="21"/>
      <c r="IB3" s="21"/>
      <c r="IC3" s="21"/>
      <c r="ID3" s="21"/>
      <c r="IE3" s="77">
        <f>SUM(ID6:ID132)</f>
        <v>151.19999999999999</v>
      </c>
      <c r="IG3" s="20" t="s">
        <v>1</v>
      </c>
      <c r="IH3" s="21"/>
      <c r="II3" s="21"/>
      <c r="IJ3" s="21"/>
      <c r="IK3" s="21"/>
      <c r="IL3" s="77">
        <f>SUM(IK6:IK132)</f>
        <v>83</v>
      </c>
      <c r="IN3" s="20" t="s">
        <v>1</v>
      </c>
      <c r="IO3" s="21"/>
      <c r="IP3" s="21"/>
      <c r="IQ3" s="21"/>
      <c r="IR3" s="21"/>
      <c r="IS3" s="77">
        <f>SUM(IR6:IR132)</f>
        <v>150.9</v>
      </c>
      <c r="IU3" s="20" t="s">
        <v>1</v>
      </c>
      <c r="IV3" s="21"/>
      <c r="IW3" s="21"/>
      <c r="IX3" s="21"/>
      <c r="IY3" s="21"/>
      <c r="IZ3" s="77">
        <f>SUM(IY6:IY132)</f>
        <v>165.7</v>
      </c>
      <c r="JB3" s="20" t="s">
        <v>1</v>
      </c>
      <c r="JC3" s="21"/>
      <c r="JD3" s="21"/>
      <c r="JE3" s="21"/>
      <c r="JF3" s="21"/>
      <c r="JG3" s="77">
        <f>SUM(JF6:JF132)</f>
        <v>144.30000000000001</v>
      </c>
      <c r="JI3" s="20" t="s">
        <v>1</v>
      </c>
      <c r="JJ3" s="21"/>
      <c r="JK3" s="21"/>
      <c r="JL3" s="21"/>
      <c r="JM3" s="21"/>
      <c r="JN3" s="77">
        <f>SUM(JM6:JM132)</f>
        <v>147.1</v>
      </c>
      <c r="JP3" s="20" t="s">
        <v>1</v>
      </c>
      <c r="JQ3" s="21"/>
      <c r="JR3" s="21"/>
      <c r="JS3" s="21"/>
      <c r="JT3" s="21"/>
      <c r="JU3" s="77">
        <f>SUM(JT6:JT132)</f>
        <v>138.69999999999999</v>
      </c>
      <c r="JW3" s="20" t="s">
        <v>1</v>
      </c>
      <c r="JX3" s="21"/>
      <c r="JY3" s="21"/>
      <c r="JZ3" s="21"/>
      <c r="KA3" s="21"/>
      <c r="KB3" s="77">
        <f>SUM(KA6:KA132)</f>
        <v>118.00000000000001</v>
      </c>
      <c r="KD3" s="20" t="s">
        <v>1</v>
      </c>
      <c r="KE3" s="21"/>
      <c r="KF3" s="21"/>
      <c r="KG3" s="21"/>
      <c r="KH3" s="21"/>
      <c r="KI3" s="77">
        <f>SUM(KH6:KH132)</f>
        <v>145.19999999999999</v>
      </c>
      <c r="KK3" s="20" t="s">
        <v>1</v>
      </c>
      <c r="KL3" s="21"/>
      <c r="KM3" s="21"/>
      <c r="KN3" s="21"/>
      <c r="KO3" s="21"/>
      <c r="KP3" s="77">
        <f>SUM(KO6:KO132)</f>
        <v>139.6</v>
      </c>
      <c r="KR3" s="20" t="s">
        <v>1</v>
      </c>
      <c r="KS3" s="21"/>
      <c r="KT3" s="21"/>
      <c r="KU3" s="21"/>
      <c r="KV3" s="21"/>
      <c r="KW3" s="77">
        <f>SUM(KV6:KV132)</f>
        <v>136.80000000000001</v>
      </c>
      <c r="KY3" s="20" t="s">
        <v>1</v>
      </c>
      <c r="KZ3" s="21"/>
      <c r="LA3" s="21"/>
      <c r="LB3" s="21"/>
      <c r="LC3" s="21"/>
      <c r="LD3" s="77">
        <f>SUM(LC6:LC132)</f>
        <v>133.9</v>
      </c>
      <c r="LF3" s="20" t="s">
        <v>1</v>
      </c>
      <c r="LG3" s="21"/>
      <c r="LH3" s="21"/>
      <c r="LI3" s="21"/>
      <c r="LJ3" s="21"/>
      <c r="LK3" s="77">
        <f>SUM(LJ6:LJ132)</f>
        <v>155.29999999999998</v>
      </c>
      <c r="LM3" s="20" t="s">
        <v>1</v>
      </c>
      <c r="LN3" s="21"/>
      <c r="LO3" s="21"/>
      <c r="LP3" s="21"/>
      <c r="LQ3" s="21"/>
      <c r="LR3" s="77">
        <f>SUM(LQ6:LQ132)</f>
        <v>142.20000000000002</v>
      </c>
      <c r="LT3" s="20" t="s">
        <v>1</v>
      </c>
      <c r="LU3" s="21"/>
      <c r="LV3" s="21"/>
      <c r="LW3" s="21"/>
      <c r="LX3" s="21"/>
      <c r="LY3" s="77">
        <f>SUM(LX6:LX132)</f>
        <v>156.5</v>
      </c>
      <c r="MA3" s="20" t="s">
        <v>1</v>
      </c>
      <c r="MB3" s="21"/>
      <c r="MC3" s="21"/>
      <c r="MD3" s="21"/>
      <c r="ME3" s="21"/>
      <c r="MF3" s="77">
        <f>SUM(ME6:ME132)</f>
        <v>128.5</v>
      </c>
      <c r="MH3" s="20" t="s">
        <v>1</v>
      </c>
      <c r="MI3" s="21"/>
      <c r="MJ3" s="21"/>
      <c r="MK3" s="21"/>
      <c r="ML3" s="21"/>
      <c r="MM3" s="77">
        <f>SUM(ML6:ML132)</f>
        <v>146.9</v>
      </c>
      <c r="MO3" s="20" t="s">
        <v>1</v>
      </c>
      <c r="MP3" s="21"/>
      <c r="MQ3" s="21"/>
      <c r="MR3" s="21"/>
      <c r="MS3" s="21"/>
      <c r="MT3" s="77">
        <f>SUM(MS6:MS132)</f>
        <v>134.4</v>
      </c>
      <c r="MV3" s="20" t="s">
        <v>1</v>
      </c>
      <c r="MW3" s="21"/>
      <c r="MX3" s="21"/>
      <c r="MY3" s="21"/>
      <c r="MZ3" s="21"/>
      <c r="NA3" s="77">
        <f>SUM(MZ6:MZ132)</f>
        <v>156.5</v>
      </c>
      <c r="NC3" s="20" t="s">
        <v>1</v>
      </c>
      <c r="ND3" s="21"/>
      <c r="NE3" s="21"/>
      <c r="NF3" s="21"/>
      <c r="NG3" s="21"/>
      <c r="NH3" s="77">
        <f>SUM(NG6:NG132)</f>
        <v>115.4</v>
      </c>
      <c r="NJ3" s="20" t="s">
        <v>1</v>
      </c>
      <c r="NK3" s="21"/>
      <c r="NL3" s="21"/>
      <c r="NM3" s="21"/>
      <c r="NN3" s="21"/>
      <c r="NO3" s="77">
        <f>SUM(NN6:NN132)</f>
        <v>71.399999999999991</v>
      </c>
      <c r="NQ3" s="20" t="s">
        <v>1</v>
      </c>
      <c r="NR3" s="21"/>
      <c r="NS3" s="21"/>
      <c r="NT3" s="21"/>
      <c r="NU3" s="21"/>
      <c r="NV3" s="77">
        <f>SUM(NU6:NU132)</f>
        <v>126.19999999999999</v>
      </c>
      <c r="NX3" s="20" t="s">
        <v>1</v>
      </c>
      <c r="NY3" s="21"/>
      <c r="NZ3" s="21"/>
      <c r="OA3" s="21"/>
      <c r="OB3" s="21"/>
      <c r="OC3" s="77">
        <f>SUM(OB6:OB132)</f>
        <v>171.8</v>
      </c>
      <c r="OE3" s="20" t="s">
        <v>1</v>
      </c>
      <c r="OF3" s="21"/>
      <c r="OG3" s="21"/>
      <c r="OH3" s="21"/>
      <c r="OI3" s="21"/>
      <c r="OJ3" s="77">
        <f>SUM(OI6:OI132)</f>
        <v>138.39999999999998</v>
      </c>
      <c r="OL3" s="20" t="s">
        <v>1</v>
      </c>
      <c r="OM3" s="21"/>
      <c r="ON3" s="21"/>
      <c r="OO3" s="21"/>
      <c r="OP3" s="21"/>
      <c r="OQ3" s="77">
        <f>SUM(OP6:OP132)</f>
        <v>142.6</v>
      </c>
      <c r="OS3" s="20" t="s">
        <v>1</v>
      </c>
      <c r="OT3" s="21"/>
      <c r="OU3" s="21"/>
      <c r="OV3" s="21"/>
      <c r="OW3" s="21"/>
      <c r="OX3" s="77">
        <f>SUM(OW6:OW132)</f>
        <v>109.50000000000001</v>
      </c>
      <c r="OZ3" s="20" t="s">
        <v>1</v>
      </c>
      <c r="PA3" s="21"/>
      <c r="PB3" s="21"/>
      <c r="PC3" s="21"/>
      <c r="PD3" s="21"/>
      <c r="PE3" s="77">
        <f>SUM(PD6:PD132)</f>
        <v>151.6</v>
      </c>
      <c r="PG3" s="20" t="s">
        <v>1</v>
      </c>
      <c r="PH3" s="21"/>
      <c r="PI3" s="21"/>
      <c r="PJ3" s="21"/>
      <c r="PK3" s="21"/>
      <c r="PL3" s="77">
        <f>SUM(PK6:PK132)</f>
        <v>150.19999999999999</v>
      </c>
      <c r="PN3" s="20" t="s">
        <v>1</v>
      </c>
      <c r="PO3" s="21"/>
      <c r="PP3" s="21"/>
      <c r="PQ3" s="21"/>
      <c r="PR3" s="21"/>
      <c r="PS3" s="77">
        <f>SUM(PR6:PR132)</f>
        <v>157.79999999999998</v>
      </c>
      <c r="PU3" s="20" t="s">
        <v>1</v>
      </c>
      <c r="PV3" s="21"/>
      <c r="PW3" s="21"/>
      <c r="PX3" s="21"/>
      <c r="PY3" s="21"/>
      <c r="PZ3" s="77">
        <f>SUM(PY6:PY132)</f>
        <v>97.6</v>
      </c>
      <c r="QB3" s="20" t="s">
        <v>1</v>
      </c>
      <c r="QC3" s="21"/>
      <c r="QD3" s="21"/>
      <c r="QE3" s="21"/>
      <c r="QF3" s="21"/>
      <c r="QG3" s="77">
        <f>SUM(QF6:QF132)</f>
        <v>137</v>
      </c>
      <c r="QI3" s="20" t="s">
        <v>1</v>
      </c>
      <c r="QJ3" s="21"/>
      <c r="QK3" s="21"/>
      <c r="QL3" s="21"/>
      <c r="QM3" s="21"/>
      <c r="QN3" s="77">
        <f>SUM(QM6:QM132)</f>
        <v>150.69999999999996</v>
      </c>
      <c r="QP3" s="20" t="s">
        <v>1</v>
      </c>
      <c r="QQ3" s="21"/>
      <c r="QR3" s="21"/>
      <c r="QS3" s="21"/>
      <c r="QT3" s="21"/>
      <c r="QU3" s="77">
        <f>SUM(QT6:QT132)</f>
        <v>130.80000000000001</v>
      </c>
      <c r="QW3" s="20" t="s">
        <v>1</v>
      </c>
      <c r="QX3" s="21"/>
      <c r="QY3" s="21"/>
      <c r="QZ3" s="21"/>
      <c r="RA3" s="21"/>
      <c r="RB3" s="77">
        <f>SUM(RA6:RA132)</f>
        <v>100.1</v>
      </c>
      <c r="RD3" s="20" t="s">
        <v>1</v>
      </c>
      <c r="RE3" s="21"/>
      <c r="RF3" s="21"/>
      <c r="RG3" s="21"/>
      <c r="RH3" s="21"/>
      <c r="RI3" s="77">
        <f>SUM(RH6:RH132)</f>
        <v>26.499999999999996</v>
      </c>
      <c r="RK3" s="20" t="s">
        <v>1</v>
      </c>
      <c r="RL3" s="21"/>
      <c r="RM3" s="21"/>
      <c r="RN3" s="21"/>
      <c r="RO3" s="21"/>
      <c r="RP3" s="77">
        <f>SUM(RO6:RO132)</f>
        <v>122.4</v>
      </c>
      <c r="RR3" s="20" t="s">
        <v>1</v>
      </c>
      <c r="RS3" s="21"/>
      <c r="RT3" s="21"/>
      <c r="RU3" s="21"/>
      <c r="RV3" s="21"/>
      <c r="RW3" s="77">
        <f>SUM(RV6:RV132)</f>
        <v>135.20000000000002</v>
      </c>
      <c r="RY3" s="20" t="s">
        <v>1</v>
      </c>
      <c r="RZ3" s="21"/>
      <c r="SA3" s="21"/>
      <c r="SB3" s="21"/>
      <c r="SC3" s="21"/>
      <c r="SD3" s="77">
        <f>SUM(SC6:SC132)</f>
        <v>123</v>
      </c>
      <c r="SF3" s="20" t="s">
        <v>1</v>
      </c>
      <c r="SG3" s="21"/>
      <c r="SH3" s="21"/>
      <c r="SI3" s="21"/>
      <c r="SJ3" s="21"/>
      <c r="SK3" s="77">
        <f>SUM(SJ6:SJ132)</f>
        <v>103.90000000000002</v>
      </c>
      <c r="SM3" s="20" t="s">
        <v>1</v>
      </c>
      <c r="SN3" s="21"/>
      <c r="SO3" s="21"/>
      <c r="SP3" s="21"/>
      <c r="SQ3" s="21"/>
      <c r="SR3" s="77">
        <f>SUM(SQ6:SQ132)</f>
        <v>131.1</v>
      </c>
    </row>
    <row r="4" spans="1:512" customFormat="1" x14ac:dyDescent="0.15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 x14ac:dyDescent="0.2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 x14ac:dyDescent="0.2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 x14ac:dyDescent="0.2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 x14ac:dyDescent="0.2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 x14ac:dyDescent="0.2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 x14ac:dyDescent="0.2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 x14ac:dyDescent="0.2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 x14ac:dyDescent="0.2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 x14ac:dyDescent="0.2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 x14ac:dyDescent="0.2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 x14ac:dyDescent="0.2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 x14ac:dyDescent="0.2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 x14ac:dyDescent="0.2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 x14ac:dyDescent="0.2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 x14ac:dyDescent="0.2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 x14ac:dyDescent="0.2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 x14ac:dyDescent="0.2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 x14ac:dyDescent="0.2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 x14ac:dyDescent="0.2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 x14ac:dyDescent="0.2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 x14ac:dyDescent="0.2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 x14ac:dyDescent="0.2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 x14ac:dyDescent="0.2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 x14ac:dyDescent="0.2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 x14ac:dyDescent="0.2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 x14ac:dyDescent="0.15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 x14ac:dyDescent="0.15">
      <c r="A31" s="34">
        <v>46191</v>
      </c>
      <c r="B31" s="35">
        <v>0.75</v>
      </c>
      <c r="C31" s="79" t="s">
        <v>26</v>
      </c>
      <c r="D31" s="80" t="s">
        <v>29</v>
      </c>
      <c r="E31" s="2">
        <v>1</v>
      </c>
      <c r="F31" s="50" t="s">
        <v>4</v>
      </c>
      <c r="G31" s="1">
        <v>1</v>
      </c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>
        <f t="shared" si="1"/>
        <v>0</v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>
        <f t="shared" ref="U31:U54" si="145">IF(OR($G31="",S31=""),"",IF(AND($E31=Q31,$G31=S31),$H31*1.5,IF(AND($I31&gt;0,V31&gt;0),$H31,IF(AND($I31&lt;0,V31&lt;0),$H31,IF(AND($I31=0,V31=0),$H31,0)))))</f>
        <v>0</v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>
        <f t="shared" ref="AB31:AB54" si="147">IF(OR($G31="",Z31=""),"",IF(AND($E31=X31,$G31=Z31),$H31*1.5,IF(AND($I31&gt;0,AC31&gt;0),$H31,IF(AND($I31&lt;0,AC31&lt;0),$H31,IF(AND($I31=0,AC31=0),$H31,0)))))</f>
        <v>0</v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>
        <f t="shared" ref="AI31:AI54" si="149">IF(OR($G31="",AG31=""),"",IF(AND($E31=AE31,$G31=AG31),$H31*1.5,IF(AND($I31&gt;0,AJ31&gt;0),$H31,IF(AND($I31&lt;0,AJ31&lt;0),$H31,IF(AND($I31=0,AJ31=0),$H31,0)))))</f>
        <v>2.4</v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>
        <f t="shared" ref="AP31:AP54" si="151">IF(OR($G31="",AN31=""),"",IF(AND($E31=AL31,$G31=AN31),$H31*1.5,IF(AND($I31&gt;0,AQ31&gt;0),$H31,IF(AND($I31&lt;0,AQ31&lt;0),$H31,IF(AND($I31=0,AQ31=0),$H31,0)))))</f>
        <v>3.5999999999999996</v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>
        <f t="shared" ref="AW31:AW54" si="153">IF(OR($G31="",AU31=""),"",IF(AND($E31=AS31,$G31=AU31),$H31*1.5,IF(AND($I31&gt;0,AX31&gt;0),$H31,IF(AND($I31&lt;0,AX31&lt;0),$H31,IF(AND($I31=0,AX31=0),$H31,0)))))</f>
        <v>0</v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>
        <f t="shared" ref="BD31:BD54" si="155">IF(OR($G31="",BB31=""),"",IF(AND($E31=AZ31,$G31=BB31),$H31*1.5,IF(AND($I31&gt;0,BE31&gt;0),$H31,IF(AND($I31&lt;0,BE31&lt;0),$H31,IF(AND($I31=0,BE31=0),$H31,0)))))</f>
        <v>0</v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>
        <f t="shared" ref="BK31:BK54" si="157">IF(OR($G31="",BI31=""),"",IF(AND($E31=BG31,$G31=BI31),$H31*1.5,IF(AND($I31&gt;0,BL31&gt;0),$H31,IF(AND($I31&lt;0,BL31&lt;0),$H31,IF(AND($I31=0,BL31=0),$H31,0)))))</f>
        <v>0</v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>
        <f t="shared" ref="BR31:BR54" si="159">IF(OR($G31="",BP31=""),"",IF(AND($E31=BN31,$G31=BP31),$H31*1.5,IF(AND($I31&gt;0,BS31&gt;0),$H31,IF(AND($I31&lt;0,BS31&lt;0),$H31,IF(AND($I31=0,BS31=0),$H31,0)))))</f>
        <v>3.5999999999999996</v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>
        <f t="shared" ref="BY31:BY54" si="161">IF(OR($G31="",BW31=""),"",IF(AND($E31=BU31,$G31=BW31),$H31*1.5,IF(AND($I31&gt;0,BZ31&gt;0),$H31,IF(AND($I31&lt;0,BZ31&lt;0),$H31,IF(AND($I31=0,BZ31=0),$H31,0)))))</f>
        <v>3.5999999999999996</v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>
        <f t="shared" ref="CF31:CF54" si="163">IF(OR($G31="",CD31=""),"",IF(AND($E31=CB31,$G31=CD31),$H31*1.5,IF(AND($I31&gt;0,CG31&gt;0),$H31,IF(AND($I31&lt;0,CG31&lt;0),$H31,IF(AND($I31=0,CG31=0),$H31,0)))))</f>
        <v>0</v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>
        <f t="shared" ref="CM31:CM54" si="165">IF(OR($G31="",CK31=""),"",IF(AND($E31=CI31,$G31=CK31),$H31*1.5,IF(AND($I31&gt;0,CN31&gt;0),$H31,IF(AND($I31&lt;0,CN31&lt;0),$H31,IF(AND($I31=0,CN31=0),$H31,0)))))</f>
        <v>0</v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>
        <f t="shared" ref="CT31:CT54" si="167">IF(OR($G31="",CR31=""),"",IF(AND($E31=CP31,$G31=CR31),$H31*1.5,IF(AND($I31&gt;0,CU31&gt;0),$H31,IF(AND($I31&lt;0,CU31&lt;0),$H31,IF(AND($I31=0,CU31=0),$H31,0)))))</f>
        <v>0</v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>
        <f t="shared" ref="DA31:DA54" si="169">IF(OR($G31="",CY31=""),"",IF(AND($E31=CW31,$G31=CY31),$H31*1.5,IF(AND($I31&gt;0,DB31&gt;0),$H31,IF(AND($I31&lt;0,DB31&lt;0),$H31,IF(AND($I31=0,DB31=0),$H31,0)))))</f>
        <v>3.5999999999999996</v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>
        <f t="shared" ref="DH31:DH54" si="171">IF(OR($G31="",DF31=""),"",IF(AND($E31=DD31,$G31=DF31),$H31*1.5,IF(AND($I31&gt;0,DI31&gt;0),$H31,IF(AND($I31&lt;0,DI31&lt;0),$H31,IF(AND($I31=0,DI31=0),$H31,0)))))</f>
        <v>0</v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>
        <f t="shared" ref="DO31:DO54" si="173">IF(OR($G31="",DM31=""),"",IF(AND($E31=DK31,$G31=DM31),$H31*1.5,IF(AND($I31&gt;0,DP31&gt;0),$H31,IF(AND($I31&lt;0,DP31&lt;0),$H31,IF(AND($I31=0,DP31=0),$H31,0)))))</f>
        <v>3.5999999999999996</v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>
        <f t="shared" ref="DV31:DV54" si="175">IF(OR($G31="",DT31=""),"",IF(AND($E31=DR31,$G31=DT31),$H31*1.5,IF(AND($I31&gt;0,DW31&gt;0),$H31,IF(AND($I31&lt;0,DW31&lt;0),$H31,IF(AND($I31=0,DW31=0),$H31,0)))))</f>
        <v>0</v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>
        <f t="shared" ref="EC31:EC54" si="177">IF(OR($G31="",EA31=""),"",IF(AND($E31=DY31,$G31=EA31),$H31*1.5,IF(AND($I31&gt;0,ED31&gt;0),$H31,IF(AND($I31&lt;0,ED31&lt;0),$H31,IF(AND($I31=0,ED31=0),$H31,0)))))</f>
        <v>3.5999999999999996</v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>
        <f t="shared" ref="EJ31:EJ54" si="179">IF(OR($G31="",EH31=""),"",IF(AND($E31=EF31,$G31=EH31),$H31*1.5,IF(AND($I31&gt;0,EK31&gt;0),$H31,IF(AND($I31&lt;0,EK31&lt;0),$H31,IF(AND($I31=0,EK31=0),$H31,0)))))</f>
        <v>3.5999999999999996</v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>
        <f t="shared" ref="EQ31:EQ54" si="181">IF(OR($G31="",EO31=""),"",IF(AND($E31=EM31,$G31=EO31),$H31*1.5,IF(AND($I31&gt;0,ER31&gt;0),$H31,IF(AND($I31&lt;0,ER31&lt;0),$H31,IF(AND($I31=0,ER31=0),$H31,0)))))</f>
        <v>0</v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>
        <f t="shared" ref="EX31:EX54" si="183">IF(OR($G31="",EV31=""),"",IF(AND($E31=ET31,$G31=EV31),$H31*1.5,IF(AND($I31&gt;0,EY31&gt;0),$H31,IF(AND($I31&lt;0,EY31&lt;0),$H31,IF(AND($I31=0,EY31=0),$H31,0)))))</f>
        <v>0</v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>
        <f t="shared" ref="FE31:FE54" si="185">IF(OR($G31="",FC31=""),"",IF(AND($E31=FA31,$G31=FC31),$H31*1.5,IF(AND($I31&gt;0,FF31&gt;0),$H31,IF(AND($I31&lt;0,FF31&lt;0),$H31,IF(AND($I31=0,FF31=0),$H31,0)))))</f>
        <v>2.4</v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>
        <f t="shared" ref="FL31:FL54" si="187">IF(OR($G31="",FJ31=""),"",IF(AND($E31=FH31,$G31=FJ31),$H31*1.5,IF(AND($I31&gt;0,FM31&gt;0),$H31,IF(AND($I31&lt;0,FM31&lt;0),$H31,IF(AND($I31=0,FM31=0),$H31,0)))))</f>
        <v>0</v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>
        <f t="shared" ref="FS31:FS54" si="189">IF(OR($G31="",FQ31=""),"",IF(AND($E31=FO31,$G31=FQ31),$H31*1.5,IF(AND($I31&gt;0,FT31&gt;0),$H31,IF(AND($I31&lt;0,FT31&lt;0),$H31,IF(AND($I31=0,FT31=0),$H31,0)))))</f>
        <v>0</v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>
        <f t="shared" ref="FZ31:FZ54" si="191">IF(OR($G31="",FX31=""),"",IF(AND($E31=FV31,$G31=FX31),$H31*1.5,IF(AND($I31&gt;0,GA31&gt;0),$H31,IF(AND($I31&lt;0,GA31&lt;0),$H31,IF(AND($I31=0,GA31=0),$H31,0)))))</f>
        <v>0</v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>
        <f t="shared" ref="GG31:GG54" si="193">IF(OR($G31="",GE31=""),"",IF(AND($E31=GC31,$G31=GE31),$H31*1.5,IF(AND($I31&gt;0,GH31&gt;0),$H31,IF(AND($I31&lt;0,GH31&lt;0),$H31,IF(AND($I31=0,GH31=0),$H31,0)))))</f>
        <v>0</v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>
        <f t="shared" ref="GN31:GN54" si="195">IF(OR($G31="",GL31=""),"",IF(AND($E31=GJ31,$G31=GL31),$H31*1.5,IF(AND($I31&gt;0,GO31&gt;0),$H31,IF(AND($I31&lt;0,GO31&lt;0),$H31,IF(AND($I31=0,GO31=0),$H31,0)))))</f>
        <v>0</v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>
        <f t="shared" ref="GU31:GU54" si="197">IF(OR($G31="",GS31=""),"",IF(AND($E31=GQ31,$G31=GS31),$H31*1.5,IF(AND($I31&gt;0,GV31&gt;0),$H31,IF(AND($I31&lt;0,GV31&lt;0),$H31,IF(AND($I31=0,GV31=0),$H31,0)))))</f>
        <v>0</v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>
        <f t="shared" ref="HB31:HB54" si="199">IF(OR($G31="",GZ31=""),"",IF(AND($E31=GX31,$G31=GZ31),$H31*1.5,IF(AND($I31&gt;0,HC31&gt;0),$H31,IF(AND($I31&lt;0,HC31&lt;0),$H31,IF(AND($I31=0,HC31=0),$H31,0)))))</f>
        <v>3.5999999999999996</v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>
        <f t="shared" ref="HI31:HI54" si="201">IF(OR($G31="",HG31=""),"",IF(AND($E31=HE31,$G31=HG31),$H31*1.5,IF(AND($I31&gt;0,HJ31&gt;0),$H31,IF(AND($I31&lt;0,HJ31&lt;0),$H31,IF(AND($I31=0,HJ31=0),$H31,0)))))</f>
        <v>0</v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>
        <f t="shared" ref="HP31:HP54" si="203">IF(OR($G31="",HN31=""),"",IF(AND($E31=HL31,$G31=HN31),$H31*1.5,IF(AND($I31&gt;0,HQ31&gt;0),$H31,IF(AND($I31&lt;0,HQ31&lt;0),$H31,IF(AND($I31=0,HQ31=0),$H31,0)))))</f>
        <v>0</v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>
        <f t="shared" ref="HW31:HW54" si="205">IF(OR($G31="",HU31=""),"",IF(AND($E31=HS31,$G31=HU31),$H31*1.5,IF(AND($I31&gt;0,HX31&gt;0),$H31,IF(AND($I31&lt;0,HX31&lt;0),$H31,IF(AND($I31=0,HX31=0),$H31,0)))))</f>
        <v>0</v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>
        <f t="shared" ref="ID31:ID54" si="207">IF(OR($G31="",IB31=""),"",IF(AND($E31=HZ31,$G31=IB31),$H31*1.5,IF(AND($I31&gt;0,IE31&gt;0),$H31,IF(AND($I31&lt;0,IE31&lt;0),$H31,IF(AND($I31=0,IE31=0),$H31,0)))))</f>
        <v>0</v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>
        <f t="shared" ref="IK31:IK54" si="209">IF(OR($G31="",II31=""),"",IF(AND($E31=IG31,$G31=II31),$H31*1.5,IF(AND($I31&gt;0,IL31&gt;0),$H31,IF(AND($I31&lt;0,IL31&lt;0),$H31,IF(AND($I31=0,IL31=0),$H31,0)))))</f>
        <v>0</v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>
        <f t="shared" ref="IR31:IR54" si="211">IF(OR($G31="",IP31=""),"",IF(AND($E31=IN31,$G31=IP31),$H31*1.5,IF(AND($I31&gt;0,IS31&gt;0),$H31,IF(AND($I31&lt;0,IS31&lt;0),$H31,IF(AND($I31=0,IS31=0),$H31,0)))))</f>
        <v>2.4</v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>
        <f t="shared" ref="IY31:IY54" si="213">IF(OR($G31="",IW31=""),"",IF(AND($E31=IU31,$G31=IW31),$H31*1.5,IF(AND($I31&gt;0,IZ31&gt;0),$H31,IF(AND($I31&lt;0,IZ31&lt;0),$H31,IF(AND($I31=0,IZ31=0),$H31,0)))))</f>
        <v>0</v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>
        <f t="shared" ref="JF31:JF54" si="215">IF(OR($G31="",JD31=""),"",IF(AND($E31=JB31,$G31=JD31),$H31*1.5,IF(AND($I31&gt;0,JG31&gt;0),$H31,IF(AND($I31&lt;0,JG31&lt;0),$H31,IF(AND($I31=0,JG31=0),$H31,0)))))</f>
        <v>0</v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>
        <f t="shared" ref="JM31:JM54" si="217">IF(OR($G31="",JK31=""),"",IF(AND($E31=JI31,$G31=JK31),$H31*1.5,IF(AND($I31&gt;0,JN31&gt;0),$H31,IF(AND($I31&lt;0,JN31&lt;0),$H31,IF(AND($I31=0,JN31=0),$H31,0)))))</f>
        <v>0</v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>
        <f t="shared" ref="JT31:JT54" si="219">IF(OR($G31="",JR31=""),"",IF(AND($E31=JP31,$G31=JR31),$H31*1.5,IF(AND($I31&gt;0,JU31&gt;0),$H31,IF(AND($I31&lt;0,JU31&lt;0),$H31,IF(AND($I31=0,JU31=0),$H31,0)))))</f>
        <v>2.4</v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>
        <f t="shared" ref="KA31:KA54" si="221">IF(OR($G31="",JY31=""),"",IF(AND($E31=JW31,$G31=JY31),$H31*1.5,IF(AND($I31&gt;0,KB31&gt;0),$H31,IF(AND($I31&lt;0,KB31&lt;0),$H31,IF(AND($I31=0,KB31=0),$H31,0)))))</f>
        <v>0</v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>
        <f t="shared" ref="KH31:KH54" si="223">IF(OR($G31="",KF31=""),"",IF(AND($E31=KD31,$G31=KF31),$H31*1.5,IF(AND($I31&gt;0,KI31&gt;0),$H31,IF(AND($I31&lt;0,KI31&lt;0),$H31,IF(AND($I31=0,KI31=0),$H31,0)))))</f>
        <v>2.4</v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>
        <f t="shared" ref="KO31:KO54" si="225">IF(OR($G31="",KM31=""),"",IF(AND($E31=KK31,$G31=KM31),$H31*1.5,IF(AND($I31&gt;0,KP31&gt;0),$H31,IF(AND($I31&lt;0,KP31&lt;0),$H31,IF(AND($I31=0,KP31=0),$H31,0)))))</f>
        <v>0</v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>
        <f t="shared" ref="KV31:KV54" si="227">IF(OR($G31="",KT31=""),"",IF(AND($E31=KR31,$G31=KT31),$H31*1.5,IF(AND($I31&gt;0,KW31&gt;0),$H31,IF(AND($I31&lt;0,KW31&lt;0),$H31,IF(AND($I31=0,KW31=0),$H31,0)))))</f>
        <v>0</v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>
        <f t="shared" ref="LC31:LC54" si="229">IF(OR($G31="",LA31=""),"",IF(AND($E31=KY31,$G31=LA31),$H31*1.5,IF(AND($I31&gt;0,LD31&gt;0),$H31,IF(AND($I31&lt;0,LD31&lt;0),$H31,IF(AND($I31=0,LD31=0),$H31,0)))))</f>
        <v>0</v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>
        <f t="shared" ref="LJ31:LJ54" si="231">IF(OR($G31="",LH31=""),"",IF(AND($E31=LF31,$G31=LH31),$H31*1.5,IF(AND($I31&gt;0,LK31&gt;0),$H31,IF(AND($I31&lt;0,LK31&lt;0),$H31,IF(AND($I31=0,LK31=0),$H31,0)))))</f>
        <v>0</v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>
        <f t="shared" ref="LQ31:LQ54" si="233">IF(OR($G31="",LO31=""),"",IF(AND($E31=LM31,$G31=LO31),$H31*1.5,IF(AND($I31&gt;0,LR31&gt;0),$H31,IF(AND($I31&lt;0,LR31&lt;0),$H31,IF(AND($I31=0,LR31=0),$H31,0)))))</f>
        <v>3.5999999999999996</v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>
        <f t="shared" ref="LX31:LX54" si="235">IF(OR($G31="",LV31=""),"",IF(AND($E31=LT31,$G31=LV31),$H31*1.5,IF(AND($I31&gt;0,LY31&gt;0),$H31,IF(AND($I31&lt;0,LY31&lt;0),$H31,IF(AND($I31=0,LY31=0),$H31,0)))))</f>
        <v>0</v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>
        <f t="shared" ref="ME31:ME54" si="237">IF(OR($G31="",MC31=""),"",IF(AND($E31=MA31,$G31=MC31),$H31*1.5,IF(AND($I31&gt;0,MF31&gt;0),$H31,IF(AND($I31&lt;0,MF31&lt;0),$H31,IF(AND($I31=0,MF31=0),$H31,0)))))</f>
        <v>0</v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>
        <f t="shared" ref="ML31:ML54" si="239">IF(OR($G31="",MJ31=""),"",IF(AND($E31=MH31,$G31=MJ31),$H31*1.5,IF(AND($I31&gt;0,MM31&gt;0),$H31,IF(AND($I31&lt;0,MM31&lt;0),$H31,IF(AND($I31=0,MM31=0),$H31,0)))))</f>
        <v>0</v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>
        <f t="shared" ref="MS31:MS54" si="241">IF(OR($G31="",MQ31=""),"",IF(AND($E31=MO31,$G31=MQ31),$H31*1.5,IF(AND($I31&gt;0,MT31&gt;0),$H31,IF(AND($I31&lt;0,MT31&lt;0),$H31,IF(AND($I31=0,MT31=0),$H31,0)))))</f>
        <v>0</v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>
        <f t="shared" ref="MZ31:MZ54" si="243">IF(OR($G31="",MX31=""),"",IF(AND($E31=MV31,$G31=MX31),$H31*1.5,IF(AND($I31&gt;0,NA31&gt;0),$H31,IF(AND($I31&lt;0,NA31&lt;0),$H31,IF(AND($I31=0,NA31=0),$H31,0)))))</f>
        <v>0</v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>
        <f t="shared" ref="NG31:NG54" si="245">IF(OR($G31="",NE31=""),"",IF(AND($E31=NC31,$G31=NE31),$H31*1.5,IF(AND($I31&gt;0,NH31&gt;0),$H31,IF(AND($I31&lt;0,NH31&lt;0),$H31,IF(AND($I31=0,NH31=0),$H31,0)))))</f>
        <v>0</v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>
        <f t="shared" ref="NN31:NN54" si="247">IF(OR($G31="",NL31=""),"",IF(AND($E31=NJ31,$G31=NL31),$H31*1.5,IF(AND($I31&gt;0,NO31&gt;0),$H31,IF(AND($I31&lt;0,NO31&lt;0),$H31,IF(AND($I31=0,NO31=0),$H31,0)))))</f>
        <v>2.4</v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>
        <f t="shared" ref="NU31:NU54" si="249">IF(OR($G31="",NS31=""),"",IF(AND($E31=NQ31,$G31=NS31),$H31*1.5,IF(AND($I31&gt;0,NV31&gt;0),$H31,IF(AND($I31&lt;0,NV31&lt;0),$H31,IF(AND($I31=0,NV31=0),$H31,0)))))</f>
        <v>0</v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>
        <f t="shared" ref="OB31:OB54" si="251">IF(OR($G31="",NZ31=""),"",IF(AND($E31=NX31,$G31=NZ31),$H31*1.5,IF(AND($I31&gt;0,OC31&gt;0),$H31,IF(AND($I31&lt;0,OC31&lt;0),$H31,IF(AND($I31=0,OC31=0),$H31,0)))))</f>
        <v>3.5999999999999996</v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>
        <f t="shared" ref="OI31:OI54" si="253">IF(OR($G31="",OG31=""),"",IF(AND($E31=OE31,$G31=OG31),$H31*1.5,IF(AND($I31&gt;0,OJ31&gt;0),$H31,IF(AND($I31&lt;0,OJ31&lt;0),$H31,IF(AND($I31=0,OJ31=0),$H31,0)))))</f>
        <v>0</v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>
        <f t="shared" ref="OP31:OP54" si="255">IF(OR($G31="",ON31=""),"",IF(AND($E31=OL31,$G31=ON31),$H31*1.5,IF(AND($I31&gt;0,OQ31&gt;0),$H31,IF(AND($I31&lt;0,OQ31&lt;0),$H31,IF(AND($I31=0,OQ31=0),$H31,0)))))</f>
        <v>0</v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>
        <f t="shared" ref="OW31:OW54" si="257">IF(OR($G31="",OU31=""),"",IF(AND($E31=OS31,$G31=OU31),$H31*1.5,IF(AND($I31&gt;0,OX31&gt;0),$H31,IF(AND($I31&lt;0,OX31&lt;0),$H31,IF(AND($I31=0,OX31=0),$H31,0)))))</f>
        <v>0</v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>
        <f t="shared" ref="PD31:PD54" si="259">IF(OR($G31="",PB31=""),"",IF(AND($E31=OZ31,$G31=PB31),$H31*1.5,IF(AND($I31&gt;0,PE31&gt;0),$H31,IF(AND($I31&lt;0,PE31&lt;0),$H31,IF(AND($I31=0,PE31=0),$H31,0)))))</f>
        <v>0</v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>
        <f t="shared" ref="PK31:PK54" si="261">IF(OR($G31="",PI31=""),"",IF(AND($E31=PG31,$G31=PI31),$H31*1.5,IF(AND($I31&gt;0,PL31&gt;0),$H31,IF(AND($I31&lt;0,PL31&lt;0),$H31,IF(AND($I31=0,PL31=0),$H31,0)))))</f>
        <v>3.5999999999999996</v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>
        <f t="shared" ref="PR31:PR54" si="263">IF(OR($G31="",PP31=""),"",IF(AND($E31=PN31,$G31=PP31),$H31*1.5,IF(AND($I31&gt;0,PS31&gt;0),$H31,IF(AND($I31&lt;0,PS31&lt;0),$H31,IF(AND($I31=0,PS31=0),$H31,0)))))</f>
        <v>0</v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>
        <f t="shared" ref="PY31:PY54" si="265">IF(OR($G31="",PW31=""),"",IF(AND($E31=PU31,$G31=PW31),$H31*1.5,IF(AND($I31&gt;0,PZ31&gt;0),$H31,IF(AND($I31&lt;0,PZ31&lt;0),$H31,IF(AND($I31=0,PZ31=0),$H31,0)))))</f>
        <v>0</v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>
        <f t="shared" ref="QF31:QF54" si="267">IF(OR($G31="",QD31=""),"",IF(AND($E31=QB31,$G31=QD31),$H31*1.5,IF(AND($I31&gt;0,QG31&gt;0),$H31,IF(AND($I31&lt;0,QG31&lt;0),$H31,IF(AND($I31=0,QG31=0),$H31,0)))))</f>
        <v>0</v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>
        <f t="shared" ref="QM31:QM54" si="269">IF(OR($G31="",QK31=""),"",IF(AND($E31=QI31,$G31=QK31),$H31*1.5,IF(AND($I31&gt;0,QN31&gt;0),$H31,IF(AND($I31&lt;0,QN31&lt;0),$H31,IF(AND($I31=0,QN31=0),$H31,0)))))</f>
        <v>0</v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>
        <f t="shared" ref="QT31:QT54" si="271">IF(OR($G31="",QR31=""),"",IF(AND($E31=QP31,$G31=QR31),$H31*1.5,IF(AND($I31&gt;0,QU31&gt;0),$H31,IF(AND($I31&lt;0,QU31&lt;0),$H31,IF(AND($I31=0,QU31=0),$H31,0)))))</f>
        <v>0</v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>
        <f t="shared" ref="RA31:RA54" si="273">IF(OR($G31="",QY31=""),"",IF(AND($E31=QW31,$G31=QY31),$H31*1.5,IF(AND($I31&gt;0,RB31&gt;0),$H31,IF(AND($I31&lt;0,RB31&lt;0),$H31,IF(AND($I31=0,RB31=0),$H31,0)))))</f>
        <v>0</v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>
        <f t="shared" ref="RO31:RO54" si="277">IF(OR($G31="",RM31=""),"",IF(AND($E31=RK31,$G31=RM31),$H31*1.5,IF(AND($I31&gt;0,RP31&gt;0),$H31,IF(AND($I31&lt;0,RP31&lt;0),$H31,IF(AND($I31=0,RP31=0),$H31,0)))))</f>
        <v>0</v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>
        <f t="shared" ref="RV31:RV54" si="279">IF(OR($G31="",RT31=""),"",IF(AND($E31=RR31,$G31=RT31),$H31*1.5,IF(AND($I31&gt;0,RW31&gt;0),$H31,IF(AND($I31&lt;0,RW31&lt;0),$H31,IF(AND($I31=0,RW31=0),$H31,0)))))</f>
        <v>0</v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>
        <f t="shared" ref="SC31:SC54" si="281">IF(OR($G31="",SA31=""),"",IF(AND($E31=RY31,$G31=SA31),$H31*1.5,IF(AND($I31&gt;0,SD31&gt;0),$H31,IF(AND($I31&lt;0,SD31&lt;0),$H31,IF(AND($I31=0,SD31=0),$H31,0)))))</f>
        <v>0</v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>
        <f t="shared" ref="SJ31:SJ54" si="283">IF(OR($G31="",SH31=""),"",IF(AND($E31=SF31,$G31=SH31),$H31*1.5,IF(AND($I31&gt;0,SK31&gt;0),$H31,IF(AND($I31&lt;0,SK31&lt;0),$H31,IF(AND($I31=0,SK31=0),$H31,0)))))</f>
        <v>0</v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>
        <f t="shared" ref="SQ31:SQ54" si="285">IF(OR($G31="",SO31=""),"",IF(AND($E31=SM31,$G31=SO31),$H31*1.5,IF(AND($I31&gt;0,SR31&gt;0),$H31,IF(AND($I31&lt;0,SR31&lt;0),$H31,IF(AND($I31=0,SR31=0),$H31,0)))))</f>
        <v>0</v>
      </c>
      <c r="SR31" s="43">
        <f t="shared" ref="SR31:SR54" si="286">SM31-SO31</f>
        <v>1</v>
      </c>
    </row>
    <row r="32" spans="1:512" customFormat="1" ht="16" customHeight="1" x14ac:dyDescent="0.15">
      <c r="A32" s="34">
        <v>46191</v>
      </c>
      <c r="B32" s="35">
        <v>0.875</v>
      </c>
      <c r="C32" s="51" t="s">
        <v>21</v>
      </c>
      <c r="D32" s="81" t="s">
        <v>315</v>
      </c>
      <c r="E32" s="2">
        <v>4</v>
      </c>
      <c r="F32" s="50" t="s">
        <v>4</v>
      </c>
      <c r="G32" s="1">
        <v>1</v>
      </c>
      <c r="H32" s="16">
        <v>2.4</v>
      </c>
      <c r="I32" s="32">
        <f t="shared" si="0"/>
        <v>3</v>
      </c>
      <c r="J32" s="47">
        <v>0</v>
      </c>
      <c r="K32" s="48" t="s">
        <v>4</v>
      </c>
      <c r="L32" s="49">
        <v>0</v>
      </c>
      <c r="M32" s="27"/>
      <c r="N32" s="42">
        <f t="shared" si="1"/>
        <v>0</v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>
        <f t="shared" si="145"/>
        <v>2.4</v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>
        <f t="shared" si="147"/>
        <v>2.4</v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>
        <f t="shared" si="149"/>
        <v>2.4</v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>
        <f t="shared" si="151"/>
        <v>2.4</v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>
        <f t="shared" si="153"/>
        <v>2.4</v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>
        <f t="shared" si="155"/>
        <v>2.4</v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>
        <f t="shared" si="157"/>
        <v>2.4</v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>
        <f t="shared" si="159"/>
        <v>2.4</v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>
        <f t="shared" si="161"/>
        <v>2.4</v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>
        <f t="shared" si="163"/>
        <v>2.4</v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>
        <f t="shared" si="165"/>
        <v>2.4</v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>
        <f t="shared" si="167"/>
        <v>2.4</v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>
        <f t="shared" si="169"/>
        <v>2.4</v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>
        <f t="shared" si="171"/>
        <v>2.4</v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>
        <f t="shared" si="173"/>
        <v>2.4</v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>
        <f t="shared" si="175"/>
        <v>2.4</v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>
        <f t="shared" si="177"/>
        <v>2.4</v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>
        <f t="shared" si="179"/>
        <v>2.4</v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>
        <f t="shared" si="181"/>
        <v>2.4</v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>
        <f t="shared" si="183"/>
        <v>0</v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>
        <f t="shared" si="185"/>
        <v>2.4</v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>
        <f t="shared" si="187"/>
        <v>2.4</v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>
        <f t="shared" si="189"/>
        <v>2.4</v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>
        <f t="shared" si="191"/>
        <v>2.4</v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>
        <f t="shared" si="193"/>
        <v>0</v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>
        <f t="shared" si="195"/>
        <v>2.4</v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>
        <f t="shared" si="197"/>
        <v>2.4</v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>
        <f t="shared" si="199"/>
        <v>2.4</v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>
        <f t="shared" si="201"/>
        <v>2.4</v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>
        <f t="shared" si="203"/>
        <v>0</v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>
        <f t="shared" si="205"/>
        <v>2.4</v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>
        <f t="shared" si="207"/>
        <v>2.4</v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>
        <f t="shared" si="209"/>
        <v>2.4</v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>
        <f t="shared" si="211"/>
        <v>2.4</v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>
        <f t="shared" si="213"/>
        <v>2.4</v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>
        <f t="shared" si="215"/>
        <v>2.4</v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>
        <f t="shared" si="217"/>
        <v>0</v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>
        <f t="shared" si="219"/>
        <v>2.4</v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>
        <f t="shared" si="221"/>
        <v>0</v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>
        <f t="shared" si="223"/>
        <v>2.4</v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>
        <f t="shared" si="225"/>
        <v>2.4</v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>
        <f t="shared" si="227"/>
        <v>2.4</v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>
        <f t="shared" si="229"/>
        <v>2.4</v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>
        <f t="shared" si="231"/>
        <v>2.4</v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>
        <f t="shared" si="233"/>
        <v>2.4</v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>
        <f t="shared" si="235"/>
        <v>2.4</v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>
        <f t="shared" si="237"/>
        <v>2.4</v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>
        <f t="shared" si="239"/>
        <v>2.4</v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>
        <f t="shared" si="241"/>
        <v>2.4</v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>
        <f t="shared" si="243"/>
        <v>2.4</v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>
        <f t="shared" si="245"/>
        <v>0</v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>
        <f t="shared" si="247"/>
        <v>2.4</v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>
        <f t="shared" si="249"/>
        <v>0</v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>
        <f t="shared" si="251"/>
        <v>2.4</v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>
        <f t="shared" si="253"/>
        <v>0</v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>
        <f t="shared" si="255"/>
        <v>2.4</v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>
        <f t="shared" si="257"/>
        <v>0</v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>
        <f t="shared" si="259"/>
        <v>2.4</v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>
        <f t="shared" si="261"/>
        <v>2.4</v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>
        <f t="shared" si="263"/>
        <v>0</v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>
        <f t="shared" si="265"/>
        <v>2.4</v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>
        <f t="shared" si="267"/>
        <v>2.4</v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>
        <f t="shared" si="269"/>
        <v>2.4</v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>
        <f t="shared" si="271"/>
        <v>2.4</v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>
        <f t="shared" si="273"/>
        <v>2.4</v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>
        <f t="shared" si="277"/>
        <v>0</v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>
        <f t="shared" si="279"/>
        <v>0</v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>
        <f t="shared" si="281"/>
        <v>0</v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>
        <f t="shared" si="283"/>
        <v>0</v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>
        <f t="shared" si="285"/>
        <v>2.4</v>
      </c>
      <c r="SR32" s="43">
        <f t="shared" si="286"/>
        <v>1</v>
      </c>
    </row>
    <row r="33" spans="1:512" customFormat="1" ht="16" customHeight="1" x14ac:dyDescent="0.15">
      <c r="A33" s="34">
        <v>46192</v>
      </c>
      <c r="B33" s="35">
        <v>0</v>
      </c>
      <c r="C33" s="51" t="s">
        <v>31</v>
      </c>
      <c r="D33" s="81" t="s">
        <v>34</v>
      </c>
      <c r="E33" s="2">
        <v>6</v>
      </c>
      <c r="F33" s="50" t="s">
        <v>4</v>
      </c>
      <c r="G33" s="1">
        <v>0</v>
      </c>
      <c r="H33" s="16">
        <v>2.6</v>
      </c>
      <c r="I33" s="32">
        <f t="shared" si="0"/>
        <v>6</v>
      </c>
      <c r="J33" s="47">
        <v>1</v>
      </c>
      <c r="K33" s="48" t="s">
        <v>4</v>
      </c>
      <c r="L33" s="49">
        <v>0</v>
      </c>
      <c r="M33" s="27"/>
      <c r="N33" s="42">
        <f t="shared" si="1"/>
        <v>2.6</v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>
        <f t="shared" si="145"/>
        <v>2.6</v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>
        <f t="shared" si="147"/>
        <v>2.6</v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>
        <f t="shared" si="149"/>
        <v>2.6</v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>
        <f t="shared" si="151"/>
        <v>2.6</v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>
        <f t="shared" si="153"/>
        <v>2.6</v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>
        <f t="shared" si="155"/>
        <v>2.6</v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>
        <f t="shared" si="157"/>
        <v>2.6</v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>
        <f t="shared" si="159"/>
        <v>2.6</v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>
        <f t="shared" si="161"/>
        <v>2.6</v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>
        <f t="shared" si="163"/>
        <v>2.6</v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>
        <f t="shared" si="165"/>
        <v>0</v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>
        <f t="shared" si="167"/>
        <v>2.6</v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>
        <f t="shared" si="169"/>
        <v>2.6</v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>
        <f t="shared" si="171"/>
        <v>2.6</v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>
        <f t="shared" si="173"/>
        <v>2.6</v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>
        <f t="shared" si="175"/>
        <v>2.6</v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>
        <f t="shared" si="177"/>
        <v>2.6</v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>
        <f t="shared" si="179"/>
        <v>2.6</v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>
        <f t="shared" si="181"/>
        <v>0</v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>
        <f t="shared" si="183"/>
        <v>0</v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>
        <f t="shared" si="185"/>
        <v>2.6</v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>
        <f t="shared" si="187"/>
        <v>2.6</v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>
        <f t="shared" si="189"/>
        <v>2.6</v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>
        <f t="shared" si="191"/>
        <v>2.6</v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>
        <f t="shared" si="193"/>
        <v>2.6</v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>
        <f t="shared" si="195"/>
        <v>2.6</v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>
        <f t="shared" si="197"/>
        <v>2.6</v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>
        <f t="shared" si="199"/>
        <v>2.6</v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>
        <f t="shared" si="201"/>
        <v>2.6</v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>
        <f t="shared" si="203"/>
        <v>2.6</v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>
        <f t="shared" si="205"/>
        <v>2.6</v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>
        <f t="shared" si="207"/>
        <v>2.6</v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>
        <f t="shared" si="209"/>
        <v>0</v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>
        <f t="shared" si="211"/>
        <v>2.6</v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>
        <f t="shared" si="213"/>
        <v>2.6</v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>
        <f t="shared" si="215"/>
        <v>2.6</v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>
        <f t="shared" si="217"/>
        <v>2.6</v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>
        <f t="shared" si="219"/>
        <v>2.6</v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>
        <f t="shared" si="221"/>
        <v>0</v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>
        <f t="shared" si="223"/>
        <v>2.6</v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>
        <f t="shared" si="225"/>
        <v>2.6</v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>
        <f t="shared" si="227"/>
        <v>0</v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>
        <f t="shared" si="229"/>
        <v>2.6</v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>
        <f t="shared" si="231"/>
        <v>2.6</v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>
        <f t="shared" si="233"/>
        <v>0</v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>
        <f t="shared" si="235"/>
        <v>2.6</v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>
        <f t="shared" si="237"/>
        <v>0</v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>
        <f t="shared" si="239"/>
        <v>0</v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>
        <f t="shared" si="241"/>
        <v>2.6</v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>
        <f t="shared" si="243"/>
        <v>2.6</v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>
        <f t="shared" si="245"/>
        <v>2.6</v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>
        <f t="shared" si="247"/>
        <v>0</v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>
        <f t="shared" si="249"/>
        <v>0</v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>
        <f t="shared" si="251"/>
        <v>2.6</v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>
        <f t="shared" si="253"/>
        <v>0</v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>
        <f t="shared" si="255"/>
        <v>2.6</v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>
        <f t="shared" si="257"/>
        <v>2.6</v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>
        <f t="shared" si="259"/>
        <v>2.6</v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>
        <f t="shared" si="261"/>
        <v>0</v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>
        <f t="shared" si="263"/>
        <v>2.6</v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>
        <f t="shared" si="265"/>
        <v>0</v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>
        <f t="shared" si="267"/>
        <v>2.6</v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>
        <f t="shared" si="269"/>
        <v>2.6</v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>
        <f t="shared" si="271"/>
        <v>2.6</v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>
        <f t="shared" si="273"/>
        <v>0</v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>
        <f t="shared" si="277"/>
        <v>0</v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>
        <f t="shared" si="279"/>
        <v>2.6</v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>
        <f t="shared" si="281"/>
        <v>2.6</v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>
        <f t="shared" si="283"/>
        <v>2.6</v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>
        <f t="shared" si="285"/>
        <v>0</v>
      </c>
      <c r="SR33" s="43">
        <f t="shared" si="286"/>
        <v>0</v>
      </c>
    </row>
    <row r="34" spans="1:512" customFormat="1" ht="16" customHeight="1" x14ac:dyDescent="0.15">
      <c r="A34" s="34">
        <v>46192</v>
      </c>
      <c r="B34" s="35">
        <v>0.125</v>
      </c>
      <c r="C34" s="79" t="s">
        <v>28</v>
      </c>
      <c r="D34" s="80" t="s">
        <v>30</v>
      </c>
      <c r="E34" s="2">
        <v>1</v>
      </c>
      <c r="F34" s="50" t="s">
        <v>4</v>
      </c>
      <c r="G34" s="1">
        <v>0</v>
      </c>
      <c r="H34" s="16">
        <v>2.6</v>
      </c>
      <c r="I34" s="32">
        <f t="shared" si="0"/>
        <v>1</v>
      </c>
      <c r="J34" s="47">
        <v>1</v>
      </c>
      <c r="K34" s="48" t="s">
        <v>4</v>
      </c>
      <c r="L34" s="49">
        <v>1</v>
      </c>
      <c r="M34" s="27"/>
      <c r="N34" s="42">
        <f t="shared" si="1"/>
        <v>0</v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>
        <f t="shared" si="145"/>
        <v>2.6</v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>
        <f t="shared" si="147"/>
        <v>0</v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>
        <f t="shared" si="149"/>
        <v>2.6</v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>
        <f t="shared" si="151"/>
        <v>2.6</v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>
        <f t="shared" si="153"/>
        <v>0</v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>
        <f t="shared" si="155"/>
        <v>0</v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>
        <f t="shared" si="157"/>
        <v>2.6</v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>
        <f t="shared" si="159"/>
        <v>2.6</v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>
        <f t="shared" si="161"/>
        <v>0</v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>
        <f t="shared" si="163"/>
        <v>0</v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>
        <f t="shared" si="165"/>
        <v>2.6</v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>
        <f t="shared" si="167"/>
        <v>2.6</v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>
        <f t="shared" si="169"/>
        <v>3.9000000000000004</v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>
        <f t="shared" si="171"/>
        <v>3.9000000000000004</v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>
        <f t="shared" si="173"/>
        <v>0</v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>
        <f t="shared" si="175"/>
        <v>2.6</v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>
        <f t="shared" si="177"/>
        <v>0</v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>
        <f t="shared" si="179"/>
        <v>3.9000000000000004</v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>
        <f t="shared" si="181"/>
        <v>2.6</v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>
        <f t="shared" si="183"/>
        <v>3.9000000000000004</v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>
        <f t="shared" si="185"/>
        <v>2.6</v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>
        <f t="shared" si="187"/>
        <v>2.6</v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>
        <f t="shared" si="189"/>
        <v>3.9000000000000004</v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>
        <f t="shared" si="191"/>
        <v>0</v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>
        <f t="shared" si="193"/>
        <v>0</v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>
        <f t="shared" si="195"/>
        <v>2.6</v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>
        <f t="shared" si="197"/>
        <v>2.6</v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>
        <f t="shared" si="199"/>
        <v>0</v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>
        <f t="shared" si="201"/>
        <v>3.9000000000000004</v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>
        <f t="shared" si="203"/>
        <v>2.6</v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>
        <f t="shared" si="205"/>
        <v>3.9000000000000004</v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>
        <f t="shared" si="207"/>
        <v>0</v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>
        <f t="shared" si="209"/>
        <v>2.6</v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>
        <f t="shared" si="211"/>
        <v>2.6</v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>
        <f t="shared" si="213"/>
        <v>2.6</v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>
        <f t="shared" si="215"/>
        <v>0</v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>
        <f t="shared" si="217"/>
        <v>0</v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>
        <f t="shared" si="219"/>
        <v>0</v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>
        <f t="shared" si="221"/>
        <v>2.6</v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>
        <f t="shared" si="223"/>
        <v>2.6</v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>
        <f t="shared" si="225"/>
        <v>3.9000000000000004</v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>
        <f t="shared" si="227"/>
        <v>2.6</v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>
        <f t="shared" si="229"/>
        <v>2.6</v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>
        <f t="shared" si="231"/>
        <v>2.6</v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>
        <f t="shared" si="233"/>
        <v>0</v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>
        <f t="shared" si="235"/>
        <v>0</v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>
        <f t="shared" si="237"/>
        <v>0</v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>
        <f t="shared" si="239"/>
        <v>2.6</v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>
        <f t="shared" si="241"/>
        <v>2.6</v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>
        <f t="shared" si="243"/>
        <v>2.6</v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>
        <f t="shared" si="245"/>
        <v>0</v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>
        <f t="shared" si="247"/>
        <v>0</v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>
        <f t="shared" si="249"/>
        <v>2.6</v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>
        <f t="shared" si="251"/>
        <v>0</v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>
        <f t="shared" si="253"/>
        <v>0</v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>
        <f t="shared" si="255"/>
        <v>0</v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>
        <f t="shared" si="257"/>
        <v>2.6</v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>
        <f t="shared" si="259"/>
        <v>0</v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>
        <f t="shared" si="261"/>
        <v>2.6</v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>
        <f t="shared" si="263"/>
        <v>0</v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>
        <f t="shared" si="265"/>
        <v>2.6</v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>
        <f t="shared" si="267"/>
        <v>2.6</v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>
        <f t="shared" si="269"/>
        <v>3.9000000000000004</v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>
        <f t="shared" si="271"/>
        <v>0</v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>
        <f t="shared" si="273"/>
        <v>2.6</v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>
        <f t="shared" si="277"/>
        <v>2.6</v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>
        <f t="shared" si="279"/>
        <v>2.6</v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>
        <f t="shared" si="281"/>
        <v>2.6</v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>
        <f t="shared" si="283"/>
        <v>2.6</v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>
        <f t="shared" si="285"/>
        <v>2.6</v>
      </c>
      <c r="SR34" s="43">
        <f t="shared" si="286"/>
        <v>2</v>
      </c>
    </row>
    <row r="35" spans="1:512" customFormat="1" ht="16" customHeight="1" x14ac:dyDescent="0.15">
      <c r="A35" s="34">
        <v>46192</v>
      </c>
      <c r="B35" s="35">
        <v>0.875</v>
      </c>
      <c r="C35" s="79" t="s">
        <v>32</v>
      </c>
      <c r="D35" s="80" t="s">
        <v>38</v>
      </c>
      <c r="E35" s="2">
        <v>2</v>
      </c>
      <c r="F35" s="50" t="s">
        <v>4</v>
      </c>
      <c r="G35" s="1">
        <v>0</v>
      </c>
      <c r="H35" s="45">
        <v>0.2</v>
      </c>
      <c r="I35" s="32">
        <f t="shared" si="0"/>
        <v>2</v>
      </c>
      <c r="J35" s="47">
        <v>0</v>
      </c>
      <c r="K35" s="48" t="s">
        <v>4</v>
      </c>
      <c r="L35" s="49">
        <v>0</v>
      </c>
      <c r="M35" s="27"/>
      <c r="N35" s="42">
        <f t="shared" si="1"/>
        <v>0</v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>
        <f t="shared" si="145"/>
        <v>0</v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>
        <f t="shared" si="147"/>
        <v>0</v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>
        <f t="shared" si="149"/>
        <v>0</v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>
        <f t="shared" si="151"/>
        <v>0.2</v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>
        <f t="shared" si="153"/>
        <v>0</v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>
        <f t="shared" si="155"/>
        <v>0</v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>
        <f t="shared" si="157"/>
        <v>0</v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>
        <f t="shared" si="159"/>
        <v>0.2</v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>
        <f t="shared" si="161"/>
        <v>0.30000000000000004</v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>
        <f t="shared" si="163"/>
        <v>0.30000000000000004</v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>
        <f t="shared" si="165"/>
        <v>0.30000000000000004</v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>
        <f t="shared" si="167"/>
        <v>0.2</v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>
        <f t="shared" si="169"/>
        <v>0.2</v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>
        <f t="shared" si="171"/>
        <v>0</v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>
        <f t="shared" si="173"/>
        <v>0</v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>
        <f t="shared" si="175"/>
        <v>0</v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>
        <f t="shared" si="177"/>
        <v>0</v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>
        <f t="shared" si="179"/>
        <v>0</v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>
        <f t="shared" si="181"/>
        <v>0.30000000000000004</v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>
        <f t="shared" si="183"/>
        <v>0</v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>
        <f t="shared" si="185"/>
        <v>0.2</v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>
        <f t="shared" si="187"/>
        <v>0.2</v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>
        <f t="shared" si="189"/>
        <v>0</v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>
        <f t="shared" si="191"/>
        <v>0.2</v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>
        <f t="shared" si="193"/>
        <v>0</v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>
        <f t="shared" si="195"/>
        <v>0.30000000000000004</v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>
        <f t="shared" si="197"/>
        <v>0.30000000000000004</v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>
        <f t="shared" si="199"/>
        <v>0.30000000000000004</v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>
        <f t="shared" si="201"/>
        <v>0.2</v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>
        <f t="shared" si="203"/>
        <v>0</v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>
        <f t="shared" si="205"/>
        <v>0.30000000000000004</v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>
        <f t="shared" si="207"/>
        <v>0.2</v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>
        <f t="shared" si="209"/>
        <v>0</v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>
        <f t="shared" si="211"/>
        <v>0</v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>
        <f t="shared" si="213"/>
        <v>0</v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>
        <f t="shared" si="215"/>
        <v>0</v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>
        <f t="shared" si="217"/>
        <v>0.2</v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>
        <f t="shared" si="219"/>
        <v>0.30000000000000004</v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>
        <f t="shared" si="221"/>
        <v>0</v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>
        <f t="shared" si="223"/>
        <v>0.2</v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>
        <f t="shared" si="225"/>
        <v>0</v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>
        <f t="shared" si="227"/>
        <v>0</v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>
        <f t="shared" si="229"/>
        <v>0.2</v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>
        <f t="shared" si="231"/>
        <v>0.2</v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>
        <f t="shared" si="233"/>
        <v>0</v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>
        <f t="shared" si="235"/>
        <v>0.2</v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>
        <f t="shared" si="237"/>
        <v>0.2</v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>
        <f t="shared" si="239"/>
        <v>0.2</v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>
        <f t="shared" si="241"/>
        <v>0</v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>
        <f t="shared" si="243"/>
        <v>0.2</v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>
        <f t="shared" si="245"/>
        <v>0</v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>
        <f t="shared" si="247"/>
        <v>0</v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>
        <f t="shared" si="249"/>
        <v>0</v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>
        <f t="shared" si="251"/>
        <v>0.2</v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>
        <f t="shared" si="253"/>
        <v>0.2</v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>
        <f t="shared" si="255"/>
        <v>0.30000000000000004</v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>
        <f t="shared" si="257"/>
        <v>0.2</v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>
        <f t="shared" si="259"/>
        <v>0</v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>
        <f t="shared" si="261"/>
        <v>0.30000000000000004</v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>
        <f t="shared" si="263"/>
        <v>0.2</v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>
        <f t="shared" si="265"/>
        <v>0.2</v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>
        <f t="shared" si="267"/>
        <v>0.30000000000000004</v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>
        <f t="shared" si="269"/>
        <v>0</v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>
        <f t="shared" si="271"/>
        <v>0</v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>
        <f t="shared" si="273"/>
        <v>0</v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>
        <f t="shared" si="277"/>
        <v>0</v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>
        <f t="shared" si="279"/>
        <v>0</v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>
        <f t="shared" si="281"/>
        <v>0</v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>
        <f t="shared" si="283"/>
        <v>0</v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>
        <f t="shared" si="285"/>
        <v>0</v>
      </c>
      <c r="SR35" s="43">
        <f t="shared" si="286"/>
        <v>0</v>
      </c>
    </row>
    <row r="36" spans="1:512" customFormat="1" ht="16" customHeight="1" x14ac:dyDescent="0.15">
      <c r="A36" s="34">
        <v>46193</v>
      </c>
      <c r="B36" s="35">
        <v>0</v>
      </c>
      <c r="C36" s="79" t="s">
        <v>20</v>
      </c>
      <c r="D36" s="80" t="s">
        <v>36</v>
      </c>
      <c r="E36" s="2">
        <v>0</v>
      </c>
      <c r="F36" s="50" t="s">
        <v>4</v>
      </c>
      <c r="G36" s="1">
        <v>1</v>
      </c>
      <c r="H36" s="16">
        <v>2.8</v>
      </c>
      <c r="I36" s="32">
        <f t="shared" si="0"/>
        <v>-1</v>
      </c>
      <c r="J36" s="47">
        <v>1</v>
      </c>
      <c r="K36" s="48" t="s">
        <v>4</v>
      </c>
      <c r="L36" s="49">
        <v>2</v>
      </c>
      <c r="M36" s="27"/>
      <c r="N36" s="42">
        <f t="shared" si="1"/>
        <v>2.8</v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>
        <f t="shared" si="145"/>
        <v>4.1999999999999993</v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>
        <f t="shared" si="147"/>
        <v>4.1999999999999993</v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>
        <f t="shared" si="149"/>
        <v>0</v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>
        <f t="shared" si="151"/>
        <v>2.8</v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>
        <f t="shared" si="153"/>
        <v>2.8</v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>
        <f t="shared" si="155"/>
        <v>0</v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>
        <f t="shared" si="157"/>
        <v>2.8</v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>
        <f t="shared" si="159"/>
        <v>2.8</v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>
        <f t="shared" si="161"/>
        <v>0</v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>
        <f t="shared" si="163"/>
        <v>0</v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>
        <f t="shared" si="165"/>
        <v>2.8</v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>
        <f t="shared" si="167"/>
        <v>2.8</v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>
        <f t="shared" si="169"/>
        <v>4.1999999999999993</v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>
        <f t="shared" si="171"/>
        <v>0</v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>
        <f t="shared" si="173"/>
        <v>4.1999999999999993</v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>
        <f t="shared" si="175"/>
        <v>2.8</v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>
        <f t="shared" si="177"/>
        <v>0</v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>
        <f t="shared" si="179"/>
        <v>0</v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>
        <f t="shared" si="181"/>
        <v>2.8</v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>
        <f t="shared" si="183"/>
        <v>2.8</v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>
        <f t="shared" si="185"/>
        <v>0</v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>
        <f t="shared" si="187"/>
        <v>2.8</v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>
        <f t="shared" si="189"/>
        <v>0</v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>
        <f t="shared" si="191"/>
        <v>2.8</v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>
        <f t="shared" si="193"/>
        <v>2.8</v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>
        <f t="shared" si="195"/>
        <v>0</v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>
        <f t="shared" si="197"/>
        <v>2.8</v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>
        <f t="shared" si="199"/>
        <v>2.8</v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>
        <f t="shared" si="201"/>
        <v>2.8</v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>
        <f t="shared" si="203"/>
        <v>2.8</v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>
        <f t="shared" si="205"/>
        <v>0</v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>
        <f t="shared" si="207"/>
        <v>0</v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>
        <f t="shared" si="209"/>
        <v>0</v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>
        <f t="shared" si="211"/>
        <v>2.8</v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>
        <f t="shared" si="213"/>
        <v>0</v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>
        <f t="shared" si="215"/>
        <v>0</v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>
        <f t="shared" si="217"/>
        <v>2.8</v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>
        <f t="shared" si="219"/>
        <v>2.8</v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>
        <f t="shared" si="221"/>
        <v>0</v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>
        <f t="shared" si="223"/>
        <v>0</v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>
        <f t="shared" si="225"/>
        <v>4.1999999999999993</v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>
        <f t="shared" si="227"/>
        <v>0</v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>
        <f t="shared" si="229"/>
        <v>2.8</v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>
        <f t="shared" si="231"/>
        <v>2.8</v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>
        <f t="shared" si="233"/>
        <v>0</v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>
        <f t="shared" si="235"/>
        <v>0</v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>
        <f t="shared" si="237"/>
        <v>0</v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>
        <f t="shared" si="239"/>
        <v>2.8</v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>
        <f t="shared" si="241"/>
        <v>0</v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>
        <f t="shared" si="243"/>
        <v>2.8</v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>
        <f t="shared" si="245"/>
        <v>2.8</v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>
        <f t="shared" si="247"/>
        <v>0</v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>
        <f t="shared" si="249"/>
        <v>0</v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>
        <f t="shared" si="251"/>
        <v>2.8</v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>
        <f t="shared" si="253"/>
        <v>0</v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>
        <f t="shared" si="255"/>
        <v>2.8</v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>
        <f t="shared" si="257"/>
        <v>0</v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>
        <f t="shared" si="259"/>
        <v>2.8</v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>
        <f t="shared" si="261"/>
        <v>4.1999999999999993</v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>
        <f t="shared" si="263"/>
        <v>2.8</v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>
        <f t="shared" si="265"/>
        <v>2.8</v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>
        <f t="shared" si="267"/>
        <v>0</v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>
        <f t="shared" si="269"/>
        <v>2.8</v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>
        <f t="shared" si="271"/>
        <v>2.8</v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>
        <f t="shared" si="273"/>
        <v>0</v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>
        <f t="shared" si="277"/>
        <v>0</v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>
        <f t="shared" si="279"/>
        <v>0</v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>
        <f t="shared" si="281"/>
        <v>0</v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>
        <f t="shared" si="283"/>
        <v>0</v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>
        <f t="shared" si="285"/>
        <v>0</v>
      </c>
      <c r="SR36" s="43">
        <f t="shared" si="286"/>
        <v>1</v>
      </c>
    </row>
    <row r="37" spans="1:512" customFormat="1" ht="16" customHeight="1" x14ac:dyDescent="0.15">
      <c r="A37" s="34">
        <v>46193</v>
      </c>
      <c r="B37" s="35">
        <v>0.125</v>
      </c>
      <c r="C37" s="79" t="s">
        <v>35</v>
      </c>
      <c r="D37" s="80" t="s">
        <v>37</v>
      </c>
      <c r="E37" s="2">
        <v>3</v>
      </c>
      <c r="F37" s="50" t="s">
        <v>4</v>
      </c>
      <c r="G37" s="1">
        <v>0</v>
      </c>
      <c r="H37" s="16">
        <v>2.8</v>
      </c>
      <c r="I37" s="32">
        <f t="shared" si="0"/>
        <v>3</v>
      </c>
      <c r="J37" s="47">
        <v>3</v>
      </c>
      <c r="K37" s="48" t="s">
        <v>4</v>
      </c>
      <c r="L37" s="49">
        <v>0</v>
      </c>
      <c r="M37" s="27"/>
      <c r="N37" s="42">
        <f t="shared" si="1"/>
        <v>4.1999999999999993</v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>
        <f t="shared" si="145"/>
        <v>2.8</v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>
        <f t="shared" si="147"/>
        <v>4.1999999999999993</v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>
        <f t="shared" si="149"/>
        <v>2.8</v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>
        <f t="shared" si="151"/>
        <v>2.8</v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>
        <f t="shared" si="153"/>
        <v>2.8</v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>
        <f t="shared" si="155"/>
        <v>2.8</v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>
        <f t="shared" si="157"/>
        <v>2.8</v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>
        <f t="shared" si="159"/>
        <v>4.1999999999999993</v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>
        <f t="shared" si="161"/>
        <v>2.8</v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>
        <f t="shared" si="163"/>
        <v>4.1999999999999993</v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>
        <f t="shared" si="165"/>
        <v>4.1999999999999993</v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>
        <f t="shared" si="167"/>
        <v>2.8</v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>
        <f t="shared" si="169"/>
        <v>4.1999999999999993</v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>
        <f t="shared" si="171"/>
        <v>2.8</v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>
        <f t="shared" si="173"/>
        <v>2.8</v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>
        <f t="shared" si="175"/>
        <v>2.8</v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>
        <f t="shared" si="177"/>
        <v>4.1999999999999993</v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>
        <f t="shared" si="179"/>
        <v>2.8</v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>
        <f t="shared" si="181"/>
        <v>2.8</v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>
        <f t="shared" si="183"/>
        <v>2.8</v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>
        <f t="shared" si="185"/>
        <v>2.8</v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>
        <f t="shared" si="187"/>
        <v>4.1999999999999993</v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>
        <f t="shared" si="189"/>
        <v>4.1999999999999993</v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>
        <f t="shared" si="191"/>
        <v>4.1999999999999993</v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>
        <f t="shared" si="193"/>
        <v>4.1999999999999993</v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>
        <f t="shared" si="195"/>
        <v>2.8</v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>
        <f t="shared" si="197"/>
        <v>2.8</v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>
        <f t="shared" si="199"/>
        <v>4.1999999999999993</v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>
        <f t="shared" si="201"/>
        <v>2.8</v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>
        <f t="shared" si="203"/>
        <v>4.1999999999999993</v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>
        <f t="shared" si="205"/>
        <v>2.8</v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>
        <f t="shared" si="207"/>
        <v>2.8</v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>
        <f t="shared" si="209"/>
        <v>0</v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>
        <f t="shared" si="211"/>
        <v>2.8</v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>
        <f t="shared" si="213"/>
        <v>2.8</v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>
        <f t="shared" si="215"/>
        <v>2.8</v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>
        <f t="shared" si="217"/>
        <v>2.8</v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>
        <f t="shared" si="219"/>
        <v>2.8</v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>
        <f t="shared" si="221"/>
        <v>2.8</v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>
        <f t="shared" si="223"/>
        <v>2.8</v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>
        <f t="shared" si="225"/>
        <v>2.8</v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>
        <f t="shared" si="227"/>
        <v>2.8</v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>
        <f t="shared" si="229"/>
        <v>2.8</v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>
        <f t="shared" si="231"/>
        <v>2.8</v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>
        <f t="shared" si="233"/>
        <v>2.8</v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>
        <f t="shared" si="235"/>
        <v>2.8</v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>
        <f t="shared" si="237"/>
        <v>2.8</v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>
        <f t="shared" si="239"/>
        <v>2.8</v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>
        <f t="shared" si="241"/>
        <v>2.8</v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>
        <f t="shared" si="243"/>
        <v>2.8</v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>
        <f t="shared" si="245"/>
        <v>2.8</v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>
        <f t="shared" si="247"/>
        <v>0</v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>
        <f t="shared" si="249"/>
        <v>2.8</v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>
        <f t="shared" si="251"/>
        <v>2.8</v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>
        <f t="shared" si="253"/>
        <v>2.8</v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>
        <f t="shared" si="255"/>
        <v>4.1999999999999993</v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>
        <f t="shared" si="257"/>
        <v>2.8</v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>
        <f t="shared" si="259"/>
        <v>2.8</v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>
        <f t="shared" si="261"/>
        <v>4.1999999999999993</v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>
        <f t="shared" si="263"/>
        <v>2.8</v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>
        <f t="shared" si="265"/>
        <v>2.8</v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>
        <f t="shared" si="267"/>
        <v>4.1999999999999993</v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>
        <f t="shared" si="269"/>
        <v>2.8</v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>
        <f t="shared" si="271"/>
        <v>2.8</v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>
        <f t="shared" si="273"/>
        <v>4.1999999999999993</v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>
        <f t="shared" si="277"/>
        <v>4.1999999999999993</v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>
        <f t="shared" si="279"/>
        <v>2.8</v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>
        <f t="shared" si="281"/>
        <v>2.8</v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>
        <f t="shared" si="283"/>
        <v>2.8</v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>
        <f t="shared" si="285"/>
        <v>2.8</v>
      </c>
      <c r="SR37" s="43">
        <f t="shared" si="286"/>
        <v>4</v>
      </c>
    </row>
    <row r="38" spans="1:512" customFormat="1" ht="16" customHeight="1" x14ac:dyDescent="0.15">
      <c r="A38" s="34">
        <v>46193</v>
      </c>
      <c r="B38" s="35">
        <v>0.25</v>
      </c>
      <c r="C38" s="79" t="s">
        <v>25</v>
      </c>
      <c r="D38" s="80" t="s">
        <v>33</v>
      </c>
      <c r="E38" s="2">
        <v>0</v>
      </c>
      <c r="F38" s="50" t="s">
        <v>4</v>
      </c>
      <c r="G38" s="1">
        <v>1</v>
      </c>
      <c r="H38" s="16">
        <v>2.8</v>
      </c>
      <c r="I38" s="32">
        <f t="shared" si="0"/>
        <v>-1</v>
      </c>
      <c r="J38" s="47">
        <v>2</v>
      </c>
      <c r="K38" s="48" t="s">
        <v>4</v>
      </c>
      <c r="L38" s="49">
        <v>0</v>
      </c>
      <c r="M38" s="27"/>
      <c r="N38" s="42">
        <f t="shared" si="1"/>
        <v>0</v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>
        <f t="shared" si="145"/>
        <v>0</v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>
        <f t="shared" si="147"/>
        <v>0</v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>
        <f t="shared" si="149"/>
        <v>0</v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>
        <f t="shared" si="151"/>
        <v>0</v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>
        <f t="shared" si="153"/>
        <v>0</v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>
        <f t="shared" si="155"/>
        <v>0</v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>
        <f t="shared" si="157"/>
        <v>0</v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>
        <f t="shared" si="159"/>
        <v>0</v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>
        <f t="shared" si="161"/>
        <v>0</v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>
        <f t="shared" si="163"/>
        <v>0</v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>
        <f t="shared" si="165"/>
        <v>0</v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>
        <f t="shared" si="167"/>
        <v>0</v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>
        <f t="shared" si="169"/>
        <v>0</v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>
        <f t="shared" si="171"/>
        <v>0</v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>
        <f t="shared" si="173"/>
        <v>0</v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>
        <f t="shared" si="175"/>
        <v>0</v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>
        <f t="shared" si="177"/>
        <v>0</v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>
        <f t="shared" si="179"/>
        <v>4.1999999999999993</v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>
        <f t="shared" si="181"/>
        <v>0</v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>
        <f t="shared" si="183"/>
        <v>0</v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>
        <f t="shared" si="185"/>
        <v>0</v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>
        <f t="shared" si="187"/>
        <v>0</v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>
        <f t="shared" si="189"/>
        <v>0</v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>
        <f t="shared" si="191"/>
        <v>0</v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>
        <f t="shared" si="193"/>
        <v>0</v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>
        <f t="shared" si="195"/>
        <v>0</v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>
        <f t="shared" si="197"/>
        <v>0</v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>
        <f t="shared" si="199"/>
        <v>0</v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>
        <f t="shared" si="201"/>
        <v>0</v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>
        <f t="shared" si="203"/>
        <v>0</v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>
        <f t="shared" si="205"/>
        <v>0</v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>
        <f t="shared" si="207"/>
        <v>0</v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>
        <f t="shared" si="209"/>
        <v>2.8</v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>
        <f t="shared" si="211"/>
        <v>0</v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>
        <f t="shared" si="213"/>
        <v>2.8</v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>
        <f t="shared" si="215"/>
        <v>2.8</v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>
        <f t="shared" si="217"/>
        <v>0</v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>
        <f t="shared" si="219"/>
        <v>0</v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>
        <f t="shared" si="221"/>
        <v>0</v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>
        <f t="shared" si="223"/>
        <v>0</v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>
        <f t="shared" si="225"/>
        <v>0</v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>
        <f t="shared" si="227"/>
        <v>0</v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>
        <f t="shared" si="229"/>
        <v>0</v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>
        <f t="shared" si="231"/>
        <v>0</v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>
        <f t="shared" si="233"/>
        <v>2.8</v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>
        <f t="shared" si="235"/>
        <v>0</v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>
        <f t="shared" si="237"/>
        <v>0</v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>
        <f t="shared" si="239"/>
        <v>0</v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>
        <f t="shared" si="241"/>
        <v>0</v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>
        <f t="shared" si="243"/>
        <v>0</v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>
        <f t="shared" si="245"/>
        <v>0</v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>
        <f t="shared" si="247"/>
        <v>0</v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>
        <f t="shared" si="249"/>
        <v>0</v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>
        <f t="shared" si="251"/>
        <v>0</v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>
        <f t="shared" si="253"/>
        <v>0</v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>
        <f t="shared" si="255"/>
        <v>0</v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>
        <f t="shared" si="257"/>
        <v>0</v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>
        <f t="shared" si="259"/>
        <v>0</v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>
        <f t="shared" si="261"/>
        <v>0</v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>
        <f t="shared" si="263"/>
        <v>0</v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>
        <f t="shared" si="265"/>
        <v>0</v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>
        <f t="shared" si="267"/>
        <v>0</v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>
        <f t="shared" si="269"/>
        <v>0</v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>
        <f t="shared" si="271"/>
        <v>2.8</v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>
        <f t="shared" si="273"/>
        <v>0</v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>
        <f t="shared" si="277"/>
        <v>0</v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>
        <f t="shared" si="279"/>
        <v>2.8</v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>
        <f t="shared" si="281"/>
        <v>2.8</v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>
        <f t="shared" si="283"/>
        <v>2.8</v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>
        <f t="shared" si="285"/>
        <v>0</v>
      </c>
      <c r="SR38" s="43">
        <f t="shared" si="286"/>
        <v>2</v>
      </c>
    </row>
    <row r="39" spans="1:512" customFormat="1" ht="16" customHeight="1" x14ac:dyDescent="0.15">
      <c r="A39" s="34">
        <v>46193</v>
      </c>
      <c r="B39" s="35">
        <v>0.79166666666666663</v>
      </c>
      <c r="C39" s="79" t="s">
        <v>23</v>
      </c>
      <c r="D39" s="80" t="s">
        <v>43</v>
      </c>
      <c r="E39" s="2">
        <v>5</v>
      </c>
      <c r="F39" s="50" t="s">
        <v>4</v>
      </c>
      <c r="G39" s="1">
        <v>1</v>
      </c>
      <c r="H39" s="16">
        <v>2.8</v>
      </c>
      <c r="I39" s="32">
        <f t="shared" si="0"/>
        <v>4</v>
      </c>
      <c r="J39" s="47">
        <v>2</v>
      </c>
      <c r="K39" s="48" t="s">
        <v>4</v>
      </c>
      <c r="L39" s="49">
        <v>2</v>
      </c>
      <c r="M39" s="27"/>
      <c r="N39" s="42">
        <f t="shared" si="1"/>
        <v>0</v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>
        <f t="shared" si="145"/>
        <v>2.8</v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>
        <f t="shared" si="147"/>
        <v>0</v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>
        <f t="shared" si="149"/>
        <v>0</v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>
        <f t="shared" si="151"/>
        <v>2.8</v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>
        <f t="shared" si="153"/>
        <v>0</v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>
        <f t="shared" si="155"/>
        <v>2.8</v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>
        <f t="shared" si="157"/>
        <v>2.8</v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>
        <f t="shared" si="159"/>
        <v>0</v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>
        <f t="shared" si="161"/>
        <v>2.8</v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>
        <f t="shared" si="163"/>
        <v>0</v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>
        <f t="shared" si="165"/>
        <v>2.8</v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>
        <f t="shared" si="167"/>
        <v>2.8</v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>
        <f t="shared" si="169"/>
        <v>2.8</v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>
        <f t="shared" si="171"/>
        <v>0</v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>
        <f t="shared" si="173"/>
        <v>0</v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>
        <f t="shared" si="175"/>
        <v>0</v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>
        <f t="shared" si="177"/>
        <v>0</v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>
        <f t="shared" si="179"/>
        <v>0</v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>
        <f t="shared" si="181"/>
        <v>2.8</v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>
        <f t="shared" si="183"/>
        <v>2.8</v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>
        <f t="shared" si="185"/>
        <v>2.8</v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>
        <f t="shared" si="187"/>
        <v>2.8</v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>
        <f t="shared" si="189"/>
        <v>2.8</v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>
        <f t="shared" si="191"/>
        <v>2.8</v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>
        <f t="shared" si="193"/>
        <v>2.8</v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>
        <f t="shared" si="195"/>
        <v>0</v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>
        <f t="shared" si="197"/>
        <v>2.8</v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>
        <f t="shared" si="199"/>
        <v>2.8</v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>
        <f t="shared" si="201"/>
        <v>0</v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>
        <f t="shared" si="203"/>
        <v>2.8</v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>
        <f t="shared" si="205"/>
        <v>2.8</v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>
        <f t="shared" si="207"/>
        <v>2.8</v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>
        <f t="shared" si="209"/>
        <v>0</v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>
        <f t="shared" si="211"/>
        <v>2.8</v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>
        <f t="shared" si="213"/>
        <v>2.8</v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>
        <f t="shared" si="215"/>
        <v>2.8</v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>
        <f t="shared" si="217"/>
        <v>2.8</v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>
        <f t="shared" si="219"/>
        <v>2.8</v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>
        <f t="shared" si="221"/>
        <v>2.8</v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>
        <f t="shared" si="223"/>
        <v>2.8</v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>
        <f t="shared" si="225"/>
        <v>2.8</v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>
        <f t="shared" si="227"/>
        <v>2.8</v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>
        <f t="shared" si="229"/>
        <v>2.8</v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>
        <f t="shared" si="231"/>
        <v>2.8</v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>
        <f t="shared" si="233"/>
        <v>2.8</v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>
        <f t="shared" si="235"/>
        <v>2.8</v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>
        <f t="shared" si="237"/>
        <v>2.8</v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>
        <f t="shared" si="239"/>
        <v>2.8</v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>
        <f t="shared" si="241"/>
        <v>2.8</v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>
        <f t="shared" si="243"/>
        <v>2.8</v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>
        <f t="shared" si="245"/>
        <v>0</v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>
        <f t="shared" si="247"/>
        <v>2.8</v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>
        <f t="shared" si="249"/>
        <v>2.8</v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>
        <f t="shared" si="251"/>
        <v>2.8</v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>
        <f t="shared" si="253"/>
        <v>2.8</v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>
        <f t="shared" si="255"/>
        <v>2.8</v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>
        <f t="shared" si="257"/>
        <v>2.8</v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>
        <f t="shared" si="259"/>
        <v>2.8</v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>
        <f t="shared" si="261"/>
        <v>2.8</v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>
        <f t="shared" si="263"/>
        <v>2.8</v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>
        <f t="shared" si="265"/>
        <v>0</v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>
        <f t="shared" si="267"/>
        <v>2.8</v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>
        <f t="shared" si="269"/>
        <v>2.8</v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>
        <f t="shared" si="271"/>
        <v>0</v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>
        <f t="shared" si="273"/>
        <v>2.8</v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>
        <f t="shared" si="277"/>
        <v>0</v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>
        <f t="shared" si="279"/>
        <v>2.8</v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>
        <f t="shared" si="281"/>
        <v>2.8</v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>
        <f t="shared" si="283"/>
        <v>2.8</v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>
        <f t="shared" si="285"/>
        <v>0</v>
      </c>
      <c r="SR39" s="43">
        <f t="shared" si="286"/>
        <v>0</v>
      </c>
    </row>
    <row r="40" spans="1:512" customFormat="1" ht="16" customHeight="1" x14ac:dyDescent="0.15">
      <c r="A40" s="34">
        <v>46193</v>
      </c>
      <c r="B40" s="35">
        <v>0.91666666666666663</v>
      </c>
      <c r="C40" s="79" t="s">
        <v>5</v>
      </c>
      <c r="D40" s="81" t="s">
        <v>41</v>
      </c>
      <c r="E40" s="2">
        <v>2</v>
      </c>
      <c r="F40" s="50" t="s">
        <v>4</v>
      </c>
      <c r="G40" s="1">
        <v>1</v>
      </c>
      <c r="H40" s="16">
        <v>2.8</v>
      </c>
      <c r="I40" s="32">
        <f t="shared" si="0"/>
        <v>1</v>
      </c>
      <c r="J40" s="47">
        <v>1</v>
      </c>
      <c r="K40" s="48" t="s">
        <v>4</v>
      </c>
      <c r="L40" s="49">
        <v>0</v>
      </c>
      <c r="M40" s="27"/>
      <c r="N40" s="42">
        <f t="shared" si="1"/>
        <v>2.8</v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>
        <f t="shared" si="145"/>
        <v>2.8</v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>
        <f t="shared" si="147"/>
        <v>4.1999999999999993</v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>
        <f t="shared" si="149"/>
        <v>4.1999999999999993</v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>
        <f t="shared" si="151"/>
        <v>4.1999999999999993</v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>
        <f t="shared" si="153"/>
        <v>0</v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>
        <f t="shared" si="155"/>
        <v>4.1999999999999993</v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>
        <f t="shared" si="157"/>
        <v>4.1999999999999993</v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>
        <f t="shared" si="159"/>
        <v>0</v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>
        <f t="shared" si="161"/>
        <v>2.8</v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>
        <f t="shared" si="163"/>
        <v>2.8</v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>
        <f t="shared" si="165"/>
        <v>2.8</v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>
        <f t="shared" si="167"/>
        <v>2.8</v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>
        <f t="shared" si="169"/>
        <v>0</v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>
        <f t="shared" si="171"/>
        <v>0</v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>
        <f t="shared" si="173"/>
        <v>0</v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>
        <f t="shared" si="175"/>
        <v>4.1999999999999993</v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>
        <f t="shared" si="177"/>
        <v>0</v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>
        <f t="shared" si="179"/>
        <v>2.8</v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>
        <f t="shared" si="181"/>
        <v>4.1999999999999993</v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>
        <f t="shared" si="183"/>
        <v>0</v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>
        <f t="shared" si="185"/>
        <v>4.1999999999999993</v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>
        <f t="shared" si="187"/>
        <v>4.1999999999999993</v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>
        <f t="shared" si="189"/>
        <v>2.8</v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>
        <f t="shared" si="191"/>
        <v>0</v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>
        <f t="shared" si="193"/>
        <v>0</v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>
        <f t="shared" si="195"/>
        <v>4.1999999999999993</v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>
        <f t="shared" si="197"/>
        <v>4.1999999999999993</v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>
        <f t="shared" si="199"/>
        <v>2.8</v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>
        <f t="shared" si="201"/>
        <v>2.8</v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>
        <f t="shared" si="203"/>
        <v>0</v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>
        <f t="shared" si="205"/>
        <v>2.8</v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>
        <f t="shared" si="207"/>
        <v>4.1999999999999993</v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>
        <f t="shared" si="209"/>
        <v>0</v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>
        <f t="shared" si="211"/>
        <v>4.1999999999999993</v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>
        <f t="shared" si="213"/>
        <v>2.8</v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>
        <f t="shared" si="215"/>
        <v>2.8</v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>
        <f t="shared" si="217"/>
        <v>2.8</v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>
        <f t="shared" si="219"/>
        <v>0</v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>
        <f t="shared" si="221"/>
        <v>2.8</v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>
        <f t="shared" si="223"/>
        <v>2.8</v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>
        <f t="shared" si="225"/>
        <v>0</v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>
        <f t="shared" si="227"/>
        <v>0</v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>
        <f t="shared" si="229"/>
        <v>4.1999999999999993</v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>
        <f t="shared" si="231"/>
        <v>2.8</v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>
        <f t="shared" si="233"/>
        <v>2.8</v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>
        <f t="shared" si="235"/>
        <v>2.8</v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>
        <f t="shared" si="237"/>
        <v>2.8</v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>
        <f t="shared" si="239"/>
        <v>2.8</v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>
        <f t="shared" si="241"/>
        <v>2.8</v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>
        <f t="shared" si="243"/>
        <v>2.8</v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>
        <f t="shared" si="245"/>
        <v>2.8</v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>
        <f t="shared" si="247"/>
        <v>0</v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>
        <f t="shared" si="249"/>
        <v>4.1999999999999993</v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>
        <f t="shared" si="251"/>
        <v>4.1999999999999993</v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>
        <f t="shared" si="253"/>
        <v>4.1999999999999993</v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>
        <f t="shared" si="255"/>
        <v>2.8</v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>
        <f t="shared" si="257"/>
        <v>2.8</v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>
        <f t="shared" si="259"/>
        <v>2.8</v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>
        <f t="shared" si="261"/>
        <v>4.1999999999999993</v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>
        <f t="shared" si="263"/>
        <v>2.8</v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>
        <f t="shared" si="265"/>
        <v>4.1999999999999993</v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>
        <f t="shared" si="267"/>
        <v>2.8</v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>
        <f t="shared" si="269"/>
        <v>2.8</v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>
        <f t="shared" si="271"/>
        <v>2.8</v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>
        <f t="shared" si="273"/>
        <v>2.8</v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>
        <f t="shared" si="277"/>
        <v>2.8</v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>
        <f t="shared" si="279"/>
        <v>2.8</v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>
        <f t="shared" si="281"/>
        <v>2.8</v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>
        <f t="shared" si="283"/>
        <v>2.8</v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>
        <f t="shared" si="285"/>
        <v>0</v>
      </c>
      <c r="SR40" s="43">
        <f t="shared" si="286"/>
        <v>-1</v>
      </c>
    </row>
    <row r="41" spans="1:512" customFormat="1" ht="16" customHeight="1" x14ac:dyDescent="0.15">
      <c r="A41" s="34">
        <v>46194</v>
      </c>
      <c r="B41" s="35">
        <v>8.3333333333333329E-2</v>
      </c>
      <c r="C41" s="79" t="s">
        <v>42</v>
      </c>
      <c r="D41" s="81" t="s">
        <v>39</v>
      </c>
      <c r="E41" s="2">
        <v>0</v>
      </c>
      <c r="F41" s="50" t="s">
        <v>4</v>
      </c>
      <c r="G41" s="1">
        <v>0</v>
      </c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>
        <f t="shared" si="1"/>
        <v>4.5</v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>
        <f t="shared" si="145"/>
        <v>0</v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>
        <f t="shared" si="147"/>
        <v>0</v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>
        <f t="shared" si="149"/>
        <v>0</v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>
        <f t="shared" si="151"/>
        <v>0</v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>
        <f t="shared" si="153"/>
        <v>0</v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>
        <f t="shared" si="155"/>
        <v>0</v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>
        <f t="shared" si="157"/>
        <v>0</v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>
        <f t="shared" si="159"/>
        <v>0</v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>
        <f t="shared" si="161"/>
        <v>4.5</v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>
        <f t="shared" si="163"/>
        <v>0</v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>
        <f t="shared" si="165"/>
        <v>0</v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>
        <f t="shared" si="167"/>
        <v>0</v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>
        <f t="shared" si="169"/>
        <v>0</v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>
        <f t="shared" si="171"/>
        <v>0</v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>
        <f t="shared" si="173"/>
        <v>0</v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>
        <f t="shared" si="175"/>
        <v>0</v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>
        <f t="shared" si="177"/>
        <v>0</v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>
        <f t="shared" si="179"/>
        <v>0</v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>
        <f t="shared" si="181"/>
        <v>0</v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>
        <f t="shared" si="183"/>
        <v>0</v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>
        <f t="shared" si="185"/>
        <v>0</v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>
        <f t="shared" si="187"/>
        <v>0</v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>
        <f t="shared" si="189"/>
        <v>3</v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>
        <f t="shared" si="191"/>
        <v>0</v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>
        <f t="shared" si="193"/>
        <v>0</v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>
        <f t="shared" si="195"/>
        <v>0</v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>
        <f t="shared" si="197"/>
        <v>0</v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>
        <f t="shared" si="199"/>
        <v>0</v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>
        <f t="shared" si="201"/>
        <v>0</v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>
        <f t="shared" si="203"/>
        <v>0</v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>
        <f t="shared" si="205"/>
        <v>3</v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>
        <f t="shared" si="207"/>
        <v>0</v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>
        <f t="shared" si="209"/>
        <v>0</v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>
        <f t="shared" si="211"/>
        <v>0</v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>
        <f t="shared" si="213"/>
        <v>0</v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>
        <f t="shared" si="215"/>
        <v>0</v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>
        <f t="shared" si="217"/>
        <v>0</v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>
        <f t="shared" si="219"/>
        <v>0</v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>
        <f t="shared" si="221"/>
        <v>0</v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>
        <f t="shared" si="223"/>
        <v>3</v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>
        <f t="shared" si="225"/>
        <v>0</v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>
        <f t="shared" si="227"/>
        <v>4.5</v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>
        <f t="shared" si="229"/>
        <v>0</v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>
        <f t="shared" si="231"/>
        <v>0</v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>
        <f t="shared" si="233"/>
        <v>3</v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>
        <f t="shared" si="235"/>
        <v>0</v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>
        <f t="shared" si="237"/>
        <v>0</v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>
        <f t="shared" si="239"/>
        <v>0</v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>
        <f t="shared" si="241"/>
        <v>0</v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>
        <f t="shared" si="243"/>
        <v>0</v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>
        <f t="shared" si="245"/>
        <v>0</v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>
        <f t="shared" si="247"/>
        <v>0</v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>
        <f t="shared" si="249"/>
        <v>0</v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>
        <f t="shared" si="251"/>
        <v>0</v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>
        <f t="shared" si="253"/>
        <v>0</v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>
        <f t="shared" si="255"/>
        <v>0</v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>
        <f t="shared" si="257"/>
        <v>0</v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>
        <f t="shared" si="259"/>
        <v>0</v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>
        <f t="shared" si="261"/>
        <v>0</v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>
        <f t="shared" si="263"/>
        <v>0</v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>
        <f t="shared" si="265"/>
        <v>0</v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>
        <f t="shared" si="267"/>
        <v>0</v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>
        <f t="shared" si="269"/>
        <v>0</v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>
        <f t="shared" si="271"/>
        <v>0</v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>
        <f t="shared" si="273"/>
        <v>0</v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>
        <f t="shared" si="277"/>
        <v>0</v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>
        <f t="shared" si="279"/>
        <v>0</v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>
        <f t="shared" si="281"/>
        <v>0</v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>
        <f t="shared" si="283"/>
        <v>0</v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>
        <f t="shared" si="285"/>
        <v>3</v>
      </c>
      <c r="SR41" s="43">
        <f t="shared" si="286"/>
        <v>0</v>
      </c>
    </row>
    <row r="42" spans="1:512" customFormat="1" ht="16" customHeight="1" x14ac:dyDescent="0.15">
      <c r="A42" s="34">
        <v>46194</v>
      </c>
      <c r="B42" s="35">
        <v>0.25</v>
      </c>
      <c r="C42" s="79" t="s">
        <v>44</v>
      </c>
      <c r="D42" s="80" t="s">
        <v>40</v>
      </c>
      <c r="E42" s="2">
        <v>0</v>
      </c>
      <c r="F42" s="50" t="s">
        <v>4</v>
      </c>
      <c r="G42" s="1">
        <v>4</v>
      </c>
      <c r="H42" s="16">
        <v>3</v>
      </c>
      <c r="I42" s="32">
        <f t="shared" si="0"/>
        <v>-4</v>
      </c>
      <c r="J42" s="47">
        <v>0</v>
      </c>
      <c r="K42" s="48" t="s">
        <v>4</v>
      </c>
      <c r="L42" s="49">
        <v>0</v>
      </c>
      <c r="M42" s="27"/>
      <c r="N42" s="42">
        <f t="shared" si="1"/>
        <v>0</v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>
        <f t="shared" si="145"/>
        <v>3</v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>
        <f t="shared" si="147"/>
        <v>0</v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>
        <f t="shared" si="149"/>
        <v>3</v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>
        <f t="shared" si="151"/>
        <v>3</v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>
        <f t="shared" si="153"/>
        <v>3</v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>
        <f t="shared" si="155"/>
        <v>3</v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>
        <f t="shared" si="157"/>
        <v>3</v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>
        <f t="shared" si="159"/>
        <v>3</v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>
        <f t="shared" si="161"/>
        <v>3</v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>
        <f t="shared" si="163"/>
        <v>0</v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>
        <f t="shared" si="165"/>
        <v>3</v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>
        <f t="shared" si="167"/>
        <v>3</v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>
        <f t="shared" si="169"/>
        <v>3</v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>
        <f t="shared" si="171"/>
        <v>0</v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>
        <f t="shared" si="173"/>
        <v>3</v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>
        <f t="shared" si="175"/>
        <v>3</v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>
        <f t="shared" si="177"/>
        <v>3</v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>
        <f t="shared" si="179"/>
        <v>3</v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>
        <f t="shared" si="181"/>
        <v>3</v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>
        <f t="shared" si="183"/>
        <v>0</v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>
        <f t="shared" si="185"/>
        <v>3</v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>
        <f t="shared" si="187"/>
        <v>3</v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>
        <f t="shared" si="189"/>
        <v>0</v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>
        <f t="shared" si="191"/>
        <v>3</v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>
        <f t="shared" si="193"/>
        <v>3</v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>
        <f t="shared" si="195"/>
        <v>0</v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>
        <f t="shared" si="197"/>
        <v>3</v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>
        <f t="shared" si="199"/>
        <v>3</v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>
        <f t="shared" si="201"/>
        <v>3</v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>
        <f t="shared" si="203"/>
        <v>3</v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>
        <f t="shared" si="205"/>
        <v>3</v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>
        <f t="shared" si="207"/>
        <v>0</v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>
        <f t="shared" si="209"/>
        <v>0</v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>
        <f t="shared" si="211"/>
        <v>3</v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>
        <f t="shared" si="213"/>
        <v>3</v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>
        <f t="shared" si="215"/>
        <v>0</v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>
        <f t="shared" si="217"/>
        <v>3</v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>
        <f t="shared" si="219"/>
        <v>3</v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>
        <f t="shared" si="221"/>
        <v>3</v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>
        <f t="shared" si="223"/>
        <v>0</v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>
        <f t="shared" si="225"/>
        <v>3</v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>
        <f t="shared" si="227"/>
        <v>3</v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>
        <f t="shared" si="229"/>
        <v>3</v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>
        <f t="shared" si="231"/>
        <v>3</v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>
        <f t="shared" si="233"/>
        <v>3</v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>
        <f t="shared" si="235"/>
        <v>3</v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>
        <f t="shared" si="237"/>
        <v>3</v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>
        <f t="shared" si="239"/>
        <v>3</v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>
        <f t="shared" si="241"/>
        <v>3</v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>
        <f t="shared" si="243"/>
        <v>0</v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>
        <f t="shared" si="245"/>
        <v>0</v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>
        <f t="shared" si="247"/>
        <v>0</v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>
        <f t="shared" si="249"/>
        <v>3</v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>
        <f t="shared" si="251"/>
        <v>3</v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>
        <f t="shared" si="253"/>
        <v>3</v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>
        <f t="shared" si="255"/>
        <v>4.5</v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>
        <f t="shared" si="257"/>
        <v>3</v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>
        <f t="shared" si="259"/>
        <v>0</v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>
        <f t="shared" si="261"/>
        <v>3</v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>
        <f t="shared" si="263"/>
        <v>0</v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>
        <f t="shared" si="265"/>
        <v>0</v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>
        <f t="shared" si="267"/>
        <v>3</v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>
        <f t="shared" si="269"/>
        <v>3</v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>
        <f t="shared" si="271"/>
        <v>3</v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>
        <f t="shared" si="273"/>
        <v>0</v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>
        <f t="shared" si="277"/>
        <v>0</v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>
        <f t="shared" si="279"/>
        <v>0</v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>
        <f t="shared" si="281"/>
        <v>0</v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>
        <f t="shared" si="283"/>
        <v>0</v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>
        <f t="shared" si="285"/>
        <v>0</v>
      </c>
      <c r="SR42" s="43">
        <f t="shared" si="286"/>
        <v>0</v>
      </c>
    </row>
    <row r="43" spans="1:512" customFormat="1" ht="16" customHeight="1" x14ac:dyDescent="0.15">
      <c r="A43" s="34">
        <v>46194</v>
      </c>
      <c r="B43" s="35">
        <v>0.75</v>
      </c>
      <c r="C43" s="79" t="s">
        <v>3</v>
      </c>
      <c r="D43" s="81" t="s">
        <v>47</v>
      </c>
      <c r="E43" s="2">
        <v>4</v>
      </c>
      <c r="F43" s="50" t="s">
        <v>4</v>
      </c>
      <c r="G43" s="1">
        <v>0</v>
      </c>
      <c r="H43" s="16">
        <v>3</v>
      </c>
      <c r="I43" s="32">
        <f t="shared" si="0"/>
        <v>4</v>
      </c>
      <c r="J43" s="47">
        <v>3</v>
      </c>
      <c r="K43" s="48" t="s">
        <v>4</v>
      </c>
      <c r="L43" s="49">
        <v>0</v>
      </c>
      <c r="M43" s="27"/>
      <c r="N43" s="42">
        <f t="shared" si="1"/>
        <v>3</v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>
        <f t="shared" si="145"/>
        <v>3</v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>
        <f t="shared" si="147"/>
        <v>3</v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>
        <f t="shared" si="149"/>
        <v>3</v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>
        <f t="shared" si="151"/>
        <v>3</v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>
        <f t="shared" si="153"/>
        <v>3</v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>
        <f t="shared" si="155"/>
        <v>4.5</v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>
        <f t="shared" si="157"/>
        <v>3</v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>
        <f t="shared" si="159"/>
        <v>3</v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>
        <f t="shared" si="161"/>
        <v>3</v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>
        <f t="shared" si="163"/>
        <v>3</v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>
        <f t="shared" si="165"/>
        <v>3</v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>
        <f t="shared" si="167"/>
        <v>4.5</v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>
        <f t="shared" si="169"/>
        <v>3</v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>
        <f t="shared" si="171"/>
        <v>3</v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>
        <f t="shared" si="173"/>
        <v>3</v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>
        <f t="shared" si="175"/>
        <v>3</v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>
        <f t="shared" si="177"/>
        <v>4.5</v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>
        <f t="shared" si="179"/>
        <v>3</v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>
        <f t="shared" si="181"/>
        <v>3</v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>
        <f t="shared" si="183"/>
        <v>3</v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>
        <f t="shared" si="185"/>
        <v>3</v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>
        <f t="shared" si="187"/>
        <v>3</v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>
        <f t="shared" si="189"/>
        <v>3</v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>
        <f t="shared" si="191"/>
        <v>3</v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>
        <f t="shared" si="193"/>
        <v>3</v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>
        <f t="shared" si="195"/>
        <v>3</v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>
        <f t="shared" si="197"/>
        <v>4.5</v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>
        <f t="shared" si="199"/>
        <v>3</v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>
        <f t="shared" si="201"/>
        <v>4.5</v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>
        <f t="shared" si="203"/>
        <v>3</v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>
        <f t="shared" si="205"/>
        <v>3</v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>
        <f t="shared" si="207"/>
        <v>3</v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>
        <f t="shared" si="209"/>
        <v>3</v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>
        <f t="shared" si="211"/>
        <v>4.5</v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>
        <f t="shared" si="213"/>
        <v>3</v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>
        <f t="shared" si="215"/>
        <v>3</v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>
        <f t="shared" si="217"/>
        <v>3</v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>
        <f t="shared" si="219"/>
        <v>3</v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>
        <f t="shared" si="221"/>
        <v>3</v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>
        <f t="shared" si="223"/>
        <v>3</v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>
        <f t="shared" si="225"/>
        <v>3</v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>
        <f t="shared" si="227"/>
        <v>3</v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>
        <f t="shared" si="229"/>
        <v>3</v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>
        <f t="shared" si="231"/>
        <v>3</v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>
        <f t="shared" si="233"/>
        <v>3</v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>
        <f t="shared" si="235"/>
        <v>3</v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>
        <f t="shared" si="237"/>
        <v>4.5</v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>
        <f t="shared" si="239"/>
        <v>4.5</v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>
        <f t="shared" si="241"/>
        <v>3</v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>
        <f t="shared" si="243"/>
        <v>3</v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>
        <f t="shared" si="245"/>
        <v>3</v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>
        <f t="shared" si="247"/>
        <v>0</v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>
        <f t="shared" si="249"/>
        <v>3</v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>
        <f t="shared" si="251"/>
        <v>3</v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>
        <f t="shared" si="253"/>
        <v>3</v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>
        <f t="shared" si="255"/>
        <v>4.5</v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>
        <f t="shared" si="257"/>
        <v>3</v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>
        <f t="shared" si="259"/>
        <v>4.5</v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>
        <f t="shared" si="261"/>
        <v>3</v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>
        <f t="shared" si="263"/>
        <v>3</v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>
        <f t="shared" si="265"/>
        <v>3</v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>
        <f t="shared" si="267"/>
        <v>4.5</v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>
        <f t="shared" si="269"/>
        <v>3</v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>
        <f t="shared" si="271"/>
        <v>3</v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>
        <f t="shared" si="273"/>
        <v>3</v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>
        <f t="shared" si="277"/>
        <v>0</v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>
        <f t="shared" si="279"/>
        <v>0</v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>
        <f t="shared" si="281"/>
        <v>3</v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>
        <f t="shared" si="283"/>
        <v>0</v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>
        <f t="shared" si="285"/>
        <v>3</v>
      </c>
      <c r="SR43" s="43">
        <f t="shared" si="286"/>
        <v>3</v>
      </c>
    </row>
    <row r="44" spans="1:512" customFormat="1" ht="16" customHeight="1" x14ac:dyDescent="0.15">
      <c r="A44" s="34">
        <v>46194</v>
      </c>
      <c r="B44" s="35">
        <v>0.875</v>
      </c>
      <c r="C44" s="79" t="s">
        <v>11</v>
      </c>
      <c r="D44" s="79" t="s">
        <v>49</v>
      </c>
      <c r="E44" s="2">
        <v>0</v>
      </c>
      <c r="F44" s="50" t="s">
        <v>4</v>
      </c>
      <c r="G44" s="1">
        <v>0</v>
      </c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>
        <f t="shared" si="1"/>
        <v>0</v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>
        <f t="shared" si="145"/>
        <v>0</v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>
        <f t="shared" si="147"/>
        <v>3</v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>
        <f t="shared" si="149"/>
        <v>0</v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>
        <f t="shared" si="151"/>
        <v>0</v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>
        <f t="shared" si="153"/>
        <v>3</v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>
        <f t="shared" si="155"/>
        <v>0</v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>
        <f t="shared" si="157"/>
        <v>0</v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>
        <f t="shared" si="159"/>
        <v>0</v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>
        <f t="shared" si="161"/>
        <v>0</v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>
        <f t="shared" si="163"/>
        <v>0</v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>
        <f t="shared" si="165"/>
        <v>0</v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>
        <f t="shared" si="167"/>
        <v>0</v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>
        <f t="shared" si="169"/>
        <v>0</v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>
        <f t="shared" si="171"/>
        <v>0</v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>
        <f t="shared" si="173"/>
        <v>0</v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>
        <f t="shared" si="175"/>
        <v>0</v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>
        <f t="shared" si="177"/>
        <v>0</v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>
        <f t="shared" si="179"/>
        <v>0</v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>
        <f t="shared" si="181"/>
        <v>0</v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>
        <f t="shared" si="183"/>
        <v>0</v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>
        <f t="shared" si="185"/>
        <v>0</v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>
        <f t="shared" si="187"/>
        <v>0</v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>
        <f t="shared" si="189"/>
        <v>0</v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>
        <f t="shared" si="191"/>
        <v>0</v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>
        <f t="shared" si="193"/>
        <v>0</v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>
        <f t="shared" si="195"/>
        <v>0</v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>
        <f t="shared" si="197"/>
        <v>0</v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>
        <f t="shared" si="199"/>
        <v>0</v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>
        <f t="shared" si="201"/>
        <v>0</v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>
        <f t="shared" si="203"/>
        <v>0</v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>
        <f t="shared" si="205"/>
        <v>0</v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>
        <f t="shared" si="207"/>
        <v>0</v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>
        <f t="shared" si="209"/>
        <v>0</v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>
        <f t="shared" si="211"/>
        <v>0</v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>
        <f t="shared" si="213"/>
        <v>0</v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>
        <f t="shared" si="215"/>
        <v>0</v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>
        <f t="shared" si="217"/>
        <v>0</v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>
        <f t="shared" si="219"/>
        <v>0</v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>
        <f t="shared" si="221"/>
        <v>3</v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>
        <f t="shared" si="223"/>
        <v>0</v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>
        <f t="shared" si="225"/>
        <v>0</v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>
        <f t="shared" si="227"/>
        <v>0</v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>
        <f t="shared" si="229"/>
        <v>0</v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>
        <f t="shared" si="231"/>
        <v>0</v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>
        <f t="shared" si="233"/>
        <v>0</v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>
        <f t="shared" si="235"/>
        <v>0</v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>
        <f t="shared" si="237"/>
        <v>0</v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>
        <f t="shared" si="239"/>
        <v>0</v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>
        <f t="shared" si="241"/>
        <v>0</v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>
        <f t="shared" si="243"/>
        <v>0</v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>
        <f t="shared" si="245"/>
        <v>0</v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>
        <f t="shared" si="247"/>
        <v>3</v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>
        <f t="shared" si="249"/>
        <v>0</v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>
        <f t="shared" si="251"/>
        <v>0</v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>
        <f t="shared" si="253"/>
        <v>0</v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>
        <f t="shared" si="255"/>
        <v>0</v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>
        <f t="shared" si="257"/>
        <v>0</v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>
        <f t="shared" si="259"/>
        <v>0</v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>
        <f t="shared" si="261"/>
        <v>0</v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>
        <f t="shared" si="263"/>
        <v>0</v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>
        <f t="shared" si="265"/>
        <v>0</v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>
        <f t="shared" si="267"/>
        <v>0</v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>
        <f t="shared" si="269"/>
        <v>0</v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>
        <f t="shared" si="271"/>
        <v>0</v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>
        <f t="shared" si="273"/>
        <v>0</v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>
        <f t="shared" si="277"/>
        <v>0</v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>
        <f t="shared" si="279"/>
        <v>0</v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>
        <f t="shared" si="281"/>
        <v>0</v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>
        <f t="shared" si="283"/>
        <v>0</v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>
        <f t="shared" si="285"/>
        <v>0</v>
      </c>
      <c r="SR44" s="43">
        <f t="shared" si="286"/>
        <v>1</v>
      </c>
    </row>
    <row r="45" spans="1:512" customFormat="1" ht="16" customHeight="1" x14ac:dyDescent="0.15">
      <c r="A45" s="34">
        <v>46195</v>
      </c>
      <c r="B45" s="35">
        <v>0</v>
      </c>
      <c r="C45" s="79" t="s">
        <v>48</v>
      </c>
      <c r="D45" s="79" t="s">
        <v>45</v>
      </c>
      <c r="E45" s="2">
        <v>2</v>
      </c>
      <c r="F45" s="50" t="s">
        <v>4</v>
      </c>
      <c r="G45" s="1">
        <v>2</v>
      </c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>
        <f t="shared" si="1"/>
        <v>0</v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>
        <f t="shared" si="145"/>
        <v>0</v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>
        <f t="shared" si="147"/>
        <v>0</v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>
        <f t="shared" si="149"/>
        <v>0</v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>
        <f t="shared" si="151"/>
        <v>0</v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>
        <f t="shared" si="153"/>
        <v>0</v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>
        <f t="shared" si="155"/>
        <v>0</v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>
        <f t="shared" si="157"/>
        <v>0</v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>
        <f t="shared" si="159"/>
        <v>0</v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>
        <f t="shared" si="161"/>
        <v>0</v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>
        <f t="shared" si="163"/>
        <v>0</v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>
        <f t="shared" si="165"/>
        <v>3.2</v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>
        <f t="shared" si="167"/>
        <v>0</v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>
        <f t="shared" si="169"/>
        <v>0</v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>
        <f t="shared" si="171"/>
        <v>0</v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>
        <f t="shared" si="173"/>
        <v>0</v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>
        <f t="shared" si="175"/>
        <v>0</v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>
        <f t="shared" si="177"/>
        <v>3.2</v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>
        <f t="shared" si="179"/>
        <v>0</v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>
        <f t="shared" si="181"/>
        <v>0</v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>
        <f t="shared" si="183"/>
        <v>3.2</v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>
        <f t="shared" si="185"/>
        <v>0</v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>
        <f t="shared" si="187"/>
        <v>4.8000000000000007</v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>
        <f t="shared" si="189"/>
        <v>0</v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>
        <f t="shared" si="191"/>
        <v>0</v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>
        <f t="shared" si="193"/>
        <v>3.2</v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>
        <f t="shared" si="195"/>
        <v>0</v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>
        <f t="shared" si="197"/>
        <v>0</v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>
        <f t="shared" si="199"/>
        <v>0</v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>
        <f t="shared" si="201"/>
        <v>0</v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>
        <f t="shared" si="203"/>
        <v>0</v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>
        <f t="shared" si="205"/>
        <v>0</v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>
        <f t="shared" si="207"/>
        <v>0</v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>
        <f t="shared" si="209"/>
        <v>0</v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>
        <f t="shared" si="211"/>
        <v>0</v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>
        <f t="shared" si="213"/>
        <v>0</v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>
        <f t="shared" si="215"/>
        <v>0</v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>
        <f t="shared" si="217"/>
        <v>0</v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>
        <f t="shared" si="219"/>
        <v>4.8000000000000007</v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>
        <f t="shared" si="221"/>
        <v>4.8000000000000007</v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>
        <f t="shared" si="223"/>
        <v>0</v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>
        <f t="shared" si="225"/>
        <v>0</v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>
        <f t="shared" si="227"/>
        <v>0</v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>
        <f t="shared" si="229"/>
        <v>0</v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>
        <f t="shared" si="231"/>
        <v>0</v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>
        <f t="shared" si="233"/>
        <v>3.2</v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>
        <f t="shared" si="235"/>
        <v>0</v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>
        <f t="shared" si="237"/>
        <v>0</v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>
        <f t="shared" si="239"/>
        <v>0</v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>
        <f t="shared" si="241"/>
        <v>3.2</v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>
        <f t="shared" si="243"/>
        <v>0</v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>
        <f t="shared" si="245"/>
        <v>0</v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>
        <f t="shared" si="247"/>
        <v>0</v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>
        <f t="shared" si="249"/>
        <v>3.2</v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>
        <f t="shared" si="251"/>
        <v>0</v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>
        <f t="shared" si="253"/>
        <v>0</v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>
        <f t="shared" si="255"/>
        <v>0</v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>
        <f t="shared" si="257"/>
        <v>0</v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>
        <f t="shared" si="259"/>
        <v>0</v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>
        <f t="shared" si="261"/>
        <v>0</v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>
        <f t="shared" si="263"/>
        <v>0</v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>
        <f t="shared" si="265"/>
        <v>0</v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>
        <f t="shared" si="267"/>
        <v>0</v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>
        <f t="shared" si="269"/>
        <v>0</v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>
        <f t="shared" si="271"/>
        <v>0</v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>
        <f t="shared" si="273"/>
        <v>3.2</v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>
        <f t="shared" si="277"/>
        <v>0</v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>
        <f t="shared" si="279"/>
        <v>0</v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>
        <f t="shared" si="281"/>
        <v>0</v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>
        <f t="shared" si="283"/>
        <v>0</v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>
        <f t="shared" si="285"/>
        <v>0</v>
      </c>
      <c r="SR45" s="43">
        <f t="shared" si="286"/>
        <v>1</v>
      </c>
    </row>
    <row r="46" spans="1:512" customFormat="1" ht="16" customHeight="1" x14ac:dyDescent="0.15">
      <c r="A46" s="51">
        <v>46195</v>
      </c>
      <c r="B46" s="46">
        <v>0.125</v>
      </c>
      <c r="C46" s="79" t="s">
        <v>50</v>
      </c>
      <c r="D46" s="79" t="s">
        <v>46</v>
      </c>
      <c r="E46" s="2">
        <v>1</v>
      </c>
      <c r="F46" s="50" t="s">
        <v>4</v>
      </c>
      <c r="G46" s="1">
        <v>3</v>
      </c>
      <c r="H46" s="16">
        <v>3.2</v>
      </c>
      <c r="I46" s="32">
        <f t="shared" si="0"/>
        <v>-2</v>
      </c>
      <c r="J46" s="47">
        <v>1</v>
      </c>
      <c r="K46" s="48" t="s">
        <v>4</v>
      </c>
      <c r="L46" s="49">
        <v>3</v>
      </c>
      <c r="M46" s="7"/>
      <c r="N46" s="42">
        <f t="shared" si="1"/>
        <v>4.8000000000000007</v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>
        <f t="shared" si="145"/>
        <v>3.2</v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>
        <f t="shared" si="147"/>
        <v>0</v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>
        <f t="shared" si="149"/>
        <v>0</v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>
        <f t="shared" si="151"/>
        <v>3.2</v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>
        <f t="shared" si="153"/>
        <v>3.2</v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>
        <f t="shared" si="155"/>
        <v>3.2</v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>
        <f t="shared" si="157"/>
        <v>3.2</v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>
        <f t="shared" si="159"/>
        <v>4.8000000000000007</v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>
        <f t="shared" si="161"/>
        <v>3.2</v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>
        <f t="shared" si="163"/>
        <v>0</v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>
        <f t="shared" si="165"/>
        <v>3.2</v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>
        <f t="shared" si="167"/>
        <v>3.2</v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>
        <f t="shared" si="169"/>
        <v>3.2</v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>
        <f t="shared" si="171"/>
        <v>0</v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>
        <f t="shared" si="173"/>
        <v>3.2</v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>
        <f t="shared" si="175"/>
        <v>4.8000000000000007</v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>
        <f t="shared" si="177"/>
        <v>3.2</v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>
        <f t="shared" si="179"/>
        <v>0</v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>
        <f t="shared" si="181"/>
        <v>3.2</v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>
        <f t="shared" si="183"/>
        <v>3.2</v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>
        <f t="shared" si="185"/>
        <v>0</v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>
        <f t="shared" si="187"/>
        <v>3.2</v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>
        <f t="shared" si="189"/>
        <v>3.2</v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>
        <f t="shared" si="191"/>
        <v>0</v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>
        <f t="shared" si="193"/>
        <v>3.2</v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>
        <f t="shared" si="195"/>
        <v>0</v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>
        <f t="shared" si="197"/>
        <v>3.2</v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>
        <f t="shared" si="199"/>
        <v>4.8000000000000007</v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>
        <f t="shared" si="201"/>
        <v>3.2</v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>
        <f t="shared" si="203"/>
        <v>3.2</v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>
        <f t="shared" si="205"/>
        <v>0</v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>
        <f t="shared" si="207"/>
        <v>4.8000000000000007</v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>
        <f t="shared" si="209"/>
        <v>0</v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>
        <f t="shared" si="211"/>
        <v>3.2</v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>
        <f t="shared" si="213"/>
        <v>3.2</v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>
        <f t="shared" si="215"/>
        <v>0</v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>
        <f t="shared" si="217"/>
        <v>0</v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>
        <f t="shared" si="219"/>
        <v>3.2</v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>
        <f t="shared" si="221"/>
        <v>0</v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>
        <f t="shared" si="223"/>
        <v>0</v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>
        <f t="shared" si="225"/>
        <v>0</v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>
        <f t="shared" si="227"/>
        <v>0</v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>
        <f t="shared" si="229"/>
        <v>3.2</v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>
        <f t="shared" si="231"/>
        <v>3.2</v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>
        <f t="shared" si="233"/>
        <v>0</v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>
        <f t="shared" si="235"/>
        <v>3.2</v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>
        <f t="shared" si="237"/>
        <v>0</v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>
        <f t="shared" si="239"/>
        <v>3.2</v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>
        <f t="shared" si="241"/>
        <v>0</v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>
        <f t="shared" si="243"/>
        <v>3.2</v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>
        <f t="shared" si="245"/>
        <v>0</v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>
        <f t="shared" si="247"/>
        <v>0</v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>
        <f t="shared" si="249"/>
        <v>0</v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>
        <f t="shared" si="251"/>
        <v>3.2</v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>
        <f t="shared" si="253"/>
        <v>3.2</v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>
        <f t="shared" si="255"/>
        <v>3.2</v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>
        <f t="shared" si="257"/>
        <v>3.2</v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>
        <f t="shared" si="259"/>
        <v>3.2</v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>
        <f t="shared" si="261"/>
        <v>3.2</v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>
        <f t="shared" si="263"/>
        <v>3.2</v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>
        <f t="shared" si="265"/>
        <v>3.2</v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>
        <f t="shared" si="267"/>
        <v>3.2</v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>
        <f t="shared" si="269"/>
        <v>3.2</v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>
        <f t="shared" si="271"/>
        <v>0</v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>
        <f t="shared" si="273"/>
        <v>3.2</v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>
        <f t="shared" si="277"/>
        <v>0</v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>
        <f t="shared" si="279"/>
        <v>3.2</v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>
        <f t="shared" si="281"/>
        <v>3.2</v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>
        <f t="shared" si="283"/>
        <v>3.2</v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>
        <f t="shared" si="285"/>
        <v>0</v>
      </c>
      <c r="SR46" s="43">
        <f t="shared" si="286"/>
        <v>1</v>
      </c>
    </row>
    <row r="47" spans="1:512" customFormat="1" ht="16" customHeight="1" x14ac:dyDescent="0.15">
      <c r="A47" s="51">
        <v>46195</v>
      </c>
      <c r="B47" s="46">
        <v>0.79166666666666663</v>
      </c>
      <c r="C47" s="79" t="s">
        <v>54</v>
      </c>
      <c r="D47" s="79" t="s">
        <v>24</v>
      </c>
      <c r="E47" s="2">
        <v>2</v>
      </c>
      <c r="F47" s="50" t="s">
        <v>4</v>
      </c>
      <c r="G47" s="1">
        <v>0</v>
      </c>
      <c r="H47" s="16">
        <v>3.2</v>
      </c>
      <c r="I47" s="32">
        <f t="shared" si="0"/>
        <v>2</v>
      </c>
      <c r="J47" s="47">
        <v>3</v>
      </c>
      <c r="K47" s="48" t="s">
        <v>4</v>
      </c>
      <c r="L47" s="49">
        <v>1</v>
      </c>
      <c r="M47" s="8"/>
      <c r="N47" s="42">
        <f t="shared" si="1"/>
        <v>3.2</v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>
        <f t="shared" si="145"/>
        <v>3.2</v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>
        <f t="shared" si="147"/>
        <v>4.8000000000000007</v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>
        <f t="shared" si="149"/>
        <v>0</v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>
        <f t="shared" si="151"/>
        <v>3.2</v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>
        <f t="shared" si="153"/>
        <v>0</v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>
        <f t="shared" si="155"/>
        <v>0</v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>
        <f t="shared" si="157"/>
        <v>0</v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>
        <f t="shared" si="159"/>
        <v>3.2</v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>
        <f t="shared" si="161"/>
        <v>3.2</v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>
        <f t="shared" si="163"/>
        <v>3.2</v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>
        <f t="shared" si="165"/>
        <v>3.2</v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>
        <f t="shared" si="167"/>
        <v>3.2</v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>
        <f t="shared" si="169"/>
        <v>3.2</v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>
        <f t="shared" si="171"/>
        <v>4.8000000000000007</v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>
        <f t="shared" si="173"/>
        <v>3.2</v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>
        <f t="shared" si="175"/>
        <v>3.2</v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>
        <f t="shared" si="177"/>
        <v>3.2</v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>
        <f t="shared" si="179"/>
        <v>0</v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>
        <f t="shared" si="181"/>
        <v>3.2</v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>
        <f t="shared" si="183"/>
        <v>3.2</v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>
        <f t="shared" si="185"/>
        <v>3.2</v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>
        <f t="shared" si="187"/>
        <v>3.2</v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>
        <f t="shared" si="189"/>
        <v>3.2</v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>
        <f t="shared" si="191"/>
        <v>0</v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>
        <f t="shared" si="193"/>
        <v>0</v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>
        <f t="shared" si="195"/>
        <v>4.8000000000000007</v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>
        <f t="shared" si="197"/>
        <v>4.8000000000000007</v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>
        <f t="shared" si="199"/>
        <v>3.2</v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>
        <f t="shared" si="201"/>
        <v>3.2</v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>
        <f t="shared" si="203"/>
        <v>3.2</v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>
        <f t="shared" si="205"/>
        <v>3.2</v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>
        <f t="shared" si="207"/>
        <v>3.2</v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>
        <f t="shared" si="209"/>
        <v>3.2</v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>
        <f t="shared" si="211"/>
        <v>0</v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>
        <f t="shared" si="213"/>
        <v>4.8000000000000007</v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>
        <f t="shared" si="215"/>
        <v>3.2</v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>
        <f t="shared" si="217"/>
        <v>3.2</v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>
        <f t="shared" si="219"/>
        <v>3.2</v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>
        <f t="shared" si="221"/>
        <v>3.2</v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>
        <f t="shared" si="223"/>
        <v>3.2</v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>
        <f t="shared" si="225"/>
        <v>4.8000000000000007</v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>
        <f t="shared" si="227"/>
        <v>3.2</v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>
        <f t="shared" si="229"/>
        <v>3.2</v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>
        <f t="shared" si="231"/>
        <v>3.2</v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>
        <f t="shared" si="233"/>
        <v>4.8000000000000007</v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>
        <f t="shared" si="235"/>
        <v>3.2</v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>
        <f t="shared" si="237"/>
        <v>3.2</v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>
        <f t="shared" si="239"/>
        <v>3.2</v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>
        <f t="shared" si="241"/>
        <v>4.8000000000000007</v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>
        <f t="shared" si="243"/>
        <v>3.2</v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>
        <f t="shared" si="245"/>
        <v>3.2</v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>
        <f t="shared" si="247"/>
        <v>3.2</v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>
        <f t="shared" si="249"/>
        <v>3.2</v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>
        <f t="shared" si="251"/>
        <v>3.2</v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>
        <f t="shared" si="253"/>
        <v>4.8000000000000007</v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>
        <f t="shared" si="255"/>
        <v>3.2</v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>
        <f t="shared" si="257"/>
        <v>3.2</v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>
        <f t="shared" si="259"/>
        <v>0</v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>
        <f t="shared" si="261"/>
        <v>3.2</v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>
        <f t="shared" si="263"/>
        <v>4.8000000000000007</v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>
        <f t="shared" si="265"/>
        <v>0</v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>
        <f t="shared" si="267"/>
        <v>3.2</v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>
        <f t="shared" si="269"/>
        <v>3.2</v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>
        <f t="shared" si="271"/>
        <v>3.2</v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>
        <f t="shared" si="273"/>
        <v>4.8000000000000007</v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>
        <f t="shared" si="277"/>
        <v>4.8000000000000007</v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>
        <f t="shared" si="279"/>
        <v>3.2</v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>
        <f t="shared" si="281"/>
        <v>3.2</v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>
        <f t="shared" si="283"/>
        <v>3.2</v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>
        <f t="shared" si="285"/>
        <v>3.2</v>
      </c>
      <c r="SR47" s="43">
        <f t="shared" si="286"/>
        <v>2</v>
      </c>
    </row>
    <row r="48" spans="1:512" customFormat="1" ht="16" customHeight="1" x14ac:dyDescent="0.15">
      <c r="A48" s="34">
        <v>46195</v>
      </c>
      <c r="B48" s="35">
        <v>0.95833333333333337</v>
      </c>
      <c r="C48" s="79" t="s">
        <v>10</v>
      </c>
      <c r="D48" s="79" t="s">
        <v>52</v>
      </c>
      <c r="E48" s="2">
        <v>3</v>
      </c>
      <c r="F48" s="50" t="s">
        <v>4</v>
      </c>
      <c r="G48" s="1">
        <v>0</v>
      </c>
      <c r="H48" s="16">
        <v>3.2</v>
      </c>
      <c r="I48" s="32">
        <f t="shared" si="0"/>
        <v>3</v>
      </c>
      <c r="J48" s="47">
        <v>4</v>
      </c>
      <c r="K48" s="48" t="s">
        <v>4</v>
      </c>
      <c r="L48" s="49">
        <v>0</v>
      </c>
      <c r="M48" s="5"/>
      <c r="N48" s="42">
        <f t="shared" si="1"/>
        <v>3.2</v>
      </c>
      <c r="O48" s="43">
        <f t="shared" si="2"/>
        <v>4</v>
      </c>
      <c r="P48" s="43">
        <f>IF($I48=0,IF(AND(#REF!&gt;#REF!,OR(AND(T48="",Q48&gt;S48),T48=1)),1,IF(AND(#REF!&lt;#REF!,OR(AND(T48="",Q48&lt;S48),T48=2)),1,0)),0)</f>
        <v>0</v>
      </c>
      <c r="Q48" s="47">
        <v>3</v>
      </c>
      <c r="R48" s="48" t="s">
        <v>4</v>
      </c>
      <c r="S48" s="49">
        <v>0</v>
      </c>
      <c r="T48" s="5"/>
      <c r="U48" s="42">
        <f t="shared" si="145"/>
        <v>4.8000000000000007</v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>
        <f t="shared" si="147"/>
        <v>3.2</v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>
        <f t="shared" si="149"/>
        <v>4.8000000000000007</v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>
        <f t="shared" si="151"/>
        <v>4.8000000000000007</v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>
        <f t="shared" si="153"/>
        <v>4.8000000000000007</v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>
        <f t="shared" si="155"/>
        <v>4.8000000000000007</v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>
        <f t="shared" si="157"/>
        <v>3.2</v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>
        <f t="shared" si="159"/>
        <v>3.2</v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>
        <f t="shared" si="161"/>
        <v>3.2</v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>
        <f t="shared" si="163"/>
        <v>3.2</v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>
        <f t="shared" si="165"/>
        <v>4.8000000000000007</v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>
        <f t="shared" si="167"/>
        <v>3.2</v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>
        <f t="shared" si="169"/>
        <v>3.2</v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>
        <f t="shared" si="171"/>
        <v>3.2</v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>
        <f t="shared" si="173"/>
        <v>3.2</v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>
        <f t="shared" si="175"/>
        <v>3.2</v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>
        <f t="shared" si="177"/>
        <v>3.2</v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>
        <f t="shared" si="179"/>
        <v>3.2</v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>
        <f t="shared" si="181"/>
        <v>3.2</v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>
        <f t="shared" si="183"/>
        <v>4.8000000000000007</v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>
        <f t="shared" si="185"/>
        <v>4.8000000000000007</v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>
        <f t="shared" si="187"/>
        <v>3.2</v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>
        <f t="shared" si="189"/>
        <v>4.8000000000000007</v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>
        <f t="shared" si="191"/>
        <v>3.2</v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>
        <f t="shared" si="193"/>
        <v>3.2</v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>
        <f t="shared" si="195"/>
        <v>4.8000000000000007</v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>
        <f t="shared" si="197"/>
        <v>3.2</v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>
        <f t="shared" si="199"/>
        <v>4.8000000000000007</v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>
        <f t="shared" si="201"/>
        <v>3.2</v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>
        <f t="shared" si="203"/>
        <v>3.2</v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>
        <f t="shared" si="205"/>
        <v>4.8000000000000007</v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>
        <f t="shared" si="207"/>
        <v>3.2</v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>
        <f t="shared" si="209"/>
        <v>3.2</v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>
        <f t="shared" si="211"/>
        <v>3.2</v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>
        <f t="shared" si="213"/>
        <v>3.2</v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>
        <f t="shared" si="215"/>
        <v>3.2</v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>
        <f t="shared" si="217"/>
        <v>3.2</v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>
        <f t="shared" si="219"/>
        <v>3.2</v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>
        <f t="shared" si="221"/>
        <v>3.2</v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>
        <f t="shared" si="223"/>
        <v>3.2</v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>
        <f t="shared" si="225"/>
        <v>3.2</v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>
        <f t="shared" si="227"/>
        <v>3.2</v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>
        <f t="shared" si="229"/>
        <v>3.2</v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>
        <f t="shared" si="231"/>
        <v>3.2</v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>
        <f t="shared" si="233"/>
        <v>3.2</v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>
        <f t="shared" si="235"/>
        <v>3.2</v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>
        <f t="shared" si="237"/>
        <v>3.2</v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>
        <f t="shared" si="239"/>
        <v>3.2</v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>
        <f t="shared" si="241"/>
        <v>4.8000000000000007</v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>
        <f t="shared" si="243"/>
        <v>3.2</v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>
        <f t="shared" si="245"/>
        <v>3.2</v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>
        <f t="shared" si="247"/>
        <v>3.2</v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>
        <f t="shared" si="249"/>
        <v>3.2</v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>
        <f t="shared" si="251"/>
        <v>3.2</v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>
        <f t="shared" si="253"/>
        <v>4.8000000000000007</v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>
        <f t="shared" si="255"/>
        <v>3.2</v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>
        <f t="shared" si="257"/>
        <v>3.2</v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>
        <f t="shared" si="259"/>
        <v>4.8000000000000007</v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>
        <f t="shared" si="261"/>
        <v>3.2</v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>
        <f t="shared" si="263"/>
        <v>3.2</v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>
        <f t="shared" si="265"/>
        <v>3.2</v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>
        <f t="shared" si="267"/>
        <v>3.2</v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>
        <f t="shared" si="269"/>
        <v>3.2</v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>
        <f t="shared" si="271"/>
        <v>3.2</v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>
        <f t="shared" si="273"/>
        <v>3.2</v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>
        <f t="shared" si="277"/>
        <v>3.2</v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>
        <f t="shared" si="279"/>
        <v>4.8000000000000007</v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>
        <f t="shared" si="281"/>
        <v>4.8000000000000007</v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>
        <f t="shared" si="283"/>
        <v>4.8000000000000007</v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>
        <f t="shared" si="285"/>
        <v>4.8000000000000007</v>
      </c>
      <c r="SR48" s="43">
        <f t="shared" si="286"/>
        <v>3</v>
      </c>
    </row>
    <row r="49" spans="1:512" customFormat="1" ht="16" customHeight="1" x14ac:dyDescent="0.15">
      <c r="A49" s="34">
        <v>46196</v>
      </c>
      <c r="B49" s="35">
        <v>8.3333333333333329E-2</v>
      </c>
      <c r="C49" s="79" t="s">
        <v>53</v>
      </c>
      <c r="D49" s="51" t="s">
        <v>51</v>
      </c>
      <c r="E49" s="2">
        <v>3</v>
      </c>
      <c r="F49" s="50" t="s">
        <v>4</v>
      </c>
      <c r="G49" s="1">
        <v>2</v>
      </c>
      <c r="H49" s="16">
        <v>3.4</v>
      </c>
      <c r="I49" s="32">
        <f t="shared" si="0"/>
        <v>1</v>
      </c>
      <c r="J49" s="47">
        <v>1</v>
      </c>
      <c r="K49" s="48" t="s">
        <v>4</v>
      </c>
      <c r="L49" s="49">
        <v>2</v>
      </c>
      <c r="M49" s="5"/>
      <c r="N49" s="42">
        <f t="shared" si="1"/>
        <v>0</v>
      </c>
      <c r="O49" s="43">
        <f t="shared" si="2"/>
        <v>-1</v>
      </c>
      <c r="P49" s="43">
        <f>IF($I49=0,IF(AND(#REF!&gt;#REF!,OR(AND(T49="",Q49&gt;S49),T49=1)),1,IF(AND(#REF!&lt;#REF!,OR(AND(T49="",Q49&lt;S49),T49=2)),1,0)),0)</f>
        <v>0</v>
      </c>
      <c r="Q49" s="47">
        <v>2</v>
      </c>
      <c r="R49" s="48" t="s">
        <v>4</v>
      </c>
      <c r="S49" s="49">
        <v>1</v>
      </c>
      <c r="T49" s="5"/>
      <c r="U49" s="42">
        <f t="shared" si="145"/>
        <v>3.4</v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>
        <f t="shared" si="147"/>
        <v>3.4</v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>
        <f t="shared" si="149"/>
        <v>0</v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>
        <f t="shared" si="151"/>
        <v>0</v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>
        <f t="shared" si="153"/>
        <v>3.4</v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>
        <f t="shared" si="155"/>
        <v>3.4</v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>
        <f t="shared" si="157"/>
        <v>0</v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>
        <f t="shared" si="159"/>
        <v>0</v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>
        <f t="shared" si="161"/>
        <v>3.4</v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>
        <f t="shared" si="163"/>
        <v>3.4</v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>
        <f t="shared" si="165"/>
        <v>0</v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>
        <f t="shared" si="167"/>
        <v>0</v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>
        <f t="shared" si="169"/>
        <v>0</v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>
        <f t="shared" si="171"/>
        <v>3.4</v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>
        <f t="shared" si="173"/>
        <v>0</v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>
        <f t="shared" si="175"/>
        <v>5.0999999999999996</v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>
        <f t="shared" si="177"/>
        <v>3.4</v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>
        <f t="shared" si="179"/>
        <v>3.4</v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>
        <f t="shared" si="181"/>
        <v>3.4</v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>
        <f t="shared" si="183"/>
        <v>0</v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>
        <f t="shared" si="185"/>
        <v>0</v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>
        <f t="shared" si="187"/>
        <v>3.4</v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>
        <f t="shared" si="189"/>
        <v>3.4</v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>
        <f t="shared" si="191"/>
        <v>3.4</v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>
        <f t="shared" si="193"/>
        <v>0</v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>
        <f t="shared" si="195"/>
        <v>0</v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>
        <f t="shared" si="197"/>
        <v>0</v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>
        <f t="shared" si="199"/>
        <v>0</v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>
        <f t="shared" si="201"/>
        <v>3.4</v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>
        <f t="shared" si="203"/>
        <v>0</v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>
        <f t="shared" si="205"/>
        <v>0</v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>
        <f t="shared" si="207"/>
        <v>3.4</v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>
        <f t="shared" si="209"/>
        <v>0</v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>
        <f t="shared" si="211"/>
        <v>3.4</v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>
        <f t="shared" si="213"/>
        <v>3.4</v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>
        <f t="shared" si="215"/>
        <v>0</v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>
        <f t="shared" si="217"/>
        <v>5.0999999999999996</v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>
        <f t="shared" si="219"/>
        <v>0</v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>
        <f t="shared" si="221"/>
        <v>0</v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>
        <f t="shared" si="223"/>
        <v>0</v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>
        <f t="shared" si="225"/>
        <v>0</v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>
        <f t="shared" si="227"/>
        <v>3.4</v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>
        <f t="shared" si="229"/>
        <v>0</v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>
        <f t="shared" si="231"/>
        <v>0</v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>
        <f t="shared" si="233"/>
        <v>3.4</v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>
        <f t="shared" si="235"/>
        <v>0</v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>
        <f t="shared" si="237"/>
        <v>0</v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>
        <f t="shared" si="239"/>
        <v>5.0999999999999996</v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>
        <f t="shared" si="241"/>
        <v>3.4</v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>
        <f t="shared" si="243"/>
        <v>3.4</v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>
        <f t="shared" si="245"/>
        <v>0</v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>
        <f t="shared" si="247"/>
        <v>3.4</v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>
        <f t="shared" si="249"/>
        <v>3.4</v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>
        <f t="shared" si="251"/>
        <v>3.4</v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>
        <f t="shared" si="253"/>
        <v>3.4</v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>
        <f t="shared" si="255"/>
        <v>0</v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>
        <f t="shared" si="257"/>
        <v>3.4</v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>
        <f t="shared" si="259"/>
        <v>3.4</v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>
        <f t="shared" si="261"/>
        <v>0</v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>
        <f t="shared" si="263"/>
        <v>0</v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>
        <f t="shared" si="265"/>
        <v>3.4</v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>
        <f t="shared" si="267"/>
        <v>0</v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>
        <f t="shared" si="269"/>
        <v>3.4</v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>
        <f t="shared" si="271"/>
        <v>0</v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>
        <f t="shared" si="273"/>
        <v>0</v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>
        <f t="shared" si="277"/>
        <v>0</v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>
        <f t="shared" si="279"/>
        <v>0</v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>
        <f t="shared" si="281"/>
        <v>0</v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>
        <f t="shared" si="283"/>
        <v>0</v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>
        <f t="shared" si="285"/>
        <v>0</v>
      </c>
      <c r="SR49" s="43">
        <f t="shared" si="286"/>
        <v>0</v>
      </c>
    </row>
    <row r="50" spans="1:512" customFormat="1" ht="16" customHeight="1" x14ac:dyDescent="0.15">
      <c r="A50" s="34">
        <v>46196</v>
      </c>
      <c r="B50" s="35">
        <v>0.20833333333333334</v>
      </c>
      <c r="C50" s="79" t="s">
        <v>56</v>
      </c>
      <c r="D50" s="79" t="s">
        <v>55</v>
      </c>
      <c r="E50" s="2">
        <v>1</v>
      </c>
      <c r="F50" s="50" t="s">
        <v>4</v>
      </c>
      <c r="G50" s="1">
        <v>2</v>
      </c>
      <c r="H50" s="16">
        <v>3.4</v>
      </c>
      <c r="I50" s="32">
        <f t="shared" si="0"/>
        <v>-1</v>
      </c>
      <c r="J50" s="47">
        <v>0</v>
      </c>
      <c r="K50" s="48" t="s">
        <v>4</v>
      </c>
      <c r="L50" s="49">
        <v>2</v>
      </c>
      <c r="M50" s="5"/>
      <c r="N50" s="42">
        <f t="shared" si="1"/>
        <v>3.4</v>
      </c>
      <c r="O50" s="43">
        <f t="shared" si="2"/>
        <v>-2</v>
      </c>
      <c r="P50" s="43">
        <f>IF($I50=0,IF(AND(#REF!&gt;#REF!,OR(AND(T50="",Q50&gt;S50),T50=1)),1,IF(AND(#REF!&lt;#REF!,OR(AND(T50="",Q50&lt;S50),T50=2)),1,0)),0)</f>
        <v>0</v>
      </c>
      <c r="Q50" s="47">
        <v>1</v>
      </c>
      <c r="R50" s="48" t="s">
        <v>4</v>
      </c>
      <c r="S50" s="49">
        <v>1</v>
      </c>
      <c r="T50" s="5"/>
      <c r="U50" s="42">
        <f t="shared" si="145"/>
        <v>0</v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>
        <f t="shared" si="147"/>
        <v>0</v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>
        <f t="shared" si="149"/>
        <v>0</v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>
        <f t="shared" si="151"/>
        <v>3.4</v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>
        <f t="shared" si="153"/>
        <v>3.4</v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>
        <f t="shared" si="155"/>
        <v>0</v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>
        <f t="shared" si="157"/>
        <v>3.4</v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>
        <f t="shared" si="159"/>
        <v>0</v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>
        <f t="shared" si="161"/>
        <v>0</v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>
        <f t="shared" si="163"/>
        <v>0</v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>
        <f t="shared" si="165"/>
        <v>0</v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>
        <f t="shared" si="167"/>
        <v>3.4</v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>
        <f t="shared" si="169"/>
        <v>0</v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>
        <f t="shared" si="171"/>
        <v>3.4</v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>
        <f t="shared" si="173"/>
        <v>3.4</v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>
        <f t="shared" si="175"/>
        <v>3.4</v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>
        <f t="shared" si="177"/>
        <v>3.4</v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>
        <f t="shared" si="179"/>
        <v>0</v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>
        <f t="shared" si="181"/>
        <v>3.4</v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>
        <f t="shared" si="183"/>
        <v>3.4</v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>
        <f t="shared" si="185"/>
        <v>3.4</v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>
        <f t="shared" si="187"/>
        <v>0</v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>
        <f t="shared" si="189"/>
        <v>0</v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>
        <f t="shared" si="191"/>
        <v>3.4</v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>
        <f t="shared" si="193"/>
        <v>3.4</v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>
        <f t="shared" si="195"/>
        <v>3.4</v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>
        <f t="shared" si="197"/>
        <v>5.0999999999999996</v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>
        <f t="shared" si="199"/>
        <v>3.4</v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>
        <f t="shared" si="201"/>
        <v>0</v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>
        <f t="shared" si="203"/>
        <v>3.4</v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>
        <f t="shared" si="205"/>
        <v>3.4</v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>
        <f t="shared" si="207"/>
        <v>5.0999999999999996</v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>
        <f t="shared" si="209"/>
        <v>3.4</v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>
        <f t="shared" si="211"/>
        <v>0</v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>
        <f t="shared" si="213"/>
        <v>3.4</v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>
        <f t="shared" si="215"/>
        <v>3.4</v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>
        <f t="shared" si="217"/>
        <v>3.4</v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>
        <f t="shared" si="219"/>
        <v>0</v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>
        <f t="shared" si="221"/>
        <v>5.0999999999999996</v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>
        <f t="shared" si="223"/>
        <v>0</v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>
        <f t="shared" si="225"/>
        <v>0</v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>
        <f t="shared" si="227"/>
        <v>0</v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>
        <f t="shared" si="229"/>
        <v>5.0999999999999996</v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>
        <f t="shared" si="231"/>
        <v>3.4</v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>
        <f t="shared" si="233"/>
        <v>0</v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>
        <f t="shared" si="235"/>
        <v>3.4</v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>
        <f t="shared" si="237"/>
        <v>5.0999999999999996</v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>
        <f t="shared" si="239"/>
        <v>5.0999999999999996</v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>
        <f t="shared" si="241"/>
        <v>0</v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>
        <f t="shared" si="243"/>
        <v>3.4</v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>
        <f t="shared" si="245"/>
        <v>5.0999999999999996</v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>
        <f t="shared" si="247"/>
        <v>0</v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>
        <f t="shared" si="249"/>
        <v>0</v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>
        <f t="shared" si="251"/>
        <v>5.0999999999999996</v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>
        <f t="shared" si="253"/>
        <v>3.4</v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>
        <f t="shared" si="255"/>
        <v>3.4</v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>
        <f t="shared" si="257"/>
        <v>0</v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>
        <f t="shared" si="259"/>
        <v>5.0999999999999996</v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>
        <f t="shared" si="261"/>
        <v>5.0999999999999996</v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>
        <f t="shared" si="263"/>
        <v>3.4</v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>
        <f t="shared" si="265"/>
        <v>0</v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>
        <f t="shared" si="267"/>
        <v>3.4</v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>
        <f t="shared" si="269"/>
        <v>0</v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>
        <f t="shared" si="271"/>
        <v>3.4</v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>
        <f t="shared" si="273"/>
        <v>3.4</v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>
        <f t="shared" si="277"/>
        <v>0</v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>
        <f t="shared" si="279"/>
        <v>0</v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>
        <f t="shared" si="281"/>
        <v>0</v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>
        <f t="shared" si="283"/>
        <v>0</v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>
        <f t="shared" si="285"/>
        <v>5.0999999999999996</v>
      </c>
      <c r="SR50" s="43">
        <f t="shared" si="286"/>
        <v>-1</v>
      </c>
    </row>
    <row r="51" spans="1:512" customFormat="1" ht="16" customHeight="1" x14ac:dyDescent="0.15">
      <c r="A51" s="34">
        <v>46196</v>
      </c>
      <c r="B51" s="35">
        <v>0.79166666666666663</v>
      </c>
      <c r="C51" s="51" t="s">
        <v>9</v>
      </c>
      <c r="D51" s="51" t="s">
        <v>60</v>
      </c>
      <c r="E51" s="2">
        <v>5</v>
      </c>
      <c r="F51" s="50" t="s">
        <v>4</v>
      </c>
      <c r="G51" s="1">
        <v>0</v>
      </c>
      <c r="H51" s="16">
        <v>3.4</v>
      </c>
      <c r="I51" s="32">
        <f t="shared" si="0"/>
        <v>5</v>
      </c>
      <c r="J51" s="47">
        <v>2</v>
      </c>
      <c r="K51" s="48" t="s">
        <v>4</v>
      </c>
      <c r="L51" s="49">
        <v>0</v>
      </c>
      <c r="M51" s="5"/>
      <c r="N51" s="42">
        <f t="shared" si="1"/>
        <v>3.4</v>
      </c>
      <c r="O51" s="43">
        <f t="shared" si="2"/>
        <v>2</v>
      </c>
      <c r="P51" s="43">
        <f>IF($I51=0,IF(AND(#REF!&gt;#REF!,OR(AND(T51="",Q51&gt;S51),T51=1)),1,IF(AND(#REF!&lt;#REF!,OR(AND(T51="",Q51&lt;S51),T51=2)),1,0)),0)</f>
        <v>0</v>
      </c>
      <c r="Q51" s="47">
        <v>3</v>
      </c>
      <c r="R51" s="48" t="s">
        <v>4</v>
      </c>
      <c r="S51" s="49">
        <v>1</v>
      </c>
      <c r="T51" s="5"/>
      <c r="U51" s="42">
        <f t="shared" si="145"/>
        <v>3.4</v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>
        <f t="shared" si="147"/>
        <v>3.4</v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>
        <f t="shared" si="149"/>
        <v>3.4</v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>
        <f t="shared" si="151"/>
        <v>3.4</v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>
        <f t="shared" si="153"/>
        <v>3.4</v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>
        <f t="shared" si="155"/>
        <v>3.4</v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>
        <f t="shared" si="157"/>
        <v>3.4</v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>
        <f t="shared" si="159"/>
        <v>0</v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>
        <f t="shared" si="161"/>
        <v>3.4</v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>
        <f t="shared" si="163"/>
        <v>3.4</v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>
        <f t="shared" si="165"/>
        <v>3.4</v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>
        <f t="shared" si="167"/>
        <v>3.4</v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>
        <f t="shared" si="169"/>
        <v>3.4</v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>
        <f t="shared" si="171"/>
        <v>3.4</v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>
        <f t="shared" si="173"/>
        <v>3.4</v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>
        <f t="shared" si="175"/>
        <v>3.4</v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>
        <f t="shared" si="177"/>
        <v>3.4</v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>
        <f t="shared" si="179"/>
        <v>3.4</v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>
        <f t="shared" si="181"/>
        <v>5.0999999999999996</v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>
        <f t="shared" si="183"/>
        <v>3.4</v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>
        <f t="shared" si="185"/>
        <v>3.4</v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>
        <f t="shared" si="187"/>
        <v>3.4</v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>
        <f t="shared" si="189"/>
        <v>3.4</v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>
        <f t="shared" si="191"/>
        <v>3.4</v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>
        <f t="shared" si="193"/>
        <v>3.4</v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>
        <f t="shared" si="195"/>
        <v>3.4</v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>
        <f t="shared" si="197"/>
        <v>3.4</v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>
        <f t="shared" si="199"/>
        <v>0</v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>
        <f t="shared" si="201"/>
        <v>3.4</v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>
        <f t="shared" si="203"/>
        <v>3.4</v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>
        <f t="shared" si="205"/>
        <v>3.4</v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>
        <f t="shared" si="207"/>
        <v>3.4</v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>
        <f t="shared" si="209"/>
        <v>0</v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>
        <f t="shared" si="211"/>
        <v>3.4</v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>
        <f t="shared" si="213"/>
        <v>3.4</v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>
        <f t="shared" si="215"/>
        <v>3.4</v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>
        <f t="shared" si="217"/>
        <v>3.4</v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>
        <f t="shared" si="219"/>
        <v>3.4</v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>
        <f t="shared" si="221"/>
        <v>3.4</v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>
        <f t="shared" si="223"/>
        <v>3.4</v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>
        <f t="shared" si="225"/>
        <v>3.4</v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>
        <f t="shared" si="227"/>
        <v>3.4</v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>
        <f t="shared" si="229"/>
        <v>3.4</v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>
        <f t="shared" si="231"/>
        <v>5.0999999999999996</v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>
        <f t="shared" si="233"/>
        <v>3.4</v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>
        <f t="shared" si="235"/>
        <v>3.4</v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>
        <f t="shared" si="237"/>
        <v>5.0999999999999996</v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>
        <f t="shared" si="239"/>
        <v>3.4</v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>
        <f t="shared" si="241"/>
        <v>3.4</v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>
        <f t="shared" si="243"/>
        <v>3.4</v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>
        <f t="shared" si="245"/>
        <v>3.4</v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>
        <f t="shared" si="247"/>
        <v>0</v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>
        <f t="shared" si="249"/>
        <v>3.4</v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>
        <f t="shared" si="251"/>
        <v>3.4</v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>
        <f t="shared" si="253"/>
        <v>3.4</v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>
        <f t="shared" si="255"/>
        <v>3.4</v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>
        <f t="shared" si="257"/>
        <v>3.4</v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>
        <f t="shared" si="259"/>
        <v>3.4</v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>
        <f t="shared" si="261"/>
        <v>3.4</v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>
        <f t="shared" si="263"/>
        <v>3.4</v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>
        <f t="shared" si="265"/>
        <v>3.4</v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>
        <f t="shared" si="267"/>
        <v>3.4</v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>
        <f t="shared" si="269"/>
        <v>3.4</v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>
        <f t="shared" si="271"/>
        <v>3.4</v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>
        <f t="shared" si="273"/>
        <v>3.4</v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>
        <f t="shared" si="277"/>
        <v>3.4</v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>
        <f t="shared" si="279"/>
        <v>3.4</v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>
        <f t="shared" si="281"/>
        <v>3.4</v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>
        <f t="shared" si="283"/>
        <v>3.4</v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>
        <f t="shared" si="285"/>
        <v>3.4</v>
      </c>
      <c r="SR51" s="43">
        <f t="shared" si="286"/>
        <v>1</v>
      </c>
    </row>
    <row r="52" spans="1:512" customFormat="1" ht="16" customHeight="1" x14ac:dyDescent="0.15">
      <c r="A52" s="34">
        <v>46196</v>
      </c>
      <c r="B52" s="35">
        <v>0.91666666666666663</v>
      </c>
      <c r="C52" s="79" t="s">
        <v>8</v>
      </c>
      <c r="D52" s="79" t="s">
        <v>58</v>
      </c>
      <c r="E52" s="2">
        <v>0</v>
      </c>
      <c r="F52" s="50" t="s">
        <v>4</v>
      </c>
      <c r="G52" s="1">
        <v>0</v>
      </c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>
        <f t="shared" si="1"/>
        <v>0</v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>
        <f t="shared" si="145"/>
        <v>0</v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>
        <f t="shared" si="147"/>
        <v>0</v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>
        <f t="shared" si="149"/>
        <v>3.4</v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>
        <f t="shared" si="151"/>
        <v>0</v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>
        <f t="shared" si="153"/>
        <v>0</v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>
        <f t="shared" si="155"/>
        <v>0</v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>
        <f t="shared" si="157"/>
        <v>0</v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>
        <f t="shared" si="159"/>
        <v>0</v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>
        <f t="shared" si="161"/>
        <v>0</v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>
        <f t="shared" si="163"/>
        <v>0</v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>
        <f t="shared" si="165"/>
        <v>0</v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>
        <f t="shared" si="167"/>
        <v>0</v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>
        <f t="shared" si="169"/>
        <v>0</v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>
        <f t="shared" si="171"/>
        <v>0</v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>
        <f t="shared" si="173"/>
        <v>0</v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>
        <f t="shared" si="175"/>
        <v>0</v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>
        <f t="shared" si="177"/>
        <v>0</v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>
        <f t="shared" si="179"/>
        <v>0</v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>
        <f t="shared" si="181"/>
        <v>0</v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>
        <f t="shared" si="183"/>
        <v>3.4</v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>
        <f t="shared" si="185"/>
        <v>0</v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>
        <f t="shared" si="187"/>
        <v>0</v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>
        <f t="shared" si="189"/>
        <v>0</v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>
        <f t="shared" si="191"/>
        <v>0</v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>
        <f t="shared" si="193"/>
        <v>0</v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>
        <f t="shared" si="195"/>
        <v>0</v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>
        <f t="shared" si="197"/>
        <v>0</v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>
        <f t="shared" si="199"/>
        <v>0</v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>
        <f t="shared" si="201"/>
        <v>0</v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>
        <f t="shared" si="203"/>
        <v>0</v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>
        <f t="shared" si="205"/>
        <v>0</v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>
        <f t="shared" si="207"/>
        <v>0</v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>
        <f t="shared" si="209"/>
        <v>0</v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>
        <f t="shared" si="211"/>
        <v>0</v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>
        <f t="shared" si="213"/>
        <v>0</v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>
        <f t="shared" si="215"/>
        <v>0</v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>
        <f t="shared" si="217"/>
        <v>3.4</v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>
        <f t="shared" si="219"/>
        <v>0</v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>
        <f t="shared" si="221"/>
        <v>0</v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>
        <f t="shared" si="223"/>
        <v>0</v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>
        <f t="shared" si="225"/>
        <v>0</v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>
        <f t="shared" si="227"/>
        <v>0</v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>
        <f t="shared" si="229"/>
        <v>0</v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>
        <f t="shared" si="231"/>
        <v>0</v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>
        <f t="shared" si="233"/>
        <v>0</v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>
        <f t="shared" si="235"/>
        <v>0</v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>
        <f t="shared" si="237"/>
        <v>0</v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>
        <f t="shared" si="239"/>
        <v>0</v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>
        <f t="shared" si="241"/>
        <v>0</v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>
        <f t="shared" si="243"/>
        <v>0</v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>
        <f t="shared" si="245"/>
        <v>3.4</v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>
        <f t="shared" si="247"/>
        <v>0</v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>
        <f t="shared" si="249"/>
        <v>0</v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>
        <f t="shared" si="251"/>
        <v>0</v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>
        <f t="shared" si="253"/>
        <v>0</v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>
        <f t="shared" si="255"/>
        <v>0</v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>
        <f t="shared" si="257"/>
        <v>3.4</v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>
        <f t="shared" si="259"/>
        <v>0</v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>
        <f t="shared" si="261"/>
        <v>0</v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>
        <f t="shared" si="263"/>
        <v>0</v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>
        <f t="shared" si="265"/>
        <v>0</v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>
        <f t="shared" si="267"/>
        <v>0</v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>
        <f t="shared" si="269"/>
        <v>0</v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>
        <f t="shared" si="271"/>
        <v>0</v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>
        <f t="shared" si="273"/>
        <v>0</v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>
        <f t="shared" si="277"/>
        <v>0</v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>
        <f t="shared" si="279"/>
        <v>0</v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>
        <f t="shared" si="281"/>
        <v>0</v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>
        <f t="shared" si="283"/>
        <v>0</v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>
        <f t="shared" si="285"/>
        <v>0</v>
      </c>
      <c r="SR52" s="43">
        <f t="shared" si="286"/>
        <v>2</v>
      </c>
    </row>
    <row r="53" spans="1:512" customFormat="1" ht="16" customHeight="1" x14ac:dyDescent="0.15">
      <c r="A53" s="34">
        <v>46197</v>
      </c>
      <c r="B53" s="35">
        <v>4.1666666666666664E-2</v>
      </c>
      <c r="C53" s="51" t="s">
        <v>59</v>
      </c>
      <c r="D53" s="51" t="s">
        <v>22</v>
      </c>
      <c r="E53" s="2">
        <v>0</v>
      </c>
      <c r="F53" s="50" t="s">
        <v>4</v>
      </c>
      <c r="G53" s="1">
        <v>1</v>
      </c>
      <c r="H53" s="16">
        <v>3.6</v>
      </c>
      <c r="I53" s="32">
        <f t="shared" si="0"/>
        <v>-1</v>
      </c>
      <c r="J53" s="47">
        <v>1</v>
      </c>
      <c r="K53" s="48" t="s">
        <v>4</v>
      </c>
      <c r="L53" s="49">
        <v>2</v>
      </c>
      <c r="M53" s="5"/>
      <c r="N53" s="42">
        <f t="shared" si="1"/>
        <v>3.6</v>
      </c>
      <c r="O53" s="43">
        <f t="shared" si="2"/>
        <v>-1</v>
      </c>
      <c r="P53" s="43">
        <f>IF($I53=0,IF(AND(#REF!&gt;#REF!,OR(AND(T53="",Q53&gt;S53),T53=1)),1,IF(AND(#REF!&lt;#REF!,OR(AND(T53="",Q53&lt;S53),T53=2)),1,0)),0)</f>
        <v>0</v>
      </c>
      <c r="Q53" s="47">
        <v>1</v>
      </c>
      <c r="R53" s="48" t="s">
        <v>4</v>
      </c>
      <c r="S53" s="49">
        <v>3</v>
      </c>
      <c r="T53" s="5"/>
      <c r="U53" s="42">
        <f t="shared" si="145"/>
        <v>3.6</v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>
        <f t="shared" si="147"/>
        <v>5.4</v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>
        <f t="shared" si="149"/>
        <v>0</v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>
        <f t="shared" si="151"/>
        <v>3.6</v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>
        <f t="shared" si="153"/>
        <v>5.4</v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>
        <f t="shared" si="155"/>
        <v>3.6</v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>
        <f t="shared" si="157"/>
        <v>3.6</v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>
        <f t="shared" si="159"/>
        <v>3.6</v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>
        <f t="shared" si="161"/>
        <v>5.4</v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>
        <f t="shared" si="163"/>
        <v>3.6</v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>
        <f t="shared" si="165"/>
        <v>3.6</v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>
        <f t="shared" si="167"/>
        <v>3.6</v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>
        <f t="shared" si="169"/>
        <v>3.6</v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>
        <f t="shared" si="171"/>
        <v>5.4</v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>
        <f t="shared" si="173"/>
        <v>3.6</v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>
        <f t="shared" si="175"/>
        <v>3.6</v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>
        <f t="shared" si="177"/>
        <v>5.4</v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>
        <f t="shared" si="179"/>
        <v>5.4</v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>
        <f t="shared" si="181"/>
        <v>3.6</v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>
        <f t="shared" si="183"/>
        <v>3.6</v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>
        <f t="shared" si="185"/>
        <v>3.6</v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>
        <f t="shared" si="187"/>
        <v>3.6</v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>
        <f t="shared" si="189"/>
        <v>3.6</v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>
        <f t="shared" si="191"/>
        <v>3.6</v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>
        <f t="shared" si="193"/>
        <v>5.4</v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>
        <f t="shared" si="195"/>
        <v>3.6</v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>
        <f t="shared" si="197"/>
        <v>3.6</v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>
        <f t="shared" si="199"/>
        <v>3.6</v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>
        <f t="shared" si="201"/>
        <v>3.6</v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>
        <f t="shared" si="203"/>
        <v>3.6</v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>
        <f t="shared" si="205"/>
        <v>3.6</v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>
        <f t="shared" si="207"/>
        <v>3.6</v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>
        <f t="shared" si="209"/>
        <v>3.6</v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>
        <f t="shared" si="211"/>
        <v>3.6</v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>
        <f t="shared" si="213"/>
        <v>3.6</v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>
        <f t="shared" si="215"/>
        <v>3.6</v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>
        <f t="shared" si="217"/>
        <v>3.6</v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>
        <f t="shared" si="219"/>
        <v>3.6</v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>
        <f t="shared" si="221"/>
        <v>3.6</v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>
        <f t="shared" si="223"/>
        <v>3.6</v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>
        <f t="shared" si="225"/>
        <v>5.4</v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>
        <f t="shared" si="227"/>
        <v>5.4</v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>
        <f t="shared" si="229"/>
        <v>3.6</v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>
        <f t="shared" si="231"/>
        <v>3.6</v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>
        <f t="shared" si="233"/>
        <v>3.6</v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>
        <f t="shared" si="235"/>
        <v>3.6</v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>
        <f t="shared" si="237"/>
        <v>3.6</v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>
        <f t="shared" si="239"/>
        <v>3.6</v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>
        <f t="shared" si="241"/>
        <v>3.6</v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>
        <f t="shared" si="243"/>
        <v>3.6</v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>
        <f t="shared" si="245"/>
        <v>0</v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>
        <f t="shared" si="247"/>
        <v>0</v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>
        <f t="shared" si="249"/>
        <v>3.6</v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>
        <f t="shared" si="251"/>
        <v>3.6</v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>
        <f t="shared" si="253"/>
        <v>3.6</v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>
        <f t="shared" si="255"/>
        <v>5.4</v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>
        <f t="shared" si="257"/>
        <v>5.4</v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>
        <f t="shared" si="259"/>
        <v>3.6</v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>
        <f t="shared" si="261"/>
        <v>3.6</v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>
        <f t="shared" si="263"/>
        <v>3.6</v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>
        <f t="shared" si="265"/>
        <v>3.6</v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>
        <f t="shared" si="267"/>
        <v>3.6</v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>
        <f t="shared" si="269"/>
        <v>3.6</v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>
        <f t="shared" si="271"/>
        <v>3.6</v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>
        <f t="shared" si="273"/>
        <v>0</v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>
        <f t="shared" si="277"/>
        <v>0</v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>
        <f t="shared" si="279"/>
        <v>0</v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>
        <f t="shared" si="281"/>
        <v>0</v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>
        <f t="shared" si="283"/>
        <v>0</v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>
        <f t="shared" si="285"/>
        <v>3.6</v>
      </c>
      <c r="SR53" s="43">
        <f t="shared" si="286"/>
        <v>-2</v>
      </c>
    </row>
    <row r="54" spans="1:512" customFormat="1" ht="16" customHeight="1" x14ac:dyDescent="0.15">
      <c r="A54" s="34">
        <v>46197</v>
      </c>
      <c r="B54" s="35">
        <v>0.16666666666666666</v>
      </c>
      <c r="C54" s="79" t="s">
        <v>61</v>
      </c>
      <c r="D54" s="79" t="s">
        <v>57</v>
      </c>
      <c r="E54" s="2">
        <v>1</v>
      </c>
      <c r="F54" s="50" t="s">
        <v>4</v>
      </c>
      <c r="G54" s="1">
        <v>0</v>
      </c>
      <c r="H54" s="16">
        <v>3.6</v>
      </c>
      <c r="I54" s="32">
        <f t="shared" si="0"/>
        <v>1</v>
      </c>
      <c r="J54" s="47">
        <v>1</v>
      </c>
      <c r="K54" s="48" t="s">
        <v>4</v>
      </c>
      <c r="L54" s="49">
        <v>3</v>
      </c>
      <c r="M54" s="5"/>
      <c r="N54" s="42">
        <f t="shared" si="1"/>
        <v>0</v>
      </c>
      <c r="O54" s="43">
        <f t="shared" si="2"/>
        <v>-2</v>
      </c>
      <c r="P54" s="43">
        <f>IF($I54=0,IF(AND(#REF!&gt;#REF!,OR(AND(T54="",Q54&gt;S54),T54=1)),1,IF(AND(#REF!&lt;#REF!,OR(AND(T54="",Q54&lt;S54),T54=2)),1,0)),0)</f>
        <v>0</v>
      </c>
      <c r="Q54" s="47">
        <v>2</v>
      </c>
      <c r="R54" s="48" t="s">
        <v>4</v>
      </c>
      <c r="S54" s="49">
        <v>0</v>
      </c>
      <c r="T54" s="5"/>
      <c r="U54" s="42">
        <f t="shared" si="145"/>
        <v>3.6</v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>
        <f t="shared" si="147"/>
        <v>3.6</v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>
        <f t="shared" si="149"/>
        <v>0</v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>
        <f t="shared" si="151"/>
        <v>3.6</v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>
        <f t="shared" si="153"/>
        <v>3.6</v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>
        <f t="shared" si="155"/>
        <v>3.6</v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>
        <f t="shared" si="157"/>
        <v>3.6</v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>
        <f t="shared" si="159"/>
        <v>3.6</v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>
        <f t="shared" si="161"/>
        <v>0</v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>
        <f t="shared" si="163"/>
        <v>0</v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>
        <f t="shared" si="165"/>
        <v>3.6</v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>
        <f t="shared" si="167"/>
        <v>3.6</v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>
        <f t="shared" si="169"/>
        <v>3.6</v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>
        <f t="shared" si="171"/>
        <v>0</v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>
        <f t="shared" si="173"/>
        <v>5.4</v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>
        <f t="shared" si="175"/>
        <v>3.6</v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>
        <f t="shared" si="177"/>
        <v>0</v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>
        <f t="shared" si="179"/>
        <v>5.4</v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>
        <f t="shared" si="181"/>
        <v>3.6</v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>
        <f t="shared" si="183"/>
        <v>0</v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>
        <f t="shared" si="185"/>
        <v>3.6</v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>
        <f t="shared" si="187"/>
        <v>0</v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>
        <f t="shared" si="189"/>
        <v>5.4</v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>
        <f t="shared" si="191"/>
        <v>3.6</v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>
        <f t="shared" si="193"/>
        <v>3.6</v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>
        <f t="shared" si="195"/>
        <v>3.6</v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>
        <f t="shared" si="197"/>
        <v>3.6</v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>
        <f t="shared" si="199"/>
        <v>3.6</v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>
        <f t="shared" si="201"/>
        <v>3.6</v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>
        <f t="shared" si="203"/>
        <v>3.6</v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>
        <f t="shared" si="205"/>
        <v>5.4</v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>
        <f t="shared" si="207"/>
        <v>3.6</v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>
        <f t="shared" si="209"/>
        <v>0</v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>
        <f t="shared" si="211"/>
        <v>0</v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>
        <f t="shared" si="213"/>
        <v>3.6</v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>
        <f t="shared" si="215"/>
        <v>3.6</v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>
        <f t="shared" si="217"/>
        <v>0</v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>
        <f t="shared" si="219"/>
        <v>0</v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>
        <f t="shared" si="221"/>
        <v>0</v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>
        <f t="shared" si="223"/>
        <v>0</v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>
        <f t="shared" si="225"/>
        <v>5.4</v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>
        <f t="shared" si="227"/>
        <v>5.4</v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>
        <f t="shared" si="229"/>
        <v>3.6</v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>
        <f t="shared" si="231"/>
        <v>3.6</v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>
        <f t="shared" si="233"/>
        <v>0</v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>
        <f t="shared" si="235"/>
        <v>3.6</v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>
        <f t="shared" si="237"/>
        <v>0</v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>
        <f t="shared" si="239"/>
        <v>0</v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>
        <f t="shared" si="241"/>
        <v>3.6</v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>
        <f t="shared" si="243"/>
        <v>3.6</v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>
        <f t="shared" si="245"/>
        <v>0</v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>
        <f t="shared" si="247"/>
        <v>0</v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>
        <f t="shared" si="249"/>
        <v>5.4</v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>
        <f t="shared" si="251"/>
        <v>3.6</v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>
        <f t="shared" si="253"/>
        <v>3.6</v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>
        <f t="shared" si="255"/>
        <v>3.6</v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>
        <f t="shared" si="257"/>
        <v>5.4</v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>
        <f t="shared" si="259"/>
        <v>3.6</v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>
        <f t="shared" si="261"/>
        <v>0</v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>
        <f t="shared" si="263"/>
        <v>3.6</v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>
        <f t="shared" si="265"/>
        <v>3.6</v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>
        <f t="shared" si="267"/>
        <v>3.6</v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>
        <f t="shared" si="269"/>
        <v>3.6</v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>
        <f t="shared" si="271"/>
        <v>3.6</v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>
        <f t="shared" si="273"/>
        <v>3.6</v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>
        <f t="shared" si="277"/>
        <v>3.6</v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>
        <f t="shared" si="279"/>
        <v>3.6</v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>
        <f t="shared" si="281"/>
        <v>3.6</v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>
        <f t="shared" si="283"/>
        <v>3.6</v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>
        <f t="shared" si="285"/>
        <v>3.6</v>
      </c>
      <c r="SR54" s="43">
        <f t="shared" si="286"/>
        <v>1</v>
      </c>
    </row>
    <row r="55" spans="1:512" customFormat="1" ht="9" customHeight="1" x14ac:dyDescent="0.2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 x14ac:dyDescent="0.15">
      <c r="A56" s="34">
        <v>46197</v>
      </c>
      <c r="B56" s="35">
        <v>0.875</v>
      </c>
      <c r="C56" s="51" t="s">
        <v>21</v>
      </c>
      <c r="D56" s="51" t="s">
        <v>31</v>
      </c>
      <c r="E56" s="2">
        <v>2</v>
      </c>
      <c r="F56" s="50" t="s">
        <v>4</v>
      </c>
      <c r="G56" s="1">
        <v>1</v>
      </c>
      <c r="H56" s="16">
        <v>3.6</v>
      </c>
      <c r="I56" s="32">
        <f t="shared" si="0"/>
        <v>1</v>
      </c>
      <c r="J56" s="47">
        <v>1</v>
      </c>
      <c r="K56" s="48" t="s">
        <v>4</v>
      </c>
      <c r="L56" s="49">
        <v>1</v>
      </c>
      <c r="M56" s="5"/>
      <c r="N56" s="42">
        <f t="shared" si="1"/>
        <v>0</v>
      </c>
      <c r="O56" s="43">
        <f t="shared" si="2"/>
        <v>0</v>
      </c>
      <c r="P56" s="43">
        <f>IF($I56=0,IF(AND(#REF!&gt;#REF!,OR(AND(T56="",Q56&gt;S56),T56=1)),1,IF(AND(#REF!&lt;#REF!,OR(AND(T56="",Q56&lt;S56),T56=2)),1,0)),0)</f>
        <v>0</v>
      </c>
      <c r="Q56" s="47">
        <v>1</v>
      </c>
      <c r="R56" s="48" t="s">
        <v>4</v>
      </c>
      <c r="S56" s="49">
        <v>0</v>
      </c>
      <c r="T56" s="5"/>
      <c r="U56" s="42">
        <f t="shared" ref="U56:U79" si="287">IF(OR($G56="",S56=""),"",IF(AND($E56=Q56,$G56=S56),$H56*1.5,IF(AND($I56&gt;0,V56&gt;0),$H56,IF(AND($I56&lt;0,V56&lt;0),$H56,IF(AND($I56=0,V56=0),$H56,0)))))</f>
        <v>3.6</v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>
        <f t="shared" ref="AB56:AB79" si="289">IF(OR($G56="",Z56=""),"",IF(AND($E56=X56,$G56=Z56),$H56*1.5,IF(AND($I56&gt;0,AC56&gt;0),$H56,IF(AND($I56&lt;0,AC56&lt;0),$H56,IF(AND($I56=0,AC56=0),$H56,0)))))</f>
        <v>3.6</v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>
        <f t="shared" ref="AI56:AI79" si="291">IF(OR($G56="",AG56=""),"",IF(AND($E56=AE56,$G56=AG56),$H56*1.5,IF(AND($I56&gt;0,AJ56&gt;0),$H56,IF(AND($I56&lt;0,AJ56&lt;0),$H56,IF(AND($I56=0,AJ56=0),$H56,0)))))</f>
        <v>3.6</v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>
        <f t="shared" ref="AP56:AP79" si="293">IF(OR($G56="",AN56=""),"",IF(AND($E56=AL56,$G56=AN56),$H56*1.5,IF(AND($I56&gt;0,AQ56&gt;0),$H56,IF(AND($I56&lt;0,AQ56&lt;0),$H56,IF(AND($I56=0,AQ56=0),$H56,0)))))</f>
        <v>0</v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>
        <f t="shared" ref="AW56:AW79" si="295">IF(OR($G56="",AU56=""),"",IF(AND($E56=AS56,$G56=AU56),$H56*1.5,IF(AND($I56&gt;0,AX56&gt;0),$H56,IF(AND($I56&lt;0,AX56&lt;0),$H56,IF(AND($I56=0,AX56=0),$H56,0)))))</f>
        <v>3.6</v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>
        <f t="shared" ref="BD56:BD79" si="297">IF(OR($G56="",BB56=""),"",IF(AND($E56=AZ56,$G56=BB56),$H56*1.5,IF(AND($I56&gt;0,BE56&gt;0),$H56,IF(AND($I56&lt;0,BE56&lt;0),$H56,IF(AND($I56=0,BE56=0),$H56,0)))))</f>
        <v>3.6</v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>
        <f t="shared" ref="BK56:BK79" si="299">IF(OR($G56="",BI56=""),"",IF(AND($E56=BG56,$G56=BI56),$H56*1.5,IF(AND($I56&gt;0,BL56&gt;0),$H56,IF(AND($I56&lt;0,BL56&lt;0),$H56,IF(AND($I56=0,BL56=0),$H56,0)))))</f>
        <v>0</v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>
        <f t="shared" ref="BR56:BR79" si="301">IF(OR($G56="",BP56=""),"",IF(AND($E56=BN56,$G56=BP56),$H56*1.5,IF(AND($I56&gt;0,BS56&gt;0),$H56,IF(AND($I56&lt;0,BS56&lt;0),$H56,IF(AND($I56=0,BS56=0),$H56,0)))))</f>
        <v>3.6</v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>
        <f t="shared" ref="BY56:BY79" si="303">IF(OR($G56="",BW56=""),"",IF(AND($E56=BU56,$G56=BW56),$H56*1.5,IF(AND($I56&gt;0,BZ56&gt;0),$H56,IF(AND($I56&lt;0,BZ56&lt;0),$H56,IF(AND($I56=0,BZ56=0),$H56,0)))))</f>
        <v>3.6</v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>
        <f t="shared" ref="CF56:CF79" si="305">IF(OR($G56="",CD56=""),"",IF(AND($E56=CB56,$G56=CD56),$H56*1.5,IF(AND($I56&gt;0,CG56&gt;0),$H56,IF(AND($I56&lt;0,CG56&lt;0),$H56,IF(AND($I56=0,CG56=0),$H56,0)))))</f>
        <v>5.4</v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>
        <f t="shared" ref="CM56:CM79" si="307">IF(OR($G56="",CK56=""),"",IF(AND($E56=CI56,$G56=CK56),$H56*1.5,IF(AND($I56&gt;0,CN56&gt;0),$H56,IF(AND($I56&lt;0,CN56&lt;0),$H56,IF(AND($I56=0,CN56=0),$H56,0)))))</f>
        <v>0</v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>
        <f t="shared" ref="CT56:CT79" si="309">IF(OR($G56="",CR56=""),"",IF(AND($E56=CP56,$G56=CR56),$H56*1.5,IF(AND($I56&gt;0,CU56&gt;0),$H56,IF(AND($I56&lt;0,CU56&lt;0),$H56,IF(AND($I56=0,CU56=0),$H56,0)))))</f>
        <v>0</v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>
        <f t="shared" ref="DA56:DA79" si="311">IF(OR($G56="",CY56=""),"",IF(AND($E56=CW56,$G56=CY56),$H56*1.5,IF(AND($I56&gt;0,DB56&gt;0),$H56,IF(AND($I56&lt;0,DB56&lt;0),$H56,IF(AND($I56=0,DB56=0),$H56,0)))))</f>
        <v>3.6</v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>
        <f t="shared" ref="DH56:DH79" si="313">IF(OR($G56="",DF56=""),"",IF(AND($E56=DD56,$G56=DF56),$H56*1.5,IF(AND($I56&gt;0,DI56&gt;0),$H56,IF(AND($I56&lt;0,DI56&lt;0),$H56,IF(AND($I56=0,DI56=0),$H56,0)))))</f>
        <v>0</v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>
        <f t="shared" ref="DO56:DO79" si="315">IF(OR($G56="",DM56=""),"",IF(AND($E56=DK56,$G56=DM56),$H56*1.5,IF(AND($I56&gt;0,DP56&gt;0),$H56,IF(AND($I56&lt;0,DP56&lt;0),$H56,IF(AND($I56=0,DP56=0),$H56,0)))))</f>
        <v>3.6</v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>
        <f t="shared" ref="DV56:DV79" si="317">IF(OR($G56="",DT56=""),"",IF(AND($E56=DR56,$G56=DT56),$H56*1.5,IF(AND($I56&gt;0,DW56&gt;0),$H56,IF(AND($I56&lt;0,DW56&lt;0),$H56,IF(AND($I56=0,DW56=0),$H56,0)))))</f>
        <v>3.6</v>
      </c>
      <c r="DW56" s="43">
        <f t="shared" ref="DW56:DW79" si="318">DR56-DT56</f>
        <v>2</v>
      </c>
      <c r="DX56" s="30"/>
      <c r="DY56" s="47">
        <v>2</v>
      </c>
      <c r="DZ56" s="48" t="s">
        <v>4</v>
      </c>
      <c r="EA56" s="49">
        <v>1</v>
      </c>
      <c r="EB56" s="5"/>
      <c r="EC56" s="42">
        <f t="shared" ref="EC56:EC79" si="319">IF(OR($G56="",EA56=""),"",IF(AND($E56=DY56,$G56=EA56),$H56*1.5,IF(AND($I56&gt;0,ED56&gt;0),$H56,IF(AND($I56&lt;0,ED56&lt;0),$H56,IF(AND($I56=0,ED56=0),$H56,0)))))</f>
        <v>5.4</v>
      </c>
      <c r="ED56" s="43">
        <f t="shared" ref="ED56:ED79" si="320">DY56-EA56</f>
        <v>1</v>
      </c>
      <c r="EE56" s="30"/>
      <c r="EF56" s="47">
        <v>1</v>
      </c>
      <c r="EG56" s="48" t="s">
        <v>4</v>
      </c>
      <c r="EH56" s="49">
        <v>0</v>
      </c>
      <c r="EI56" s="5"/>
      <c r="EJ56" s="42">
        <f t="shared" ref="EJ56:EJ79" si="321">IF(OR($G56="",EH56=""),"",IF(AND($E56=EF56,$G56=EH56),$H56*1.5,IF(AND($I56&gt;0,EK56&gt;0),$H56,IF(AND($I56&lt;0,EK56&lt;0),$H56,IF(AND($I56=0,EK56=0),$H56,0)))))</f>
        <v>3.6</v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>
        <f t="shared" ref="EQ56:EQ79" si="323">IF(OR($G56="",EO56=""),"",IF(AND($E56=EM56,$G56=EO56),$H56*1.5,IF(AND($I56&gt;0,ER56&gt;0),$H56,IF(AND($I56&lt;0,ER56&lt;0),$H56,IF(AND($I56=0,ER56=0),$H56,0)))))</f>
        <v>3.6</v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>
        <f t="shared" ref="EX56:EX79" si="325">IF(OR($G56="",EV56=""),"",IF(AND($E56=ET56,$G56=EV56),$H56*1.5,IF(AND($I56&gt;0,EY56&gt;0),$H56,IF(AND($I56&lt;0,EY56&lt;0),$H56,IF(AND($I56=0,EY56=0),$H56,0)))))</f>
        <v>0</v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>
        <f t="shared" ref="FE56:FE79" si="327">IF(OR($G56="",FC56=""),"",IF(AND($E56=FA56,$G56=FC56),$H56*1.5,IF(AND($I56&gt;0,FF56&gt;0),$H56,IF(AND($I56&lt;0,FF56&lt;0),$H56,IF(AND($I56=0,FF56=0),$H56,0)))))</f>
        <v>0</v>
      </c>
      <c r="FF56" s="43">
        <f t="shared" ref="FF56:FF79" si="328">FA56-FC56</f>
        <v>0</v>
      </c>
      <c r="FG56" s="30"/>
      <c r="FH56" s="47">
        <v>2</v>
      </c>
      <c r="FI56" s="48" t="s">
        <v>4</v>
      </c>
      <c r="FJ56" s="49">
        <v>2</v>
      </c>
      <c r="FK56" s="5"/>
      <c r="FL56" s="42">
        <f t="shared" ref="FL56:FL79" si="329">IF(OR($G56="",FJ56=""),"",IF(AND($E56=FH56,$G56=FJ56),$H56*1.5,IF(AND($I56&gt;0,FM56&gt;0),$H56,IF(AND($I56&lt;0,FM56&lt;0),$H56,IF(AND($I56=0,FM56=0),$H56,0)))))</f>
        <v>0</v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>
        <f t="shared" ref="FS56:FS79" si="331">IF(OR($G56="",FQ56=""),"",IF(AND($E56=FO56,$G56=FQ56),$H56*1.5,IF(AND($I56&gt;0,FT56&gt;0),$H56,IF(AND($I56&lt;0,FT56&lt;0),$H56,IF(AND($I56=0,FT56=0),$H56,0)))))</f>
        <v>5.4</v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>
        <f t="shared" ref="FZ56:FZ79" si="333">IF(OR($G56="",FX56=""),"",IF(AND($E56=FV56,$G56=FX56),$H56*1.5,IF(AND($I56&gt;0,GA56&gt;0),$H56,IF(AND($I56&lt;0,GA56&lt;0),$H56,IF(AND($I56=0,GA56=0),$H56,0)))))</f>
        <v>3.6</v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>
        <f t="shared" ref="GG56:GG79" si="335">IF(OR($G56="",GE56=""),"",IF(AND($E56=GC56,$G56=GE56),$H56*1.5,IF(AND($I56&gt;0,GH56&gt;0),$H56,IF(AND($I56&lt;0,GH56&lt;0),$H56,IF(AND($I56=0,GH56=0),$H56,0)))))</f>
        <v>0</v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>
        <f t="shared" ref="GN56:GN79" si="337">IF(OR($G56="",GL56=""),"",IF(AND($E56=GJ56,$G56=GL56),$H56*1.5,IF(AND($I56&gt;0,GO56&gt;0),$H56,IF(AND($I56&lt;0,GO56&lt;0),$H56,IF(AND($I56=0,GO56=0),$H56,0)))))</f>
        <v>5.4</v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>
        <f t="shared" ref="GU56:GU79" si="339">IF(OR($G56="",GS56=""),"",IF(AND($E56=GQ56,$G56=GS56),$H56*1.5,IF(AND($I56&gt;0,GV56&gt;0),$H56,IF(AND($I56&lt;0,GV56&lt;0),$H56,IF(AND($I56=0,GV56=0),$H56,0)))))</f>
        <v>0</v>
      </c>
      <c r="GV56" s="43">
        <f t="shared" ref="GV56:GV79" si="340">GQ56-GS56</f>
        <v>0</v>
      </c>
      <c r="GW56" s="30"/>
      <c r="GX56" s="47">
        <v>2</v>
      </c>
      <c r="GY56" s="48" t="s">
        <v>4</v>
      </c>
      <c r="GZ56" s="49">
        <v>1</v>
      </c>
      <c r="HA56" s="5"/>
      <c r="HB56" s="42">
        <f t="shared" ref="HB56:HB79" si="341">IF(OR($G56="",GZ56=""),"",IF(AND($E56=GX56,$G56=GZ56),$H56*1.5,IF(AND($I56&gt;0,HC56&gt;0),$H56,IF(AND($I56&lt;0,HC56&lt;0),$H56,IF(AND($I56=0,HC56=0),$H56,0)))))</f>
        <v>5.4</v>
      </c>
      <c r="HC56" s="43">
        <f t="shared" ref="HC56:HC79" si="342">GX56-GZ56</f>
        <v>1</v>
      </c>
      <c r="HD56" s="30"/>
      <c r="HE56" s="47">
        <v>2</v>
      </c>
      <c r="HF56" s="48" t="s">
        <v>4</v>
      </c>
      <c r="HG56" s="49">
        <v>1</v>
      </c>
      <c r="HH56" s="5"/>
      <c r="HI56" s="42">
        <f t="shared" ref="HI56:HI79" si="343">IF(OR($G56="",HG56=""),"",IF(AND($E56=HE56,$G56=HG56),$H56*1.5,IF(AND($I56&gt;0,HJ56&gt;0),$H56,IF(AND($I56&lt;0,HJ56&lt;0),$H56,IF(AND($I56=0,HJ56=0),$H56,0)))))</f>
        <v>5.4</v>
      </c>
      <c r="HJ56" s="43">
        <f t="shared" ref="HJ56:HJ79" si="344">HE56-HG56</f>
        <v>1</v>
      </c>
      <c r="HK56" s="30"/>
      <c r="HL56" s="47">
        <v>2</v>
      </c>
      <c r="HM56" s="48" t="s">
        <v>4</v>
      </c>
      <c r="HN56" s="49">
        <v>1</v>
      </c>
      <c r="HO56" s="5"/>
      <c r="HP56" s="42">
        <f t="shared" ref="HP56:HP79" si="345">IF(OR($G56="",HN56=""),"",IF(AND($E56=HL56,$G56=HN56),$H56*1.5,IF(AND($I56&gt;0,HQ56&gt;0),$H56,IF(AND($I56&lt;0,HQ56&lt;0),$H56,IF(AND($I56=0,HQ56=0),$H56,0)))))</f>
        <v>5.4</v>
      </c>
      <c r="HQ56" s="43">
        <f t="shared" ref="HQ56:HQ79" si="346">HL56-HN56</f>
        <v>1</v>
      </c>
      <c r="HR56" s="30"/>
      <c r="HS56" s="47">
        <v>2</v>
      </c>
      <c r="HT56" s="48" t="s">
        <v>4</v>
      </c>
      <c r="HU56" s="49">
        <v>1</v>
      </c>
      <c r="HV56" s="5"/>
      <c r="HW56" s="42">
        <f t="shared" ref="HW56:HW79" si="347">IF(OR($G56="",HU56=""),"",IF(AND($E56=HS56,$G56=HU56),$H56*1.5,IF(AND($I56&gt;0,HX56&gt;0),$H56,IF(AND($I56&lt;0,HX56&lt;0),$H56,IF(AND($I56=0,HX56=0),$H56,0)))))</f>
        <v>5.4</v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>
        <f t="shared" ref="ID56:ID79" si="349">IF(OR($G56="",IB56=""),"",IF(AND($E56=HZ56,$G56=IB56),$H56*1.5,IF(AND($I56&gt;0,IE56&gt;0),$H56,IF(AND($I56&lt;0,IE56&lt;0),$H56,IF(AND($I56=0,IE56=0),$H56,0)))))</f>
        <v>3.6</v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>
        <f t="shared" ref="IK56:IK79" si="351">IF(OR($G56="",II56=""),"",IF(AND($E56=IG56,$G56=II56),$H56*1.5,IF(AND($I56&gt;0,IL56&gt;0),$H56,IF(AND($I56&lt;0,IL56&lt;0),$H56,IF(AND($I56=0,IL56=0),$H56,0)))))</f>
        <v>3.6</v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>
        <f t="shared" ref="IR56:IR79" si="353">IF(OR($G56="",IP56=""),"",IF(AND($E56=IN56,$G56=IP56),$H56*1.5,IF(AND($I56&gt;0,IS56&gt;0),$H56,IF(AND($I56&lt;0,IS56&lt;0),$H56,IF(AND($I56=0,IS56=0),$H56,0)))))</f>
        <v>0</v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>
        <f t="shared" ref="IY56:IY79" si="355">IF(OR($G56="",IW56=""),"",IF(AND($E56=IU56,$G56=IW56),$H56*1.5,IF(AND($I56&gt;0,IZ56&gt;0),$H56,IF(AND($I56&lt;0,IZ56&lt;0),$H56,IF(AND($I56=0,IZ56=0),$H56,0)))))</f>
        <v>3.6</v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>
        <f t="shared" ref="JF56:JF79" si="357">IF(OR($G56="",JD56=""),"",IF(AND($E56=JB56,$G56=JD56),$H56*1.5,IF(AND($I56&gt;0,JG56&gt;0),$H56,IF(AND($I56&lt;0,JG56&lt;0),$H56,IF(AND($I56=0,JG56=0),$H56,0)))))</f>
        <v>3.6</v>
      </c>
      <c r="JG56" s="43">
        <f t="shared" ref="JG56:JG79" si="358">JB56-JD56</f>
        <v>1</v>
      </c>
      <c r="JH56" s="30"/>
      <c r="JI56" s="47">
        <v>2</v>
      </c>
      <c r="JJ56" s="48" t="s">
        <v>4</v>
      </c>
      <c r="JK56" s="49">
        <v>2</v>
      </c>
      <c r="JL56" s="5"/>
      <c r="JM56" s="42">
        <f t="shared" ref="JM56:JM79" si="359">IF(OR($G56="",JK56=""),"",IF(AND($E56=JI56,$G56=JK56),$H56*1.5,IF(AND($I56&gt;0,JN56&gt;0),$H56,IF(AND($I56&lt;0,JN56&lt;0),$H56,IF(AND($I56=0,JN56=0),$H56,0)))))</f>
        <v>0</v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>
        <f t="shared" ref="JT56:JT79" si="361">IF(OR($G56="",JR56=""),"",IF(AND($E56=JP56,$G56=JR56),$H56*1.5,IF(AND($I56&gt;0,JU56&gt;0),$H56,IF(AND($I56&lt;0,JU56&lt;0),$H56,IF(AND($I56=0,JU56=0),$H56,0)))))</f>
        <v>3.6</v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>
        <f t="shared" ref="KA56:KA79" si="363">IF(OR($G56="",JY56=""),"",IF(AND($E56=JW56,$G56=JY56),$H56*1.5,IF(AND($I56&gt;0,KB56&gt;0),$H56,IF(AND($I56&lt;0,KB56&lt;0),$H56,IF(AND($I56=0,KB56=0),$H56,0)))))</f>
        <v>0</v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>
        <f t="shared" ref="KH56:KH79" si="365">IF(OR($G56="",KF56=""),"",IF(AND($E56=KD56,$G56=KF56),$H56*1.5,IF(AND($I56&gt;0,KI56&gt;0),$H56,IF(AND($I56&lt;0,KI56&lt;0),$H56,IF(AND($I56=0,KI56=0),$H56,0)))))</f>
        <v>3.6</v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>
        <f t="shared" ref="KO56:KO79" si="367">IF(OR($G56="",KM56=""),"",IF(AND($E56=KK56,$G56=KM56),$H56*1.5,IF(AND($I56&gt;0,KP56&gt;0),$H56,IF(AND($I56&lt;0,KP56&lt;0),$H56,IF(AND($I56=0,KP56=0),$H56,0)))))</f>
        <v>0</v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>
        <f t="shared" ref="KV56:KV79" si="369">IF(OR($G56="",KT56=""),"",IF(AND($E56=KR56,$G56=KT56),$H56*1.5,IF(AND($I56&gt;0,KW56&gt;0),$H56,IF(AND($I56&lt;0,KW56&lt;0),$H56,IF(AND($I56=0,KW56=0),$H56,0)))))</f>
        <v>3.6</v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>
        <f t="shared" ref="LC56:LC79" si="371">IF(OR($G56="",LA56=""),"",IF(AND($E56=KY56,$G56=LA56),$H56*1.5,IF(AND($I56&gt;0,LD56&gt;0),$H56,IF(AND($I56&lt;0,LD56&lt;0),$H56,IF(AND($I56=0,LD56=0),$H56,0)))))</f>
        <v>5.4</v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>
        <f t="shared" ref="LJ56:LJ79" si="373">IF(OR($G56="",LH56=""),"",IF(AND($E56=LF56,$G56=LH56),$H56*1.5,IF(AND($I56&gt;0,LK56&gt;0),$H56,IF(AND($I56&lt;0,LK56&lt;0),$H56,IF(AND($I56=0,LK56=0),$H56,0)))))</f>
        <v>3.6</v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>
        <f t="shared" ref="LQ56:LQ79" si="375">IF(OR($G56="",LO56=""),"",IF(AND($E56=LM56,$G56=LO56),$H56*1.5,IF(AND($I56&gt;0,LR56&gt;0),$H56,IF(AND($I56&lt;0,LR56&lt;0),$H56,IF(AND($I56=0,LR56=0),$H56,0)))))</f>
        <v>0</v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>
        <f t="shared" ref="LX56:LX79" si="377">IF(OR($G56="",LV56=""),"",IF(AND($E56=LT56,$G56=LV56),$H56*1.5,IF(AND($I56&gt;0,LY56&gt;0),$H56,IF(AND($I56&lt;0,LY56&lt;0),$H56,IF(AND($I56=0,LY56=0),$H56,0)))))</f>
        <v>0</v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>
        <f t="shared" ref="ME56:ME79" si="379">IF(OR($G56="",MC56=""),"",IF(AND($E56=MA56,$G56=MC56),$H56*1.5,IF(AND($I56&gt;0,MF56&gt;0),$H56,IF(AND($I56&lt;0,MF56&lt;0),$H56,IF(AND($I56=0,MF56=0),$H56,0)))))</f>
        <v>3.6</v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>
        <f t="shared" ref="ML56:ML79" si="381">IF(OR($G56="",MJ56=""),"",IF(AND($E56=MH56,$G56=MJ56),$H56*1.5,IF(AND($I56&gt;0,MM56&gt;0),$H56,IF(AND($I56&lt;0,MM56&lt;0),$H56,IF(AND($I56=0,MM56=0),$H56,0)))))</f>
        <v>3.6</v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>
        <f t="shared" ref="MS56:MS79" si="383">IF(OR($G56="",MQ56=""),"",IF(AND($E56=MO56,$G56=MQ56),$H56*1.5,IF(AND($I56&gt;0,MT56&gt;0),$H56,IF(AND($I56&lt;0,MT56&lt;0),$H56,IF(AND($I56=0,MT56=0),$H56,0)))))</f>
        <v>5.4</v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>
        <f t="shared" ref="MZ56:MZ79" si="385">IF(OR($G56="",MX56=""),"",IF(AND($E56=MV56,$G56=MX56),$H56*1.5,IF(AND($I56&gt;0,NA56&gt;0),$H56,IF(AND($I56&lt;0,NA56&lt;0),$H56,IF(AND($I56=0,NA56=0),$H56,0)))))</f>
        <v>5.4</v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>
        <f t="shared" ref="NG56:NG79" si="387">IF(OR($G56="",NE56=""),"",IF(AND($E56=NC56,$G56=NE56),$H56*1.5,IF(AND($I56&gt;0,NH56&gt;0),$H56,IF(AND($I56&lt;0,NH56&lt;0),$H56,IF(AND($I56=0,NH56=0),$H56,0)))))</f>
        <v>0</v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>
        <f t="shared" ref="NN56:NN79" si="389">IF(OR($G56="",NL56=""),"",IF(AND($E56=NJ56,$G56=NL56),$H56*1.5,IF(AND($I56&gt;0,NO56&gt;0),$H56,IF(AND($I56&lt;0,NO56&lt;0),$H56,IF(AND($I56=0,NO56=0),$H56,0)))))</f>
        <v>0</v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>
        <f t="shared" ref="NU56:NU79" si="391">IF(OR($G56="",NS56=""),"",IF(AND($E56=NQ56,$G56=NS56),$H56*1.5,IF(AND($I56&gt;0,NV56&gt;0),$H56,IF(AND($I56&lt;0,NV56&lt;0),$H56,IF(AND($I56=0,NV56=0),$H56,0)))))</f>
        <v>3.6</v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>
        <f t="shared" ref="OB56:OB79" si="393">IF(OR($G56="",NZ56=""),"",IF(AND($E56=NX56,$G56=NZ56),$H56*1.5,IF(AND($I56&gt;0,OC56&gt;0),$H56,IF(AND($I56&lt;0,OC56&lt;0),$H56,IF(AND($I56=0,OC56=0),$H56,0)))))</f>
        <v>5.4</v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>
        <f t="shared" ref="OI56:OI79" si="395">IF(OR($G56="",OG56=""),"",IF(AND($E56=OE56,$G56=OG56),$H56*1.5,IF(AND($I56&gt;0,OJ56&gt;0),$H56,IF(AND($I56&lt;0,OJ56&lt;0),$H56,IF(AND($I56=0,OJ56=0),$H56,0)))))</f>
        <v>0</v>
      </c>
      <c r="OJ56" s="43">
        <f t="shared" ref="OJ56:OJ79" si="396">OE56-OG56</f>
        <v>-1</v>
      </c>
      <c r="OK56" s="30"/>
      <c r="OL56" s="47">
        <v>2</v>
      </c>
      <c r="OM56" s="48" t="s">
        <v>4</v>
      </c>
      <c r="ON56" s="49">
        <v>2</v>
      </c>
      <c r="OO56" s="5"/>
      <c r="OP56" s="42">
        <f t="shared" ref="OP56:OP79" si="397">IF(OR($G56="",ON56=""),"",IF(AND($E56=OL56,$G56=ON56),$H56*1.5,IF(AND($I56&gt;0,OQ56&gt;0),$H56,IF(AND($I56&lt;0,OQ56&lt;0),$H56,IF(AND($I56=0,OQ56=0),$H56,0)))))</f>
        <v>0</v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>
        <f t="shared" ref="OW56:OW79" si="399">IF(OR($G56="",OU56=""),"",IF(AND($E56=OS56,$G56=OU56),$H56*1.5,IF(AND($I56&gt;0,OX56&gt;0),$H56,IF(AND($I56&lt;0,OX56&lt;0),$H56,IF(AND($I56=0,OX56=0),$H56,0)))))</f>
        <v>0</v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>
        <f t="shared" ref="PD56:PD79" si="401">IF(OR($G56="",PB56=""),"",IF(AND($E56=OZ56,$G56=PB56),$H56*1.5,IF(AND($I56&gt;0,PE56&gt;0),$H56,IF(AND($I56&lt;0,PE56&lt;0),$H56,IF(AND($I56=0,PE56=0),$H56,0)))))</f>
        <v>5.4</v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>
        <f t="shared" ref="PK56:PK79" si="403">IF(OR($G56="",PI56=""),"",IF(AND($E56=PG56,$G56=PI56),$H56*1.5,IF(AND($I56&gt;0,PL56&gt;0),$H56,IF(AND($I56&lt;0,PL56&lt;0),$H56,IF(AND($I56=0,PL56=0),$H56,0)))))</f>
        <v>3.6</v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>
        <f t="shared" ref="PR56:PR79" si="405">IF(OR($G56="",PP56=""),"",IF(AND($E56=PN56,$G56=PP56),$H56*1.5,IF(AND($I56&gt;0,PS56&gt;0),$H56,IF(AND($I56&lt;0,PS56&lt;0),$H56,IF(AND($I56=0,PS56=0),$H56,0)))))</f>
        <v>0</v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>
        <f t="shared" ref="PY56:PY79" si="407">IF(OR($G56="",PW56=""),"",IF(AND($E56=PU56,$G56=PW56),$H56*1.5,IF(AND($I56&gt;0,PZ56&gt;0),$H56,IF(AND($I56&lt;0,PZ56&lt;0),$H56,IF(AND($I56=0,PZ56=0),$H56,0)))))</f>
        <v>0</v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>
        <f t="shared" ref="QF56:QF79" si="409">IF(OR($G56="",QD56=""),"",IF(AND($E56=QB56,$G56=QD56),$H56*1.5,IF(AND($I56&gt;0,QG56&gt;0),$H56,IF(AND($I56&lt;0,QG56&lt;0),$H56,IF(AND($I56=0,QG56=0),$H56,0)))))</f>
        <v>0</v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>
        <f t="shared" ref="QM56:QM79" si="411">IF(OR($G56="",QK56=""),"",IF(AND($E56=QI56,$G56=QK56),$H56*1.5,IF(AND($I56&gt;0,QN56&gt;0),$H56,IF(AND($I56&lt;0,QN56&lt;0),$H56,IF(AND($I56=0,QN56=0),$H56,0)))))</f>
        <v>3.6</v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>
        <f t="shared" ref="QT56:QT79" si="413">IF(OR($G56="",QR56=""),"",IF(AND($E56=QP56,$G56=QR56),$H56*1.5,IF(AND($I56&gt;0,QU56&gt;0),$H56,IF(AND($I56&lt;0,QU56&lt;0),$H56,IF(AND($I56=0,QU56=0),$H56,0)))))</f>
        <v>3.6</v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>
        <f t="shared" ref="RA56:RA79" si="415">IF(OR($G56="",QY56=""),"",IF(AND($E56=QW56,$G56=QY56),$H56*1.5,IF(AND($I56&gt;0,RB56&gt;0),$H56,IF(AND($I56&lt;0,RB56&lt;0),$H56,IF(AND($I56=0,RB56=0),$H56,0)))))</f>
        <v>0</v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>
        <f t="shared" ref="RO56:RO79" si="419">IF(OR($G56="",RM56=""),"",IF(AND($E56=RK56,$G56=RM56),$H56*1.5,IF(AND($I56&gt;0,RP56&gt;0),$H56,IF(AND($I56&lt;0,RP56&lt;0),$H56,IF(AND($I56=0,RP56=0),$H56,0)))))</f>
        <v>0</v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>
        <f t="shared" ref="RV56:RV79" si="421">IF(OR($G56="",RT56=""),"",IF(AND($E56=RR56,$G56=RT56),$H56*1.5,IF(AND($I56&gt;0,RW56&gt;0),$H56,IF(AND($I56&lt;0,RW56&lt;0),$H56,IF(AND($I56=0,RW56=0),$H56,0)))))</f>
        <v>0</v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>
        <f t="shared" ref="SC56:SC79" si="423">IF(OR($G56="",SA56=""),"",IF(AND($E56=RY56,$G56=SA56),$H56*1.5,IF(AND($I56&gt;0,SD56&gt;0),$H56,IF(AND($I56&lt;0,SD56&lt;0),$H56,IF(AND($I56=0,SD56=0),$H56,0)))))</f>
        <v>0</v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>
        <f t="shared" ref="SJ56:SJ79" si="425">IF(OR($G56="",SH56=""),"",IF(AND($E56=SF56,$G56=SH56),$H56*1.5,IF(AND($I56&gt;0,SK56&gt;0),$H56,IF(AND($I56&lt;0,SK56&lt;0),$H56,IF(AND($I56=0,SK56=0),$H56,0)))))</f>
        <v>0</v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>
        <f t="shared" ref="SQ56:SQ79" si="427">IF(OR($G56="",SO56=""),"",IF(AND($E56=SM56,$G56=SO56),$H56*1.5,IF(AND($I56&gt;0,SR56&gt;0),$H56,IF(AND($I56&lt;0,SR56&lt;0),$H56,IF(AND($I56=0,SR56=0),$H56,0)))))</f>
        <v>5.4</v>
      </c>
      <c r="SR56" s="43">
        <f t="shared" ref="SR56:SR79" si="428">SM56-SO56</f>
        <v>1</v>
      </c>
    </row>
    <row r="57" spans="1:512" customFormat="1" ht="16" customHeight="1" x14ac:dyDescent="0.15">
      <c r="A57" s="51">
        <v>46197</v>
      </c>
      <c r="B57" s="46">
        <v>0.875</v>
      </c>
      <c r="C57" s="51" t="s">
        <v>315</v>
      </c>
      <c r="D57" s="51" t="s">
        <v>34</v>
      </c>
      <c r="E57" s="2">
        <v>3</v>
      </c>
      <c r="F57" s="50" t="s">
        <v>4</v>
      </c>
      <c r="G57" s="1">
        <v>1</v>
      </c>
      <c r="H57" s="16">
        <v>3.6</v>
      </c>
      <c r="I57" s="32">
        <f t="shared" si="0"/>
        <v>2</v>
      </c>
      <c r="J57" s="47">
        <v>1</v>
      </c>
      <c r="K57" s="48" t="s">
        <v>4</v>
      </c>
      <c r="L57" s="49">
        <v>0</v>
      </c>
      <c r="M57" s="5"/>
      <c r="N57" s="42">
        <f t="shared" si="1"/>
        <v>3.6</v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>
        <f t="shared" si="287"/>
        <v>3.6</v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>
        <f t="shared" si="289"/>
        <v>0</v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>
        <f t="shared" si="291"/>
        <v>0</v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>
        <f t="shared" si="293"/>
        <v>3.6</v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>
        <f t="shared" si="295"/>
        <v>3.6</v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>
        <f t="shared" si="297"/>
        <v>3.6</v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>
        <f t="shared" si="299"/>
        <v>3.6</v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>
        <f t="shared" si="301"/>
        <v>5.4</v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>
        <f t="shared" si="303"/>
        <v>3.6</v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>
        <f t="shared" si="305"/>
        <v>5.4</v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>
        <f t="shared" si="307"/>
        <v>0</v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>
        <f t="shared" si="309"/>
        <v>3.6</v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>
        <f t="shared" si="311"/>
        <v>3.6</v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>
        <f t="shared" si="313"/>
        <v>0</v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>
        <f t="shared" si="315"/>
        <v>3.6</v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>
        <f t="shared" si="317"/>
        <v>5.4</v>
      </c>
      <c r="DW57" s="43">
        <f t="shared" si="318"/>
        <v>2</v>
      </c>
      <c r="DX57" s="30"/>
      <c r="DY57" s="47">
        <v>1</v>
      </c>
      <c r="DZ57" s="48" t="s">
        <v>4</v>
      </c>
      <c r="EA57" s="49">
        <v>1</v>
      </c>
      <c r="EB57" s="5"/>
      <c r="EC57" s="42">
        <f t="shared" si="319"/>
        <v>0</v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>
        <f t="shared" si="321"/>
        <v>0</v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>
        <f t="shared" si="323"/>
        <v>3.6</v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>
        <f t="shared" si="325"/>
        <v>0</v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>
        <f t="shared" si="327"/>
        <v>3.6</v>
      </c>
      <c r="FF57" s="43">
        <f t="shared" si="328"/>
        <v>2</v>
      </c>
      <c r="FG57" s="30"/>
      <c r="FH57" s="47">
        <v>2</v>
      </c>
      <c r="FI57" s="48" t="s">
        <v>4</v>
      </c>
      <c r="FJ57" s="49">
        <v>1</v>
      </c>
      <c r="FK57" s="5"/>
      <c r="FL57" s="42">
        <f t="shared" si="329"/>
        <v>3.6</v>
      </c>
      <c r="FM57" s="43">
        <f t="shared" si="330"/>
        <v>1</v>
      </c>
      <c r="FN57" s="30"/>
      <c r="FO57" s="47">
        <v>1</v>
      </c>
      <c r="FP57" s="48" t="s">
        <v>4</v>
      </c>
      <c r="FQ57" s="49">
        <v>1</v>
      </c>
      <c r="FR57" s="5"/>
      <c r="FS57" s="42">
        <f t="shared" si="331"/>
        <v>0</v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>
        <f t="shared" si="333"/>
        <v>0</v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>
        <f t="shared" si="335"/>
        <v>3.6</v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>
        <f t="shared" si="337"/>
        <v>3.6</v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>
        <f t="shared" si="339"/>
        <v>0</v>
      </c>
      <c r="GV57" s="43">
        <f t="shared" si="340"/>
        <v>0</v>
      </c>
      <c r="GW57" s="30"/>
      <c r="GX57" s="47">
        <v>2</v>
      </c>
      <c r="GY57" s="48" t="s">
        <v>4</v>
      </c>
      <c r="GZ57" s="49">
        <v>0</v>
      </c>
      <c r="HA57" s="5"/>
      <c r="HB57" s="42">
        <f t="shared" si="341"/>
        <v>3.6</v>
      </c>
      <c r="HC57" s="43">
        <f t="shared" si="342"/>
        <v>2</v>
      </c>
      <c r="HD57" s="30"/>
      <c r="HE57" s="47">
        <v>3</v>
      </c>
      <c r="HF57" s="48" t="s">
        <v>4</v>
      </c>
      <c r="HG57" s="49">
        <v>0</v>
      </c>
      <c r="HH57" s="5"/>
      <c r="HI57" s="42">
        <f t="shared" si="343"/>
        <v>3.6</v>
      </c>
      <c r="HJ57" s="43">
        <f t="shared" si="344"/>
        <v>3</v>
      </c>
      <c r="HK57" s="30"/>
      <c r="HL57" s="47">
        <v>2</v>
      </c>
      <c r="HM57" s="48" t="s">
        <v>4</v>
      </c>
      <c r="HN57" s="49">
        <v>0</v>
      </c>
      <c r="HO57" s="5"/>
      <c r="HP57" s="42">
        <f t="shared" si="345"/>
        <v>3.6</v>
      </c>
      <c r="HQ57" s="43">
        <f t="shared" si="346"/>
        <v>2</v>
      </c>
      <c r="HR57" s="30"/>
      <c r="HS57" s="47">
        <v>0</v>
      </c>
      <c r="HT57" s="48" t="s">
        <v>4</v>
      </c>
      <c r="HU57" s="49">
        <v>1</v>
      </c>
      <c r="HV57" s="5"/>
      <c r="HW57" s="42">
        <f t="shared" si="347"/>
        <v>0</v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>
        <f t="shared" si="349"/>
        <v>3.6</v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>
        <f t="shared" si="351"/>
        <v>0</v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>
        <f t="shared" si="353"/>
        <v>3.6</v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>
        <f t="shared" si="355"/>
        <v>3.6</v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>
        <f t="shared" si="357"/>
        <v>3.6</v>
      </c>
      <c r="JG57" s="43">
        <f t="shared" si="358"/>
        <v>2</v>
      </c>
      <c r="JH57" s="30"/>
      <c r="JI57" s="47">
        <v>2</v>
      </c>
      <c r="JJ57" s="48" t="s">
        <v>4</v>
      </c>
      <c r="JK57" s="49">
        <v>0</v>
      </c>
      <c r="JL57" s="5"/>
      <c r="JM57" s="42">
        <f t="shared" si="359"/>
        <v>3.6</v>
      </c>
      <c r="JN57" s="43">
        <f t="shared" si="360"/>
        <v>2</v>
      </c>
      <c r="JO57" s="30"/>
      <c r="JP57" s="47">
        <v>3</v>
      </c>
      <c r="JQ57" s="48" t="s">
        <v>4</v>
      </c>
      <c r="JR57" s="49">
        <v>1</v>
      </c>
      <c r="JS57" s="5"/>
      <c r="JT57" s="42">
        <f t="shared" si="361"/>
        <v>5.4</v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>
        <f t="shared" si="363"/>
        <v>0</v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>
        <f t="shared" si="365"/>
        <v>3.6</v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>
        <f t="shared" si="367"/>
        <v>0</v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>
        <f t="shared" si="369"/>
        <v>3.6</v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>
        <f t="shared" si="371"/>
        <v>3.6</v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>
        <f t="shared" si="373"/>
        <v>3.6</v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>
        <f t="shared" si="375"/>
        <v>0</v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>
        <f t="shared" si="377"/>
        <v>3.6</v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>
        <f t="shared" si="379"/>
        <v>5.4</v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>
        <f t="shared" si="381"/>
        <v>3.6</v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>
        <f t="shared" si="383"/>
        <v>3.6</v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>
        <f t="shared" si="385"/>
        <v>3.6</v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>
        <f t="shared" si="387"/>
        <v>0</v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>
        <f t="shared" si="389"/>
        <v>0</v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>
        <f t="shared" si="391"/>
        <v>3.6</v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>
        <f t="shared" si="393"/>
        <v>3.6</v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>
        <f t="shared" si="395"/>
        <v>3.6</v>
      </c>
      <c r="OJ57" s="43">
        <f t="shared" si="396"/>
        <v>2</v>
      </c>
      <c r="OK57" s="30"/>
      <c r="OL57" s="47">
        <v>1</v>
      </c>
      <c r="OM57" s="48" t="s">
        <v>4</v>
      </c>
      <c r="ON57" s="49">
        <v>0</v>
      </c>
      <c r="OO57" s="5"/>
      <c r="OP57" s="42">
        <f t="shared" si="397"/>
        <v>3.6</v>
      </c>
      <c r="OQ57" s="43">
        <f t="shared" si="398"/>
        <v>1</v>
      </c>
      <c r="OR57" s="30"/>
      <c r="OS57" s="47">
        <v>0</v>
      </c>
      <c r="OT57" s="48" t="s">
        <v>4</v>
      </c>
      <c r="OU57" s="49">
        <v>0</v>
      </c>
      <c r="OV57" s="5"/>
      <c r="OW57" s="42">
        <f t="shared" si="399"/>
        <v>0</v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>
        <f t="shared" si="401"/>
        <v>3.6</v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>
        <f t="shared" si="403"/>
        <v>3.6</v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>
        <f t="shared" si="405"/>
        <v>3.6</v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>
        <f t="shared" si="407"/>
        <v>0</v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>
        <f t="shared" si="409"/>
        <v>3.6</v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>
        <f t="shared" si="411"/>
        <v>3.6</v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>
        <f t="shared" si="413"/>
        <v>0</v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>
        <f t="shared" si="415"/>
        <v>3.6</v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>
        <f t="shared" si="419"/>
        <v>3.6</v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>
        <f t="shared" si="421"/>
        <v>0</v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>
        <f t="shared" si="423"/>
        <v>0</v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>
        <f t="shared" si="425"/>
        <v>0</v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>
        <f t="shared" si="427"/>
        <v>0</v>
      </c>
      <c r="SR57" s="43">
        <f t="shared" si="428"/>
        <v>0</v>
      </c>
    </row>
    <row r="58" spans="1:512" customFormat="1" ht="16" customHeight="1" x14ac:dyDescent="0.15">
      <c r="A58" s="51">
        <v>46198</v>
      </c>
      <c r="B58" s="46">
        <v>0</v>
      </c>
      <c r="C58" s="79" t="s">
        <v>20</v>
      </c>
      <c r="D58" s="79" t="s">
        <v>35</v>
      </c>
      <c r="E58" s="2">
        <v>0</v>
      </c>
      <c r="F58" s="50" t="s">
        <v>4</v>
      </c>
      <c r="G58" s="1">
        <v>3</v>
      </c>
      <c r="H58" s="16">
        <v>3.8</v>
      </c>
      <c r="I58" s="32">
        <f t="shared" si="0"/>
        <v>-3</v>
      </c>
      <c r="J58" s="47">
        <v>1</v>
      </c>
      <c r="K58" s="48" t="s">
        <v>4</v>
      </c>
      <c r="L58" s="49">
        <v>2</v>
      </c>
      <c r="M58" s="5"/>
      <c r="N58" s="42">
        <f t="shared" si="1"/>
        <v>3.8</v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>
        <f t="shared" si="287"/>
        <v>0</v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>
        <f t="shared" si="289"/>
        <v>0</v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>
        <f t="shared" si="291"/>
        <v>3.8</v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>
        <f t="shared" si="293"/>
        <v>5.6999999999999993</v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>
        <f t="shared" si="295"/>
        <v>3.8</v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>
        <f t="shared" si="297"/>
        <v>3.8</v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>
        <f t="shared" si="299"/>
        <v>3.8</v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>
        <f t="shared" si="301"/>
        <v>3.8</v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>
        <f t="shared" si="303"/>
        <v>3.8</v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>
        <f t="shared" si="305"/>
        <v>3.8</v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>
        <f t="shared" si="307"/>
        <v>3.8</v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>
        <f t="shared" si="309"/>
        <v>3.8</v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>
        <f t="shared" si="311"/>
        <v>3.8</v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>
        <f t="shared" si="313"/>
        <v>3.8</v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>
        <f t="shared" si="315"/>
        <v>3.8</v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>
        <f t="shared" si="317"/>
        <v>3.8</v>
      </c>
      <c r="DW58" s="43">
        <f t="shared" si="318"/>
        <v>-1</v>
      </c>
      <c r="DX58" s="30"/>
      <c r="DY58" s="47">
        <v>1</v>
      </c>
      <c r="DZ58" s="48" t="s">
        <v>4</v>
      </c>
      <c r="EA58" s="49">
        <v>1</v>
      </c>
      <c r="EB58" s="5"/>
      <c r="EC58" s="42">
        <f t="shared" si="319"/>
        <v>0</v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>
        <f t="shared" si="321"/>
        <v>3.8</v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>
        <f t="shared" si="323"/>
        <v>3.8</v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>
        <f t="shared" si="325"/>
        <v>3.8</v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>
        <f t="shared" si="327"/>
        <v>5.6999999999999993</v>
      </c>
      <c r="FF58" s="43">
        <f t="shared" si="328"/>
        <v>-3</v>
      </c>
      <c r="FG58" s="30"/>
      <c r="FH58" s="47">
        <v>0</v>
      </c>
      <c r="FI58" s="48" t="s">
        <v>4</v>
      </c>
      <c r="FJ58" s="49">
        <v>2</v>
      </c>
      <c r="FK58" s="5"/>
      <c r="FL58" s="42">
        <f t="shared" si="329"/>
        <v>3.8</v>
      </c>
      <c r="FM58" s="43">
        <f t="shared" si="330"/>
        <v>-2</v>
      </c>
      <c r="FN58" s="30"/>
      <c r="FO58" s="47">
        <v>0</v>
      </c>
      <c r="FP58" s="48" t="s">
        <v>4</v>
      </c>
      <c r="FQ58" s="49">
        <v>2</v>
      </c>
      <c r="FR58" s="5"/>
      <c r="FS58" s="42">
        <f t="shared" si="331"/>
        <v>3.8</v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>
        <f t="shared" si="333"/>
        <v>3.8</v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>
        <f t="shared" si="335"/>
        <v>0</v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>
        <f t="shared" si="337"/>
        <v>5.6999999999999993</v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>
        <f t="shared" si="339"/>
        <v>5.6999999999999993</v>
      </c>
      <c r="GV58" s="43">
        <f t="shared" si="340"/>
        <v>-3</v>
      </c>
      <c r="GW58" s="30"/>
      <c r="GX58" s="47">
        <v>1</v>
      </c>
      <c r="GY58" s="48" t="s">
        <v>4</v>
      </c>
      <c r="GZ58" s="49">
        <v>3</v>
      </c>
      <c r="HA58" s="5"/>
      <c r="HB58" s="42">
        <f t="shared" si="341"/>
        <v>3.8</v>
      </c>
      <c r="HC58" s="43">
        <f t="shared" si="342"/>
        <v>-2</v>
      </c>
      <c r="HD58" s="30"/>
      <c r="HE58" s="47">
        <v>1</v>
      </c>
      <c r="HF58" s="48" t="s">
        <v>4</v>
      </c>
      <c r="HG58" s="49">
        <v>3</v>
      </c>
      <c r="HH58" s="5"/>
      <c r="HI58" s="42">
        <f t="shared" si="343"/>
        <v>3.8</v>
      </c>
      <c r="HJ58" s="43">
        <f t="shared" si="344"/>
        <v>-2</v>
      </c>
      <c r="HK58" s="30"/>
      <c r="HL58" s="47">
        <v>0</v>
      </c>
      <c r="HM58" s="48" t="s">
        <v>4</v>
      </c>
      <c r="HN58" s="49">
        <v>3</v>
      </c>
      <c r="HO58" s="5"/>
      <c r="HP58" s="42">
        <f t="shared" si="345"/>
        <v>5.6999999999999993</v>
      </c>
      <c r="HQ58" s="43">
        <f t="shared" si="346"/>
        <v>-3</v>
      </c>
      <c r="HR58" s="30"/>
      <c r="HS58" s="47">
        <v>0</v>
      </c>
      <c r="HT58" s="48" t="s">
        <v>4</v>
      </c>
      <c r="HU58" s="49">
        <v>2</v>
      </c>
      <c r="HV58" s="5"/>
      <c r="HW58" s="42">
        <f t="shared" si="347"/>
        <v>3.8</v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>
        <f t="shared" si="349"/>
        <v>3.8</v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>
        <f t="shared" si="351"/>
        <v>3.8</v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>
        <f t="shared" si="353"/>
        <v>3.8</v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>
        <f t="shared" si="355"/>
        <v>3.8</v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>
        <f t="shared" si="357"/>
        <v>3.8</v>
      </c>
      <c r="JG58" s="43">
        <f t="shared" si="358"/>
        <v>-1</v>
      </c>
      <c r="JH58" s="30"/>
      <c r="JI58" s="47">
        <v>1</v>
      </c>
      <c r="JJ58" s="48" t="s">
        <v>4</v>
      </c>
      <c r="JK58" s="49">
        <v>4</v>
      </c>
      <c r="JL58" s="5"/>
      <c r="JM58" s="42">
        <f t="shared" si="359"/>
        <v>3.8</v>
      </c>
      <c r="JN58" s="43">
        <f t="shared" si="360"/>
        <v>-3</v>
      </c>
      <c r="JO58" s="30"/>
      <c r="JP58" s="47">
        <v>1</v>
      </c>
      <c r="JQ58" s="48" t="s">
        <v>4</v>
      </c>
      <c r="JR58" s="49">
        <v>1</v>
      </c>
      <c r="JS58" s="5"/>
      <c r="JT58" s="42">
        <f t="shared" si="361"/>
        <v>0</v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>
        <f t="shared" si="363"/>
        <v>3.8</v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>
        <f t="shared" si="365"/>
        <v>3.8</v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>
        <f t="shared" si="367"/>
        <v>3.8</v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>
        <f t="shared" si="369"/>
        <v>3.8</v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>
        <f t="shared" si="371"/>
        <v>3.8</v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>
        <f t="shared" si="373"/>
        <v>3.8</v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>
        <f t="shared" si="375"/>
        <v>3.8</v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>
        <f t="shared" si="377"/>
        <v>3.8</v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>
        <f t="shared" si="379"/>
        <v>3.8</v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>
        <f t="shared" si="381"/>
        <v>3.8</v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>
        <f t="shared" si="383"/>
        <v>3.8</v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>
        <f t="shared" si="385"/>
        <v>3.8</v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>
        <f t="shared" si="387"/>
        <v>3.8</v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>
        <f t="shared" si="389"/>
        <v>3.8</v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>
        <f t="shared" si="391"/>
        <v>3.8</v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>
        <f t="shared" si="393"/>
        <v>5.6999999999999993</v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>
        <f t="shared" si="395"/>
        <v>3.8</v>
      </c>
      <c r="OJ58" s="43">
        <f t="shared" si="396"/>
        <v>-2</v>
      </c>
      <c r="OK58" s="30"/>
      <c r="OL58" s="47">
        <v>0</v>
      </c>
      <c r="OM58" s="48" t="s">
        <v>4</v>
      </c>
      <c r="ON58" s="49">
        <v>3</v>
      </c>
      <c r="OO58" s="5"/>
      <c r="OP58" s="42">
        <f t="shared" si="397"/>
        <v>5.6999999999999993</v>
      </c>
      <c r="OQ58" s="43">
        <f t="shared" si="398"/>
        <v>-3</v>
      </c>
      <c r="OR58" s="30"/>
      <c r="OS58" s="47">
        <v>2</v>
      </c>
      <c r="OT58" s="48" t="s">
        <v>4</v>
      </c>
      <c r="OU58" s="49">
        <v>3</v>
      </c>
      <c r="OV58" s="5"/>
      <c r="OW58" s="42">
        <f t="shared" si="399"/>
        <v>3.8</v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>
        <f t="shared" si="401"/>
        <v>3.8</v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>
        <f t="shared" si="403"/>
        <v>5.6999999999999993</v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>
        <f t="shared" si="405"/>
        <v>3.8</v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>
        <f t="shared" si="407"/>
        <v>3.8</v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>
        <f t="shared" si="409"/>
        <v>3.8</v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>
        <f t="shared" si="411"/>
        <v>3.8</v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>
        <f t="shared" si="413"/>
        <v>5.6999999999999993</v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>
        <f t="shared" si="415"/>
        <v>3.8</v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>
        <f t="shared" si="419"/>
        <v>3.8</v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>
        <f t="shared" si="421"/>
        <v>3.8</v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>
        <f t="shared" si="423"/>
        <v>3.8</v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>
        <f t="shared" si="425"/>
        <v>0</v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>
        <f t="shared" si="427"/>
        <v>3.8</v>
      </c>
      <c r="SR58" s="43">
        <f t="shared" si="428"/>
        <v>-2</v>
      </c>
    </row>
    <row r="59" spans="1:512" customFormat="1" ht="16" customHeight="1" x14ac:dyDescent="0.15">
      <c r="A59" s="34">
        <v>46198</v>
      </c>
      <c r="B59" s="35">
        <v>0</v>
      </c>
      <c r="C59" s="79" t="s">
        <v>36</v>
      </c>
      <c r="D59" s="79" t="s">
        <v>37</v>
      </c>
      <c r="E59" s="2">
        <v>4</v>
      </c>
      <c r="F59" s="50" t="s">
        <v>4</v>
      </c>
      <c r="G59" s="1">
        <v>2</v>
      </c>
      <c r="H59" s="16">
        <v>3.8</v>
      </c>
      <c r="I59" s="32">
        <f t="shared" si="0"/>
        <v>2</v>
      </c>
      <c r="J59" s="47">
        <v>1</v>
      </c>
      <c r="K59" s="48" t="s">
        <v>4</v>
      </c>
      <c r="L59" s="49">
        <v>0</v>
      </c>
      <c r="M59" s="5"/>
      <c r="N59" s="42">
        <f t="shared" si="1"/>
        <v>3.8</v>
      </c>
      <c r="O59" s="43">
        <f t="shared" si="2"/>
        <v>1</v>
      </c>
      <c r="P59" s="43">
        <f>IF($I59=0,IF(AND(#REF!&gt;#REF!,OR(AND(T59="",Q59&gt;S59),T59=1)),1,IF(AND(#REF!&lt;#REF!,OR(AND(T59="",Q59&lt;S59),T59=2)),1,0)),0)</f>
        <v>0</v>
      </c>
      <c r="Q59" s="47">
        <v>2</v>
      </c>
      <c r="R59" s="48" t="s">
        <v>4</v>
      </c>
      <c r="S59" s="49">
        <v>0</v>
      </c>
      <c r="T59" s="5"/>
      <c r="U59" s="42">
        <f t="shared" si="287"/>
        <v>3.8</v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>
        <f t="shared" si="289"/>
        <v>3.8</v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>
        <f t="shared" si="291"/>
        <v>0</v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>
        <f t="shared" si="293"/>
        <v>3.8</v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>
        <f t="shared" si="295"/>
        <v>3.8</v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>
        <f t="shared" si="297"/>
        <v>3.8</v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>
        <f t="shared" si="299"/>
        <v>0</v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>
        <f t="shared" si="301"/>
        <v>3.8</v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>
        <f t="shared" si="303"/>
        <v>0</v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>
        <f t="shared" si="305"/>
        <v>3.8</v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>
        <f t="shared" si="307"/>
        <v>3.8</v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>
        <f t="shared" si="309"/>
        <v>3.8</v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>
        <f t="shared" si="311"/>
        <v>3.8</v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>
        <f t="shared" si="313"/>
        <v>3.8</v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>
        <f t="shared" si="315"/>
        <v>3.8</v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>
        <f t="shared" si="317"/>
        <v>3.8</v>
      </c>
      <c r="DW59" s="43">
        <f t="shared" si="318"/>
        <v>3</v>
      </c>
      <c r="DX59" s="30"/>
      <c r="DY59" s="47">
        <v>3</v>
      </c>
      <c r="DZ59" s="48" t="s">
        <v>4</v>
      </c>
      <c r="EA59" s="49">
        <v>0</v>
      </c>
      <c r="EB59" s="5"/>
      <c r="EC59" s="42">
        <f t="shared" si="319"/>
        <v>3.8</v>
      </c>
      <c r="ED59" s="43">
        <f t="shared" si="320"/>
        <v>3</v>
      </c>
      <c r="EE59" s="30"/>
      <c r="EF59" s="47">
        <v>0</v>
      </c>
      <c r="EG59" s="48" t="s">
        <v>4</v>
      </c>
      <c r="EH59" s="49">
        <v>0</v>
      </c>
      <c r="EI59" s="5"/>
      <c r="EJ59" s="42">
        <f t="shared" si="321"/>
        <v>0</v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>
        <f t="shared" si="323"/>
        <v>3.8</v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>
        <f t="shared" si="325"/>
        <v>3.8</v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>
        <f t="shared" si="327"/>
        <v>3.8</v>
      </c>
      <c r="FF59" s="43">
        <f t="shared" si="328"/>
        <v>2</v>
      </c>
      <c r="FG59" s="30"/>
      <c r="FH59" s="47">
        <v>2</v>
      </c>
      <c r="FI59" s="48" t="s">
        <v>4</v>
      </c>
      <c r="FJ59" s="49">
        <v>0</v>
      </c>
      <c r="FK59" s="5"/>
      <c r="FL59" s="42">
        <f t="shared" si="329"/>
        <v>3.8</v>
      </c>
      <c r="FM59" s="43">
        <f t="shared" si="330"/>
        <v>2</v>
      </c>
      <c r="FN59" s="30"/>
      <c r="FO59" s="47">
        <v>1</v>
      </c>
      <c r="FP59" s="48" t="s">
        <v>4</v>
      </c>
      <c r="FQ59" s="49">
        <v>0</v>
      </c>
      <c r="FR59" s="5"/>
      <c r="FS59" s="42">
        <f t="shared" si="331"/>
        <v>3.8</v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>
        <f t="shared" si="333"/>
        <v>3.8</v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>
        <f t="shared" si="335"/>
        <v>3.8</v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>
        <f t="shared" si="337"/>
        <v>3.8</v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>
        <f t="shared" si="339"/>
        <v>3.8</v>
      </c>
      <c r="GV59" s="43">
        <f t="shared" si="340"/>
        <v>2</v>
      </c>
      <c r="GW59" s="30"/>
      <c r="GX59" s="47">
        <v>2</v>
      </c>
      <c r="GY59" s="48" t="s">
        <v>4</v>
      </c>
      <c r="GZ59" s="49">
        <v>0</v>
      </c>
      <c r="HA59" s="5"/>
      <c r="HB59" s="42">
        <f t="shared" si="341"/>
        <v>3.8</v>
      </c>
      <c r="HC59" s="43">
        <f t="shared" si="342"/>
        <v>2</v>
      </c>
      <c r="HD59" s="30"/>
      <c r="HE59" s="47">
        <v>3</v>
      </c>
      <c r="HF59" s="48" t="s">
        <v>4</v>
      </c>
      <c r="HG59" s="49">
        <v>0</v>
      </c>
      <c r="HH59" s="5"/>
      <c r="HI59" s="42">
        <f t="shared" si="343"/>
        <v>3.8</v>
      </c>
      <c r="HJ59" s="43">
        <f t="shared" si="344"/>
        <v>3</v>
      </c>
      <c r="HK59" s="30"/>
      <c r="HL59" s="47">
        <v>3</v>
      </c>
      <c r="HM59" s="48" t="s">
        <v>4</v>
      </c>
      <c r="HN59" s="49">
        <v>0</v>
      </c>
      <c r="HO59" s="5"/>
      <c r="HP59" s="42">
        <f t="shared" si="345"/>
        <v>3.8</v>
      </c>
      <c r="HQ59" s="43">
        <f t="shared" si="346"/>
        <v>3</v>
      </c>
      <c r="HR59" s="30"/>
      <c r="HS59" s="47">
        <v>1</v>
      </c>
      <c r="HT59" s="48" t="s">
        <v>4</v>
      </c>
      <c r="HU59" s="49">
        <v>0</v>
      </c>
      <c r="HV59" s="5"/>
      <c r="HW59" s="42">
        <f t="shared" si="347"/>
        <v>3.8</v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>
        <f t="shared" si="349"/>
        <v>3.8</v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>
        <f t="shared" si="351"/>
        <v>0</v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>
        <f t="shared" si="353"/>
        <v>3.8</v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>
        <f t="shared" si="355"/>
        <v>3.8</v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>
        <f t="shared" si="357"/>
        <v>3.8</v>
      </c>
      <c r="JG59" s="43">
        <f t="shared" si="358"/>
        <v>2</v>
      </c>
      <c r="JH59" s="30"/>
      <c r="JI59" s="47">
        <v>4</v>
      </c>
      <c r="JJ59" s="48" t="s">
        <v>4</v>
      </c>
      <c r="JK59" s="49">
        <v>0</v>
      </c>
      <c r="JL59" s="5"/>
      <c r="JM59" s="42">
        <f t="shared" si="359"/>
        <v>3.8</v>
      </c>
      <c r="JN59" s="43">
        <f t="shared" si="360"/>
        <v>4</v>
      </c>
      <c r="JO59" s="30"/>
      <c r="JP59" s="47">
        <v>2</v>
      </c>
      <c r="JQ59" s="48" t="s">
        <v>4</v>
      </c>
      <c r="JR59" s="49">
        <v>1</v>
      </c>
      <c r="JS59" s="5"/>
      <c r="JT59" s="42">
        <f t="shared" si="361"/>
        <v>3.8</v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>
        <f t="shared" si="363"/>
        <v>0</v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>
        <f t="shared" si="365"/>
        <v>3.8</v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>
        <f t="shared" si="367"/>
        <v>3.8</v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>
        <f t="shared" si="369"/>
        <v>3.8</v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>
        <f t="shared" si="371"/>
        <v>3.8</v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>
        <f t="shared" si="373"/>
        <v>3.8</v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>
        <f t="shared" si="375"/>
        <v>3.8</v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>
        <f t="shared" si="377"/>
        <v>3.8</v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>
        <f t="shared" si="379"/>
        <v>3.8</v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>
        <f t="shared" si="381"/>
        <v>3.8</v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>
        <f t="shared" si="383"/>
        <v>3.8</v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>
        <f t="shared" si="385"/>
        <v>3.8</v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>
        <f t="shared" si="387"/>
        <v>0</v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>
        <f t="shared" si="389"/>
        <v>0</v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>
        <f t="shared" si="391"/>
        <v>3.8</v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>
        <f t="shared" si="393"/>
        <v>3.8</v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>
        <f t="shared" si="395"/>
        <v>3.8</v>
      </c>
      <c r="OJ59" s="43">
        <f t="shared" si="396"/>
        <v>1</v>
      </c>
      <c r="OK59" s="30"/>
      <c r="OL59" s="47">
        <v>2</v>
      </c>
      <c r="OM59" s="48" t="s">
        <v>4</v>
      </c>
      <c r="ON59" s="49">
        <v>0</v>
      </c>
      <c r="OO59" s="5"/>
      <c r="OP59" s="42">
        <f t="shared" si="397"/>
        <v>3.8</v>
      </c>
      <c r="OQ59" s="43">
        <f t="shared" si="398"/>
        <v>2</v>
      </c>
      <c r="OR59" s="30"/>
      <c r="OS59" s="47">
        <v>1</v>
      </c>
      <c r="OT59" s="48" t="s">
        <v>4</v>
      </c>
      <c r="OU59" s="49">
        <v>0</v>
      </c>
      <c r="OV59" s="5"/>
      <c r="OW59" s="42">
        <f t="shared" si="399"/>
        <v>3.8</v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>
        <f t="shared" si="401"/>
        <v>3.8</v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>
        <f t="shared" si="403"/>
        <v>3.8</v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>
        <f t="shared" si="405"/>
        <v>3.8</v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>
        <f t="shared" si="407"/>
        <v>3.8</v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>
        <f t="shared" si="409"/>
        <v>3.8</v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>
        <f t="shared" si="411"/>
        <v>3.8</v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>
        <f t="shared" si="413"/>
        <v>3.8</v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>
        <f t="shared" si="415"/>
        <v>0</v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>
        <f t="shared" si="419"/>
        <v>3.8</v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>
        <f t="shared" si="421"/>
        <v>3.8</v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>
        <f t="shared" si="423"/>
        <v>3.8</v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>
        <f t="shared" si="425"/>
        <v>3.8</v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>
        <f t="shared" si="427"/>
        <v>0</v>
      </c>
      <c r="SR59" s="43">
        <f t="shared" si="428"/>
        <v>0</v>
      </c>
    </row>
    <row r="60" spans="1:512" customFormat="1" ht="16" customHeight="1" x14ac:dyDescent="0.15">
      <c r="A60" s="34">
        <v>46198</v>
      </c>
      <c r="B60" s="35">
        <v>0.125</v>
      </c>
      <c r="C60" s="79" t="s">
        <v>26</v>
      </c>
      <c r="D60" s="79" t="s">
        <v>28</v>
      </c>
      <c r="E60" s="2">
        <v>0</v>
      </c>
      <c r="F60" s="50" t="s">
        <v>4</v>
      </c>
      <c r="G60" s="1">
        <v>3</v>
      </c>
      <c r="H60" s="16">
        <v>3.8</v>
      </c>
      <c r="I60" s="32">
        <f t="shared" si="0"/>
        <v>-3</v>
      </c>
      <c r="J60" s="47">
        <v>1</v>
      </c>
      <c r="K60" s="48" t="s">
        <v>4</v>
      </c>
      <c r="L60" s="49">
        <v>0</v>
      </c>
      <c r="M60" s="5"/>
      <c r="N60" s="42">
        <f t="shared" si="1"/>
        <v>0</v>
      </c>
      <c r="O60" s="43">
        <f t="shared" si="2"/>
        <v>1</v>
      </c>
      <c r="P60" s="43">
        <f>IF($I60=0,IF(AND(#REF!&gt;#REF!,OR(AND(T60="",Q60&gt;S60),T60=1)),1,IF(AND(#REF!&lt;#REF!,OR(AND(T60="",Q60&lt;S60),T60=2)),1,0)),0)</f>
        <v>0</v>
      </c>
      <c r="Q60" s="47">
        <v>1</v>
      </c>
      <c r="R60" s="48" t="s">
        <v>4</v>
      </c>
      <c r="S60" s="49">
        <v>1</v>
      </c>
      <c r="T60" s="5"/>
      <c r="U60" s="42">
        <f t="shared" si="287"/>
        <v>0</v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>
        <f t="shared" si="289"/>
        <v>0</v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>
        <f t="shared" si="291"/>
        <v>3.8</v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>
        <f t="shared" si="293"/>
        <v>3.8</v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>
        <f t="shared" si="295"/>
        <v>3.8</v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>
        <f t="shared" si="297"/>
        <v>3.8</v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>
        <f t="shared" si="299"/>
        <v>3.8</v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>
        <f t="shared" si="301"/>
        <v>0</v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>
        <f t="shared" si="303"/>
        <v>0</v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>
        <f t="shared" si="305"/>
        <v>0</v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>
        <f t="shared" si="307"/>
        <v>3.8</v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>
        <f t="shared" si="309"/>
        <v>3.8</v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>
        <f t="shared" si="311"/>
        <v>3.8</v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>
        <f t="shared" si="313"/>
        <v>0</v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>
        <f t="shared" si="315"/>
        <v>0</v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>
        <f t="shared" si="317"/>
        <v>3.8</v>
      </c>
      <c r="DW60" s="43">
        <f t="shared" si="318"/>
        <v>-2</v>
      </c>
      <c r="DX60" s="30"/>
      <c r="DY60" s="47">
        <v>0</v>
      </c>
      <c r="DZ60" s="48" t="s">
        <v>4</v>
      </c>
      <c r="EA60" s="49">
        <v>2</v>
      </c>
      <c r="EB60" s="5"/>
      <c r="EC60" s="42">
        <f t="shared" si="319"/>
        <v>3.8</v>
      </c>
      <c r="ED60" s="43">
        <f t="shared" si="320"/>
        <v>-2</v>
      </c>
      <c r="EE60" s="30"/>
      <c r="EF60" s="47">
        <v>1</v>
      </c>
      <c r="EG60" s="48" t="s">
        <v>4</v>
      </c>
      <c r="EH60" s="49">
        <v>1</v>
      </c>
      <c r="EI60" s="5"/>
      <c r="EJ60" s="42">
        <f t="shared" si="321"/>
        <v>0</v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>
        <f t="shared" si="323"/>
        <v>3.8</v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>
        <f t="shared" si="325"/>
        <v>0</v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>
        <f t="shared" si="327"/>
        <v>0</v>
      </c>
      <c r="FF60" s="43">
        <f t="shared" si="328"/>
        <v>0</v>
      </c>
      <c r="FG60" s="30"/>
      <c r="FH60" s="47">
        <v>1</v>
      </c>
      <c r="FI60" s="48" t="s">
        <v>4</v>
      </c>
      <c r="FJ60" s="49">
        <v>2</v>
      </c>
      <c r="FK60" s="5"/>
      <c r="FL60" s="42">
        <f t="shared" si="329"/>
        <v>3.8</v>
      </c>
      <c r="FM60" s="43">
        <f t="shared" si="330"/>
        <v>-1</v>
      </c>
      <c r="FN60" s="30"/>
      <c r="FO60" s="47">
        <v>2</v>
      </c>
      <c r="FP60" s="48" t="s">
        <v>4</v>
      </c>
      <c r="FQ60" s="49">
        <v>1</v>
      </c>
      <c r="FR60" s="5"/>
      <c r="FS60" s="42">
        <f t="shared" si="331"/>
        <v>0</v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>
        <f t="shared" si="333"/>
        <v>0</v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>
        <f t="shared" si="335"/>
        <v>3.8</v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>
        <f t="shared" si="337"/>
        <v>3.8</v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>
        <f t="shared" si="339"/>
        <v>0</v>
      </c>
      <c r="GV60" s="43">
        <f t="shared" si="340"/>
        <v>0</v>
      </c>
      <c r="GW60" s="30"/>
      <c r="GX60" s="47">
        <v>1</v>
      </c>
      <c r="GY60" s="48" t="s">
        <v>4</v>
      </c>
      <c r="GZ60" s="49">
        <v>1</v>
      </c>
      <c r="HA60" s="5"/>
      <c r="HB60" s="42">
        <f t="shared" si="341"/>
        <v>0</v>
      </c>
      <c r="HC60" s="43">
        <f t="shared" si="342"/>
        <v>0</v>
      </c>
      <c r="HD60" s="30"/>
      <c r="HE60" s="47">
        <v>1</v>
      </c>
      <c r="HF60" s="48" t="s">
        <v>4</v>
      </c>
      <c r="HG60" s="49">
        <v>2</v>
      </c>
      <c r="HH60" s="5"/>
      <c r="HI60" s="42">
        <f t="shared" si="343"/>
        <v>3.8</v>
      </c>
      <c r="HJ60" s="43">
        <f t="shared" si="344"/>
        <v>-1</v>
      </c>
      <c r="HK60" s="30"/>
      <c r="HL60" s="47">
        <v>1</v>
      </c>
      <c r="HM60" s="48" t="s">
        <v>4</v>
      </c>
      <c r="HN60" s="49">
        <v>2</v>
      </c>
      <c r="HO60" s="5"/>
      <c r="HP60" s="42">
        <f t="shared" si="345"/>
        <v>3.8</v>
      </c>
      <c r="HQ60" s="43">
        <f t="shared" si="346"/>
        <v>-1</v>
      </c>
      <c r="HR60" s="30"/>
      <c r="HS60" s="47">
        <v>1</v>
      </c>
      <c r="HT60" s="48" t="s">
        <v>4</v>
      </c>
      <c r="HU60" s="49">
        <v>2</v>
      </c>
      <c r="HV60" s="5"/>
      <c r="HW60" s="42">
        <f t="shared" si="347"/>
        <v>3.8</v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>
        <f t="shared" si="349"/>
        <v>0</v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>
        <f t="shared" si="351"/>
        <v>3.8</v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>
        <f t="shared" si="353"/>
        <v>0</v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>
        <f t="shared" si="355"/>
        <v>3.8</v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>
        <f t="shared" si="357"/>
        <v>0</v>
      </c>
      <c r="JG60" s="43">
        <f t="shared" si="358"/>
        <v>0</v>
      </c>
      <c r="JH60" s="30"/>
      <c r="JI60" s="47">
        <v>1</v>
      </c>
      <c r="JJ60" s="48" t="s">
        <v>4</v>
      </c>
      <c r="JK60" s="49">
        <v>2</v>
      </c>
      <c r="JL60" s="5"/>
      <c r="JM60" s="42">
        <f t="shared" si="359"/>
        <v>3.8</v>
      </c>
      <c r="JN60" s="43">
        <f t="shared" si="360"/>
        <v>-1</v>
      </c>
      <c r="JO60" s="30"/>
      <c r="JP60" s="47">
        <v>1</v>
      </c>
      <c r="JQ60" s="48" t="s">
        <v>4</v>
      </c>
      <c r="JR60" s="49">
        <v>2</v>
      </c>
      <c r="JS60" s="5"/>
      <c r="JT60" s="42">
        <f t="shared" si="361"/>
        <v>3.8</v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>
        <f t="shared" si="363"/>
        <v>3.8</v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>
        <f t="shared" si="365"/>
        <v>3.8</v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>
        <f t="shared" si="367"/>
        <v>3.8</v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>
        <f t="shared" si="369"/>
        <v>3.8</v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>
        <f t="shared" si="371"/>
        <v>0</v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>
        <f t="shared" si="373"/>
        <v>3.8</v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>
        <f t="shared" si="375"/>
        <v>3.8</v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>
        <f t="shared" si="377"/>
        <v>0</v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>
        <f t="shared" si="379"/>
        <v>0</v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>
        <f t="shared" si="381"/>
        <v>3.8</v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>
        <f t="shared" si="383"/>
        <v>0</v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>
        <f t="shared" si="385"/>
        <v>3.8</v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>
        <f t="shared" si="387"/>
        <v>3.8</v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>
        <f t="shared" si="389"/>
        <v>0</v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>
        <f t="shared" si="391"/>
        <v>0</v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>
        <f t="shared" si="393"/>
        <v>0</v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>
        <f t="shared" si="395"/>
        <v>3.8</v>
      </c>
      <c r="OJ60" s="43">
        <f t="shared" si="396"/>
        <v>-1</v>
      </c>
      <c r="OK60" s="30"/>
      <c r="OL60" s="47">
        <v>0</v>
      </c>
      <c r="OM60" s="48" t="s">
        <v>4</v>
      </c>
      <c r="ON60" s="49">
        <v>3</v>
      </c>
      <c r="OO60" s="5"/>
      <c r="OP60" s="42">
        <f t="shared" si="397"/>
        <v>5.6999999999999993</v>
      </c>
      <c r="OQ60" s="43">
        <f t="shared" si="398"/>
        <v>-3</v>
      </c>
      <c r="OR60" s="30"/>
      <c r="OS60" s="47">
        <v>0</v>
      </c>
      <c r="OT60" s="48" t="s">
        <v>4</v>
      </c>
      <c r="OU60" s="49">
        <v>2</v>
      </c>
      <c r="OV60" s="5"/>
      <c r="OW60" s="42">
        <f t="shared" si="399"/>
        <v>3.8</v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>
        <f t="shared" si="401"/>
        <v>0</v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>
        <f t="shared" si="403"/>
        <v>3.8</v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>
        <f t="shared" si="405"/>
        <v>3.8</v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>
        <f t="shared" si="407"/>
        <v>0</v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>
        <f t="shared" si="409"/>
        <v>3.8</v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>
        <f t="shared" si="411"/>
        <v>0</v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>
        <f t="shared" si="413"/>
        <v>3.8</v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>
        <f t="shared" si="415"/>
        <v>3.8</v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>
        <f t="shared" si="419"/>
        <v>3.8</v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>
        <f t="shared" si="421"/>
        <v>0</v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>
        <f t="shared" si="423"/>
        <v>0</v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>
        <f t="shared" si="425"/>
        <v>0</v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>
        <f t="shared" si="427"/>
        <v>3.8</v>
      </c>
      <c r="SR60" s="43">
        <f t="shared" si="428"/>
        <v>-2</v>
      </c>
    </row>
    <row r="61" spans="1:512" customFormat="1" ht="16" customHeight="1" x14ac:dyDescent="0.15">
      <c r="A61" s="34">
        <v>46198</v>
      </c>
      <c r="B61" s="35">
        <v>0.125</v>
      </c>
      <c r="C61" s="79" t="s">
        <v>29</v>
      </c>
      <c r="D61" s="79" t="s">
        <v>30</v>
      </c>
      <c r="E61" s="2">
        <v>1</v>
      </c>
      <c r="F61" s="50" t="s">
        <v>4</v>
      </c>
      <c r="G61" s="1">
        <v>0</v>
      </c>
      <c r="H61" s="16">
        <v>3.8</v>
      </c>
      <c r="I61" s="32">
        <f t="shared" si="0"/>
        <v>1</v>
      </c>
      <c r="J61" s="47">
        <v>1</v>
      </c>
      <c r="K61" s="48" t="s">
        <v>4</v>
      </c>
      <c r="L61" s="49">
        <v>0</v>
      </c>
      <c r="M61" s="5"/>
      <c r="N61" s="42">
        <f t="shared" si="1"/>
        <v>5.6999999999999993</v>
      </c>
      <c r="O61" s="43">
        <f t="shared" si="2"/>
        <v>1</v>
      </c>
      <c r="P61" s="43">
        <f>IF($I61=0,IF(AND(#REF!&gt;#REF!,OR(AND(T61="",Q61&gt;S61),T61=1)),1,IF(AND(#REF!&lt;#REF!,OR(AND(T61="",Q61&lt;S61),T61=2)),1,0)),0)</f>
        <v>0</v>
      </c>
      <c r="Q61" s="47">
        <v>1</v>
      </c>
      <c r="R61" s="48" t="s">
        <v>4</v>
      </c>
      <c r="S61" s="49">
        <v>2</v>
      </c>
      <c r="T61" s="5"/>
      <c r="U61" s="42">
        <f t="shared" si="287"/>
        <v>0</v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>
        <f t="shared" si="289"/>
        <v>0</v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>
        <f t="shared" si="291"/>
        <v>3.8</v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>
        <f t="shared" si="293"/>
        <v>0</v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>
        <f t="shared" si="295"/>
        <v>0</v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>
        <f t="shared" si="297"/>
        <v>0</v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>
        <f t="shared" si="299"/>
        <v>3.8</v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>
        <f t="shared" si="301"/>
        <v>0</v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>
        <f t="shared" si="303"/>
        <v>0</v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>
        <f t="shared" si="305"/>
        <v>0</v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>
        <f t="shared" si="307"/>
        <v>0</v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>
        <f t="shared" si="309"/>
        <v>0</v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>
        <f t="shared" si="311"/>
        <v>0</v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>
        <f t="shared" si="313"/>
        <v>0</v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>
        <f t="shared" si="315"/>
        <v>0</v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>
        <f t="shared" si="317"/>
        <v>0</v>
      </c>
      <c r="DW61" s="43">
        <f t="shared" si="318"/>
        <v>-1</v>
      </c>
      <c r="DX61" s="30"/>
      <c r="DY61" s="47">
        <v>2</v>
      </c>
      <c r="DZ61" s="48" t="s">
        <v>4</v>
      </c>
      <c r="EA61" s="49">
        <v>1</v>
      </c>
      <c r="EB61" s="5"/>
      <c r="EC61" s="42">
        <f t="shared" si="319"/>
        <v>3.8</v>
      </c>
      <c r="ED61" s="43">
        <f t="shared" si="320"/>
        <v>1</v>
      </c>
      <c r="EE61" s="30"/>
      <c r="EF61" s="47">
        <v>0</v>
      </c>
      <c r="EG61" s="48" t="s">
        <v>4</v>
      </c>
      <c r="EH61" s="49">
        <v>0</v>
      </c>
      <c r="EI61" s="5"/>
      <c r="EJ61" s="42">
        <f t="shared" si="321"/>
        <v>0</v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>
        <f t="shared" si="323"/>
        <v>0</v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>
        <f t="shared" si="325"/>
        <v>3.8</v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>
        <f t="shared" si="327"/>
        <v>0</v>
      </c>
      <c r="FF61" s="43">
        <f t="shared" si="328"/>
        <v>-1</v>
      </c>
      <c r="FG61" s="30"/>
      <c r="FH61" s="47">
        <v>1</v>
      </c>
      <c r="FI61" s="48" t="s">
        <v>4</v>
      </c>
      <c r="FJ61" s="49">
        <v>2</v>
      </c>
      <c r="FK61" s="5"/>
      <c r="FL61" s="42">
        <f t="shared" si="329"/>
        <v>0</v>
      </c>
      <c r="FM61" s="43">
        <f t="shared" si="330"/>
        <v>-1</v>
      </c>
      <c r="FN61" s="30"/>
      <c r="FO61" s="47">
        <v>0</v>
      </c>
      <c r="FP61" s="48" t="s">
        <v>4</v>
      </c>
      <c r="FQ61" s="49">
        <v>1</v>
      </c>
      <c r="FR61" s="5"/>
      <c r="FS61" s="42">
        <f t="shared" si="331"/>
        <v>0</v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>
        <f t="shared" si="333"/>
        <v>0</v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>
        <f t="shared" si="335"/>
        <v>0</v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>
        <f t="shared" si="337"/>
        <v>0</v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>
        <f t="shared" si="339"/>
        <v>0</v>
      </c>
      <c r="GV61" s="43">
        <f t="shared" si="340"/>
        <v>-1</v>
      </c>
      <c r="GW61" s="30"/>
      <c r="GX61" s="47">
        <v>1</v>
      </c>
      <c r="GY61" s="48" t="s">
        <v>4</v>
      </c>
      <c r="GZ61" s="49">
        <v>2</v>
      </c>
      <c r="HA61" s="5"/>
      <c r="HB61" s="42">
        <f t="shared" si="341"/>
        <v>0</v>
      </c>
      <c r="HC61" s="43">
        <f t="shared" si="342"/>
        <v>-1</v>
      </c>
      <c r="HD61" s="30"/>
      <c r="HE61" s="47">
        <v>1</v>
      </c>
      <c r="HF61" s="48" t="s">
        <v>4</v>
      </c>
      <c r="HG61" s="49">
        <v>3</v>
      </c>
      <c r="HH61" s="5"/>
      <c r="HI61" s="42">
        <f t="shared" si="343"/>
        <v>0</v>
      </c>
      <c r="HJ61" s="43">
        <f t="shared" si="344"/>
        <v>-2</v>
      </c>
      <c r="HK61" s="30"/>
      <c r="HL61" s="47">
        <v>1</v>
      </c>
      <c r="HM61" s="48" t="s">
        <v>4</v>
      </c>
      <c r="HN61" s="49">
        <v>1</v>
      </c>
      <c r="HO61" s="5"/>
      <c r="HP61" s="42">
        <f t="shared" si="345"/>
        <v>0</v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>
        <f t="shared" si="347"/>
        <v>5.6999999999999993</v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>
        <f t="shared" si="349"/>
        <v>0</v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>
        <f t="shared" si="351"/>
        <v>0</v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>
        <f t="shared" si="353"/>
        <v>0</v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>
        <f t="shared" si="355"/>
        <v>3.8</v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>
        <f t="shared" si="357"/>
        <v>5.6999999999999993</v>
      </c>
      <c r="JG61" s="43">
        <f t="shared" si="358"/>
        <v>1</v>
      </c>
      <c r="JH61" s="30"/>
      <c r="JI61" s="47">
        <v>1</v>
      </c>
      <c r="JJ61" s="48" t="s">
        <v>4</v>
      </c>
      <c r="JK61" s="49">
        <v>2</v>
      </c>
      <c r="JL61" s="5"/>
      <c r="JM61" s="42">
        <f t="shared" si="359"/>
        <v>0</v>
      </c>
      <c r="JN61" s="43">
        <f t="shared" si="360"/>
        <v>-1</v>
      </c>
      <c r="JO61" s="30"/>
      <c r="JP61" s="47">
        <v>0</v>
      </c>
      <c r="JQ61" s="48" t="s">
        <v>4</v>
      </c>
      <c r="JR61" s="49">
        <v>2</v>
      </c>
      <c r="JS61" s="5"/>
      <c r="JT61" s="42">
        <f t="shared" si="361"/>
        <v>0</v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>
        <f t="shared" si="363"/>
        <v>0</v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>
        <f t="shared" si="365"/>
        <v>3.8</v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>
        <f t="shared" si="367"/>
        <v>5.6999999999999993</v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>
        <f t="shared" si="369"/>
        <v>0</v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>
        <f t="shared" si="371"/>
        <v>0</v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>
        <f t="shared" si="373"/>
        <v>0</v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>
        <f t="shared" si="375"/>
        <v>0</v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>
        <f t="shared" si="377"/>
        <v>0</v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>
        <f t="shared" si="379"/>
        <v>0</v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>
        <f t="shared" si="383"/>
        <v>0</v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>
        <f t="shared" si="385"/>
        <v>3.8</v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>
        <f t="shared" si="387"/>
        <v>3.8</v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>
        <f t="shared" si="389"/>
        <v>3.8</v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>
        <f t="shared" si="391"/>
        <v>0</v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>
        <f t="shared" si="393"/>
        <v>0</v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>
        <f t="shared" si="395"/>
        <v>0</v>
      </c>
      <c r="OJ61" s="43">
        <f t="shared" si="396"/>
        <v>-1</v>
      </c>
      <c r="OK61" s="30"/>
      <c r="OL61" s="47">
        <v>0</v>
      </c>
      <c r="OM61" s="48" t="s">
        <v>4</v>
      </c>
      <c r="ON61" s="49">
        <v>1</v>
      </c>
      <c r="OO61" s="5"/>
      <c r="OP61" s="42">
        <f t="shared" si="397"/>
        <v>0</v>
      </c>
      <c r="OQ61" s="43">
        <f t="shared" si="398"/>
        <v>-1</v>
      </c>
      <c r="OR61" s="30"/>
      <c r="OS61" s="47">
        <v>1</v>
      </c>
      <c r="OT61" s="48" t="s">
        <v>4</v>
      </c>
      <c r="OU61" s="49">
        <v>3</v>
      </c>
      <c r="OV61" s="5"/>
      <c r="OW61" s="42">
        <f t="shared" si="399"/>
        <v>0</v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>
        <f t="shared" si="401"/>
        <v>0</v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>
        <f t="shared" si="403"/>
        <v>0</v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>
        <f t="shared" si="405"/>
        <v>0</v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>
        <f t="shared" si="407"/>
        <v>0</v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>
        <f t="shared" si="409"/>
        <v>0</v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>
        <f t="shared" si="411"/>
        <v>0</v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>
        <f t="shared" si="413"/>
        <v>0</v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>
        <f t="shared" si="415"/>
        <v>0</v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>
        <f t="shared" si="419"/>
        <v>0</v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>
        <f t="shared" si="421"/>
        <v>0</v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>
        <f t="shared" si="423"/>
        <v>0</v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>
        <f t="shared" si="425"/>
        <v>0</v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>
        <f t="shared" si="427"/>
        <v>0</v>
      </c>
      <c r="SR61" s="43">
        <f t="shared" si="428"/>
        <v>0</v>
      </c>
    </row>
    <row r="62" spans="1:512" customFormat="1" ht="16" customHeight="1" x14ac:dyDescent="0.15">
      <c r="A62" s="34">
        <v>46198</v>
      </c>
      <c r="B62" s="35">
        <v>0.91666666666666663</v>
      </c>
      <c r="C62" s="79" t="s">
        <v>39</v>
      </c>
      <c r="D62" s="51" t="s">
        <v>41</v>
      </c>
      <c r="E62" s="2">
        <v>0</v>
      </c>
      <c r="F62" s="50" t="s">
        <v>4</v>
      </c>
      <c r="G62" s="1">
        <v>2</v>
      </c>
      <c r="H62" s="16">
        <v>3.8</v>
      </c>
      <c r="I62" s="32">
        <f t="shared" si="0"/>
        <v>-2</v>
      </c>
      <c r="J62" s="47">
        <v>0</v>
      </c>
      <c r="K62" s="48" t="s">
        <v>4</v>
      </c>
      <c r="L62" s="49">
        <v>2</v>
      </c>
      <c r="M62" s="5"/>
      <c r="N62" s="42">
        <f t="shared" si="1"/>
        <v>5.6999999999999993</v>
      </c>
      <c r="O62" s="43">
        <f t="shared" si="2"/>
        <v>-2</v>
      </c>
      <c r="P62" s="43">
        <f>IF($I62=0,IF(AND(#REF!&gt;#REF!,OR(AND(T62="",Q62&gt;S62),T62=1)),1,IF(AND(#REF!&lt;#REF!,OR(AND(T62="",Q62&lt;S62),T62=2)),1,0)),0)</f>
        <v>0</v>
      </c>
      <c r="Q62" s="47">
        <v>1</v>
      </c>
      <c r="R62" s="48" t="s">
        <v>4</v>
      </c>
      <c r="S62" s="49">
        <v>3</v>
      </c>
      <c r="T62" s="5"/>
      <c r="U62" s="42">
        <f t="shared" si="287"/>
        <v>3.8</v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>
        <f t="shared" si="289"/>
        <v>3.8</v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>
        <f t="shared" si="291"/>
        <v>3.8</v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>
        <f t="shared" si="293"/>
        <v>5.6999999999999993</v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>
        <f t="shared" si="295"/>
        <v>3.8</v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>
        <f t="shared" si="297"/>
        <v>5.6999999999999993</v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>
        <f t="shared" si="299"/>
        <v>3.8</v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>
        <f t="shared" si="301"/>
        <v>3.8</v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>
        <f t="shared" si="303"/>
        <v>3.8</v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>
        <f t="shared" si="305"/>
        <v>0</v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>
        <f t="shared" si="307"/>
        <v>5.6999999999999993</v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>
        <f t="shared" si="309"/>
        <v>3.8</v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>
        <f t="shared" si="311"/>
        <v>3.8</v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>
        <f t="shared" si="313"/>
        <v>5.6999999999999993</v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>
        <f t="shared" si="315"/>
        <v>5.6999999999999993</v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>
        <f t="shared" si="317"/>
        <v>5.6999999999999993</v>
      </c>
      <c r="DW62" s="43">
        <f t="shared" si="318"/>
        <v>-2</v>
      </c>
      <c r="DX62" s="30"/>
      <c r="DY62" s="47">
        <v>0</v>
      </c>
      <c r="DZ62" s="48" t="s">
        <v>4</v>
      </c>
      <c r="EA62" s="49">
        <v>4</v>
      </c>
      <c r="EB62" s="5"/>
      <c r="EC62" s="42">
        <f t="shared" si="319"/>
        <v>3.8</v>
      </c>
      <c r="ED62" s="43">
        <f t="shared" si="320"/>
        <v>-4</v>
      </c>
      <c r="EE62" s="30"/>
      <c r="EF62" s="47">
        <v>0</v>
      </c>
      <c r="EG62" s="48" t="s">
        <v>4</v>
      </c>
      <c r="EH62" s="49">
        <v>1</v>
      </c>
      <c r="EI62" s="5"/>
      <c r="EJ62" s="42">
        <f t="shared" si="321"/>
        <v>3.8</v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>
        <f t="shared" si="323"/>
        <v>3.8</v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>
        <f t="shared" si="325"/>
        <v>3.8</v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>
        <f t="shared" si="327"/>
        <v>5.6999999999999993</v>
      </c>
      <c r="FF62" s="43">
        <f t="shared" si="328"/>
        <v>-2</v>
      </c>
      <c r="FG62" s="30"/>
      <c r="FH62" s="47">
        <v>1</v>
      </c>
      <c r="FI62" s="48" t="s">
        <v>4</v>
      </c>
      <c r="FJ62" s="49">
        <v>2</v>
      </c>
      <c r="FK62" s="5"/>
      <c r="FL62" s="42">
        <f t="shared" si="329"/>
        <v>3.8</v>
      </c>
      <c r="FM62" s="43">
        <f t="shared" si="330"/>
        <v>-1</v>
      </c>
      <c r="FN62" s="30"/>
      <c r="FO62" s="47">
        <v>1</v>
      </c>
      <c r="FP62" s="48" t="s">
        <v>4</v>
      </c>
      <c r="FQ62" s="49">
        <v>1</v>
      </c>
      <c r="FR62" s="5"/>
      <c r="FS62" s="42">
        <f t="shared" si="331"/>
        <v>0</v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>
        <f t="shared" si="333"/>
        <v>3.8</v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>
        <f t="shared" si="335"/>
        <v>3.8</v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>
        <f t="shared" si="337"/>
        <v>5.6999999999999993</v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>
        <f t="shared" si="339"/>
        <v>3.8</v>
      </c>
      <c r="GV62" s="43">
        <f t="shared" si="340"/>
        <v>-3</v>
      </c>
      <c r="GW62" s="30"/>
      <c r="GX62" s="47">
        <v>0</v>
      </c>
      <c r="GY62" s="48" t="s">
        <v>4</v>
      </c>
      <c r="GZ62" s="49">
        <v>2</v>
      </c>
      <c r="HA62" s="5"/>
      <c r="HB62" s="42">
        <f t="shared" si="341"/>
        <v>5.6999999999999993</v>
      </c>
      <c r="HC62" s="43">
        <f t="shared" si="342"/>
        <v>-2</v>
      </c>
      <c r="HD62" s="30"/>
      <c r="HE62" s="47">
        <v>0</v>
      </c>
      <c r="HF62" s="48" t="s">
        <v>4</v>
      </c>
      <c r="HG62" s="49">
        <v>4</v>
      </c>
      <c r="HH62" s="5"/>
      <c r="HI62" s="42">
        <f t="shared" si="343"/>
        <v>3.8</v>
      </c>
      <c r="HJ62" s="43">
        <f t="shared" si="344"/>
        <v>-4</v>
      </c>
      <c r="HK62" s="30"/>
      <c r="HL62" s="47">
        <v>0</v>
      </c>
      <c r="HM62" s="48" t="s">
        <v>4</v>
      </c>
      <c r="HN62" s="49">
        <v>2</v>
      </c>
      <c r="HO62" s="5"/>
      <c r="HP62" s="42">
        <f t="shared" si="345"/>
        <v>5.6999999999999993</v>
      </c>
      <c r="HQ62" s="43">
        <f t="shared" si="346"/>
        <v>-2</v>
      </c>
      <c r="HR62" s="30"/>
      <c r="HS62" s="47">
        <v>1</v>
      </c>
      <c r="HT62" s="48" t="s">
        <v>4</v>
      </c>
      <c r="HU62" s="49">
        <v>2</v>
      </c>
      <c r="HV62" s="5"/>
      <c r="HW62" s="42">
        <f t="shared" si="347"/>
        <v>3.8</v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>
        <f t="shared" si="349"/>
        <v>3.8</v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>
        <f t="shared" si="351"/>
        <v>0</v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>
        <f t="shared" si="353"/>
        <v>3.8</v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>
        <f t="shared" si="355"/>
        <v>5.6999999999999993</v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>
        <f t="shared" si="357"/>
        <v>5.6999999999999993</v>
      </c>
      <c r="JG62" s="43">
        <f t="shared" si="358"/>
        <v>-2</v>
      </c>
      <c r="JH62" s="30"/>
      <c r="JI62" s="47">
        <v>1</v>
      </c>
      <c r="JJ62" s="48" t="s">
        <v>4</v>
      </c>
      <c r="JK62" s="49">
        <v>3</v>
      </c>
      <c r="JL62" s="5"/>
      <c r="JM62" s="42">
        <f t="shared" si="359"/>
        <v>3.8</v>
      </c>
      <c r="JN62" s="43">
        <f t="shared" si="360"/>
        <v>-2</v>
      </c>
      <c r="JO62" s="30"/>
      <c r="JP62" s="47">
        <v>1</v>
      </c>
      <c r="JQ62" s="48" t="s">
        <v>4</v>
      </c>
      <c r="JR62" s="49">
        <v>3</v>
      </c>
      <c r="JS62" s="5"/>
      <c r="JT62" s="42">
        <f t="shared" si="361"/>
        <v>3.8</v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>
        <f t="shared" si="363"/>
        <v>3.8</v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>
        <f t="shared" si="365"/>
        <v>0</v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>
        <f t="shared" si="367"/>
        <v>3.8</v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>
        <f t="shared" si="369"/>
        <v>5.6999999999999993</v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>
        <f t="shared" si="371"/>
        <v>3.8</v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>
        <f t="shared" si="373"/>
        <v>3.8</v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>
        <f t="shared" si="375"/>
        <v>0</v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>
        <f t="shared" si="377"/>
        <v>5.6999999999999993</v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>
        <f t="shared" si="379"/>
        <v>3.8</v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>
        <f t="shared" si="381"/>
        <v>5.6999999999999993</v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>
        <f t="shared" si="383"/>
        <v>0</v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>
        <f t="shared" si="385"/>
        <v>3.8</v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>
        <f t="shared" si="387"/>
        <v>0</v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>
        <f t="shared" si="389"/>
        <v>0</v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>
        <f t="shared" si="391"/>
        <v>3.8</v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>
        <f t="shared" si="393"/>
        <v>3.8</v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>
        <f t="shared" si="395"/>
        <v>3.8</v>
      </c>
      <c r="OJ62" s="43">
        <f t="shared" si="396"/>
        <v>-1</v>
      </c>
      <c r="OK62" s="30"/>
      <c r="OL62" s="47">
        <v>0</v>
      </c>
      <c r="OM62" s="48" t="s">
        <v>4</v>
      </c>
      <c r="ON62" s="49">
        <v>4</v>
      </c>
      <c r="OO62" s="5"/>
      <c r="OP62" s="42">
        <f t="shared" si="397"/>
        <v>3.8</v>
      </c>
      <c r="OQ62" s="43">
        <f t="shared" si="398"/>
        <v>-4</v>
      </c>
      <c r="OR62" s="30"/>
      <c r="OS62" s="47">
        <v>1</v>
      </c>
      <c r="OT62" s="48" t="s">
        <v>4</v>
      </c>
      <c r="OU62" s="49">
        <v>4</v>
      </c>
      <c r="OV62" s="5"/>
      <c r="OW62" s="42">
        <f t="shared" si="399"/>
        <v>3.8</v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>
        <f t="shared" si="401"/>
        <v>3.8</v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>
        <f t="shared" si="403"/>
        <v>3.8</v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>
        <f t="shared" si="405"/>
        <v>3.8</v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>
        <f t="shared" si="407"/>
        <v>3.8</v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>
        <f t="shared" si="409"/>
        <v>3.8</v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>
        <f t="shared" si="411"/>
        <v>5.6999999999999993</v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>
        <f t="shared" si="413"/>
        <v>3.8</v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>
        <f t="shared" si="415"/>
        <v>3.8</v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>
        <f t="shared" si="419"/>
        <v>5.6999999999999993</v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>
        <f t="shared" si="421"/>
        <v>3.8</v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>
        <f t="shared" si="423"/>
        <v>3.8</v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>
        <f t="shared" si="425"/>
        <v>3.8</v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>
        <f t="shared" si="427"/>
        <v>3.8</v>
      </c>
      <c r="SR62" s="43">
        <f t="shared" si="428"/>
        <v>-2</v>
      </c>
    </row>
    <row r="63" spans="1:512" customFormat="1" ht="16" customHeight="1" x14ac:dyDescent="0.15">
      <c r="A63" s="51">
        <v>46198</v>
      </c>
      <c r="B63" s="46">
        <v>0.91666666666666663</v>
      </c>
      <c r="C63" s="79" t="s">
        <v>42</v>
      </c>
      <c r="D63" s="51" t="s">
        <v>5</v>
      </c>
      <c r="E63" s="2">
        <v>2</v>
      </c>
      <c r="F63" s="50" t="s">
        <v>4</v>
      </c>
      <c r="G63" s="1">
        <v>1</v>
      </c>
      <c r="H63" s="16">
        <v>3.8</v>
      </c>
      <c r="I63" s="32">
        <f t="shared" si="0"/>
        <v>1</v>
      </c>
      <c r="J63" s="47">
        <v>1</v>
      </c>
      <c r="K63" s="48" t="s">
        <v>4</v>
      </c>
      <c r="L63" s="49">
        <v>2</v>
      </c>
      <c r="M63" s="5"/>
      <c r="N63" s="42">
        <f t="shared" si="1"/>
        <v>0</v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>
        <f t="shared" si="287"/>
        <v>0</v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>
        <f t="shared" si="289"/>
        <v>0</v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>
        <f t="shared" si="291"/>
        <v>0</v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>
        <f t="shared" si="293"/>
        <v>0</v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>
        <f t="shared" si="295"/>
        <v>0</v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>
        <f t="shared" si="297"/>
        <v>0</v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>
        <f t="shared" si="299"/>
        <v>0</v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>
        <f t="shared" si="301"/>
        <v>0</v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>
        <f t="shared" si="303"/>
        <v>0</v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>
        <f t="shared" si="305"/>
        <v>0</v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>
        <f t="shared" si="307"/>
        <v>0</v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>
        <f t="shared" si="309"/>
        <v>0</v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>
        <f t="shared" si="311"/>
        <v>0</v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>
        <f t="shared" si="313"/>
        <v>0</v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>
        <f t="shared" si="315"/>
        <v>0</v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>
        <f t="shared" si="317"/>
        <v>0</v>
      </c>
      <c r="DW63" s="43">
        <f t="shared" si="318"/>
        <v>-1</v>
      </c>
      <c r="DX63" s="30"/>
      <c r="DY63" s="47">
        <v>0</v>
      </c>
      <c r="DZ63" s="48" t="s">
        <v>4</v>
      </c>
      <c r="EA63" s="49">
        <v>2</v>
      </c>
      <c r="EB63" s="5"/>
      <c r="EC63" s="42">
        <f t="shared" si="319"/>
        <v>0</v>
      </c>
      <c r="ED63" s="43">
        <f t="shared" si="320"/>
        <v>-2</v>
      </c>
      <c r="EE63" s="30"/>
      <c r="EF63" s="47">
        <v>1</v>
      </c>
      <c r="EG63" s="48" t="s">
        <v>4</v>
      </c>
      <c r="EH63" s="49">
        <v>1</v>
      </c>
      <c r="EI63" s="5"/>
      <c r="EJ63" s="42">
        <f t="shared" si="321"/>
        <v>0</v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>
        <f t="shared" si="323"/>
        <v>0</v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>
        <f t="shared" si="325"/>
        <v>0</v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>
        <f t="shared" si="327"/>
        <v>0</v>
      </c>
      <c r="FF63" s="43">
        <f t="shared" si="328"/>
        <v>-2</v>
      </c>
      <c r="FG63" s="30"/>
      <c r="FH63" s="47">
        <v>0</v>
      </c>
      <c r="FI63" s="48" t="s">
        <v>4</v>
      </c>
      <c r="FJ63" s="49">
        <v>2</v>
      </c>
      <c r="FK63" s="5"/>
      <c r="FL63" s="42">
        <f t="shared" si="329"/>
        <v>0</v>
      </c>
      <c r="FM63" s="43">
        <f t="shared" si="330"/>
        <v>-2</v>
      </c>
      <c r="FN63" s="30"/>
      <c r="FO63" s="47">
        <v>0</v>
      </c>
      <c r="FP63" s="48" t="s">
        <v>4</v>
      </c>
      <c r="FQ63" s="49">
        <v>2</v>
      </c>
      <c r="FR63" s="5"/>
      <c r="FS63" s="42">
        <f t="shared" si="331"/>
        <v>0</v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>
        <f t="shared" si="333"/>
        <v>0</v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>
        <f t="shared" si="335"/>
        <v>0</v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>
        <f t="shared" si="337"/>
        <v>0</v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>
        <f t="shared" si="339"/>
        <v>0</v>
      </c>
      <c r="GV63" s="43">
        <f t="shared" si="340"/>
        <v>-1</v>
      </c>
      <c r="GW63" s="30"/>
      <c r="GX63" s="47">
        <v>0</v>
      </c>
      <c r="GY63" s="48" t="s">
        <v>4</v>
      </c>
      <c r="GZ63" s="49">
        <v>1</v>
      </c>
      <c r="HA63" s="5"/>
      <c r="HB63" s="42">
        <f t="shared" si="341"/>
        <v>0</v>
      </c>
      <c r="HC63" s="43">
        <f t="shared" si="342"/>
        <v>-1</v>
      </c>
      <c r="HD63" s="30"/>
      <c r="HE63" s="47">
        <v>1</v>
      </c>
      <c r="HF63" s="48" t="s">
        <v>4</v>
      </c>
      <c r="HG63" s="49">
        <v>3</v>
      </c>
      <c r="HH63" s="5"/>
      <c r="HI63" s="42">
        <f t="shared" si="343"/>
        <v>0</v>
      </c>
      <c r="HJ63" s="43">
        <f t="shared" si="344"/>
        <v>-2</v>
      </c>
      <c r="HK63" s="30"/>
      <c r="HL63" s="47">
        <v>1</v>
      </c>
      <c r="HM63" s="48" t="s">
        <v>4</v>
      </c>
      <c r="HN63" s="49">
        <v>3</v>
      </c>
      <c r="HO63" s="5"/>
      <c r="HP63" s="42">
        <f t="shared" si="345"/>
        <v>0</v>
      </c>
      <c r="HQ63" s="43">
        <f t="shared" si="346"/>
        <v>-2</v>
      </c>
      <c r="HR63" s="30"/>
      <c r="HS63" s="47">
        <v>0</v>
      </c>
      <c r="HT63" s="48" t="s">
        <v>4</v>
      </c>
      <c r="HU63" s="49">
        <v>1</v>
      </c>
      <c r="HV63" s="5"/>
      <c r="HW63" s="42">
        <f t="shared" si="347"/>
        <v>0</v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>
        <f t="shared" si="349"/>
        <v>0</v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>
        <f t="shared" si="351"/>
        <v>3.8</v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>
        <f t="shared" si="353"/>
        <v>0</v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>
        <f t="shared" si="355"/>
        <v>0</v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>
        <f t="shared" si="357"/>
        <v>0</v>
      </c>
      <c r="JG63" s="43">
        <f t="shared" si="358"/>
        <v>-1</v>
      </c>
      <c r="JH63" s="30"/>
      <c r="JI63" s="47">
        <v>1</v>
      </c>
      <c r="JJ63" s="48" t="s">
        <v>4</v>
      </c>
      <c r="JK63" s="49">
        <v>3</v>
      </c>
      <c r="JL63" s="5"/>
      <c r="JM63" s="42">
        <f t="shared" si="359"/>
        <v>0</v>
      </c>
      <c r="JN63" s="43">
        <f t="shared" si="360"/>
        <v>-2</v>
      </c>
      <c r="JO63" s="30"/>
      <c r="JP63" s="47">
        <v>2</v>
      </c>
      <c r="JQ63" s="48" t="s">
        <v>4</v>
      </c>
      <c r="JR63" s="49">
        <v>3</v>
      </c>
      <c r="JS63" s="5"/>
      <c r="JT63" s="42">
        <f t="shared" si="361"/>
        <v>0</v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>
        <f t="shared" si="363"/>
        <v>0</v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>
        <f t="shared" si="365"/>
        <v>0</v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>
        <f t="shared" si="367"/>
        <v>0</v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>
        <f t="shared" si="369"/>
        <v>0</v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>
        <f t="shared" si="371"/>
        <v>0</v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>
        <f t="shared" si="373"/>
        <v>0</v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>
        <f t="shared" si="375"/>
        <v>0</v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>
        <f t="shared" si="377"/>
        <v>0</v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>
        <f t="shared" si="379"/>
        <v>0</v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>
        <f t="shared" si="381"/>
        <v>0</v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>
        <f t="shared" si="383"/>
        <v>0</v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>
        <f t="shared" si="385"/>
        <v>0</v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>
        <f t="shared" si="387"/>
        <v>0</v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>
        <f t="shared" si="389"/>
        <v>0</v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>
        <f t="shared" si="391"/>
        <v>0</v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>
        <f t="shared" si="393"/>
        <v>0</v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>
        <f t="shared" si="395"/>
        <v>0</v>
      </c>
      <c r="OJ63" s="43">
        <f t="shared" si="396"/>
        <v>-1</v>
      </c>
      <c r="OK63" s="30"/>
      <c r="OL63" s="47">
        <v>2</v>
      </c>
      <c r="OM63" s="48" t="s">
        <v>4</v>
      </c>
      <c r="ON63" s="49">
        <v>3</v>
      </c>
      <c r="OO63" s="5"/>
      <c r="OP63" s="42">
        <f t="shared" si="397"/>
        <v>0</v>
      </c>
      <c r="OQ63" s="43">
        <f t="shared" si="398"/>
        <v>-1</v>
      </c>
      <c r="OR63" s="30"/>
      <c r="OS63" s="47">
        <v>1</v>
      </c>
      <c r="OT63" s="48" t="s">
        <v>4</v>
      </c>
      <c r="OU63" s="49">
        <v>1</v>
      </c>
      <c r="OV63" s="5"/>
      <c r="OW63" s="42">
        <f t="shared" si="399"/>
        <v>0</v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>
        <f t="shared" si="401"/>
        <v>0</v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>
        <f t="shared" si="403"/>
        <v>0</v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>
        <f t="shared" si="405"/>
        <v>0</v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>
        <f t="shared" si="407"/>
        <v>0</v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>
        <f t="shared" si="409"/>
        <v>0</v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>
        <f t="shared" si="411"/>
        <v>0</v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>
        <f t="shared" si="413"/>
        <v>0</v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>
        <f t="shared" si="415"/>
        <v>0</v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>
        <f t="shared" si="419"/>
        <v>0</v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>
        <f t="shared" si="421"/>
        <v>0</v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>
        <f t="shared" si="423"/>
        <v>0</v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>
        <f t="shared" si="425"/>
        <v>0</v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>
        <f t="shared" si="427"/>
        <v>0</v>
      </c>
      <c r="SR63" s="43">
        <f t="shared" si="428"/>
        <v>-1</v>
      </c>
    </row>
    <row r="64" spans="1:512" customFormat="1" ht="16" customHeight="1" x14ac:dyDescent="0.15">
      <c r="A64" s="51">
        <v>46199</v>
      </c>
      <c r="B64" s="46">
        <v>4.1666666666666664E-2</v>
      </c>
      <c r="C64" s="79" t="s">
        <v>40</v>
      </c>
      <c r="D64" s="79" t="s">
        <v>43</v>
      </c>
      <c r="E64" s="2">
        <v>1</v>
      </c>
      <c r="F64" s="50" t="s">
        <v>4</v>
      </c>
      <c r="G64" s="1">
        <v>1</v>
      </c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>
        <f t="shared" si="1"/>
        <v>0</v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>
        <f t="shared" si="287"/>
        <v>0</v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>
        <f t="shared" si="289"/>
        <v>0</v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>
        <f t="shared" si="291"/>
        <v>0</v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>
        <f t="shared" si="293"/>
        <v>6</v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>
        <f t="shared" si="295"/>
        <v>0</v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>
        <f t="shared" si="297"/>
        <v>0</v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>
        <f t="shared" si="299"/>
        <v>0</v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>
        <f t="shared" si="301"/>
        <v>4</v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>
        <f t="shared" si="303"/>
        <v>0</v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>
        <f t="shared" si="305"/>
        <v>0</v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>
        <f t="shared" si="307"/>
        <v>0</v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>
        <f t="shared" si="309"/>
        <v>4</v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>
        <f t="shared" si="311"/>
        <v>6</v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>
        <f t="shared" si="313"/>
        <v>0</v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>
        <f t="shared" si="315"/>
        <v>6</v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>
        <f t="shared" si="317"/>
        <v>4</v>
      </c>
      <c r="DW64" s="43">
        <f t="shared" si="318"/>
        <v>0</v>
      </c>
      <c r="DX64" s="30"/>
      <c r="DY64" s="47">
        <v>1</v>
      </c>
      <c r="DZ64" s="48" t="s">
        <v>4</v>
      </c>
      <c r="EA64" s="49">
        <v>1</v>
      </c>
      <c r="EB64" s="5"/>
      <c r="EC64" s="42">
        <f t="shared" si="319"/>
        <v>6</v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>
        <f t="shared" si="321"/>
        <v>6</v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>
        <f t="shared" si="323"/>
        <v>6</v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>
        <f t="shared" si="325"/>
        <v>0</v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>
        <f t="shared" si="327"/>
        <v>4</v>
      </c>
      <c r="FF64" s="43">
        <f t="shared" si="328"/>
        <v>0</v>
      </c>
      <c r="FG64" s="30"/>
      <c r="FH64" s="47">
        <v>1</v>
      </c>
      <c r="FI64" s="48" t="s">
        <v>4</v>
      </c>
      <c r="FJ64" s="49">
        <v>1</v>
      </c>
      <c r="FK64" s="5"/>
      <c r="FL64" s="42">
        <f t="shared" si="329"/>
        <v>6</v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>
        <f t="shared" si="331"/>
        <v>0</v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>
        <f t="shared" si="333"/>
        <v>0</v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>
        <f t="shared" si="335"/>
        <v>6</v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>
        <f t="shared" si="337"/>
        <v>6</v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>
        <f t="shared" si="339"/>
        <v>6</v>
      </c>
      <c r="GV64" s="43">
        <f t="shared" si="340"/>
        <v>0</v>
      </c>
      <c r="GW64" s="30"/>
      <c r="GX64" s="47">
        <v>2</v>
      </c>
      <c r="GY64" s="48" t="s">
        <v>4</v>
      </c>
      <c r="GZ64" s="49">
        <v>1</v>
      </c>
      <c r="HA64" s="5"/>
      <c r="HB64" s="42">
        <f t="shared" si="341"/>
        <v>0</v>
      </c>
      <c r="HC64" s="43">
        <f t="shared" si="342"/>
        <v>1</v>
      </c>
      <c r="HD64" s="30"/>
      <c r="HE64" s="47">
        <v>2</v>
      </c>
      <c r="HF64" s="48" t="s">
        <v>4</v>
      </c>
      <c r="HG64" s="49">
        <v>1</v>
      </c>
      <c r="HH64" s="5"/>
      <c r="HI64" s="42">
        <f t="shared" si="343"/>
        <v>0</v>
      </c>
      <c r="HJ64" s="43">
        <f t="shared" si="344"/>
        <v>1</v>
      </c>
      <c r="HK64" s="30"/>
      <c r="HL64" s="47">
        <v>2</v>
      </c>
      <c r="HM64" s="48" t="s">
        <v>4</v>
      </c>
      <c r="HN64" s="49">
        <v>0</v>
      </c>
      <c r="HO64" s="5"/>
      <c r="HP64" s="42">
        <f t="shared" si="345"/>
        <v>0</v>
      </c>
      <c r="HQ64" s="43">
        <f t="shared" si="346"/>
        <v>2</v>
      </c>
      <c r="HR64" s="30"/>
      <c r="HS64" s="47">
        <v>2</v>
      </c>
      <c r="HT64" s="48" t="s">
        <v>4</v>
      </c>
      <c r="HU64" s="49">
        <v>0</v>
      </c>
      <c r="HV64" s="5"/>
      <c r="HW64" s="42">
        <f t="shared" si="347"/>
        <v>0</v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>
        <f t="shared" si="349"/>
        <v>0</v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>
        <f t="shared" si="351"/>
        <v>0</v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>
        <f t="shared" si="353"/>
        <v>0</v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>
        <f t="shared" si="355"/>
        <v>0</v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>
        <f t="shared" si="357"/>
        <v>0</v>
      </c>
      <c r="JG64" s="43">
        <f t="shared" si="358"/>
        <v>1</v>
      </c>
      <c r="JH64" s="30"/>
      <c r="JI64" s="47">
        <v>3</v>
      </c>
      <c r="JJ64" s="48" t="s">
        <v>4</v>
      </c>
      <c r="JK64" s="49">
        <v>2</v>
      </c>
      <c r="JL64" s="5"/>
      <c r="JM64" s="42">
        <f t="shared" si="359"/>
        <v>0</v>
      </c>
      <c r="JN64" s="43">
        <f t="shared" si="360"/>
        <v>1</v>
      </c>
      <c r="JO64" s="30"/>
      <c r="JP64" s="47">
        <v>1</v>
      </c>
      <c r="JQ64" s="48" t="s">
        <v>4</v>
      </c>
      <c r="JR64" s="49">
        <v>0</v>
      </c>
      <c r="JS64" s="5"/>
      <c r="JT64" s="42">
        <f t="shared" si="361"/>
        <v>0</v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>
        <f t="shared" si="363"/>
        <v>6</v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>
        <f t="shared" si="365"/>
        <v>0</v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>
        <f t="shared" si="367"/>
        <v>4</v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>
        <f t="shared" si="369"/>
        <v>0</v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>
        <f t="shared" si="371"/>
        <v>0</v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>
        <f t="shared" si="373"/>
        <v>0</v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>
        <f t="shared" si="375"/>
        <v>0</v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>
        <f t="shared" si="377"/>
        <v>6</v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>
        <f t="shared" si="379"/>
        <v>0</v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>
        <f t="shared" si="381"/>
        <v>0</v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>
        <f t="shared" si="383"/>
        <v>0</v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>
        <f t="shared" si="385"/>
        <v>0</v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>
        <f t="shared" si="387"/>
        <v>0</v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>
        <f t="shared" si="389"/>
        <v>0</v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>
        <f t="shared" si="391"/>
        <v>0</v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>
        <f t="shared" si="393"/>
        <v>6</v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>
        <f t="shared" si="395"/>
        <v>4</v>
      </c>
      <c r="OJ64" s="43">
        <f t="shared" si="396"/>
        <v>0</v>
      </c>
      <c r="OK64" s="30"/>
      <c r="OL64" s="47">
        <v>2</v>
      </c>
      <c r="OM64" s="48" t="s">
        <v>4</v>
      </c>
      <c r="ON64" s="49">
        <v>1</v>
      </c>
      <c r="OO64" s="5"/>
      <c r="OP64" s="42">
        <f t="shared" si="397"/>
        <v>0</v>
      </c>
      <c r="OQ64" s="43">
        <f t="shared" si="398"/>
        <v>1</v>
      </c>
      <c r="OR64" s="30"/>
      <c r="OS64" s="47">
        <v>1</v>
      </c>
      <c r="OT64" s="48" t="s">
        <v>4</v>
      </c>
      <c r="OU64" s="49">
        <v>3</v>
      </c>
      <c r="OV64" s="5"/>
      <c r="OW64" s="42">
        <f t="shared" si="399"/>
        <v>0</v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>
        <f t="shared" si="401"/>
        <v>0</v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>
        <f t="shared" si="403"/>
        <v>6</v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>
        <f t="shared" si="405"/>
        <v>4</v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>
        <f t="shared" si="407"/>
        <v>0</v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>
        <f t="shared" si="409"/>
        <v>4</v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>
        <f t="shared" si="411"/>
        <v>0</v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>
        <f t="shared" si="413"/>
        <v>0</v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>
        <f t="shared" si="415"/>
        <v>0</v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>
        <f t="shared" si="419"/>
        <v>6</v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>
        <f t="shared" si="421"/>
        <v>6</v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>
        <f t="shared" si="423"/>
        <v>6</v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>
        <f t="shared" si="425"/>
        <v>6</v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>
        <f t="shared" si="427"/>
        <v>0</v>
      </c>
      <c r="SR64" s="43">
        <f t="shared" si="428"/>
        <v>1</v>
      </c>
    </row>
    <row r="65" spans="1:512" customFormat="1" ht="16" customHeight="1" x14ac:dyDescent="0.15">
      <c r="A65" s="34">
        <v>46199</v>
      </c>
      <c r="B65" s="35">
        <v>4.1666666666666664E-2</v>
      </c>
      <c r="C65" s="79" t="s">
        <v>44</v>
      </c>
      <c r="D65" s="79" t="s">
        <v>23</v>
      </c>
      <c r="E65" s="2">
        <v>1</v>
      </c>
      <c r="F65" s="50" t="s">
        <v>4</v>
      </c>
      <c r="G65" s="1">
        <v>3</v>
      </c>
      <c r="H65" s="16">
        <v>4</v>
      </c>
      <c r="I65" s="32">
        <f t="shared" si="0"/>
        <v>-2</v>
      </c>
      <c r="J65" s="47">
        <v>1</v>
      </c>
      <c r="K65" s="48" t="s">
        <v>4</v>
      </c>
      <c r="L65" s="49">
        <v>2</v>
      </c>
      <c r="M65" s="5"/>
      <c r="N65" s="42">
        <f t="shared" si="1"/>
        <v>4</v>
      </c>
      <c r="O65" s="43">
        <f t="shared" si="2"/>
        <v>-1</v>
      </c>
      <c r="P65" s="43">
        <f>IF($I65=0,IF(AND(#REF!&gt;#REF!,OR(AND(T65="",Q65&gt;S65),T65=1)),1,IF(AND(#REF!&lt;#REF!,OR(AND(T65="",Q65&lt;S65),T65=2)),1,0)),0)</f>
        <v>0</v>
      </c>
      <c r="Q65" s="47">
        <v>0</v>
      </c>
      <c r="R65" s="48" t="s">
        <v>4</v>
      </c>
      <c r="S65" s="49">
        <v>2</v>
      </c>
      <c r="T65" s="5"/>
      <c r="U65" s="42">
        <f t="shared" si="287"/>
        <v>4</v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>
        <f t="shared" si="289"/>
        <v>4</v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>
        <f t="shared" si="291"/>
        <v>6</v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>
        <f t="shared" si="293"/>
        <v>4</v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>
        <f t="shared" si="295"/>
        <v>4</v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>
        <f t="shared" si="297"/>
        <v>6</v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>
        <f t="shared" si="299"/>
        <v>4</v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>
        <f t="shared" si="301"/>
        <v>4</v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>
        <f t="shared" si="303"/>
        <v>6</v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>
        <f t="shared" si="305"/>
        <v>6</v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>
        <f t="shared" si="307"/>
        <v>4</v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>
        <f t="shared" si="309"/>
        <v>4</v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>
        <f t="shared" si="311"/>
        <v>4</v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>
        <f t="shared" si="313"/>
        <v>4</v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>
        <f t="shared" si="315"/>
        <v>4</v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>
        <f t="shared" si="317"/>
        <v>4</v>
      </c>
      <c r="DW65" s="43">
        <f t="shared" si="318"/>
        <v>-2</v>
      </c>
      <c r="DX65" s="30"/>
      <c r="DY65" s="47">
        <v>0</v>
      </c>
      <c r="DZ65" s="48" t="s">
        <v>4</v>
      </c>
      <c r="EA65" s="49">
        <v>5</v>
      </c>
      <c r="EB65" s="5"/>
      <c r="EC65" s="42">
        <f t="shared" si="319"/>
        <v>4</v>
      </c>
      <c r="ED65" s="43">
        <f t="shared" si="320"/>
        <v>-5</v>
      </c>
      <c r="EE65" s="30"/>
      <c r="EF65" s="47">
        <v>0</v>
      </c>
      <c r="EG65" s="48" t="s">
        <v>4</v>
      </c>
      <c r="EH65" s="49">
        <v>1</v>
      </c>
      <c r="EI65" s="5"/>
      <c r="EJ65" s="42">
        <f t="shared" si="321"/>
        <v>4</v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>
        <f t="shared" si="323"/>
        <v>6</v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>
        <f t="shared" si="325"/>
        <v>0</v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>
        <f t="shared" si="327"/>
        <v>4</v>
      </c>
      <c r="FF65" s="43">
        <f t="shared" si="328"/>
        <v>-2</v>
      </c>
      <c r="FG65" s="30"/>
      <c r="FH65" s="47">
        <v>1</v>
      </c>
      <c r="FI65" s="48" t="s">
        <v>4</v>
      </c>
      <c r="FJ65" s="49">
        <v>3</v>
      </c>
      <c r="FK65" s="5"/>
      <c r="FL65" s="42">
        <f t="shared" si="329"/>
        <v>6</v>
      </c>
      <c r="FM65" s="43">
        <f t="shared" si="330"/>
        <v>-2</v>
      </c>
      <c r="FN65" s="30"/>
      <c r="FO65" s="47">
        <v>0</v>
      </c>
      <c r="FP65" s="48" t="s">
        <v>4</v>
      </c>
      <c r="FQ65" s="49">
        <v>2</v>
      </c>
      <c r="FR65" s="5"/>
      <c r="FS65" s="42">
        <f t="shared" si="331"/>
        <v>4</v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>
        <f t="shared" si="333"/>
        <v>0</v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>
        <f t="shared" si="335"/>
        <v>4</v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>
        <f t="shared" si="337"/>
        <v>4</v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>
        <f t="shared" si="339"/>
        <v>4</v>
      </c>
      <c r="GV65" s="43">
        <f t="shared" si="340"/>
        <v>-3</v>
      </c>
      <c r="GW65" s="30"/>
      <c r="GX65" s="47">
        <v>0</v>
      </c>
      <c r="GY65" s="48" t="s">
        <v>4</v>
      </c>
      <c r="GZ65" s="49">
        <v>3</v>
      </c>
      <c r="HA65" s="5"/>
      <c r="HB65" s="42">
        <f t="shared" si="341"/>
        <v>4</v>
      </c>
      <c r="HC65" s="43">
        <f t="shared" si="342"/>
        <v>-3</v>
      </c>
      <c r="HD65" s="30"/>
      <c r="HE65" s="47">
        <v>0</v>
      </c>
      <c r="HF65" s="48" t="s">
        <v>4</v>
      </c>
      <c r="HG65" s="49">
        <v>3</v>
      </c>
      <c r="HH65" s="5"/>
      <c r="HI65" s="42">
        <f t="shared" si="343"/>
        <v>4</v>
      </c>
      <c r="HJ65" s="43">
        <f t="shared" si="344"/>
        <v>-3</v>
      </c>
      <c r="HK65" s="30"/>
      <c r="HL65" s="47">
        <v>0</v>
      </c>
      <c r="HM65" s="48" t="s">
        <v>4</v>
      </c>
      <c r="HN65" s="49">
        <v>3</v>
      </c>
      <c r="HO65" s="5"/>
      <c r="HP65" s="42">
        <f t="shared" si="345"/>
        <v>4</v>
      </c>
      <c r="HQ65" s="43">
        <f t="shared" si="346"/>
        <v>-3</v>
      </c>
      <c r="HR65" s="30"/>
      <c r="HS65" s="47">
        <v>0</v>
      </c>
      <c r="HT65" s="48" t="s">
        <v>4</v>
      </c>
      <c r="HU65" s="49">
        <v>2</v>
      </c>
      <c r="HV65" s="5"/>
      <c r="HW65" s="42">
        <f t="shared" si="347"/>
        <v>4</v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>
        <f t="shared" si="349"/>
        <v>6</v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>
        <f t="shared" si="351"/>
        <v>4</v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>
        <f t="shared" si="353"/>
        <v>4</v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>
        <f t="shared" si="355"/>
        <v>4</v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>
        <f t="shared" si="357"/>
        <v>0</v>
      </c>
      <c r="JG65" s="43">
        <f t="shared" si="358"/>
        <v>0</v>
      </c>
      <c r="JH65" s="30"/>
      <c r="JI65" s="47">
        <v>0</v>
      </c>
      <c r="JJ65" s="48" t="s">
        <v>4</v>
      </c>
      <c r="JK65" s="49">
        <v>4</v>
      </c>
      <c r="JL65" s="5"/>
      <c r="JM65" s="42">
        <f t="shared" si="359"/>
        <v>4</v>
      </c>
      <c r="JN65" s="43">
        <f t="shared" si="360"/>
        <v>-4</v>
      </c>
      <c r="JO65" s="30"/>
      <c r="JP65" s="47">
        <v>2</v>
      </c>
      <c r="JQ65" s="48" t="s">
        <v>4</v>
      </c>
      <c r="JR65" s="49">
        <v>2</v>
      </c>
      <c r="JS65" s="5"/>
      <c r="JT65" s="42">
        <f t="shared" si="361"/>
        <v>0</v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>
        <f t="shared" si="363"/>
        <v>0</v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>
        <f t="shared" si="365"/>
        <v>4</v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>
        <f t="shared" si="367"/>
        <v>4</v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>
        <f t="shared" si="369"/>
        <v>0</v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>
        <f t="shared" si="371"/>
        <v>4</v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>
        <f t="shared" si="373"/>
        <v>6</v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>
        <f t="shared" si="375"/>
        <v>4</v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>
        <f t="shared" si="377"/>
        <v>4</v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>
        <f t="shared" si="379"/>
        <v>4</v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>
        <f t="shared" si="381"/>
        <v>6</v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>
        <f t="shared" si="383"/>
        <v>4</v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>
        <f t="shared" si="385"/>
        <v>4</v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>
        <f t="shared" si="387"/>
        <v>0</v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>
        <f t="shared" si="389"/>
        <v>0</v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>
        <f t="shared" si="391"/>
        <v>4</v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>
        <f t="shared" si="393"/>
        <v>4</v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>
        <f t="shared" si="395"/>
        <v>4</v>
      </c>
      <c r="OJ65" s="43">
        <f t="shared" si="396"/>
        <v>-3</v>
      </c>
      <c r="OK65" s="30"/>
      <c r="OL65" s="47">
        <v>1</v>
      </c>
      <c r="OM65" s="48" t="s">
        <v>4</v>
      </c>
      <c r="ON65" s="49">
        <v>4</v>
      </c>
      <c r="OO65" s="5"/>
      <c r="OP65" s="42">
        <f t="shared" si="397"/>
        <v>4</v>
      </c>
      <c r="OQ65" s="43">
        <f t="shared" si="398"/>
        <v>-3</v>
      </c>
      <c r="OR65" s="30"/>
      <c r="OS65" s="47">
        <v>2</v>
      </c>
      <c r="OT65" s="48" t="s">
        <v>4</v>
      </c>
      <c r="OU65" s="49">
        <v>1</v>
      </c>
      <c r="OV65" s="5"/>
      <c r="OW65" s="42">
        <f t="shared" si="399"/>
        <v>0</v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>
        <f t="shared" si="401"/>
        <v>4</v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>
        <f t="shared" si="403"/>
        <v>4</v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>
        <f t="shared" si="405"/>
        <v>4</v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>
        <f t="shared" si="407"/>
        <v>0</v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>
        <f t="shared" si="409"/>
        <v>6</v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>
        <f t="shared" si="411"/>
        <v>4</v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>
        <f t="shared" si="413"/>
        <v>0</v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>
        <f t="shared" si="415"/>
        <v>0</v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>
        <f t="shared" si="419"/>
        <v>4</v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>
        <f t="shared" si="421"/>
        <v>4</v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>
        <f t="shared" si="423"/>
        <v>4</v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>
        <f t="shared" si="425"/>
        <v>4</v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>
        <f t="shared" si="427"/>
        <v>4</v>
      </c>
      <c r="SR65" s="43">
        <f t="shared" si="428"/>
        <v>-1</v>
      </c>
    </row>
    <row r="66" spans="1:512" customFormat="1" ht="16" customHeight="1" x14ac:dyDescent="0.15">
      <c r="A66" s="51">
        <v>46199</v>
      </c>
      <c r="B66" s="46">
        <v>0.16666666666666666</v>
      </c>
      <c r="C66" s="79" t="s">
        <v>25</v>
      </c>
      <c r="D66" s="79" t="s">
        <v>32</v>
      </c>
      <c r="E66" s="2">
        <v>3</v>
      </c>
      <c r="F66" s="50" t="s">
        <v>4</v>
      </c>
      <c r="G66" s="1">
        <v>2</v>
      </c>
      <c r="H66" s="45">
        <v>0.2</v>
      </c>
      <c r="I66" s="32">
        <f t="shared" si="0"/>
        <v>1</v>
      </c>
      <c r="J66" s="47">
        <v>3</v>
      </c>
      <c r="K66" s="48" t="s">
        <v>4</v>
      </c>
      <c r="L66" s="49">
        <v>1</v>
      </c>
      <c r="M66" s="5"/>
      <c r="N66" s="42">
        <f t="shared" si="1"/>
        <v>0.2</v>
      </c>
      <c r="O66" s="43">
        <f t="shared" si="2"/>
        <v>2</v>
      </c>
      <c r="P66" s="43">
        <f>IF($I66=0,IF(AND(#REF!&gt;#REF!,OR(AND(T66="",Q66&gt;S66),T66=1)),1,IF(AND(#REF!&lt;#REF!,OR(AND(T66="",Q66&lt;S66),T66=2)),1,0)),0)</f>
        <v>0</v>
      </c>
      <c r="Q66" s="47">
        <v>10</v>
      </c>
      <c r="R66" s="48" t="s">
        <v>4</v>
      </c>
      <c r="S66" s="49">
        <v>0</v>
      </c>
      <c r="T66" s="5"/>
      <c r="U66" s="42">
        <f t="shared" si="287"/>
        <v>0.2</v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>
        <f t="shared" si="289"/>
        <v>0.2</v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>
        <f t="shared" si="291"/>
        <v>0.2</v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>
        <f t="shared" si="293"/>
        <v>0</v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>
        <f t="shared" si="295"/>
        <v>0.2</v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>
        <f t="shared" si="297"/>
        <v>0.2</v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>
        <f t="shared" si="299"/>
        <v>0.2</v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>
        <f t="shared" si="301"/>
        <v>0.2</v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>
        <f t="shared" si="303"/>
        <v>0</v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>
        <f t="shared" si="305"/>
        <v>0</v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>
        <f t="shared" si="307"/>
        <v>0</v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>
        <f t="shared" si="309"/>
        <v>0</v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>
        <f t="shared" si="311"/>
        <v>0</v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>
        <f t="shared" si="313"/>
        <v>0</v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>
        <f t="shared" si="315"/>
        <v>0.2</v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>
        <f t="shared" si="317"/>
        <v>0.2</v>
      </c>
      <c r="DW66" s="43">
        <f t="shared" si="318"/>
        <v>2</v>
      </c>
      <c r="DX66" s="30"/>
      <c r="DY66" s="47">
        <v>1</v>
      </c>
      <c r="DZ66" s="48" t="s">
        <v>4</v>
      </c>
      <c r="EA66" s="49">
        <v>0</v>
      </c>
      <c r="EB66" s="5"/>
      <c r="EC66" s="42">
        <f t="shared" si="319"/>
        <v>0.2</v>
      </c>
      <c r="ED66" s="43">
        <f t="shared" si="320"/>
        <v>1</v>
      </c>
      <c r="EE66" s="30"/>
      <c r="EF66" s="47">
        <v>1</v>
      </c>
      <c r="EG66" s="48" t="s">
        <v>4</v>
      </c>
      <c r="EH66" s="49">
        <v>1</v>
      </c>
      <c r="EI66" s="5"/>
      <c r="EJ66" s="42">
        <f t="shared" si="321"/>
        <v>0</v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>
        <f t="shared" si="323"/>
        <v>0.2</v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>
        <f t="shared" si="325"/>
        <v>0.2</v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>
        <f t="shared" si="327"/>
        <v>0</v>
      </c>
      <c r="FF66" s="43">
        <f t="shared" si="328"/>
        <v>-1</v>
      </c>
      <c r="FG66" s="30"/>
      <c r="FH66" s="47">
        <v>0</v>
      </c>
      <c r="FI66" s="48" t="s">
        <v>4</v>
      </c>
      <c r="FJ66" s="49">
        <v>2</v>
      </c>
      <c r="FK66" s="5"/>
      <c r="FL66" s="42">
        <f t="shared" si="329"/>
        <v>0</v>
      </c>
      <c r="FM66" s="43">
        <f t="shared" si="330"/>
        <v>-2</v>
      </c>
      <c r="FN66" s="30"/>
      <c r="FO66" s="47">
        <v>1</v>
      </c>
      <c r="FP66" s="48" t="s">
        <v>4</v>
      </c>
      <c r="FQ66" s="49">
        <v>1</v>
      </c>
      <c r="FR66" s="5"/>
      <c r="FS66" s="42">
        <f t="shared" si="331"/>
        <v>0</v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>
        <f t="shared" si="333"/>
        <v>0</v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>
        <f t="shared" si="335"/>
        <v>0.2</v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>
        <f t="shared" si="337"/>
        <v>0</v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>
        <f t="shared" si="339"/>
        <v>0</v>
      </c>
      <c r="GV66" s="43">
        <f t="shared" si="340"/>
        <v>0</v>
      </c>
      <c r="GW66" s="30"/>
      <c r="GX66" s="47">
        <v>1</v>
      </c>
      <c r="GY66" s="48" t="s">
        <v>4</v>
      </c>
      <c r="GZ66" s="49">
        <v>2</v>
      </c>
      <c r="HA66" s="5"/>
      <c r="HB66" s="42">
        <f t="shared" si="341"/>
        <v>0</v>
      </c>
      <c r="HC66" s="43">
        <f t="shared" si="342"/>
        <v>-1</v>
      </c>
      <c r="HD66" s="30"/>
      <c r="HE66" s="47">
        <v>1</v>
      </c>
      <c r="HF66" s="48" t="s">
        <v>4</v>
      </c>
      <c r="HG66" s="49">
        <v>2</v>
      </c>
      <c r="HH66" s="5"/>
      <c r="HI66" s="42">
        <f t="shared" si="343"/>
        <v>0</v>
      </c>
      <c r="HJ66" s="43">
        <f t="shared" si="344"/>
        <v>-1</v>
      </c>
      <c r="HK66" s="30"/>
      <c r="HL66" s="47">
        <v>0</v>
      </c>
      <c r="HM66" s="48" t="s">
        <v>4</v>
      </c>
      <c r="HN66" s="49">
        <v>0</v>
      </c>
      <c r="HO66" s="5"/>
      <c r="HP66" s="42">
        <f t="shared" si="345"/>
        <v>0</v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>
        <f t="shared" si="347"/>
        <v>0.2</v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>
        <f t="shared" si="349"/>
        <v>0.2</v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>
        <f t="shared" si="351"/>
        <v>0.2</v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>
        <f t="shared" si="353"/>
        <v>0.2</v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>
        <f t="shared" si="355"/>
        <v>0.2</v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>
        <f t="shared" si="357"/>
        <v>0.2</v>
      </c>
      <c r="JG66" s="43">
        <f t="shared" si="358"/>
        <v>1</v>
      </c>
      <c r="JH66" s="30"/>
      <c r="JI66" s="47">
        <v>3</v>
      </c>
      <c r="JJ66" s="48" t="s">
        <v>4</v>
      </c>
      <c r="JK66" s="49">
        <v>2</v>
      </c>
      <c r="JL66" s="5"/>
      <c r="JM66" s="42">
        <f t="shared" si="359"/>
        <v>0.30000000000000004</v>
      </c>
      <c r="JN66" s="43">
        <f t="shared" si="360"/>
        <v>1</v>
      </c>
      <c r="JO66" s="30"/>
      <c r="JP66" s="47">
        <v>3</v>
      </c>
      <c r="JQ66" s="48" t="s">
        <v>4</v>
      </c>
      <c r="JR66" s="49">
        <v>0</v>
      </c>
      <c r="JS66" s="5"/>
      <c r="JT66" s="42">
        <f t="shared" si="361"/>
        <v>0.2</v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>
        <f t="shared" si="363"/>
        <v>0.2</v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>
        <f t="shared" si="365"/>
        <v>0</v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>
        <f t="shared" si="367"/>
        <v>0.2</v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>
        <f t="shared" si="369"/>
        <v>0.2</v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>
        <f t="shared" si="371"/>
        <v>0.2</v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>
        <f t="shared" si="373"/>
        <v>0.30000000000000004</v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>
        <f t="shared" si="375"/>
        <v>0.2</v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>
        <f t="shared" si="377"/>
        <v>0</v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>
        <f t="shared" si="379"/>
        <v>0</v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>
        <f t="shared" si="381"/>
        <v>0</v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>
        <f t="shared" si="383"/>
        <v>0</v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>
        <f t="shared" si="385"/>
        <v>0.2</v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>
        <f t="shared" si="387"/>
        <v>0.2</v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>
        <f t="shared" si="389"/>
        <v>0.2</v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>
        <f t="shared" si="391"/>
        <v>0</v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>
        <f t="shared" si="393"/>
        <v>0</v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>
        <f t="shared" si="395"/>
        <v>0.2</v>
      </c>
      <c r="OJ66" s="43">
        <f t="shared" si="396"/>
        <v>1</v>
      </c>
      <c r="OK66" s="30"/>
      <c r="OL66" s="47">
        <v>1</v>
      </c>
      <c r="OM66" s="48" t="s">
        <v>4</v>
      </c>
      <c r="ON66" s="49">
        <v>3</v>
      </c>
      <c r="OO66" s="5"/>
      <c r="OP66" s="42">
        <f t="shared" si="397"/>
        <v>0</v>
      </c>
      <c r="OQ66" s="43">
        <f t="shared" si="398"/>
        <v>-2</v>
      </c>
      <c r="OR66" s="30"/>
      <c r="OS66" s="47">
        <v>1</v>
      </c>
      <c r="OT66" s="48" t="s">
        <v>4</v>
      </c>
      <c r="OU66" s="49">
        <v>0</v>
      </c>
      <c r="OV66" s="5"/>
      <c r="OW66" s="42">
        <f t="shared" si="399"/>
        <v>0.2</v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>
        <f t="shared" si="401"/>
        <v>0</v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>
        <f t="shared" si="403"/>
        <v>0</v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>
        <f t="shared" si="405"/>
        <v>0</v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>
        <f t="shared" si="407"/>
        <v>0</v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>
        <f t="shared" si="409"/>
        <v>0</v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>
        <f t="shared" si="411"/>
        <v>0.2</v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>
        <f t="shared" si="413"/>
        <v>0.2</v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>
        <f t="shared" si="415"/>
        <v>0</v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>
        <f t="shared" si="419"/>
        <v>0</v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>
        <f t="shared" si="421"/>
        <v>0</v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>
        <f t="shared" si="423"/>
        <v>0</v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>
        <f t="shared" si="425"/>
        <v>0.2</v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>
        <f t="shared" si="427"/>
        <v>0.2</v>
      </c>
      <c r="SR66" s="43">
        <f t="shared" si="428"/>
        <v>1</v>
      </c>
    </row>
    <row r="67" spans="1:512" customFormat="1" ht="16" customHeight="1" x14ac:dyDescent="0.15">
      <c r="A67" s="51">
        <v>46199</v>
      </c>
      <c r="B67" s="46">
        <v>0.16666666666666666</v>
      </c>
      <c r="C67" s="82" t="s">
        <v>33</v>
      </c>
      <c r="D67" s="82" t="s">
        <v>38</v>
      </c>
      <c r="E67" s="2">
        <v>0</v>
      </c>
      <c r="F67" s="50" t="s">
        <v>4</v>
      </c>
      <c r="G67" s="1">
        <v>0</v>
      </c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>
        <f t="shared" si="1"/>
        <v>4</v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>
        <f t="shared" si="287"/>
        <v>4</v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>
        <f t="shared" si="289"/>
        <v>6</v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>
        <f t="shared" si="291"/>
        <v>0</v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>
        <f t="shared" si="293"/>
        <v>0</v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>
        <f t="shared" si="295"/>
        <v>4</v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>
        <f t="shared" si="297"/>
        <v>0</v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>
        <f t="shared" si="299"/>
        <v>0</v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>
        <f t="shared" si="301"/>
        <v>4</v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>
        <f t="shared" si="303"/>
        <v>0</v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>
        <f t="shared" si="305"/>
        <v>0</v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>
        <f t="shared" si="307"/>
        <v>0</v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>
        <f t="shared" si="309"/>
        <v>4</v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>
        <f t="shared" si="311"/>
        <v>0</v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>
        <f t="shared" si="313"/>
        <v>6</v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>
        <f t="shared" si="315"/>
        <v>4</v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>
        <f t="shared" si="317"/>
        <v>0</v>
      </c>
      <c r="DW67" s="43">
        <f t="shared" si="318"/>
        <v>2</v>
      </c>
      <c r="DX67" s="30"/>
      <c r="DY67" s="47">
        <v>1</v>
      </c>
      <c r="DZ67" s="48" t="s">
        <v>4</v>
      </c>
      <c r="EA67" s="49">
        <v>2</v>
      </c>
      <c r="EB67" s="5"/>
      <c r="EC67" s="42">
        <f t="shared" si="319"/>
        <v>0</v>
      </c>
      <c r="ED67" s="43">
        <f t="shared" si="320"/>
        <v>-1</v>
      </c>
      <c r="EE67" s="30"/>
      <c r="EF67" s="47">
        <v>1</v>
      </c>
      <c r="EG67" s="48" t="s">
        <v>4</v>
      </c>
      <c r="EH67" s="49">
        <v>0</v>
      </c>
      <c r="EI67" s="5"/>
      <c r="EJ67" s="42">
        <f t="shared" si="321"/>
        <v>0</v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>
        <f t="shared" si="323"/>
        <v>0</v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>
        <f t="shared" si="325"/>
        <v>0</v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>
        <f t="shared" si="327"/>
        <v>4</v>
      </c>
      <c r="FF67" s="43">
        <f t="shared" si="328"/>
        <v>0</v>
      </c>
      <c r="FG67" s="30"/>
      <c r="FH67" s="47">
        <v>0</v>
      </c>
      <c r="FI67" s="48" t="s">
        <v>4</v>
      </c>
      <c r="FJ67" s="49">
        <v>0</v>
      </c>
      <c r="FK67" s="5"/>
      <c r="FL67" s="42">
        <f t="shared" si="329"/>
        <v>6</v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>
        <f t="shared" si="331"/>
        <v>0</v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>
        <f t="shared" si="333"/>
        <v>0</v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>
        <f t="shared" si="335"/>
        <v>0</v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>
        <f t="shared" si="337"/>
        <v>0</v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>
        <f t="shared" si="339"/>
        <v>0</v>
      </c>
      <c r="GV67" s="43">
        <f t="shared" si="340"/>
        <v>-1</v>
      </c>
      <c r="GW67" s="30"/>
      <c r="GX67" s="47">
        <v>1</v>
      </c>
      <c r="GY67" s="48" t="s">
        <v>4</v>
      </c>
      <c r="GZ67" s="49">
        <v>1</v>
      </c>
      <c r="HA67" s="5"/>
      <c r="HB67" s="42">
        <f t="shared" si="341"/>
        <v>4</v>
      </c>
      <c r="HC67" s="43">
        <f t="shared" si="342"/>
        <v>0</v>
      </c>
      <c r="HD67" s="30"/>
      <c r="HE67" s="47">
        <v>0</v>
      </c>
      <c r="HF67" s="48" t="s">
        <v>4</v>
      </c>
      <c r="HG67" s="49">
        <v>2</v>
      </c>
      <c r="HH67" s="5"/>
      <c r="HI67" s="42">
        <f t="shared" si="343"/>
        <v>0</v>
      </c>
      <c r="HJ67" s="43">
        <f t="shared" si="344"/>
        <v>-2</v>
      </c>
      <c r="HK67" s="30"/>
      <c r="HL67" s="47">
        <v>1</v>
      </c>
      <c r="HM67" s="48" t="s">
        <v>4</v>
      </c>
      <c r="HN67" s="49">
        <v>1</v>
      </c>
      <c r="HO67" s="5"/>
      <c r="HP67" s="42">
        <f t="shared" si="345"/>
        <v>4</v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>
        <f t="shared" si="347"/>
        <v>0</v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>
        <f t="shared" si="349"/>
        <v>0</v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>
        <f t="shared" si="351"/>
        <v>0</v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>
        <f t="shared" si="353"/>
        <v>0</v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>
        <f t="shared" si="355"/>
        <v>0</v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>
        <f t="shared" si="357"/>
        <v>0</v>
      </c>
      <c r="JG67" s="43">
        <f t="shared" si="358"/>
        <v>-1</v>
      </c>
      <c r="JH67" s="30"/>
      <c r="JI67" s="47">
        <v>2</v>
      </c>
      <c r="JJ67" s="48" t="s">
        <v>4</v>
      </c>
      <c r="JK67" s="49">
        <v>2</v>
      </c>
      <c r="JL67" s="5"/>
      <c r="JM67" s="42">
        <f t="shared" si="359"/>
        <v>4</v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>
        <f t="shared" si="361"/>
        <v>0</v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>
        <f t="shared" si="363"/>
        <v>0</v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>
        <f t="shared" si="365"/>
        <v>0</v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>
        <f t="shared" si="367"/>
        <v>0</v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>
        <f t="shared" si="369"/>
        <v>0</v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>
        <f t="shared" si="371"/>
        <v>0</v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>
        <f t="shared" si="373"/>
        <v>0</v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>
        <f t="shared" si="375"/>
        <v>4</v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>
        <f t="shared" si="377"/>
        <v>6</v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>
        <f t="shared" si="379"/>
        <v>0</v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>
        <f t="shared" si="381"/>
        <v>0</v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>
        <f t="shared" si="383"/>
        <v>0</v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>
        <f t="shared" si="385"/>
        <v>0</v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>
        <f t="shared" si="387"/>
        <v>4</v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>
        <f t="shared" si="389"/>
        <v>0</v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>
        <f t="shared" si="391"/>
        <v>0</v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>
        <f t="shared" si="393"/>
        <v>4</v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>
        <f t="shared" si="395"/>
        <v>0</v>
      </c>
      <c r="OJ67" s="43">
        <f t="shared" si="396"/>
        <v>-1</v>
      </c>
      <c r="OK67" s="30"/>
      <c r="OL67" s="47">
        <v>1</v>
      </c>
      <c r="OM67" s="48" t="s">
        <v>4</v>
      </c>
      <c r="ON67" s="49">
        <v>1</v>
      </c>
      <c r="OO67" s="5"/>
      <c r="OP67" s="42">
        <f t="shared" si="397"/>
        <v>4</v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>
        <f t="shared" si="399"/>
        <v>4</v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>
        <f t="shared" si="401"/>
        <v>0</v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>
        <f t="shared" si="403"/>
        <v>0</v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>
        <f t="shared" si="405"/>
        <v>4</v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>
        <f t="shared" si="407"/>
        <v>0</v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>
        <f t="shared" si="409"/>
        <v>4</v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>
        <f t="shared" si="411"/>
        <v>0</v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>
        <f t="shared" si="413"/>
        <v>4</v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>
        <f t="shared" si="415"/>
        <v>0</v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>
        <f t="shared" si="419"/>
        <v>6</v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>
        <f t="shared" si="421"/>
        <v>4</v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>
        <f t="shared" si="423"/>
        <v>4</v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>
        <f t="shared" si="425"/>
        <v>4</v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>
        <f t="shared" si="427"/>
        <v>0</v>
      </c>
      <c r="SR67" s="43">
        <f t="shared" si="428"/>
        <v>1</v>
      </c>
    </row>
    <row r="68" spans="1:512" customFormat="1" ht="16" customHeight="1" x14ac:dyDescent="0.15">
      <c r="A68" s="51">
        <v>46199</v>
      </c>
      <c r="B68" s="35">
        <v>0.875</v>
      </c>
      <c r="C68" s="82" t="s">
        <v>53</v>
      </c>
      <c r="D68" s="82" t="s">
        <v>10</v>
      </c>
      <c r="E68" s="2">
        <v>1</v>
      </c>
      <c r="F68" s="50" t="s">
        <v>4</v>
      </c>
      <c r="G68" s="1">
        <v>4</v>
      </c>
      <c r="H68" s="16">
        <v>4</v>
      </c>
      <c r="I68" s="32">
        <f t="shared" si="0"/>
        <v>-3</v>
      </c>
      <c r="J68" s="47">
        <v>1</v>
      </c>
      <c r="K68" s="48" t="s">
        <v>4</v>
      </c>
      <c r="L68" s="49">
        <v>2</v>
      </c>
      <c r="M68" s="5"/>
      <c r="N68" s="42">
        <f t="shared" si="1"/>
        <v>4</v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>
        <f t="shared" si="287"/>
        <v>4</v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>
        <f t="shared" si="289"/>
        <v>4</v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>
        <f t="shared" si="291"/>
        <v>0</v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>
        <f t="shared" si="293"/>
        <v>4</v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>
        <f t="shared" si="295"/>
        <v>4</v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>
        <f t="shared" si="297"/>
        <v>0</v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>
        <f t="shared" si="299"/>
        <v>4</v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>
        <f t="shared" si="301"/>
        <v>0</v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>
        <f t="shared" si="303"/>
        <v>4</v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>
        <f t="shared" si="305"/>
        <v>4</v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>
        <f t="shared" si="307"/>
        <v>4</v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>
        <f t="shared" si="309"/>
        <v>4</v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>
        <f t="shared" si="311"/>
        <v>4</v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>
        <f t="shared" si="313"/>
        <v>4</v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>
        <f t="shared" si="315"/>
        <v>0</v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>
        <f t="shared" si="317"/>
        <v>0</v>
      </c>
      <c r="DW68" s="43">
        <f t="shared" si="318"/>
        <v>0</v>
      </c>
      <c r="DX68" s="30"/>
      <c r="DY68" s="47">
        <v>3</v>
      </c>
      <c r="DZ68" s="48" t="s">
        <v>4</v>
      </c>
      <c r="EA68" s="49">
        <v>2</v>
      </c>
      <c r="EB68" s="5"/>
      <c r="EC68" s="42">
        <f t="shared" si="319"/>
        <v>0</v>
      </c>
      <c r="ED68" s="43">
        <f t="shared" si="320"/>
        <v>1</v>
      </c>
      <c r="EE68" s="30"/>
      <c r="EF68" s="47">
        <v>1</v>
      </c>
      <c r="EG68" s="48" t="s">
        <v>4</v>
      </c>
      <c r="EH68" s="49">
        <v>2</v>
      </c>
      <c r="EI68" s="5"/>
      <c r="EJ68" s="42">
        <f t="shared" si="321"/>
        <v>4</v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>
        <f t="shared" si="323"/>
        <v>4</v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>
        <f t="shared" si="325"/>
        <v>6</v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>
        <f t="shared" si="327"/>
        <v>4</v>
      </c>
      <c r="FF68" s="43">
        <f t="shared" si="328"/>
        <v>-2</v>
      </c>
      <c r="FG68" s="30"/>
      <c r="FH68" s="47">
        <v>1</v>
      </c>
      <c r="FI68" s="48" t="s">
        <v>4</v>
      </c>
      <c r="FJ68" s="49">
        <v>1</v>
      </c>
      <c r="FK68" s="5"/>
      <c r="FL68" s="42">
        <f t="shared" si="329"/>
        <v>0</v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>
        <f t="shared" si="331"/>
        <v>4</v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>
        <f t="shared" si="333"/>
        <v>4</v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>
        <f t="shared" si="335"/>
        <v>0</v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>
        <f t="shared" si="337"/>
        <v>4</v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>
        <f t="shared" si="339"/>
        <v>4</v>
      </c>
      <c r="GV68" s="43">
        <f t="shared" si="340"/>
        <v>-1</v>
      </c>
      <c r="GW68" s="30"/>
      <c r="GX68" s="47">
        <v>1</v>
      </c>
      <c r="GY68" s="48" t="s">
        <v>4</v>
      </c>
      <c r="GZ68" s="49">
        <v>3</v>
      </c>
      <c r="HA68" s="5"/>
      <c r="HB68" s="42">
        <f t="shared" si="341"/>
        <v>4</v>
      </c>
      <c r="HC68" s="43">
        <f t="shared" si="342"/>
        <v>-2</v>
      </c>
      <c r="HD68" s="30"/>
      <c r="HE68" s="47">
        <v>1</v>
      </c>
      <c r="HF68" s="48" t="s">
        <v>4</v>
      </c>
      <c r="HG68" s="49">
        <v>3</v>
      </c>
      <c r="HH68" s="5"/>
      <c r="HI68" s="42">
        <f t="shared" si="343"/>
        <v>4</v>
      </c>
      <c r="HJ68" s="43">
        <f t="shared" si="344"/>
        <v>-2</v>
      </c>
      <c r="HK68" s="30"/>
      <c r="HL68" s="47">
        <v>1</v>
      </c>
      <c r="HM68" s="48" t="s">
        <v>4</v>
      </c>
      <c r="HN68" s="49">
        <v>3</v>
      </c>
      <c r="HO68" s="5"/>
      <c r="HP68" s="42">
        <f t="shared" si="345"/>
        <v>4</v>
      </c>
      <c r="HQ68" s="43">
        <f t="shared" si="346"/>
        <v>-2</v>
      </c>
      <c r="HR68" s="30"/>
      <c r="HS68" s="47">
        <v>0</v>
      </c>
      <c r="HT68" s="48" t="s">
        <v>4</v>
      </c>
      <c r="HU68" s="49">
        <v>2</v>
      </c>
      <c r="HV68" s="5"/>
      <c r="HW68" s="42">
        <f t="shared" si="347"/>
        <v>4</v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>
        <f t="shared" si="349"/>
        <v>4</v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>
        <f t="shared" si="351"/>
        <v>0</v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>
        <f t="shared" si="353"/>
        <v>4</v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>
        <f t="shared" si="355"/>
        <v>4</v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>
        <f t="shared" si="357"/>
        <v>4</v>
      </c>
      <c r="JG68" s="43">
        <f t="shared" si="358"/>
        <v>-1</v>
      </c>
      <c r="JH68" s="30"/>
      <c r="JI68" s="47">
        <v>3</v>
      </c>
      <c r="JJ68" s="48" t="s">
        <v>4</v>
      </c>
      <c r="JK68" s="49">
        <v>1</v>
      </c>
      <c r="JL68" s="5"/>
      <c r="JM68" s="42">
        <f t="shared" si="359"/>
        <v>0</v>
      </c>
      <c r="JN68" s="43">
        <f t="shared" si="360"/>
        <v>2</v>
      </c>
      <c r="JO68" s="30"/>
      <c r="JP68" s="47">
        <v>1</v>
      </c>
      <c r="JQ68" s="48" t="s">
        <v>4</v>
      </c>
      <c r="JR68" s="49">
        <v>1</v>
      </c>
      <c r="JS68" s="5"/>
      <c r="JT68" s="42">
        <f t="shared" si="361"/>
        <v>0</v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>
        <f t="shared" si="363"/>
        <v>4</v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>
        <f t="shared" si="365"/>
        <v>4</v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>
        <f t="shared" si="367"/>
        <v>4</v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>
        <f t="shared" si="369"/>
        <v>0</v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>
        <f t="shared" si="371"/>
        <v>4</v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>
        <f t="shared" si="373"/>
        <v>4</v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>
        <f t="shared" si="375"/>
        <v>4</v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>
        <f t="shared" si="377"/>
        <v>0</v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>
        <f t="shared" si="379"/>
        <v>4</v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>
        <f t="shared" si="381"/>
        <v>4</v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>
        <f t="shared" si="383"/>
        <v>4</v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>
        <f t="shared" si="385"/>
        <v>4</v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>
        <f t="shared" si="387"/>
        <v>4</v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>
        <f t="shared" si="389"/>
        <v>0</v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>
        <f t="shared" si="391"/>
        <v>0</v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>
        <f t="shared" si="393"/>
        <v>4</v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>
        <f t="shared" si="395"/>
        <v>4</v>
      </c>
      <c r="OJ68" s="43">
        <f t="shared" si="396"/>
        <v>-2</v>
      </c>
      <c r="OK68" s="30"/>
      <c r="OL68" s="47">
        <v>1</v>
      </c>
      <c r="OM68" s="48" t="s">
        <v>4</v>
      </c>
      <c r="ON68" s="49">
        <v>2</v>
      </c>
      <c r="OO68" s="5"/>
      <c r="OP68" s="42">
        <f t="shared" si="397"/>
        <v>4</v>
      </c>
      <c r="OQ68" s="43">
        <f t="shared" si="398"/>
        <v>-1</v>
      </c>
      <c r="OR68" s="30"/>
      <c r="OS68" s="47">
        <v>1</v>
      </c>
      <c r="OT68" s="48" t="s">
        <v>4</v>
      </c>
      <c r="OU68" s="49">
        <v>3</v>
      </c>
      <c r="OV68" s="5"/>
      <c r="OW68" s="42">
        <f t="shared" si="399"/>
        <v>4</v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>
        <f t="shared" si="401"/>
        <v>4</v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>
        <f t="shared" si="403"/>
        <v>4</v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>
        <f t="shared" si="405"/>
        <v>4</v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>
        <f t="shared" si="407"/>
        <v>4</v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>
        <f t="shared" si="409"/>
        <v>4</v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>
        <f t="shared" si="411"/>
        <v>4</v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>
        <f t="shared" si="413"/>
        <v>6</v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>
        <f t="shared" si="415"/>
        <v>0</v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>
        <f t="shared" si="419"/>
        <v>4</v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>
        <f t="shared" si="421"/>
        <v>4</v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>
        <f t="shared" si="423"/>
        <v>4</v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>
        <f t="shared" si="425"/>
        <v>4</v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>
        <f t="shared" si="427"/>
        <v>4</v>
      </c>
      <c r="SR68" s="43">
        <f t="shared" si="428"/>
        <v>-1</v>
      </c>
    </row>
    <row r="69" spans="1:512" customFormat="1" ht="16" customHeight="1" x14ac:dyDescent="0.15">
      <c r="A69" s="51">
        <v>46199</v>
      </c>
      <c r="B69" s="46">
        <v>0.875</v>
      </c>
      <c r="C69" s="82" t="s">
        <v>51</v>
      </c>
      <c r="D69" s="82" t="s">
        <v>52</v>
      </c>
      <c r="E69" s="2">
        <v>5</v>
      </c>
      <c r="F69" s="50" t="s">
        <v>4</v>
      </c>
      <c r="G69" s="1">
        <v>0</v>
      </c>
      <c r="H69" s="16">
        <v>4</v>
      </c>
      <c r="I69" s="32">
        <f t="shared" si="0"/>
        <v>5</v>
      </c>
      <c r="J69" s="47">
        <v>2</v>
      </c>
      <c r="K69" s="48" t="s">
        <v>4</v>
      </c>
      <c r="L69" s="49">
        <v>0</v>
      </c>
      <c r="M69" s="5"/>
      <c r="N69" s="42">
        <f t="shared" si="1"/>
        <v>4</v>
      </c>
      <c r="O69" s="43">
        <f t="shared" si="2"/>
        <v>2</v>
      </c>
      <c r="P69" s="43">
        <f>IF($I69=0,IF(AND(#REF!&gt;#REF!,OR(AND(T69="",Q69&gt;S69),T69=1)),1,IF(AND(#REF!&lt;#REF!,OR(AND(T69="",Q69&lt;S69),T69=2)),1,0)),0)</f>
        <v>0</v>
      </c>
      <c r="Q69" s="47">
        <v>2</v>
      </c>
      <c r="R69" s="48" t="s">
        <v>4</v>
      </c>
      <c r="S69" s="49">
        <v>1</v>
      </c>
      <c r="T69" s="5"/>
      <c r="U69" s="42">
        <f t="shared" si="287"/>
        <v>4</v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>
        <f t="shared" si="289"/>
        <v>4</v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>
        <f t="shared" si="291"/>
        <v>4</v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>
        <f t="shared" si="293"/>
        <v>4</v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>
        <f t="shared" si="295"/>
        <v>4</v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>
        <f t="shared" si="297"/>
        <v>4</v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>
        <f t="shared" si="299"/>
        <v>4</v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>
        <f t="shared" si="301"/>
        <v>4</v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>
        <f t="shared" si="303"/>
        <v>4</v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>
        <f t="shared" si="305"/>
        <v>0</v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>
        <f t="shared" si="307"/>
        <v>4</v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>
        <f t="shared" si="309"/>
        <v>4</v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>
        <f t="shared" si="311"/>
        <v>4</v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>
        <f t="shared" si="313"/>
        <v>4</v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>
        <f t="shared" si="315"/>
        <v>0</v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>
        <f t="shared" si="317"/>
        <v>4</v>
      </c>
      <c r="DW69" s="43">
        <f t="shared" si="318"/>
        <v>3</v>
      </c>
      <c r="DX69" s="30"/>
      <c r="DY69" s="47">
        <v>2</v>
      </c>
      <c r="DZ69" s="48" t="s">
        <v>4</v>
      </c>
      <c r="EA69" s="49">
        <v>0</v>
      </c>
      <c r="EB69" s="5"/>
      <c r="EC69" s="42">
        <f t="shared" si="319"/>
        <v>4</v>
      </c>
      <c r="ED69" s="43">
        <f t="shared" si="320"/>
        <v>2</v>
      </c>
      <c r="EE69" s="30"/>
      <c r="EF69" s="47">
        <v>2</v>
      </c>
      <c r="EG69" s="48" t="s">
        <v>4</v>
      </c>
      <c r="EH69" s="49">
        <v>0</v>
      </c>
      <c r="EI69" s="5"/>
      <c r="EJ69" s="42">
        <f t="shared" si="321"/>
        <v>4</v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>
        <f t="shared" si="323"/>
        <v>4</v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>
        <f t="shared" si="325"/>
        <v>4</v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>
        <f t="shared" si="327"/>
        <v>4</v>
      </c>
      <c r="FF69" s="43">
        <f t="shared" si="328"/>
        <v>2</v>
      </c>
      <c r="FG69" s="30"/>
      <c r="FH69" s="47">
        <v>2</v>
      </c>
      <c r="FI69" s="48" t="s">
        <v>4</v>
      </c>
      <c r="FJ69" s="49">
        <v>1</v>
      </c>
      <c r="FK69" s="5"/>
      <c r="FL69" s="42">
        <f t="shared" si="329"/>
        <v>4</v>
      </c>
      <c r="FM69" s="43">
        <f t="shared" si="330"/>
        <v>1</v>
      </c>
      <c r="FN69" s="30"/>
      <c r="FO69" s="47">
        <v>1</v>
      </c>
      <c r="FP69" s="48" t="s">
        <v>4</v>
      </c>
      <c r="FQ69" s="49">
        <v>1</v>
      </c>
      <c r="FR69" s="5"/>
      <c r="FS69" s="42">
        <f t="shared" si="331"/>
        <v>0</v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>
        <f t="shared" si="333"/>
        <v>4</v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>
        <f t="shared" si="335"/>
        <v>4</v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>
        <f t="shared" si="337"/>
        <v>4</v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>
        <f t="shared" si="339"/>
        <v>4</v>
      </c>
      <c r="GV69" s="43">
        <f t="shared" si="340"/>
        <v>1</v>
      </c>
      <c r="GW69" s="30"/>
      <c r="GX69" s="47">
        <v>2</v>
      </c>
      <c r="GY69" s="48" t="s">
        <v>4</v>
      </c>
      <c r="GZ69" s="49">
        <v>0</v>
      </c>
      <c r="HA69" s="5"/>
      <c r="HB69" s="42">
        <f t="shared" si="341"/>
        <v>4</v>
      </c>
      <c r="HC69" s="43">
        <f t="shared" si="342"/>
        <v>2</v>
      </c>
      <c r="HD69" s="30"/>
      <c r="HE69" s="47">
        <v>3</v>
      </c>
      <c r="HF69" s="48" t="s">
        <v>4</v>
      </c>
      <c r="HG69" s="49">
        <v>1</v>
      </c>
      <c r="HH69" s="5"/>
      <c r="HI69" s="42">
        <f t="shared" si="343"/>
        <v>4</v>
      </c>
      <c r="HJ69" s="43">
        <f t="shared" si="344"/>
        <v>2</v>
      </c>
      <c r="HK69" s="30"/>
      <c r="HL69" s="47">
        <v>1</v>
      </c>
      <c r="HM69" s="48" t="s">
        <v>4</v>
      </c>
      <c r="HN69" s="49">
        <v>0</v>
      </c>
      <c r="HO69" s="5"/>
      <c r="HP69" s="42">
        <f t="shared" si="345"/>
        <v>4</v>
      </c>
      <c r="HQ69" s="43">
        <f t="shared" si="346"/>
        <v>1</v>
      </c>
      <c r="HR69" s="30"/>
      <c r="HS69" s="47">
        <v>1</v>
      </c>
      <c r="HT69" s="48" t="s">
        <v>4</v>
      </c>
      <c r="HU69" s="49">
        <v>0</v>
      </c>
      <c r="HV69" s="5"/>
      <c r="HW69" s="42">
        <f t="shared" si="347"/>
        <v>4</v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>
        <f t="shared" si="349"/>
        <v>4</v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>
        <f t="shared" si="351"/>
        <v>0</v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>
        <f t="shared" si="353"/>
        <v>4</v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>
        <f t="shared" si="355"/>
        <v>4</v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>
        <f t="shared" si="357"/>
        <v>4</v>
      </c>
      <c r="JG69" s="43">
        <f t="shared" si="358"/>
        <v>1</v>
      </c>
      <c r="JH69" s="30"/>
      <c r="JI69" s="47">
        <v>2</v>
      </c>
      <c r="JJ69" s="48" t="s">
        <v>4</v>
      </c>
      <c r="JK69" s="49">
        <v>0</v>
      </c>
      <c r="JL69" s="5"/>
      <c r="JM69" s="42">
        <f t="shared" si="359"/>
        <v>4</v>
      </c>
      <c r="JN69" s="43">
        <f t="shared" si="360"/>
        <v>2</v>
      </c>
      <c r="JO69" s="30"/>
      <c r="JP69" s="47">
        <v>3</v>
      </c>
      <c r="JQ69" s="48" t="s">
        <v>4</v>
      </c>
      <c r="JR69" s="49">
        <v>0</v>
      </c>
      <c r="JS69" s="5"/>
      <c r="JT69" s="42">
        <f t="shared" si="361"/>
        <v>4</v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>
        <f t="shared" si="363"/>
        <v>0</v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>
        <f t="shared" si="365"/>
        <v>4</v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>
        <f t="shared" si="367"/>
        <v>4</v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>
        <f t="shared" si="369"/>
        <v>4</v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>
        <f t="shared" si="371"/>
        <v>4</v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>
        <f t="shared" si="373"/>
        <v>4</v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>
        <f t="shared" si="375"/>
        <v>0</v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>
        <f t="shared" si="377"/>
        <v>4</v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>
        <f t="shared" si="379"/>
        <v>4</v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>
        <f t="shared" si="381"/>
        <v>4</v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>
        <f t="shared" si="383"/>
        <v>0</v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>
        <f t="shared" si="385"/>
        <v>4</v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>
        <f t="shared" si="387"/>
        <v>0</v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>
        <f t="shared" si="389"/>
        <v>4</v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>
        <f t="shared" si="391"/>
        <v>0</v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>
        <f t="shared" si="393"/>
        <v>4</v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>
        <f t="shared" si="395"/>
        <v>0</v>
      </c>
      <c r="OJ69" s="43">
        <f t="shared" si="396"/>
        <v>0</v>
      </c>
      <c r="OK69" s="30"/>
      <c r="OL69" s="47">
        <v>2</v>
      </c>
      <c r="OM69" s="48" t="s">
        <v>4</v>
      </c>
      <c r="ON69" s="49">
        <v>1</v>
      </c>
      <c r="OO69" s="5"/>
      <c r="OP69" s="42">
        <f t="shared" si="397"/>
        <v>4</v>
      </c>
      <c r="OQ69" s="43">
        <f t="shared" si="398"/>
        <v>1</v>
      </c>
      <c r="OR69" s="30"/>
      <c r="OS69" s="47">
        <v>0</v>
      </c>
      <c r="OT69" s="48" t="s">
        <v>4</v>
      </c>
      <c r="OU69" s="49">
        <v>1</v>
      </c>
      <c r="OV69" s="5"/>
      <c r="OW69" s="42">
        <f t="shared" si="399"/>
        <v>0</v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>
        <f t="shared" si="401"/>
        <v>4</v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>
        <f t="shared" si="403"/>
        <v>4</v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>
        <f t="shared" si="405"/>
        <v>4</v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>
        <f t="shared" si="407"/>
        <v>4</v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>
        <f t="shared" si="409"/>
        <v>4</v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>
        <f t="shared" si="411"/>
        <v>4</v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>
        <f t="shared" si="413"/>
        <v>4</v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>
        <f t="shared" si="415"/>
        <v>0</v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>
        <f t="shared" si="419"/>
        <v>4</v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>
        <f t="shared" si="421"/>
        <v>4</v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>
        <f t="shared" si="423"/>
        <v>4</v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>
        <f t="shared" si="425"/>
        <v>4</v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>
        <f t="shared" si="427"/>
        <v>0</v>
      </c>
      <c r="SR69" s="43">
        <f t="shared" si="428"/>
        <v>0</v>
      </c>
    </row>
    <row r="70" spans="1:512" customFormat="1" ht="16" customHeight="1" x14ac:dyDescent="0.15">
      <c r="A70" s="51">
        <v>46200</v>
      </c>
      <c r="B70" s="46">
        <v>8.3333333333333329E-2</v>
      </c>
      <c r="C70" s="82" t="s">
        <v>45</v>
      </c>
      <c r="D70" s="82" t="s">
        <v>47</v>
      </c>
      <c r="E70" s="2">
        <v>0</v>
      </c>
      <c r="F70" s="50" t="s">
        <v>4</v>
      </c>
      <c r="G70" s="1">
        <v>0</v>
      </c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>
        <f t="shared" si="1"/>
        <v>0</v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>
        <f t="shared" si="287"/>
        <v>0</v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>
        <f t="shared" si="289"/>
        <v>4.2</v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>
        <f t="shared" si="291"/>
        <v>0</v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>
        <f t="shared" si="293"/>
        <v>4.2</v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>
        <f t="shared" si="295"/>
        <v>0</v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>
        <f t="shared" si="297"/>
        <v>0</v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>
        <f t="shared" si="299"/>
        <v>0</v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>
        <f t="shared" si="301"/>
        <v>0</v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>
        <f t="shared" si="303"/>
        <v>0</v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>
        <f t="shared" si="305"/>
        <v>4.2</v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>
        <f t="shared" si="307"/>
        <v>0</v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>
        <f t="shared" si="309"/>
        <v>6.3000000000000007</v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>
        <f t="shared" si="311"/>
        <v>0</v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>
        <f t="shared" si="313"/>
        <v>4.2</v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>
        <f t="shared" si="315"/>
        <v>6.3000000000000007</v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>
        <f t="shared" si="317"/>
        <v>0</v>
      </c>
      <c r="DW70" s="43">
        <f t="shared" si="318"/>
        <v>2</v>
      </c>
      <c r="DY70" s="47">
        <v>2</v>
      </c>
      <c r="DZ70" s="48" t="s">
        <v>4</v>
      </c>
      <c r="EA70" s="49">
        <v>1</v>
      </c>
      <c r="EB70" s="5"/>
      <c r="EC70" s="42">
        <f t="shared" si="319"/>
        <v>0</v>
      </c>
      <c r="ED70" s="43">
        <f t="shared" si="320"/>
        <v>1</v>
      </c>
      <c r="EF70" s="47">
        <v>2</v>
      </c>
      <c r="EG70" s="48" t="s">
        <v>4</v>
      </c>
      <c r="EH70" s="49">
        <v>0</v>
      </c>
      <c r="EI70" s="5"/>
      <c r="EJ70" s="42">
        <f t="shared" si="321"/>
        <v>0</v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>
        <f t="shared" si="323"/>
        <v>0</v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>
        <f t="shared" si="325"/>
        <v>4.2</v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>
        <f t="shared" si="327"/>
        <v>4.2</v>
      </c>
      <c r="FF70" s="43">
        <f t="shared" si="328"/>
        <v>0</v>
      </c>
      <c r="FH70" s="47">
        <v>0</v>
      </c>
      <c r="FI70" s="48" t="s">
        <v>4</v>
      </c>
      <c r="FJ70" s="49">
        <v>0</v>
      </c>
      <c r="FK70" s="5"/>
      <c r="FL70" s="42">
        <f t="shared" si="329"/>
        <v>6.3000000000000007</v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>
        <f t="shared" si="331"/>
        <v>0</v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>
        <f t="shared" si="333"/>
        <v>0</v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>
        <f t="shared" si="335"/>
        <v>0</v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>
        <f t="shared" si="337"/>
        <v>4.2</v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>
        <f t="shared" si="339"/>
        <v>0</v>
      </c>
      <c r="GV70" s="43">
        <f t="shared" si="340"/>
        <v>-1</v>
      </c>
      <c r="GX70" s="47">
        <v>1</v>
      </c>
      <c r="GY70" s="48" t="s">
        <v>4</v>
      </c>
      <c r="GZ70" s="49">
        <v>1</v>
      </c>
      <c r="HA70" s="5"/>
      <c r="HB70" s="42">
        <f t="shared" si="341"/>
        <v>4.2</v>
      </c>
      <c r="HC70" s="43">
        <f t="shared" si="342"/>
        <v>0</v>
      </c>
      <c r="HE70" s="47">
        <v>2</v>
      </c>
      <c r="HF70" s="48" t="s">
        <v>4</v>
      </c>
      <c r="HG70" s="49">
        <v>1</v>
      </c>
      <c r="HH70" s="5"/>
      <c r="HI70" s="42">
        <f t="shared" si="343"/>
        <v>0</v>
      </c>
      <c r="HJ70" s="43">
        <f t="shared" si="344"/>
        <v>1</v>
      </c>
      <c r="HL70" s="47">
        <v>1</v>
      </c>
      <c r="HM70" s="48" t="s">
        <v>4</v>
      </c>
      <c r="HN70" s="49">
        <v>0</v>
      </c>
      <c r="HO70" s="5"/>
      <c r="HP70" s="42">
        <f t="shared" si="345"/>
        <v>0</v>
      </c>
      <c r="HQ70" s="43">
        <f t="shared" si="346"/>
        <v>1</v>
      </c>
      <c r="HS70" s="47">
        <v>1</v>
      </c>
      <c r="HT70" s="48" t="s">
        <v>4</v>
      </c>
      <c r="HU70" s="49">
        <v>0</v>
      </c>
      <c r="HV70" s="5"/>
      <c r="HW70" s="42">
        <f t="shared" si="347"/>
        <v>0</v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>
        <f t="shared" si="349"/>
        <v>6.3000000000000007</v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>
        <f t="shared" si="351"/>
        <v>0</v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>
        <f t="shared" si="353"/>
        <v>0</v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>
        <f t="shared" si="355"/>
        <v>0</v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>
        <f t="shared" si="357"/>
        <v>4.2</v>
      </c>
      <c r="JG70" s="43">
        <f t="shared" si="358"/>
        <v>0</v>
      </c>
      <c r="JI70" s="47">
        <v>1</v>
      </c>
      <c r="JJ70" s="48" t="s">
        <v>4</v>
      </c>
      <c r="JK70" s="49">
        <v>0</v>
      </c>
      <c r="JL70" s="5"/>
      <c r="JM70" s="42">
        <f t="shared" si="359"/>
        <v>0</v>
      </c>
      <c r="JN70" s="43">
        <f t="shared" si="360"/>
        <v>1</v>
      </c>
      <c r="JP70" s="47">
        <v>2</v>
      </c>
      <c r="JQ70" s="48" t="s">
        <v>4</v>
      </c>
      <c r="JR70" s="49">
        <v>1</v>
      </c>
      <c r="JS70" s="5"/>
      <c r="JT70" s="42">
        <f t="shared" si="361"/>
        <v>0</v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>
        <f t="shared" si="363"/>
        <v>0</v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>
        <f t="shared" si="365"/>
        <v>4.2</v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>
        <f t="shared" si="367"/>
        <v>0</v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>
        <f t="shared" si="369"/>
        <v>0</v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>
        <f t="shared" si="371"/>
        <v>0</v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>
        <f t="shared" si="373"/>
        <v>0</v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>
        <f t="shared" si="375"/>
        <v>4.2</v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>
        <f t="shared" si="377"/>
        <v>4.2</v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>
        <f t="shared" si="379"/>
        <v>0</v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>
        <f t="shared" si="381"/>
        <v>0</v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>
        <f t="shared" si="383"/>
        <v>6.3000000000000007</v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>
        <f t="shared" si="385"/>
        <v>0</v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>
        <f t="shared" si="387"/>
        <v>4.2</v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>
        <f t="shared" si="389"/>
        <v>0</v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>
        <f t="shared" si="391"/>
        <v>0</v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>
        <f t="shared" si="393"/>
        <v>0</v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>
        <f t="shared" si="395"/>
        <v>0</v>
      </c>
      <c r="OJ70" s="43">
        <f t="shared" si="396"/>
        <v>-2</v>
      </c>
      <c r="OL70" s="47">
        <v>1</v>
      </c>
      <c r="OM70" s="48" t="s">
        <v>4</v>
      </c>
      <c r="ON70" s="49">
        <v>2</v>
      </c>
      <c r="OO70" s="5"/>
      <c r="OP70" s="42">
        <f t="shared" si="397"/>
        <v>0</v>
      </c>
      <c r="OQ70" s="43">
        <f t="shared" si="398"/>
        <v>-1</v>
      </c>
      <c r="OS70" s="47">
        <v>0</v>
      </c>
      <c r="OT70" s="48" t="s">
        <v>4</v>
      </c>
      <c r="OU70" s="49">
        <v>1</v>
      </c>
      <c r="OV70" s="5"/>
      <c r="OW70" s="42">
        <f t="shared" si="399"/>
        <v>0</v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>
        <f t="shared" si="401"/>
        <v>6.3000000000000007</v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>
        <f t="shared" si="403"/>
        <v>0</v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>
        <f t="shared" si="405"/>
        <v>4.2</v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>
        <f t="shared" si="407"/>
        <v>0</v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>
        <f t="shared" si="409"/>
        <v>0</v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>
        <f t="shared" si="411"/>
        <v>6.3000000000000007</v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>
        <f t="shared" si="413"/>
        <v>0</v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>
        <f t="shared" si="415"/>
        <v>0</v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>
        <f t="shared" si="419"/>
        <v>0</v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>
        <f t="shared" si="421"/>
        <v>0</v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>
        <f t="shared" si="423"/>
        <v>0</v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>
        <f t="shared" si="425"/>
        <v>0</v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>
        <f t="shared" si="427"/>
        <v>4.2</v>
      </c>
      <c r="SR70" s="43">
        <f t="shared" si="428"/>
        <v>0</v>
      </c>
    </row>
    <row r="71" spans="1:512" customFormat="1" ht="16" customHeight="1" x14ac:dyDescent="0.15">
      <c r="A71" s="51">
        <v>46200</v>
      </c>
      <c r="B71" s="35">
        <v>8.3333333333333329E-2</v>
      </c>
      <c r="C71" s="83" t="s">
        <v>48</v>
      </c>
      <c r="D71" s="83" t="s">
        <v>3</v>
      </c>
      <c r="E71" s="2">
        <v>0</v>
      </c>
      <c r="F71" s="50" t="s">
        <v>4</v>
      </c>
      <c r="G71" s="1">
        <v>1</v>
      </c>
      <c r="H71" s="16">
        <v>4.2</v>
      </c>
      <c r="I71" s="32">
        <f t="shared" ref="I71:I120" si="429">E71-G71</f>
        <v>-1</v>
      </c>
      <c r="J71" s="47">
        <v>0</v>
      </c>
      <c r="K71" s="48" t="s">
        <v>4</v>
      </c>
      <c r="L71" s="49">
        <v>3</v>
      </c>
      <c r="M71" s="5"/>
      <c r="N71" s="42">
        <f t="shared" ref="N71:N123" si="430">IF(OR($G71="",L71=""),"",IF(AND($E71=J71,$G71=L71),$H71*1.5,IF(AND($I71&gt;0,O71&gt;0),$H71,IF(AND($I71&lt;0,O71&lt;0),$H71,IF(AND($I71=0,O71=0),$H71,0)))))</f>
        <v>4.2</v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>
        <f t="shared" si="287"/>
        <v>4.2</v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>
        <f t="shared" si="289"/>
        <v>4.2</v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>
        <f t="shared" si="291"/>
        <v>4.2</v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>
        <f t="shared" si="293"/>
        <v>4.2</v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>
        <f t="shared" si="295"/>
        <v>4.2</v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>
        <f t="shared" si="297"/>
        <v>4.2</v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>
        <f t="shared" si="299"/>
        <v>4.2</v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>
        <f t="shared" si="301"/>
        <v>4.2</v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>
        <f t="shared" si="303"/>
        <v>4.2</v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>
        <f t="shared" si="305"/>
        <v>4.2</v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>
        <f t="shared" si="307"/>
        <v>4.2</v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>
        <f t="shared" si="309"/>
        <v>6.3000000000000007</v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>
        <f t="shared" si="311"/>
        <v>4.2</v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>
        <f t="shared" si="313"/>
        <v>4.2</v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>
        <f t="shared" si="315"/>
        <v>0</v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>
        <f t="shared" si="317"/>
        <v>4.2</v>
      </c>
      <c r="DW71" s="43">
        <f t="shared" si="318"/>
        <v>-2</v>
      </c>
      <c r="DY71" s="47">
        <v>1</v>
      </c>
      <c r="DZ71" s="48" t="s">
        <v>4</v>
      </c>
      <c r="EA71" s="49">
        <v>3</v>
      </c>
      <c r="EB71" s="5"/>
      <c r="EC71" s="42">
        <f t="shared" si="319"/>
        <v>4.2</v>
      </c>
      <c r="ED71" s="43">
        <f t="shared" si="320"/>
        <v>-2</v>
      </c>
      <c r="EF71" s="47">
        <v>0</v>
      </c>
      <c r="EG71" s="48" t="s">
        <v>4</v>
      </c>
      <c r="EH71" s="49">
        <v>2</v>
      </c>
      <c r="EI71" s="5"/>
      <c r="EJ71" s="42">
        <f t="shared" si="321"/>
        <v>4.2</v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>
        <f t="shared" si="323"/>
        <v>4.2</v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>
        <f t="shared" si="325"/>
        <v>4.2</v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>
        <f t="shared" si="327"/>
        <v>4.2</v>
      </c>
      <c r="FF71" s="43">
        <f t="shared" si="328"/>
        <v>-1</v>
      </c>
      <c r="FH71" s="47">
        <v>1</v>
      </c>
      <c r="FI71" s="48" t="s">
        <v>4</v>
      </c>
      <c r="FJ71" s="49">
        <v>1</v>
      </c>
      <c r="FK71" s="5"/>
      <c r="FL71" s="42">
        <f t="shared" si="329"/>
        <v>0</v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>
        <f t="shared" si="331"/>
        <v>4.2</v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>
        <f t="shared" si="333"/>
        <v>4.2</v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>
        <f t="shared" si="335"/>
        <v>0</v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>
        <f t="shared" si="337"/>
        <v>4.2</v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>
        <f t="shared" si="339"/>
        <v>0</v>
      </c>
      <c r="GV71" s="43">
        <f t="shared" si="340"/>
        <v>0</v>
      </c>
      <c r="GX71" s="47">
        <v>1</v>
      </c>
      <c r="GY71" s="48" t="s">
        <v>4</v>
      </c>
      <c r="GZ71" s="49">
        <v>3</v>
      </c>
      <c r="HA71" s="5"/>
      <c r="HB71" s="42">
        <f t="shared" si="341"/>
        <v>4.2</v>
      </c>
      <c r="HC71" s="43">
        <f t="shared" si="342"/>
        <v>-2</v>
      </c>
      <c r="HE71" s="47">
        <v>1</v>
      </c>
      <c r="HF71" s="48" t="s">
        <v>4</v>
      </c>
      <c r="HG71" s="49">
        <v>3</v>
      </c>
      <c r="HH71" s="5"/>
      <c r="HI71" s="42">
        <f t="shared" si="343"/>
        <v>4.2</v>
      </c>
      <c r="HJ71" s="43">
        <f t="shared" si="344"/>
        <v>-2</v>
      </c>
      <c r="HL71" s="47">
        <v>0</v>
      </c>
      <c r="HM71" s="48" t="s">
        <v>4</v>
      </c>
      <c r="HN71" s="49">
        <v>3</v>
      </c>
      <c r="HO71" s="5"/>
      <c r="HP71" s="42">
        <f t="shared" si="345"/>
        <v>4.2</v>
      </c>
      <c r="HQ71" s="43">
        <f t="shared" si="346"/>
        <v>-3</v>
      </c>
      <c r="HS71" s="47">
        <v>1</v>
      </c>
      <c r="HT71" s="48" t="s">
        <v>4</v>
      </c>
      <c r="HU71" s="49">
        <v>3</v>
      </c>
      <c r="HV71" s="5"/>
      <c r="HW71" s="42">
        <f t="shared" si="347"/>
        <v>4.2</v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>
        <f t="shared" si="349"/>
        <v>4.2</v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>
        <f t="shared" si="351"/>
        <v>0</v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>
        <f t="shared" si="353"/>
        <v>4.2</v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>
        <f t="shared" si="355"/>
        <v>4.2</v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>
        <f t="shared" si="357"/>
        <v>4.2</v>
      </c>
      <c r="JG71" s="43">
        <f t="shared" si="358"/>
        <v>-1</v>
      </c>
      <c r="JI71" s="47">
        <v>1</v>
      </c>
      <c r="JJ71" s="48" t="s">
        <v>4</v>
      </c>
      <c r="JK71" s="49">
        <v>3</v>
      </c>
      <c r="JL71" s="5"/>
      <c r="JM71" s="42">
        <f t="shared" si="359"/>
        <v>4.2</v>
      </c>
      <c r="JN71" s="43">
        <f t="shared" si="360"/>
        <v>-2</v>
      </c>
      <c r="JP71" s="47">
        <v>0</v>
      </c>
      <c r="JQ71" s="48" t="s">
        <v>4</v>
      </c>
      <c r="JR71" s="49">
        <v>2</v>
      </c>
      <c r="JS71" s="5"/>
      <c r="JT71" s="42">
        <f t="shared" si="361"/>
        <v>4.2</v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>
        <f t="shared" si="363"/>
        <v>4.2</v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>
        <f t="shared" si="365"/>
        <v>4.2</v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>
        <f t="shared" si="367"/>
        <v>4.2</v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>
        <f t="shared" si="369"/>
        <v>6.3000000000000007</v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>
        <f t="shared" si="371"/>
        <v>4.2</v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>
        <f t="shared" si="373"/>
        <v>4.2</v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>
        <f t="shared" si="375"/>
        <v>4.2</v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>
        <f t="shared" si="377"/>
        <v>4.2</v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>
        <f t="shared" si="379"/>
        <v>4.2</v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>
        <f t="shared" si="381"/>
        <v>4.2</v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>
        <f t="shared" si="383"/>
        <v>4.2</v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>
        <f t="shared" si="385"/>
        <v>4.2</v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>
        <f t="shared" si="387"/>
        <v>4.2</v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>
        <f t="shared" si="389"/>
        <v>0</v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>
        <f t="shared" si="391"/>
        <v>4.2</v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>
        <f t="shared" si="393"/>
        <v>4.2</v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>
        <f t="shared" si="395"/>
        <v>4.2</v>
      </c>
      <c r="OJ71" s="43">
        <f t="shared" si="396"/>
        <v>-2</v>
      </c>
      <c r="OL71" s="47">
        <v>0</v>
      </c>
      <c r="OM71" s="48" t="s">
        <v>4</v>
      </c>
      <c r="ON71" s="49">
        <v>3</v>
      </c>
      <c r="OO71" s="5"/>
      <c r="OP71" s="42">
        <f t="shared" si="397"/>
        <v>4.2</v>
      </c>
      <c r="OQ71" s="43">
        <f t="shared" si="398"/>
        <v>-3</v>
      </c>
      <c r="OS71" s="47">
        <v>1</v>
      </c>
      <c r="OT71" s="48" t="s">
        <v>4</v>
      </c>
      <c r="OU71" s="49">
        <v>1</v>
      </c>
      <c r="OV71" s="5"/>
      <c r="OW71" s="42">
        <f t="shared" si="399"/>
        <v>0</v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>
        <f t="shared" si="401"/>
        <v>4.2</v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>
        <f t="shared" si="403"/>
        <v>4.2</v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>
        <f t="shared" si="405"/>
        <v>4.2</v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>
        <f t="shared" si="407"/>
        <v>0</v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>
        <f t="shared" si="409"/>
        <v>4.2</v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>
        <f t="shared" si="411"/>
        <v>4.2</v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>
        <f t="shared" si="413"/>
        <v>4.2</v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>
        <f t="shared" si="415"/>
        <v>0</v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>
        <f t="shared" si="419"/>
        <v>4.2</v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>
        <f t="shared" si="421"/>
        <v>4.2</v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>
        <f t="shared" si="423"/>
        <v>0</v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>
        <f t="shared" si="425"/>
        <v>4.2</v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>
        <f t="shared" si="427"/>
        <v>4.2</v>
      </c>
      <c r="SR71" s="43">
        <f t="shared" si="428"/>
        <v>-1</v>
      </c>
    </row>
    <row r="72" spans="1:512" customFormat="1" ht="16" customHeight="1" x14ac:dyDescent="0.15">
      <c r="A72" s="51">
        <v>46200</v>
      </c>
      <c r="B72" s="46">
        <v>0.20833333333333334</v>
      </c>
      <c r="C72" s="83" t="s">
        <v>46</v>
      </c>
      <c r="D72" s="83" t="s">
        <v>49</v>
      </c>
      <c r="E72" s="2">
        <v>1</v>
      </c>
      <c r="F72" s="50" t="s">
        <v>4</v>
      </c>
      <c r="G72" s="1">
        <v>1</v>
      </c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>
        <f t="shared" si="430"/>
        <v>0</v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>
        <f t="shared" si="287"/>
        <v>0</v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>
        <f t="shared" si="289"/>
        <v>4.2</v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>
        <f t="shared" si="291"/>
        <v>0</v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>
        <f t="shared" si="293"/>
        <v>0</v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>
        <f t="shared" si="295"/>
        <v>0</v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>
        <f t="shared" si="297"/>
        <v>0</v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>
        <f t="shared" si="299"/>
        <v>6.3000000000000007</v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>
        <f t="shared" si="301"/>
        <v>0</v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>
        <f t="shared" si="303"/>
        <v>6.3000000000000007</v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>
        <f t="shared" si="305"/>
        <v>0</v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>
        <f t="shared" si="307"/>
        <v>6.3000000000000007</v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>
        <f t="shared" si="309"/>
        <v>0</v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>
        <f t="shared" si="311"/>
        <v>0</v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>
        <f t="shared" si="313"/>
        <v>6.3000000000000007</v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>
        <f t="shared" si="315"/>
        <v>0</v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>
        <f t="shared" si="317"/>
        <v>0</v>
      </c>
      <c r="DW72" s="43">
        <f t="shared" si="318"/>
        <v>2</v>
      </c>
      <c r="DY72" s="47">
        <v>2</v>
      </c>
      <c r="DZ72" s="48" t="s">
        <v>4</v>
      </c>
      <c r="EA72" s="49">
        <v>0</v>
      </c>
      <c r="EB72" s="5"/>
      <c r="EC72" s="42">
        <f t="shared" si="319"/>
        <v>0</v>
      </c>
      <c r="ED72" s="43">
        <f t="shared" si="320"/>
        <v>2</v>
      </c>
      <c r="EF72" s="47">
        <v>0</v>
      </c>
      <c r="EG72" s="48" t="s">
        <v>4</v>
      </c>
      <c r="EH72" s="49">
        <v>1</v>
      </c>
      <c r="EI72" s="5"/>
      <c r="EJ72" s="42">
        <f t="shared" si="321"/>
        <v>0</v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>
        <f t="shared" si="323"/>
        <v>0</v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>
        <f t="shared" si="325"/>
        <v>4.2</v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>
        <f t="shared" si="327"/>
        <v>6.3000000000000007</v>
      </c>
      <c r="FF72" s="43">
        <f t="shared" si="328"/>
        <v>0</v>
      </c>
      <c r="FH72" s="47">
        <v>2</v>
      </c>
      <c r="FI72" s="48" t="s">
        <v>4</v>
      </c>
      <c r="FJ72" s="49">
        <v>1</v>
      </c>
      <c r="FK72" s="5"/>
      <c r="FL72" s="42">
        <f t="shared" si="329"/>
        <v>0</v>
      </c>
      <c r="FM72" s="43">
        <f t="shared" si="330"/>
        <v>1</v>
      </c>
      <c r="FO72" s="47">
        <v>1</v>
      </c>
      <c r="FP72" s="48" t="s">
        <v>4</v>
      </c>
      <c r="FQ72" s="49">
        <v>0</v>
      </c>
      <c r="FR72" s="5"/>
      <c r="FS72" s="42">
        <f t="shared" si="331"/>
        <v>0</v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>
        <f t="shared" si="333"/>
        <v>0</v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>
        <f t="shared" si="335"/>
        <v>0</v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>
        <f t="shared" si="337"/>
        <v>6.3000000000000007</v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>
        <f t="shared" si="339"/>
        <v>6.3000000000000007</v>
      </c>
      <c r="GV72" s="43">
        <f t="shared" si="340"/>
        <v>0</v>
      </c>
      <c r="GX72" s="47">
        <v>2</v>
      </c>
      <c r="GY72" s="48" t="s">
        <v>4</v>
      </c>
      <c r="GZ72" s="49">
        <v>0</v>
      </c>
      <c r="HA72" s="5"/>
      <c r="HB72" s="42">
        <f t="shared" si="341"/>
        <v>0</v>
      </c>
      <c r="HC72" s="43">
        <f t="shared" si="342"/>
        <v>2</v>
      </c>
      <c r="HE72" s="47">
        <v>2</v>
      </c>
      <c r="HF72" s="48" t="s">
        <v>4</v>
      </c>
      <c r="HG72" s="49">
        <v>1</v>
      </c>
      <c r="HH72" s="5"/>
      <c r="HI72" s="42">
        <f t="shared" si="343"/>
        <v>0</v>
      </c>
      <c r="HJ72" s="43">
        <f t="shared" si="344"/>
        <v>1</v>
      </c>
      <c r="HL72" s="47">
        <v>2</v>
      </c>
      <c r="HM72" s="48" t="s">
        <v>4</v>
      </c>
      <c r="HN72" s="49">
        <v>0</v>
      </c>
      <c r="HO72" s="5"/>
      <c r="HP72" s="42">
        <f t="shared" si="345"/>
        <v>0</v>
      </c>
      <c r="HQ72" s="43">
        <f t="shared" si="346"/>
        <v>2</v>
      </c>
      <c r="HS72" s="47">
        <v>1</v>
      </c>
      <c r="HT72" s="48" t="s">
        <v>4</v>
      </c>
      <c r="HU72" s="49">
        <v>0</v>
      </c>
      <c r="HV72" s="5"/>
      <c r="HW72" s="42">
        <f t="shared" si="347"/>
        <v>0</v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>
        <f t="shared" si="349"/>
        <v>0</v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>
        <f t="shared" si="351"/>
        <v>0</v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>
        <f t="shared" si="353"/>
        <v>6.3000000000000007</v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>
        <f t="shared" si="355"/>
        <v>0</v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>
        <f t="shared" si="357"/>
        <v>0</v>
      </c>
      <c r="JG72" s="43">
        <f t="shared" si="358"/>
        <v>1</v>
      </c>
      <c r="JI72" s="47">
        <v>1</v>
      </c>
      <c r="JJ72" s="48" t="s">
        <v>4</v>
      </c>
      <c r="JK72" s="49">
        <v>1</v>
      </c>
      <c r="JL72" s="5"/>
      <c r="JM72" s="42">
        <f t="shared" si="359"/>
        <v>6.3000000000000007</v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>
        <f t="shared" si="361"/>
        <v>0</v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>
        <f t="shared" si="363"/>
        <v>6.3000000000000007</v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>
        <f t="shared" si="365"/>
        <v>0</v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>
        <f t="shared" si="367"/>
        <v>0</v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>
        <f t="shared" si="369"/>
        <v>4.2</v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>
        <f t="shared" si="371"/>
        <v>0</v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>
        <f t="shared" si="373"/>
        <v>0</v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>
        <f t="shared" si="375"/>
        <v>0</v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>
        <f t="shared" si="377"/>
        <v>4.2</v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>
        <f t="shared" si="379"/>
        <v>4.2</v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>
        <f t="shared" si="381"/>
        <v>0</v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>
        <f t="shared" si="383"/>
        <v>0</v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>
        <f t="shared" si="385"/>
        <v>0</v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>
        <f t="shared" si="387"/>
        <v>4.2</v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>
        <f t="shared" si="389"/>
        <v>0</v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>
        <f t="shared" si="391"/>
        <v>0</v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>
        <f t="shared" si="393"/>
        <v>4.2</v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>
        <f t="shared" si="395"/>
        <v>0</v>
      </c>
      <c r="OJ72" s="43">
        <f t="shared" si="396"/>
        <v>-2</v>
      </c>
      <c r="OL72" s="47">
        <v>2</v>
      </c>
      <c r="OM72" s="48" t="s">
        <v>4</v>
      </c>
      <c r="ON72" s="49">
        <v>0</v>
      </c>
      <c r="OO72" s="5"/>
      <c r="OP72" s="42">
        <f t="shared" si="397"/>
        <v>0</v>
      </c>
      <c r="OQ72" s="43">
        <f t="shared" si="398"/>
        <v>2</v>
      </c>
      <c r="OS72" s="47">
        <v>0</v>
      </c>
      <c r="OT72" s="48" t="s">
        <v>4</v>
      </c>
      <c r="OU72" s="49">
        <v>1</v>
      </c>
      <c r="OV72" s="5"/>
      <c r="OW72" s="42">
        <f t="shared" si="399"/>
        <v>0</v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>
        <f t="shared" si="401"/>
        <v>0</v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>
        <f t="shared" si="403"/>
        <v>0</v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>
        <f t="shared" si="405"/>
        <v>6.3000000000000007</v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>
        <f t="shared" si="407"/>
        <v>0</v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>
        <f t="shared" si="409"/>
        <v>0</v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>
        <f t="shared" si="411"/>
        <v>0</v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>
        <f t="shared" si="413"/>
        <v>0</v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>
        <f t="shared" si="415"/>
        <v>0</v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>
        <f t="shared" si="419"/>
        <v>6.3000000000000007</v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>
        <f t="shared" si="421"/>
        <v>6.3000000000000007</v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>
        <f t="shared" si="423"/>
        <v>6.3000000000000007</v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>
        <f t="shared" si="425"/>
        <v>4.2</v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>
        <f t="shared" si="427"/>
        <v>6.3000000000000007</v>
      </c>
      <c r="SR72" s="43">
        <f t="shared" si="428"/>
        <v>0</v>
      </c>
    </row>
    <row r="73" spans="1:512" ht="16" customHeight="1" x14ac:dyDescent="0.15">
      <c r="A73" s="51">
        <v>46200</v>
      </c>
      <c r="B73" s="46">
        <v>0.20833333333333334</v>
      </c>
      <c r="C73" s="82" t="s">
        <v>50</v>
      </c>
      <c r="D73" s="82" t="s">
        <v>11</v>
      </c>
      <c r="E73" s="2">
        <v>1</v>
      </c>
      <c r="F73" s="50" t="s">
        <v>4</v>
      </c>
      <c r="G73" s="1">
        <v>5</v>
      </c>
      <c r="H73" s="16">
        <v>4.2</v>
      </c>
      <c r="I73" s="32">
        <f t="shared" si="429"/>
        <v>-4</v>
      </c>
      <c r="J73" s="47">
        <v>1</v>
      </c>
      <c r="K73" s="48" t="s">
        <v>4</v>
      </c>
      <c r="L73" s="49">
        <v>1</v>
      </c>
      <c r="N73" s="42">
        <f t="shared" si="430"/>
        <v>0</v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>
        <f t="shared" si="287"/>
        <v>4.2</v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>
        <f t="shared" si="289"/>
        <v>4.2</v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>
        <f t="shared" si="291"/>
        <v>0</v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>
        <f t="shared" si="293"/>
        <v>4.2</v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>
        <f t="shared" si="295"/>
        <v>4.2</v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>
        <f t="shared" si="297"/>
        <v>0</v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>
        <f t="shared" si="299"/>
        <v>0</v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>
        <f t="shared" si="301"/>
        <v>4.2</v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>
        <f t="shared" si="303"/>
        <v>4.2</v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>
        <f t="shared" si="305"/>
        <v>4.2</v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>
        <f t="shared" si="307"/>
        <v>4.2</v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>
        <f t="shared" si="309"/>
        <v>4.2</v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>
        <f t="shared" si="311"/>
        <v>4.2</v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>
        <f t="shared" si="313"/>
        <v>4.2</v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>
        <f t="shared" si="315"/>
        <v>4.2</v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>
        <f t="shared" si="317"/>
        <v>4.2</v>
      </c>
      <c r="DW73" s="43">
        <f t="shared" si="318"/>
        <v>-3</v>
      </c>
      <c r="DY73" s="47">
        <v>0</v>
      </c>
      <c r="DZ73" s="48" t="s">
        <v>4</v>
      </c>
      <c r="EA73" s="49">
        <v>2</v>
      </c>
      <c r="EC73" s="42">
        <f t="shared" si="319"/>
        <v>4.2</v>
      </c>
      <c r="ED73" s="43">
        <f t="shared" si="320"/>
        <v>-2</v>
      </c>
      <c r="EF73" s="47">
        <v>0</v>
      </c>
      <c r="EG73" s="48" t="s">
        <v>4</v>
      </c>
      <c r="EH73" s="49">
        <v>1</v>
      </c>
      <c r="EJ73" s="42">
        <f t="shared" si="321"/>
        <v>4.2</v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>
        <f t="shared" si="323"/>
        <v>4.2</v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>
        <f t="shared" si="325"/>
        <v>4.2</v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>
        <f t="shared" si="327"/>
        <v>4.2</v>
      </c>
      <c r="FF73" s="43">
        <f t="shared" si="328"/>
        <v>-3</v>
      </c>
      <c r="FH73" s="47">
        <v>1</v>
      </c>
      <c r="FI73" s="48" t="s">
        <v>4</v>
      </c>
      <c r="FJ73" s="49">
        <v>1</v>
      </c>
      <c r="FL73" s="42">
        <f t="shared" si="329"/>
        <v>0</v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>
        <f t="shared" si="331"/>
        <v>4.2</v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>
        <f t="shared" si="333"/>
        <v>4.2</v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>
        <f t="shared" si="335"/>
        <v>4.2</v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>
        <f t="shared" si="337"/>
        <v>4.2</v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>
        <f t="shared" si="339"/>
        <v>4.2</v>
      </c>
      <c r="GV73" s="43">
        <f t="shared" si="340"/>
        <v>-4</v>
      </c>
      <c r="GX73" s="47">
        <v>0</v>
      </c>
      <c r="GY73" s="48" t="s">
        <v>4</v>
      </c>
      <c r="GZ73" s="49">
        <v>1</v>
      </c>
      <c r="HB73" s="42">
        <f t="shared" si="341"/>
        <v>4.2</v>
      </c>
      <c r="HC73" s="43">
        <f t="shared" si="342"/>
        <v>-1</v>
      </c>
      <c r="HE73" s="47">
        <v>0</v>
      </c>
      <c r="HF73" s="48" t="s">
        <v>4</v>
      </c>
      <c r="HG73" s="49">
        <v>2</v>
      </c>
      <c r="HI73" s="42">
        <f t="shared" si="343"/>
        <v>4.2</v>
      </c>
      <c r="HJ73" s="43">
        <f t="shared" si="344"/>
        <v>-2</v>
      </c>
      <c r="HL73" s="47">
        <v>0</v>
      </c>
      <c r="HM73" s="48" t="s">
        <v>4</v>
      </c>
      <c r="HN73" s="49">
        <v>1</v>
      </c>
      <c r="HP73" s="42">
        <f t="shared" si="345"/>
        <v>4.2</v>
      </c>
      <c r="HQ73" s="43">
        <f t="shared" si="346"/>
        <v>-1</v>
      </c>
      <c r="HR73" s="5"/>
      <c r="HS73" s="47">
        <v>0</v>
      </c>
      <c r="HT73" s="48" t="s">
        <v>4</v>
      </c>
      <c r="HU73" s="49">
        <v>2</v>
      </c>
      <c r="HW73" s="42">
        <f t="shared" si="347"/>
        <v>4.2</v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>
        <f t="shared" si="349"/>
        <v>4.2</v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>
        <f t="shared" si="351"/>
        <v>0</v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>
        <f t="shared" si="353"/>
        <v>4.2</v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>
        <f t="shared" si="355"/>
        <v>4.2</v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>
        <f t="shared" si="357"/>
        <v>0</v>
      </c>
      <c r="JG73" s="43">
        <f t="shared" si="358"/>
        <v>1</v>
      </c>
      <c r="JI73" s="47">
        <v>0</v>
      </c>
      <c r="JJ73" s="48" t="s">
        <v>4</v>
      </c>
      <c r="JK73" s="49">
        <v>4</v>
      </c>
      <c r="JM73" s="42">
        <f t="shared" si="359"/>
        <v>4.2</v>
      </c>
      <c r="JN73" s="43">
        <f t="shared" si="360"/>
        <v>-4</v>
      </c>
      <c r="JP73" s="47">
        <v>0</v>
      </c>
      <c r="JQ73" s="48" t="s">
        <v>4</v>
      </c>
      <c r="JR73" s="49">
        <v>4</v>
      </c>
      <c r="JT73" s="42">
        <f t="shared" si="361"/>
        <v>4.2</v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>
        <f t="shared" si="363"/>
        <v>0</v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>
        <f t="shared" si="365"/>
        <v>4.2</v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>
        <f t="shared" si="367"/>
        <v>0</v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>
        <f t="shared" si="369"/>
        <v>4.2</v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>
        <f t="shared" si="371"/>
        <v>4.2</v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>
        <f t="shared" si="373"/>
        <v>4.2</v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>
        <f t="shared" si="375"/>
        <v>4.2</v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>
        <f t="shared" si="377"/>
        <v>4.2</v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>
        <f t="shared" si="379"/>
        <v>4.2</v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>
        <f t="shared" si="381"/>
        <v>4.2</v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>
        <f t="shared" si="383"/>
        <v>4.2</v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>
        <f t="shared" si="385"/>
        <v>4.2</v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>
        <f t="shared" si="387"/>
        <v>4.2</v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>
        <f t="shared" si="389"/>
        <v>0</v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>
        <f t="shared" si="391"/>
        <v>4.2</v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>
        <f t="shared" si="393"/>
        <v>4.2</v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>
        <f t="shared" si="395"/>
        <v>4.2</v>
      </c>
      <c r="OJ73" s="43">
        <f t="shared" si="396"/>
        <v>-1</v>
      </c>
      <c r="OL73" s="47">
        <v>1</v>
      </c>
      <c r="OM73" s="48" t="s">
        <v>4</v>
      </c>
      <c r="ON73" s="49">
        <v>3</v>
      </c>
      <c r="OP73" s="42">
        <f t="shared" si="397"/>
        <v>4.2</v>
      </c>
      <c r="OQ73" s="43">
        <f t="shared" si="398"/>
        <v>-2</v>
      </c>
      <c r="OS73" s="47">
        <v>1</v>
      </c>
      <c r="OT73" s="48" t="s">
        <v>4</v>
      </c>
      <c r="OU73" s="49">
        <v>1</v>
      </c>
      <c r="OW73" s="42">
        <f t="shared" si="399"/>
        <v>0</v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>
        <f t="shared" si="401"/>
        <v>4.2</v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>
        <f t="shared" si="403"/>
        <v>4.2</v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>
        <f t="shared" si="405"/>
        <v>4.2</v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>
        <f t="shared" si="407"/>
        <v>4.2</v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>
        <f t="shared" si="409"/>
        <v>4.2</v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>
        <f t="shared" si="411"/>
        <v>4.2</v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>
        <f t="shared" si="413"/>
        <v>0</v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>
        <f t="shared" si="415"/>
        <v>4.2</v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>
        <f t="shared" si="419"/>
        <v>4.2</v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>
        <f t="shared" si="421"/>
        <v>4.2</v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>
        <f t="shared" si="423"/>
        <v>4.2</v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>
        <f t="shared" si="425"/>
        <v>4.2</v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>
        <f t="shared" si="427"/>
        <v>0</v>
      </c>
      <c r="SR73" s="43">
        <f t="shared" si="428"/>
        <v>0</v>
      </c>
    </row>
    <row r="74" spans="1:512" ht="16" customHeight="1" x14ac:dyDescent="0.15">
      <c r="A74" s="51">
        <v>46200</v>
      </c>
      <c r="B74" s="35">
        <v>0.95833333333333337</v>
      </c>
      <c r="C74" s="82" t="s">
        <v>59</v>
      </c>
      <c r="D74" s="82" t="s">
        <v>8</v>
      </c>
      <c r="E74" s="2">
        <v>0</v>
      </c>
      <c r="F74" s="50" t="s">
        <v>4</v>
      </c>
      <c r="G74" s="1">
        <v>2</v>
      </c>
      <c r="H74" s="16">
        <v>4.2</v>
      </c>
      <c r="I74" s="32">
        <f t="shared" si="429"/>
        <v>-2</v>
      </c>
      <c r="J74" s="47">
        <v>1</v>
      </c>
      <c r="K74" s="48" t="s">
        <v>4</v>
      </c>
      <c r="L74" s="49">
        <v>3</v>
      </c>
      <c r="N74" s="42">
        <f t="shared" si="430"/>
        <v>4.2</v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>
        <f t="shared" si="287"/>
        <v>4.2</v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>
        <f t="shared" si="289"/>
        <v>6.3000000000000007</v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>
        <f t="shared" si="291"/>
        <v>4.2</v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>
        <f t="shared" si="293"/>
        <v>4.2</v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>
        <f t="shared" si="295"/>
        <v>4.2</v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>
        <f t="shared" si="297"/>
        <v>4.2</v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>
        <f t="shared" si="299"/>
        <v>4.2</v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>
        <f t="shared" si="301"/>
        <v>4.2</v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>
        <f t="shared" si="303"/>
        <v>4.2</v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>
        <f t="shared" si="305"/>
        <v>6.3000000000000007</v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>
        <f t="shared" si="307"/>
        <v>4.2</v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>
        <f t="shared" si="309"/>
        <v>6.3000000000000007</v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>
        <f t="shared" si="311"/>
        <v>4.2</v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>
        <f t="shared" si="313"/>
        <v>6.3000000000000007</v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>
        <f t="shared" si="315"/>
        <v>6.3000000000000007</v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>
        <f t="shared" si="317"/>
        <v>6.3000000000000007</v>
      </c>
      <c r="DW74" s="43">
        <f t="shared" si="318"/>
        <v>-2</v>
      </c>
      <c r="DY74" s="47">
        <v>0</v>
      </c>
      <c r="DZ74" s="48" t="s">
        <v>4</v>
      </c>
      <c r="EA74" s="49">
        <v>3</v>
      </c>
      <c r="EC74" s="42">
        <f t="shared" si="319"/>
        <v>4.2</v>
      </c>
      <c r="ED74" s="43">
        <f t="shared" si="320"/>
        <v>-3</v>
      </c>
      <c r="EF74" s="47">
        <v>0</v>
      </c>
      <c r="EG74" s="48" t="s">
        <v>4</v>
      </c>
      <c r="EH74" s="49">
        <v>3</v>
      </c>
      <c r="EJ74" s="42">
        <f t="shared" si="321"/>
        <v>4.2</v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>
        <f t="shared" si="323"/>
        <v>4.2</v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>
        <f t="shared" si="325"/>
        <v>4.2</v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>
        <f t="shared" si="327"/>
        <v>4.2</v>
      </c>
      <c r="FF74" s="43">
        <f t="shared" si="328"/>
        <v>-4</v>
      </c>
      <c r="FH74" s="47">
        <v>0</v>
      </c>
      <c r="FI74" s="48" t="s">
        <v>4</v>
      </c>
      <c r="FJ74" s="49">
        <v>2</v>
      </c>
      <c r="FL74" s="42">
        <f t="shared" si="329"/>
        <v>6.3000000000000007</v>
      </c>
      <c r="FM74" s="43">
        <f t="shared" si="330"/>
        <v>-2</v>
      </c>
      <c r="FN74" s="5"/>
      <c r="FO74" s="47">
        <v>1</v>
      </c>
      <c r="FP74" s="48" t="s">
        <v>4</v>
      </c>
      <c r="FQ74" s="49">
        <v>3</v>
      </c>
      <c r="FS74" s="42">
        <f t="shared" si="331"/>
        <v>4.2</v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>
        <f t="shared" si="333"/>
        <v>4.2</v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>
        <f t="shared" si="335"/>
        <v>4.2</v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>
        <f t="shared" si="337"/>
        <v>4.2</v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>
        <f t="shared" si="339"/>
        <v>4.2</v>
      </c>
      <c r="GV74" s="43">
        <f t="shared" si="340"/>
        <v>-4</v>
      </c>
      <c r="GX74" s="47">
        <v>0</v>
      </c>
      <c r="GY74" s="48" t="s">
        <v>4</v>
      </c>
      <c r="GZ74" s="49">
        <v>2</v>
      </c>
      <c r="HB74" s="42">
        <f t="shared" si="341"/>
        <v>6.3000000000000007</v>
      </c>
      <c r="HC74" s="43">
        <f t="shared" si="342"/>
        <v>-2</v>
      </c>
      <c r="HE74" s="47">
        <v>0</v>
      </c>
      <c r="HF74" s="48" t="s">
        <v>4</v>
      </c>
      <c r="HG74" s="49">
        <v>4</v>
      </c>
      <c r="HI74" s="42">
        <f t="shared" si="343"/>
        <v>4.2</v>
      </c>
      <c r="HJ74" s="43">
        <f t="shared" si="344"/>
        <v>-4</v>
      </c>
      <c r="HL74" s="47">
        <v>0</v>
      </c>
      <c r="HM74" s="48" t="s">
        <v>4</v>
      </c>
      <c r="HN74" s="49">
        <v>3</v>
      </c>
      <c r="HP74" s="42">
        <f t="shared" si="345"/>
        <v>4.2</v>
      </c>
      <c r="HQ74" s="43">
        <f t="shared" si="346"/>
        <v>-3</v>
      </c>
      <c r="HR74" s="5"/>
      <c r="HS74" s="47">
        <v>1</v>
      </c>
      <c r="HT74" s="48" t="s">
        <v>4</v>
      </c>
      <c r="HU74" s="49">
        <v>3</v>
      </c>
      <c r="HW74" s="42">
        <f t="shared" si="347"/>
        <v>4.2</v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>
        <f t="shared" si="349"/>
        <v>4.2</v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>
        <f t="shared" si="351"/>
        <v>4.2</v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>
        <f t="shared" si="353"/>
        <v>4.2</v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>
        <f t="shared" si="355"/>
        <v>6.3000000000000007</v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>
        <f t="shared" si="357"/>
        <v>4.2</v>
      </c>
      <c r="JG74" s="43">
        <f t="shared" si="358"/>
        <v>-3</v>
      </c>
      <c r="JI74" s="47">
        <v>1</v>
      </c>
      <c r="JJ74" s="48" t="s">
        <v>4</v>
      </c>
      <c r="JK74" s="49">
        <v>4</v>
      </c>
      <c r="JM74" s="42">
        <f t="shared" si="359"/>
        <v>4.2</v>
      </c>
      <c r="JN74" s="43">
        <f t="shared" si="360"/>
        <v>-3</v>
      </c>
      <c r="JP74" s="47">
        <v>0</v>
      </c>
      <c r="JQ74" s="48" t="s">
        <v>4</v>
      </c>
      <c r="JR74" s="49">
        <v>2</v>
      </c>
      <c r="JT74" s="42">
        <f t="shared" si="361"/>
        <v>6.3000000000000007</v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>
        <f t="shared" si="363"/>
        <v>4.2</v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>
        <f t="shared" si="365"/>
        <v>4.2</v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>
        <f t="shared" si="367"/>
        <v>6.3000000000000007</v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>
        <f t="shared" si="369"/>
        <v>6.3000000000000007</v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>
        <f t="shared" si="371"/>
        <v>4.2</v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>
        <f t="shared" si="373"/>
        <v>4.2</v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>
        <f t="shared" si="375"/>
        <v>4.2</v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>
        <f t="shared" si="377"/>
        <v>6.3000000000000007</v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>
        <f t="shared" si="379"/>
        <v>4.2</v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>
        <f t="shared" si="381"/>
        <v>4.2</v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>
        <f t="shared" si="383"/>
        <v>4.2</v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>
        <f t="shared" si="385"/>
        <v>6.3000000000000007</v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>
        <f t="shared" si="387"/>
        <v>4.2</v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>
        <f t="shared" si="389"/>
        <v>0</v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>
        <f t="shared" si="391"/>
        <v>4.2</v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>
        <f t="shared" si="393"/>
        <v>6.3000000000000007</v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>
        <f t="shared" si="395"/>
        <v>4.2</v>
      </c>
      <c r="OJ74" s="43">
        <f t="shared" si="396"/>
        <v>-2</v>
      </c>
      <c r="OL74" s="47">
        <v>0</v>
      </c>
      <c r="OM74" s="48" t="s">
        <v>4</v>
      </c>
      <c r="ON74" s="49">
        <v>5</v>
      </c>
      <c r="OP74" s="42">
        <f t="shared" si="397"/>
        <v>4.2</v>
      </c>
      <c r="OQ74" s="43">
        <f t="shared" si="398"/>
        <v>-5</v>
      </c>
      <c r="OS74" s="47">
        <v>0</v>
      </c>
      <c r="OT74" s="48" t="s">
        <v>4</v>
      </c>
      <c r="OU74" s="49">
        <v>3</v>
      </c>
      <c r="OW74" s="42">
        <f t="shared" si="399"/>
        <v>4.2</v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>
        <f t="shared" si="401"/>
        <v>4.2</v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>
        <f t="shared" si="403"/>
        <v>4.2</v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>
        <f t="shared" si="405"/>
        <v>4.2</v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>
        <f t="shared" si="407"/>
        <v>4.2</v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>
        <f t="shared" si="409"/>
        <v>0</v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>
        <f t="shared" si="411"/>
        <v>4.2</v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>
        <f t="shared" si="413"/>
        <v>4.2</v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>
        <f t="shared" si="415"/>
        <v>0</v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>
        <f t="shared" si="419"/>
        <v>0</v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>
        <f t="shared" si="421"/>
        <v>4.2</v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>
        <f t="shared" si="423"/>
        <v>0</v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>
        <f t="shared" si="425"/>
        <v>0</v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>
        <f t="shared" si="427"/>
        <v>4.2</v>
      </c>
      <c r="SR74" s="43">
        <f t="shared" si="428"/>
        <v>-3</v>
      </c>
    </row>
    <row r="75" spans="1:512" ht="16" customHeight="1" x14ac:dyDescent="0.15">
      <c r="A75" s="51">
        <v>46200</v>
      </c>
      <c r="B75" s="46">
        <v>0.95833333333333337</v>
      </c>
      <c r="C75" s="82" t="s">
        <v>22</v>
      </c>
      <c r="D75" s="82" t="s">
        <v>58</v>
      </c>
      <c r="E75" s="2">
        <v>2</v>
      </c>
      <c r="F75" s="50" t="s">
        <v>4</v>
      </c>
      <c r="G75" s="1">
        <v>1</v>
      </c>
      <c r="H75" s="16">
        <v>4.2</v>
      </c>
      <c r="I75" s="32">
        <f t="shared" si="429"/>
        <v>1</v>
      </c>
      <c r="J75" s="47">
        <v>1</v>
      </c>
      <c r="K75" s="48" t="s">
        <v>4</v>
      </c>
      <c r="L75" s="49">
        <v>2</v>
      </c>
      <c r="N75" s="42">
        <f t="shared" si="430"/>
        <v>0</v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>
        <f t="shared" si="287"/>
        <v>4.2</v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>
        <f t="shared" si="289"/>
        <v>0</v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>
        <f t="shared" si="291"/>
        <v>0</v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>
        <f t="shared" si="293"/>
        <v>6.3000000000000007</v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>
        <f t="shared" si="295"/>
        <v>6.3000000000000007</v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>
        <f t="shared" si="297"/>
        <v>6.3000000000000007</v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>
        <f t="shared" si="299"/>
        <v>6.3000000000000007</v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>
        <f t="shared" si="301"/>
        <v>4.2</v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>
        <f t="shared" si="303"/>
        <v>4.2</v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>
        <f t="shared" si="305"/>
        <v>4.2</v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>
        <f t="shared" si="307"/>
        <v>6.3000000000000007</v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>
        <f t="shared" si="309"/>
        <v>4.2</v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>
        <f t="shared" si="311"/>
        <v>6.3000000000000007</v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>
        <f t="shared" si="313"/>
        <v>4.2</v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>
        <f t="shared" si="315"/>
        <v>6.3000000000000007</v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>
        <f t="shared" si="317"/>
        <v>4.2</v>
      </c>
      <c r="DW75" s="43">
        <f t="shared" si="318"/>
        <v>2</v>
      </c>
      <c r="DY75" s="47">
        <v>1</v>
      </c>
      <c r="DZ75" s="48" t="s">
        <v>4</v>
      </c>
      <c r="EA75" s="49">
        <v>1</v>
      </c>
      <c r="EC75" s="42">
        <f t="shared" si="319"/>
        <v>0</v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>
        <f t="shared" si="321"/>
        <v>0</v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>
        <f t="shared" si="323"/>
        <v>0</v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>
        <f t="shared" si="325"/>
        <v>0</v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>
        <f t="shared" si="327"/>
        <v>6.3000000000000007</v>
      </c>
      <c r="FF75" s="43">
        <f t="shared" si="328"/>
        <v>1</v>
      </c>
      <c r="FH75" s="47">
        <v>1</v>
      </c>
      <c r="FI75" s="48" t="s">
        <v>4</v>
      </c>
      <c r="FJ75" s="49">
        <v>0</v>
      </c>
      <c r="FL75" s="42">
        <f t="shared" si="329"/>
        <v>4.2</v>
      </c>
      <c r="FM75" s="43">
        <f t="shared" si="330"/>
        <v>1</v>
      </c>
      <c r="FN75" s="5"/>
      <c r="FO75" s="47">
        <v>2</v>
      </c>
      <c r="FP75" s="48" t="s">
        <v>4</v>
      </c>
      <c r="FQ75" s="49">
        <v>1</v>
      </c>
      <c r="FS75" s="42">
        <f t="shared" si="331"/>
        <v>6.3000000000000007</v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>
        <f t="shared" si="333"/>
        <v>0</v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>
        <f t="shared" si="335"/>
        <v>4.2</v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>
        <f t="shared" si="337"/>
        <v>6.3000000000000007</v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>
        <f t="shared" si="339"/>
        <v>6.3000000000000007</v>
      </c>
      <c r="GV75" s="43">
        <f t="shared" si="340"/>
        <v>1</v>
      </c>
      <c r="GX75" s="47">
        <v>2</v>
      </c>
      <c r="GY75" s="48" t="s">
        <v>4</v>
      </c>
      <c r="GZ75" s="49">
        <v>1</v>
      </c>
      <c r="HB75" s="42">
        <f t="shared" si="341"/>
        <v>6.3000000000000007</v>
      </c>
      <c r="HC75" s="43">
        <f t="shared" si="342"/>
        <v>1</v>
      </c>
      <c r="HE75" s="47">
        <v>2</v>
      </c>
      <c r="HF75" s="48" t="s">
        <v>4</v>
      </c>
      <c r="HG75" s="49">
        <v>0</v>
      </c>
      <c r="HI75" s="42">
        <f t="shared" si="343"/>
        <v>4.2</v>
      </c>
      <c r="HJ75" s="43">
        <f t="shared" si="344"/>
        <v>2</v>
      </c>
      <c r="HL75" s="47">
        <v>2</v>
      </c>
      <c r="HM75" s="48" t="s">
        <v>4</v>
      </c>
      <c r="HN75" s="49">
        <v>0</v>
      </c>
      <c r="HP75" s="42">
        <f t="shared" si="345"/>
        <v>4.2</v>
      </c>
      <c r="HQ75" s="43">
        <f t="shared" si="346"/>
        <v>2</v>
      </c>
      <c r="HR75" s="5"/>
      <c r="HS75" s="47">
        <v>2</v>
      </c>
      <c r="HT75" s="48" t="s">
        <v>4</v>
      </c>
      <c r="HU75" s="49">
        <v>0</v>
      </c>
      <c r="HW75" s="42">
        <f t="shared" si="347"/>
        <v>4.2</v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>
        <f t="shared" si="349"/>
        <v>0</v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>
        <f t="shared" si="351"/>
        <v>4.2</v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>
        <f t="shared" si="353"/>
        <v>4.2</v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>
        <f t="shared" si="355"/>
        <v>4.2</v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>
        <f t="shared" si="357"/>
        <v>6.3000000000000007</v>
      </c>
      <c r="JG75" s="43">
        <f t="shared" si="358"/>
        <v>1</v>
      </c>
      <c r="JI75" s="47">
        <v>4</v>
      </c>
      <c r="JJ75" s="48" t="s">
        <v>4</v>
      </c>
      <c r="JK75" s="49">
        <v>2</v>
      </c>
      <c r="JM75" s="42">
        <f t="shared" si="359"/>
        <v>4.2</v>
      </c>
      <c r="JN75" s="43">
        <f t="shared" si="360"/>
        <v>2</v>
      </c>
      <c r="JP75" s="47">
        <v>2</v>
      </c>
      <c r="JQ75" s="48" t="s">
        <v>4</v>
      </c>
      <c r="JR75" s="49">
        <v>2</v>
      </c>
      <c r="JT75" s="42">
        <f t="shared" si="361"/>
        <v>0</v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>
        <f t="shared" si="363"/>
        <v>0</v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>
        <f t="shared" si="365"/>
        <v>6.3000000000000007</v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>
        <f t="shared" si="367"/>
        <v>4.2</v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>
        <f t="shared" si="369"/>
        <v>0</v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>
        <f t="shared" si="371"/>
        <v>0</v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>
        <f t="shared" si="373"/>
        <v>4.2</v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>
        <f t="shared" si="375"/>
        <v>4.2</v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>
        <f t="shared" si="377"/>
        <v>4.2</v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>
        <f t="shared" si="379"/>
        <v>0</v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>
        <f t="shared" si="381"/>
        <v>4.2</v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>
        <f t="shared" si="383"/>
        <v>4.2</v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>
        <f t="shared" si="385"/>
        <v>4.2</v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>
        <f t="shared" si="387"/>
        <v>0</v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>
        <f t="shared" si="389"/>
        <v>0</v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>
        <f t="shared" si="391"/>
        <v>0</v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>
        <f t="shared" si="393"/>
        <v>0</v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>
        <f t="shared" si="395"/>
        <v>4.2</v>
      </c>
      <c r="OJ75" s="43">
        <f t="shared" si="396"/>
        <v>3</v>
      </c>
      <c r="OL75" s="47">
        <v>3</v>
      </c>
      <c r="OM75" s="48" t="s">
        <v>4</v>
      </c>
      <c r="ON75" s="49">
        <v>1</v>
      </c>
      <c r="OP75" s="42">
        <f t="shared" si="397"/>
        <v>4.2</v>
      </c>
      <c r="OQ75" s="43">
        <f t="shared" si="398"/>
        <v>2</v>
      </c>
      <c r="OS75" s="47">
        <v>1</v>
      </c>
      <c r="OT75" s="48" t="s">
        <v>4</v>
      </c>
      <c r="OU75" s="49">
        <v>0</v>
      </c>
      <c r="OW75" s="42">
        <f t="shared" si="399"/>
        <v>4.2</v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>
        <f t="shared" si="401"/>
        <v>4.2</v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>
        <f t="shared" si="403"/>
        <v>0</v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>
        <f t="shared" si="405"/>
        <v>6.3000000000000007</v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>
        <f t="shared" si="407"/>
        <v>0</v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>
        <f t="shared" si="409"/>
        <v>4.2</v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>
        <f t="shared" si="411"/>
        <v>4.2</v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>
        <f t="shared" si="413"/>
        <v>4.2</v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>
        <f t="shared" si="415"/>
        <v>0</v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>
        <f t="shared" si="419"/>
        <v>0</v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>
        <f t="shared" si="421"/>
        <v>0</v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>
        <f t="shared" si="423"/>
        <v>0</v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>
        <f t="shared" si="425"/>
        <v>0</v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>
        <f t="shared" si="427"/>
        <v>6.3000000000000007</v>
      </c>
      <c r="SR75" s="43">
        <f t="shared" si="428"/>
        <v>1</v>
      </c>
    </row>
    <row r="76" spans="1:512" ht="16" customHeight="1" x14ac:dyDescent="0.15">
      <c r="A76" s="51">
        <v>46201</v>
      </c>
      <c r="B76" s="46">
        <v>6.25E-2</v>
      </c>
      <c r="C76" s="82" t="s">
        <v>61</v>
      </c>
      <c r="D76" s="82" t="s">
        <v>9</v>
      </c>
      <c r="E76" s="2">
        <v>0</v>
      </c>
      <c r="F76" s="50" t="s">
        <v>4</v>
      </c>
      <c r="G76" s="1">
        <v>0</v>
      </c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>
        <f t="shared" si="430"/>
        <v>0</v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>
        <f t="shared" si="287"/>
        <v>0</v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>
        <f t="shared" si="289"/>
        <v>0</v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>
        <f t="shared" si="291"/>
        <v>4.4000000000000004</v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>
        <f t="shared" si="293"/>
        <v>4.4000000000000004</v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>
        <f t="shared" si="295"/>
        <v>4.4000000000000004</v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>
        <f t="shared" si="297"/>
        <v>0</v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>
        <f t="shared" si="299"/>
        <v>4.4000000000000004</v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>
        <f t="shared" si="301"/>
        <v>4.4000000000000004</v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>
        <f t="shared" si="303"/>
        <v>0</v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>
        <f t="shared" si="305"/>
        <v>4.4000000000000004</v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>
        <f t="shared" si="307"/>
        <v>0</v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>
        <f t="shared" si="309"/>
        <v>0</v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>
        <f t="shared" si="311"/>
        <v>0</v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>
        <f t="shared" si="313"/>
        <v>0</v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>
        <f t="shared" si="315"/>
        <v>0</v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>
        <f t="shared" si="317"/>
        <v>0</v>
      </c>
      <c r="DW76" s="43">
        <f t="shared" si="318"/>
        <v>-2</v>
      </c>
      <c r="DY76" s="47">
        <v>0</v>
      </c>
      <c r="DZ76" s="48" t="s">
        <v>4</v>
      </c>
      <c r="EA76" s="49">
        <v>2</v>
      </c>
      <c r="EC76" s="42">
        <f t="shared" si="319"/>
        <v>0</v>
      </c>
      <c r="ED76" s="43">
        <f t="shared" si="320"/>
        <v>-2</v>
      </c>
      <c r="EF76" s="47">
        <v>2</v>
      </c>
      <c r="EG76" s="48" t="s">
        <v>4</v>
      </c>
      <c r="EH76" s="49">
        <v>2</v>
      </c>
      <c r="EJ76" s="42">
        <f t="shared" si="321"/>
        <v>4.4000000000000004</v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>
        <f t="shared" si="323"/>
        <v>0</v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>
        <f t="shared" si="325"/>
        <v>0</v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>
        <f t="shared" si="327"/>
        <v>0</v>
      </c>
      <c r="FF76" s="43">
        <f t="shared" si="328"/>
        <v>-1</v>
      </c>
      <c r="FH76" s="47">
        <v>1</v>
      </c>
      <c r="FI76" s="48" t="s">
        <v>4</v>
      </c>
      <c r="FJ76" s="49">
        <v>1</v>
      </c>
      <c r="FL76" s="42">
        <f t="shared" si="329"/>
        <v>4.4000000000000004</v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>
        <f t="shared" si="331"/>
        <v>0</v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>
        <f t="shared" si="333"/>
        <v>4.4000000000000004</v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>
        <f t="shared" si="335"/>
        <v>4.4000000000000004</v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>
        <f t="shared" si="337"/>
        <v>0</v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>
        <f t="shared" si="339"/>
        <v>0</v>
      </c>
      <c r="GV76" s="43">
        <f t="shared" si="340"/>
        <v>-1</v>
      </c>
      <c r="GX76" s="47">
        <v>2</v>
      </c>
      <c r="GY76" s="48" t="s">
        <v>4</v>
      </c>
      <c r="GZ76" s="49">
        <v>2</v>
      </c>
      <c r="HB76" s="42">
        <f t="shared" si="341"/>
        <v>4.4000000000000004</v>
      </c>
      <c r="HC76" s="43">
        <f t="shared" si="342"/>
        <v>0</v>
      </c>
      <c r="HE76" s="47">
        <v>1</v>
      </c>
      <c r="HF76" s="48" t="s">
        <v>4</v>
      </c>
      <c r="HG76" s="49">
        <v>2</v>
      </c>
      <c r="HI76" s="42">
        <f t="shared" si="343"/>
        <v>0</v>
      </c>
      <c r="HJ76" s="43">
        <f t="shared" si="344"/>
        <v>-1</v>
      </c>
      <c r="HL76" s="47">
        <v>1</v>
      </c>
      <c r="HM76" s="48" t="s">
        <v>4</v>
      </c>
      <c r="HN76" s="49">
        <v>2</v>
      </c>
      <c r="HP76" s="42">
        <f t="shared" si="345"/>
        <v>0</v>
      </c>
      <c r="HQ76" s="43">
        <f t="shared" si="346"/>
        <v>-1</v>
      </c>
      <c r="HR76" s="5"/>
      <c r="HS76" s="47">
        <v>0</v>
      </c>
      <c r="HT76" s="48" t="s">
        <v>4</v>
      </c>
      <c r="HU76" s="49">
        <v>2</v>
      </c>
      <c r="HW76" s="42">
        <f t="shared" si="347"/>
        <v>0</v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>
        <f t="shared" si="349"/>
        <v>0</v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>
        <f t="shared" si="351"/>
        <v>0</v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>
        <f t="shared" si="353"/>
        <v>0</v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>
        <f t="shared" si="355"/>
        <v>0</v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>
        <f t="shared" si="357"/>
        <v>0</v>
      </c>
      <c r="JG76" s="43">
        <f t="shared" si="358"/>
        <v>-1</v>
      </c>
      <c r="JI76" s="47">
        <v>2</v>
      </c>
      <c r="JJ76" s="48" t="s">
        <v>4</v>
      </c>
      <c r="JK76" s="49">
        <v>2</v>
      </c>
      <c r="JM76" s="42">
        <f t="shared" si="359"/>
        <v>4.4000000000000004</v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>
        <f t="shared" si="361"/>
        <v>0</v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>
        <f t="shared" si="363"/>
        <v>0</v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>
        <f t="shared" si="365"/>
        <v>0</v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>
        <f t="shared" si="367"/>
        <v>0</v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>
        <f t="shared" si="369"/>
        <v>0</v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>
        <f t="shared" si="371"/>
        <v>0</v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>
        <f t="shared" si="373"/>
        <v>0</v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>
        <f t="shared" si="375"/>
        <v>0</v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>
        <f t="shared" si="377"/>
        <v>4.4000000000000004</v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>
        <f t="shared" si="379"/>
        <v>0</v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>
        <f t="shared" si="381"/>
        <v>0</v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>
        <f t="shared" si="383"/>
        <v>0</v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>
        <f t="shared" si="385"/>
        <v>0</v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>
        <f t="shared" si="387"/>
        <v>0</v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>
        <f t="shared" si="389"/>
        <v>0</v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>
        <f t="shared" si="391"/>
        <v>0</v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>
        <f t="shared" si="393"/>
        <v>0</v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>
        <f t="shared" si="395"/>
        <v>0</v>
      </c>
      <c r="OJ76" s="43">
        <f t="shared" si="396"/>
        <v>-3</v>
      </c>
      <c r="OL76" s="47">
        <v>1</v>
      </c>
      <c r="OM76" s="48" t="s">
        <v>4</v>
      </c>
      <c r="ON76" s="49">
        <v>2</v>
      </c>
      <c r="OP76" s="42">
        <f t="shared" si="397"/>
        <v>0</v>
      </c>
      <c r="OQ76" s="43">
        <f t="shared" si="398"/>
        <v>-1</v>
      </c>
      <c r="OS76" s="47">
        <v>1</v>
      </c>
      <c r="OT76" s="48" t="s">
        <v>4</v>
      </c>
      <c r="OU76" s="49">
        <v>3</v>
      </c>
      <c r="OW76" s="42">
        <f t="shared" si="399"/>
        <v>0</v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>
        <f t="shared" si="401"/>
        <v>0</v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>
        <f t="shared" si="403"/>
        <v>0</v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>
        <f t="shared" si="405"/>
        <v>0</v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>
        <f t="shared" si="407"/>
        <v>0</v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>
        <f t="shared" si="409"/>
        <v>0</v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>
        <f t="shared" si="411"/>
        <v>0</v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>
        <f t="shared" si="413"/>
        <v>0</v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>
        <f t="shared" si="415"/>
        <v>0</v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>
        <f t="shared" si="419"/>
        <v>0</v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>
        <f t="shared" si="421"/>
        <v>0</v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>
        <f t="shared" si="423"/>
        <v>0</v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>
        <f t="shared" si="425"/>
        <v>0</v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>
        <f t="shared" si="427"/>
        <v>0</v>
      </c>
      <c r="SR76" s="43">
        <f t="shared" si="428"/>
        <v>-2</v>
      </c>
    </row>
    <row r="77" spans="1:512" ht="16" customHeight="1" x14ac:dyDescent="0.15">
      <c r="A77" s="51">
        <v>46201</v>
      </c>
      <c r="B77" s="35">
        <v>6.25E-2</v>
      </c>
      <c r="C77" s="82" t="s">
        <v>57</v>
      </c>
      <c r="D77" s="83" t="s">
        <v>60</v>
      </c>
      <c r="E77" s="2">
        <v>3</v>
      </c>
      <c r="F77" s="50" t="s">
        <v>4</v>
      </c>
      <c r="G77" s="1">
        <v>1</v>
      </c>
      <c r="H77" s="16">
        <v>4.4000000000000004</v>
      </c>
      <c r="I77" s="32">
        <f t="shared" si="429"/>
        <v>2</v>
      </c>
      <c r="J77" s="47">
        <v>2</v>
      </c>
      <c r="K77" s="48" t="s">
        <v>4</v>
      </c>
      <c r="L77" s="49">
        <v>0</v>
      </c>
      <c r="N77" s="42">
        <f t="shared" si="430"/>
        <v>4.4000000000000004</v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>
        <f t="shared" si="287"/>
        <v>0</v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>
        <f t="shared" si="289"/>
        <v>0</v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>
        <f t="shared" si="291"/>
        <v>0</v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>
        <f t="shared" si="293"/>
        <v>0</v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>
        <f t="shared" si="295"/>
        <v>4.4000000000000004</v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>
        <f t="shared" si="297"/>
        <v>0</v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>
        <f t="shared" si="299"/>
        <v>4.4000000000000004</v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>
        <f t="shared" si="301"/>
        <v>0</v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>
        <f t="shared" si="303"/>
        <v>4.4000000000000004</v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>
        <f t="shared" si="305"/>
        <v>0</v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>
        <f t="shared" si="307"/>
        <v>0</v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>
        <f t="shared" si="309"/>
        <v>0</v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>
        <f t="shared" si="311"/>
        <v>0</v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>
        <f t="shared" si="313"/>
        <v>4.4000000000000004</v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>
        <f t="shared" si="315"/>
        <v>0</v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>
        <f t="shared" si="317"/>
        <v>4.4000000000000004</v>
      </c>
      <c r="DW77" s="43">
        <f t="shared" si="318"/>
        <v>1</v>
      </c>
      <c r="DY77" s="47">
        <v>2</v>
      </c>
      <c r="DZ77" s="48" t="s">
        <v>4</v>
      </c>
      <c r="EA77" s="49">
        <v>0</v>
      </c>
      <c r="EC77" s="42">
        <f t="shared" si="319"/>
        <v>4.4000000000000004</v>
      </c>
      <c r="ED77" s="43">
        <f t="shared" si="320"/>
        <v>2</v>
      </c>
      <c r="EF77" s="47">
        <v>0</v>
      </c>
      <c r="EG77" s="48" t="s">
        <v>4</v>
      </c>
      <c r="EH77" s="49">
        <v>0</v>
      </c>
      <c r="EJ77" s="42">
        <f t="shared" si="321"/>
        <v>0</v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>
        <f t="shared" si="323"/>
        <v>4.4000000000000004</v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>
        <f t="shared" si="325"/>
        <v>4.4000000000000004</v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>
        <f t="shared" si="327"/>
        <v>0</v>
      </c>
      <c r="FF77" s="43">
        <f t="shared" si="328"/>
        <v>0</v>
      </c>
      <c r="FH77" s="47">
        <v>2</v>
      </c>
      <c r="FI77" s="48" t="s">
        <v>4</v>
      </c>
      <c r="FJ77" s="49">
        <v>1</v>
      </c>
      <c r="FL77" s="42">
        <f t="shared" si="329"/>
        <v>4.4000000000000004</v>
      </c>
      <c r="FM77" s="43">
        <f t="shared" si="330"/>
        <v>1</v>
      </c>
      <c r="FN77" s="5"/>
      <c r="FO77" s="47">
        <v>1</v>
      </c>
      <c r="FP77" s="48" t="s">
        <v>4</v>
      </c>
      <c r="FQ77" s="49">
        <v>1</v>
      </c>
      <c r="FS77" s="42">
        <f t="shared" si="331"/>
        <v>0</v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>
        <f t="shared" si="333"/>
        <v>4.4000000000000004</v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>
        <f t="shared" si="335"/>
        <v>4.4000000000000004</v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>
        <f t="shared" si="337"/>
        <v>0</v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>
        <f t="shared" si="339"/>
        <v>0</v>
      </c>
      <c r="GV77" s="43">
        <f t="shared" si="340"/>
        <v>0</v>
      </c>
      <c r="GX77" s="47">
        <v>1</v>
      </c>
      <c r="GY77" s="48" t="s">
        <v>4</v>
      </c>
      <c r="GZ77" s="49">
        <v>1</v>
      </c>
      <c r="HB77" s="42">
        <f t="shared" si="341"/>
        <v>0</v>
      </c>
      <c r="HC77" s="43">
        <f t="shared" si="342"/>
        <v>0</v>
      </c>
      <c r="HE77" s="47">
        <v>1</v>
      </c>
      <c r="HF77" s="48" t="s">
        <v>4</v>
      </c>
      <c r="HG77" s="49">
        <v>0</v>
      </c>
      <c r="HI77" s="42">
        <f t="shared" si="343"/>
        <v>4.4000000000000004</v>
      </c>
      <c r="HJ77" s="43">
        <f t="shared" si="344"/>
        <v>1</v>
      </c>
      <c r="HL77" s="47">
        <v>2</v>
      </c>
      <c r="HM77" s="48" t="s">
        <v>4</v>
      </c>
      <c r="HN77" s="49">
        <v>0</v>
      </c>
      <c r="HP77" s="42">
        <f t="shared" si="345"/>
        <v>4.4000000000000004</v>
      </c>
      <c r="HQ77" s="43">
        <f t="shared" si="346"/>
        <v>2</v>
      </c>
      <c r="HR77" s="5"/>
      <c r="HS77" s="47">
        <v>1</v>
      </c>
      <c r="HT77" s="48" t="s">
        <v>4</v>
      </c>
      <c r="HU77" s="49">
        <v>0</v>
      </c>
      <c r="HW77" s="42">
        <f t="shared" si="347"/>
        <v>4.4000000000000004</v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>
        <f t="shared" si="349"/>
        <v>4.4000000000000004</v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>
        <f t="shared" si="351"/>
        <v>0</v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>
        <f t="shared" si="353"/>
        <v>4.4000000000000004</v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>
        <f t="shared" si="355"/>
        <v>4.4000000000000004</v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>
        <f t="shared" si="357"/>
        <v>4.4000000000000004</v>
      </c>
      <c r="JG77" s="43">
        <f t="shared" si="358"/>
        <v>1</v>
      </c>
      <c r="JI77" s="47">
        <v>3</v>
      </c>
      <c r="JJ77" s="48" t="s">
        <v>4</v>
      </c>
      <c r="JK77" s="49">
        <v>1</v>
      </c>
      <c r="JM77" s="42">
        <f t="shared" si="359"/>
        <v>6.6000000000000005</v>
      </c>
      <c r="JN77" s="43">
        <f t="shared" si="360"/>
        <v>2</v>
      </c>
      <c r="JP77" s="47">
        <v>3</v>
      </c>
      <c r="JQ77" s="48" t="s">
        <v>4</v>
      </c>
      <c r="JR77" s="49">
        <v>2</v>
      </c>
      <c r="JT77" s="42">
        <f t="shared" si="361"/>
        <v>4.4000000000000004</v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>
        <f t="shared" si="363"/>
        <v>0</v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>
        <f t="shared" si="365"/>
        <v>0</v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>
        <f t="shared" si="367"/>
        <v>0</v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>
        <f t="shared" si="369"/>
        <v>4.4000000000000004</v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>
        <f t="shared" si="371"/>
        <v>4.4000000000000004</v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>
        <f t="shared" si="373"/>
        <v>4.4000000000000004</v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>
        <f t="shared" si="375"/>
        <v>4.4000000000000004</v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>
        <f t="shared" si="377"/>
        <v>0</v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>
        <f t="shared" si="379"/>
        <v>0</v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>
        <f t="shared" si="381"/>
        <v>0</v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>
        <f t="shared" si="383"/>
        <v>0</v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>
        <f t="shared" si="385"/>
        <v>4.4000000000000004</v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>
        <f t="shared" si="387"/>
        <v>0</v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>
        <f t="shared" si="389"/>
        <v>0</v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>
        <f t="shared" si="391"/>
        <v>4.4000000000000004</v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>
        <f t="shared" si="393"/>
        <v>4.4000000000000004</v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>
        <f t="shared" si="395"/>
        <v>0</v>
      </c>
      <c r="OJ77" s="43">
        <f t="shared" si="396"/>
        <v>0</v>
      </c>
      <c r="OL77" s="47">
        <v>2</v>
      </c>
      <c r="OM77" s="48" t="s">
        <v>4</v>
      </c>
      <c r="ON77" s="49">
        <v>2</v>
      </c>
      <c r="OP77" s="42">
        <f t="shared" si="397"/>
        <v>0</v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>
        <f t="shared" si="399"/>
        <v>0</v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>
        <f t="shared" si="401"/>
        <v>4.4000000000000004</v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>
        <f t="shared" si="403"/>
        <v>4.4000000000000004</v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>
        <f t="shared" si="405"/>
        <v>0</v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>
        <f t="shared" si="407"/>
        <v>0</v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>
        <f t="shared" si="409"/>
        <v>0</v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>
        <f t="shared" si="411"/>
        <v>0</v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>
        <f t="shared" si="413"/>
        <v>4.4000000000000004</v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>
        <f t="shared" si="415"/>
        <v>0</v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>
        <f t="shared" si="419"/>
        <v>0</v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>
        <f t="shared" si="421"/>
        <v>4.4000000000000004</v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>
        <f t="shared" si="423"/>
        <v>4.4000000000000004</v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>
        <f t="shared" si="425"/>
        <v>4.4000000000000004</v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>
        <f t="shared" si="427"/>
        <v>0</v>
      </c>
      <c r="SR77" s="43">
        <f t="shared" si="428"/>
        <v>0</v>
      </c>
    </row>
    <row r="78" spans="1:512" ht="16" customHeight="1" x14ac:dyDescent="0.15">
      <c r="A78" s="51">
        <v>46201</v>
      </c>
      <c r="B78" s="46">
        <v>0.16666666666666666</v>
      </c>
      <c r="C78" s="82" t="s">
        <v>55</v>
      </c>
      <c r="D78" s="83" t="s">
        <v>24</v>
      </c>
      <c r="E78" s="2">
        <v>3</v>
      </c>
      <c r="F78" s="50" t="s">
        <v>4</v>
      </c>
      <c r="G78" s="1">
        <v>3</v>
      </c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>
        <f t="shared" si="430"/>
        <v>4.4000000000000004</v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>
        <f t="shared" si="287"/>
        <v>0</v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>
        <f t="shared" si="289"/>
        <v>4.4000000000000004</v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>
        <f t="shared" si="291"/>
        <v>4.4000000000000004</v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>
        <f t="shared" si="293"/>
        <v>4.4000000000000004</v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>
        <f t="shared" si="295"/>
        <v>0</v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>
        <f t="shared" si="297"/>
        <v>0</v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>
        <f t="shared" si="299"/>
        <v>0</v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>
        <f t="shared" si="301"/>
        <v>4.4000000000000004</v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>
        <f t="shared" si="303"/>
        <v>0</v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>
        <f t="shared" si="305"/>
        <v>0</v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>
        <f t="shared" si="307"/>
        <v>0</v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>
        <f t="shared" si="309"/>
        <v>0</v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>
        <f t="shared" si="311"/>
        <v>0</v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>
        <f t="shared" si="313"/>
        <v>0</v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>
        <f t="shared" si="315"/>
        <v>0</v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>
        <f t="shared" si="317"/>
        <v>4.4000000000000004</v>
      </c>
      <c r="DW78" s="43">
        <f t="shared" si="318"/>
        <v>0</v>
      </c>
      <c r="DY78" s="47">
        <v>1</v>
      </c>
      <c r="DZ78" s="48" t="s">
        <v>4</v>
      </c>
      <c r="EA78" s="49">
        <v>2</v>
      </c>
      <c r="EC78" s="42">
        <f t="shared" si="319"/>
        <v>0</v>
      </c>
      <c r="ED78" s="43">
        <f t="shared" si="320"/>
        <v>-1</v>
      </c>
      <c r="EF78" s="47">
        <v>0</v>
      </c>
      <c r="EG78" s="48" t="s">
        <v>4</v>
      </c>
      <c r="EH78" s="49">
        <v>1</v>
      </c>
      <c r="EJ78" s="42">
        <f t="shared" si="321"/>
        <v>0</v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>
        <f t="shared" si="323"/>
        <v>0</v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>
        <f t="shared" si="325"/>
        <v>0</v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>
        <f t="shared" si="327"/>
        <v>0</v>
      </c>
      <c r="FF78" s="43">
        <f t="shared" si="328"/>
        <v>-1</v>
      </c>
      <c r="FH78" s="47">
        <v>1</v>
      </c>
      <c r="FI78" s="48" t="s">
        <v>4</v>
      </c>
      <c r="FJ78" s="49">
        <v>1</v>
      </c>
      <c r="FL78" s="42">
        <f t="shared" si="329"/>
        <v>4.4000000000000004</v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>
        <f t="shared" si="331"/>
        <v>0</v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>
        <f t="shared" si="333"/>
        <v>0</v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>
        <f t="shared" si="335"/>
        <v>0</v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>
        <f t="shared" si="337"/>
        <v>4.4000000000000004</v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>
        <f t="shared" si="339"/>
        <v>0</v>
      </c>
      <c r="GV78" s="43">
        <f t="shared" si="340"/>
        <v>-1</v>
      </c>
      <c r="GX78" s="47">
        <v>1</v>
      </c>
      <c r="GY78" s="48" t="s">
        <v>4</v>
      </c>
      <c r="GZ78" s="49">
        <v>2</v>
      </c>
      <c r="HB78" s="42">
        <f t="shared" si="341"/>
        <v>0</v>
      </c>
      <c r="HC78" s="43">
        <f t="shared" si="342"/>
        <v>-1</v>
      </c>
      <c r="HE78" s="47">
        <v>1</v>
      </c>
      <c r="HF78" s="48" t="s">
        <v>4</v>
      </c>
      <c r="HG78" s="49">
        <v>2</v>
      </c>
      <c r="HI78" s="42">
        <f t="shared" si="343"/>
        <v>0</v>
      </c>
      <c r="HJ78" s="43">
        <f t="shared" si="344"/>
        <v>-1</v>
      </c>
      <c r="HL78" s="47">
        <v>0</v>
      </c>
      <c r="HM78" s="48" t="s">
        <v>4</v>
      </c>
      <c r="HN78" s="49">
        <v>2</v>
      </c>
      <c r="HP78" s="42">
        <f t="shared" si="345"/>
        <v>0</v>
      </c>
      <c r="HQ78" s="43">
        <f t="shared" si="346"/>
        <v>-2</v>
      </c>
      <c r="HR78" s="5"/>
      <c r="HS78" s="47">
        <v>0</v>
      </c>
      <c r="HT78" s="48" t="s">
        <v>4</v>
      </c>
      <c r="HU78" s="49">
        <v>2</v>
      </c>
      <c r="HW78" s="42">
        <f t="shared" si="347"/>
        <v>0</v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>
        <f t="shared" si="349"/>
        <v>0</v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>
        <f t="shared" si="351"/>
        <v>0</v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>
        <f t="shared" si="353"/>
        <v>0</v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>
        <f t="shared" si="355"/>
        <v>0</v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>
        <f t="shared" si="357"/>
        <v>4.4000000000000004</v>
      </c>
      <c r="JG78" s="43">
        <f t="shared" si="358"/>
        <v>0</v>
      </c>
      <c r="JI78" s="47">
        <v>2</v>
      </c>
      <c r="JJ78" s="48" t="s">
        <v>4</v>
      </c>
      <c r="JK78" s="49">
        <v>1</v>
      </c>
      <c r="JM78" s="42">
        <f t="shared" si="359"/>
        <v>0</v>
      </c>
      <c r="JN78" s="43">
        <f t="shared" si="360"/>
        <v>1</v>
      </c>
      <c r="JP78" s="47">
        <v>2</v>
      </c>
      <c r="JQ78" s="48" t="s">
        <v>4</v>
      </c>
      <c r="JR78" s="49">
        <v>0</v>
      </c>
      <c r="JT78" s="42">
        <f t="shared" si="361"/>
        <v>0</v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>
        <f t="shared" si="363"/>
        <v>0</v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>
        <f t="shared" si="365"/>
        <v>0</v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>
        <f t="shared" si="367"/>
        <v>0</v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>
        <f t="shared" si="369"/>
        <v>0</v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>
        <f t="shared" si="371"/>
        <v>0</v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>
        <f t="shared" si="373"/>
        <v>0</v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>
        <f t="shared" si="375"/>
        <v>4.4000000000000004</v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>
        <f t="shared" si="377"/>
        <v>0</v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>
        <f t="shared" si="379"/>
        <v>0</v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>
        <f t="shared" si="381"/>
        <v>0</v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>
        <f t="shared" si="383"/>
        <v>0</v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>
        <f t="shared" si="385"/>
        <v>0</v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>
        <f t="shared" si="387"/>
        <v>0</v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>
        <f t="shared" si="389"/>
        <v>6.6000000000000005</v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>
        <f t="shared" si="391"/>
        <v>0</v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>
        <f t="shared" si="393"/>
        <v>0</v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>
        <f t="shared" si="395"/>
        <v>0</v>
      </c>
      <c r="OJ78" s="43">
        <f t="shared" si="396"/>
        <v>1</v>
      </c>
      <c r="OL78" s="47">
        <v>0</v>
      </c>
      <c r="OM78" s="48" t="s">
        <v>4</v>
      </c>
      <c r="ON78" s="49">
        <v>1</v>
      </c>
      <c r="OP78" s="42">
        <f t="shared" si="397"/>
        <v>0</v>
      </c>
      <c r="OQ78" s="43">
        <f t="shared" si="398"/>
        <v>-1</v>
      </c>
      <c r="OS78" s="47">
        <v>0</v>
      </c>
      <c r="OT78" s="48" t="s">
        <v>4</v>
      </c>
      <c r="OU78" s="49">
        <v>4</v>
      </c>
      <c r="OW78" s="42">
        <f t="shared" si="399"/>
        <v>0</v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>
        <f t="shared" si="401"/>
        <v>0</v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>
        <f t="shared" si="403"/>
        <v>4.4000000000000004</v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>
        <f t="shared" si="405"/>
        <v>0</v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>
        <f t="shared" si="407"/>
        <v>0</v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>
        <f t="shared" si="409"/>
        <v>0</v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>
        <f t="shared" si="411"/>
        <v>0</v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>
        <f t="shared" si="413"/>
        <v>0</v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>
        <f t="shared" si="415"/>
        <v>0</v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>
        <f t="shared" si="419"/>
        <v>4.4000000000000004</v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>
        <f t="shared" si="421"/>
        <v>0</v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>
        <f t="shared" si="423"/>
        <v>0</v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>
        <f t="shared" si="425"/>
        <v>0</v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>
        <f t="shared" si="427"/>
        <v>0</v>
      </c>
      <c r="SR78" s="43">
        <f t="shared" si="428"/>
        <v>-1</v>
      </c>
    </row>
    <row r="79" spans="1:512" ht="16" customHeight="1" x14ac:dyDescent="0.15">
      <c r="A79" s="51">
        <v>46201</v>
      </c>
      <c r="B79" s="46">
        <v>0.16666666666666666</v>
      </c>
      <c r="C79" s="82" t="s">
        <v>56</v>
      </c>
      <c r="D79" s="82" t="s">
        <v>54</v>
      </c>
      <c r="E79" s="2">
        <v>1</v>
      </c>
      <c r="F79" s="50" t="s">
        <v>4</v>
      </c>
      <c r="G79" s="1">
        <v>3</v>
      </c>
      <c r="H79" s="16">
        <v>4.4000000000000004</v>
      </c>
      <c r="I79" s="32">
        <f t="shared" si="429"/>
        <v>-2</v>
      </c>
      <c r="J79" s="47">
        <v>0</v>
      </c>
      <c r="K79" s="48" t="s">
        <v>4</v>
      </c>
      <c r="L79" s="49">
        <v>4</v>
      </c>
      <c r="N79" s="42">
        <f t="shared" si="430"/>
        <v>4.4000000000000004</v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>
        <f t="shared" si="287"/>
        <v>4.4000000000000004</v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>
        <f t="shared" si="289"/>
        <v>4.4000000000000004</v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>
        <f t="shared" si="291"/>
        <v>4.4000000000000004</v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>
        <f t="shared" si="293"/>
        <v>4.4000000000000004</v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>
        <f t="shared" si="295"/>
        <v>4.4000000000000004</v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>
        <f t="shared" si="297"/>
        <v>4.4000000000000004</v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>
        <f t="shared" si="299"/>
        <v>4.4000000000000004</v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>
        <f t="shared" si="301"/>
        <v>4.4000000000000004</v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>
        <f t="shared" si="303"/>
        <v>4.4000000000000004</v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>
        <f t="shared" si="305"/>
        <v>4.4000000000000004</v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>
        <f t="shared" si="307"/>
        <v>4.4000000000000004</v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>
        <f t="shared" si="309"/>
        <v>4.4000000000000004</v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>
        <f t="shared" si="311"/>
        <v>4.4000000000000004</v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>
        <f t="shared" si="313"/>
        <v>4.4000000000000004</v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>
        <f t="shared" si="315"/>
        <v>4.4000000000000004</v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>
        <f t="shared" si="317"/>
        <v>4.4000000000000004</v>
      </c>
      <c r="DW79" s="43">
        <f t="shared" si="318"/>
        <v>-3</v>
      </c>
      <c r="DY79" s="47">
        <v>0</v>
      </c>
      <c r="DZ79" s="48" t="s">
        <v>4</v>
      </c>
      <c r="EA79" s="49">
        <v>3</v>
      </c>
      <c r="EC79" s="42">
        <f t="shared" si="319"/>
        <v>4.4000000000000004</v>
      </c>
      <c r="ED79" s="43">
        <f t="shared" si="320"/>
        <v>-3</v>
      </c>
      <c r="EF79" s="47">
        <v>0</v>
      </c>
      <c r="EG79" s="48" t="s">
        <v>4</v>
      </c>
      <c r="EH79" s="49">
        <v>1</v>
      </c>
      <c r="EJ79" s="42">
        <f t="shared" si="321"/>
        <v>4.4000000000000004</v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>
        <f t="shared" si="323"/>
        <v>4.4000000000000004</v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>
        <f t="shared" si="325"/>
        <v>6.6000000000000005</v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>
        <f t="shared" si="327"/>
        <v>4.4000000000000004</v>
      </c>
      <c r="FF79" s="43">
        <f t="shared" si="328"/>
        <v>-3</v>
      </c>
      <c r="FH79" s="47">
        <v>1</v>
      </c>
      <c r="FI79" s="48" t="s">
        <v>4</v>
      </c>
      <c r="FJ79" s="49">
        <v>2</v>
      </c>
      <c r="FL79" s="42">
        <f t="shared" si="329"/>
        <v>4.4000000000000004</v>
      </c>
      <c r="FM79" s="43">
        <f t="shared" si="330"/>
        <v>-1</v>
      </c>
      <c r="FN79" s="5"/>
      <c r="FO79" s="47">
        <v>0</v>
      </c>
      <c r="FP79" s="48" t="s">
        <v>4</v>
      </c>
      <c r="FQ79" s="49">
        <v>1</v>
      </c>
      <c r="FS79" s="42">
        <f t="shared" si="331"/>
        <v>4.4000000000000004</v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>
        <f t="shared" si="333"/>
        <v>4.4000000000000004</v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>
        <f t="shared" si="335"/>
        <v>4.4000000000000004</v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>
        <f t="shared" si="337"/>
        <v>4.4000000000000004</v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>
        <f t="shared" si="339"/>
        <v>4.4000000000000004</v>
      </c>
      <c r="GV79" s="43">
        <f t="shared" si="340"/>
        <v>-4</v>
      </c>
      <c r="GX79" s="47">
        <v>0</v>
      </c>
      <c r="GY79" s="48" t="s">
        <v>4</v>
      </c>
      <c r="GZ79" s="49">
        <v>2</v>
      </c>
      <c r="HB79" s="42">
        <f t="shared" si="341"/>
        <v>4.4000000000000004</v>
      </c>
      <c r="HC79" s="43">
        <f t="shared" si="342"/>
        <v>-2</v>
      </c>
      <c r="HE79" s="47">
        <v>0</v>
      </c>
      <c r="HF79" s="48" t="s">
        <v>4</v>
      </c>
      <c r="HG79" s="49">
        <v>3</v>
      </c>
      <c r="HI79" s="42">
        <f t="shared" si="343"/>
        <v>4.4000000000000004</v>
      </c>
      <c r="HJ79" s="43">
        <f t="shared" si="344"/>
        <v>-3</v>
      </c>
      <c r="HL79" s="47">
        <v>0</v>
      </c>
      <c r="HM79" s="48" t="s">
        <v>4</v>
      </c>
      <c r="HN79" s="49">
        <v>3</v>
      </c>
      <c r="HP79" s="42">
        <f t="shared" si="345"/>
        <v>4.4000000000000004</v>
      </c>
      <c r="HQ79" s="43">
        <f t="shared" si="346"/>
        <v>-3</v>
      </c>
      <c r="HR79" s="5"/>
      <c r="HS79" s="47">
        <v>0</v>
      </c>
      <c r="HT79" s="48" t="s">
        <v>4</v>
      </c>
      <c r="HU79" s="49">
        <v>2</v>
      </c>
      <c r="HW79" s="42">
        <f t="shared" si="347"/>
        <v>4.4000000000000004</v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>
        <f t="shared" si="349"/>
        <v>6.6000000000000005</v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>
        <f t="shared" si="351"/>
        <v>4.4000000000000004</v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>
        <f t="shared" si="353"/>
        <v>4.4000000000000004</v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>
        <f t="shared" si="355"/>
        <v>4.4000000000000004</v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>
        <f t="shared" si="357"/>
        <v>4.4000000000000004</v>
      </c>
      <c r="JG79" s="43">
        <f t="shared" si="358"/>
        <v>-1</v>
      </c>
      <c r="JI79" s="47">
        <v>1</v>
      </c>
      <c r="JJ79" s="48" t="s">
        <v>4</v>
      </c>
      <c r="JK79" s="49">
        <v>3</v>
      </c>
      <c r="JM79" s="42">
        <f t="shared" si="359"/>
        <v>6.6000000000000005</v>
      </c>
      <c r="JN79" s="43">
        <f t="shared" si="360"/>
        <v>-2</v>
      </c>
      <c r="JP79" s="47">
        <v>1</v>
      </c>
      <c r="JQ79" s="48" t="s">
        <v>4</v>
      </c>
      <c r="JR79" s="49">
        <v>3</v>
      </c>
      <c r="JT79" s="42">
        <f t="shared" si="361"/>
        <v>6.6000000000000005</v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>
        <f t="shared" si="363"/>
        <v>4.4000000000000004</v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>
        <f t="shared" si="365"/>
        <v>6.6000000000000005</v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>
        <f t="shared" si="367"/>
        <v>4.4000000000000004</v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>
        <f t="shared" si="369"/>
        <v>4.4000000000000004</v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>
        <f t="shared" si="371"/>
        <v>4.4000000000000004</v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>
        <f t="shared" si="373"/>
        <v>4.4000000000000004</v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>
        <f t="shared" si="375"/>
        <v>6.6000000000000005</v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>
        <f t="shared" si="377"/>
        <v>4.4000000000000004</v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>
        <f t="shared" si="379"/>
        <v>4.4000000000000004</v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>
        <f t="shared" si="381"/>
        <v>4.4000000000000004</v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>
        <f t="shared" si="383"/>
        <v>4.4000000000000004</v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>
        <f t="shared" si="385"/>
        <v>4.4000000000000004</v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>
        <f t="shared" si="387"/>
        <v>6.6000000000000005</v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>
        <f t="shared" si="389"/>
        <v>4.4000000000000004</v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>
        <f t="shared" si="391"/>
        <v>6.6000000000000005</v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>
        <f t="shared" si="393"/>
        <v>4.4000000000000004</v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>
        <f t="shared" si="395"/>
        <v>4.4000000000000004</v>
      </c>
      <c r="OJ79" s="43">
        <f t="shared" si="396"/>
        <v>-3</v>
      </c>
      <c r="OL79" s="47">
        <v>0</v>
      </c>
      <c r="OM79" s="48" t="s">
        <v>4</v>
      </c>
      <c r="ON79" s="49">
        <v>4</v>
      </c>
      <c r="OP79" s="42">
        <f t="shared" si="397"/>
        <v>4.4000000000000004</v>
      </c>
      <c r="OQ79" s="43">
        <f t="shared" si="398"/>
        <v>-4</v>
      </c>
      <c r="OS79" s="47">
        <v>0</v>
      </c>
      <c r="OT79" s="48" t="s">
        <v>4</v>
      </c>
      <c r="OU79" s="49">
        <v>1</v>
      </c>
      <c r="OW79" s="42">
        <f t="shared" si="399"/>
        <v>4.4000000000000004</v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>
        <f t="shared" si="401"/>
        <v>4.4000000000000004</v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>
        <f t="shared" si="403"/>
        <v>4.4000000000000004</v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>
        <f t="shared" si="405"/>
        <v>4.4000000000000004</v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>
        <f t="shared" si="407"/>
        <v>4.4000000000000004</v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>
        <f t="shared" si="409"/>
        <v>4.4000000000000004</v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>
        <f t="shared" si="411"/>
        <v>4.4000000000000004</v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>
        <f t="shared" si="413"/>
        <v>4.4000000000000004</v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>
        <f t="shared" si="415"/>
        <v>4.4000000000000004</v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>
        <f t="shared" si="419"/>
        <v>4.4000000000000004</v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>
        <f t="shared" si="421"/>
        <v>4.4000000000000004</v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>
        <f t="shared" si="423"/>
        <v>0</v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>
        <f t="shared" si="425"/>
        <v>4.4000000000000004</v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>
        <f t="shared" si="427"/>
        <v>0</v>
      </c>
      <c r="SR79" s="43">
        <f t="shared" si="428"/>
        <v>0</v>
      </c>
    </row>
    <row r="80" spans="1:512" ht="16" customHeight="1" x14ac:dyDescent="0.15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 t="s">
        <v>4</v>
      </c>
      <c r="S80" s="49"/>
      <c r="U80" s="42"/>
      <c r="V80" s="43"/>
      <c r="W80" s="5"/>
      <c r="X80" s="47"/>
      <c r="Y80" s="48" t="s">
        <v>4</v>
      </c>
      <c r="Z80" s="49"/>
      <c r="AB80" s="42"/>
      <c r="AC80" s="43"/>
      <c r="AD80" s="5"/>
      <c r="AE80" s="47"/>
      <c r="AF80" s="48" t="s">
        <v>4</v>
      </c>
      <c r="AG80" s="49"/>
      <c r="AI80" s="42"/>
      <c r="AJ80" s="43"/>
      <c r="AL80" s="47"/>
      <c r="AM80" s="48" t="s">
        <v>4</v>
      </c>
      <c r="AN80" s="49"/>
      <c r="AP80" s="42"/>
      <c r="AQ80" s="43"/>
      <c r="AS80" s="47"/>
      <c r="AT80" s="48" t="s">
        <v>4</v>
      </c>
      <c r="AU80" s="49"/>
      <c r="AW80" s="42"/>
      <c r="AX80" s="43"/>
      <c r="AZ80" s="47"/>
      <c r="BA80" s="48" t="s">
        <v>4</v>
      </c>
      <c r="BB80" s="49"/>
      <c r="BD80" s="42"/>
      <c r="BE80" s="43"/>
      <c r="BF80" s="5"/>
      <c r="BG80" s="47"/>
      <c r="BH80" s="48" t="s">
        <v>4</v>
      </c>
      <c r="BI80" s="49"/>
      <c r="BK80" s="42"/>
      <c r="BL80" s="43"/>
      <c r="BN80" s="47"/>
      <c r="BO80" s="48" t="s">
        <v>4</v>
      </c>
      <c r="BP80" s="49"/>
      <c r="BR80" s="42"/>
      <c r="BS80" s="43"/>
      <c r="BU80" s="47"/>
      <c r="BV80" s="48" t="s">
        <v>4</v>
      </c>
      <c r="BW80" s="49"/>
      <c r="BY80" s="42"/>
      <c r="BZ80" s="43"/>
      <c r="CB80" s="47"/>
      <c r="CC80" s="48" t="s">
        <v>4</v>
      </c>
      <c r="CD80" s="49"/>
      <c r="CF80" s="42"/>
      <c r="CG80" s="43"/>
      <c r="CH80" s="5"/>
      <c r="CI80" s="47"/>
      <c r="CJ80" s="48" t="s">
        <v>4</v>
      </c>
      <c r="CK80" s="49"/>
      <c r="CM80" s="42"/>
      <c r="CN80" s="43"/>
      <c r="CP80" s="47"/>
      <c r="CQ80" s="48" t="s">
        <v>4</v>
      </c>
      <c r="CR80" s="49"/>
      <c r="CT80" s="42"/>
      <c r="CU80" s="43"/>
      <c r="CW80" s="47"/>
      <c r="CX80" s="48" t="s">
        <v>4</v>
      </c>
      <c r="CY80" s="49"/>
      <c r="DA80" s="42"/>
      <c r="DB80" s="43"/>
      <c r="DD80" s="47"/>
      <c r="DE80" s="48" t="s">
        <v>4</v>
      </c>
      <c r="DF80" s="49"/>
      <c r="DH80" s="42"/>
      <c r="DI80" s="43"/>
      <c r="DJ80" s="5"/>
      <c r="DK80" s="47"/>
      <c r="DL80" s="48" t="s">
        <v>4</v>
      </c>
      <c r="DM80" s="49"/>
      <c r="DO80" s="42"/>
      <c r="DP80" s="43"/>
      <c r="DR80" s="47"/>
      <c r="DS80" s="48" t="s">
        <v>4</v>
      </c>
      <c r="DT80" s="49"/>
      <c r="DV80" s="42"/>
      <c r="DW80" s="43"/>
      <c r="DY80" s="47"/>
      <c r="DZ80" s="48" t="s">
        <v>4</v>
      </c>
      <c r="EA80" s="49"/>
      <c r="EC80" s="42"/>
      <c r="ED80" s="43"/>
      <c r="EF80" s="47"/>
      <c r="EG80" s="48" t="s">
        <v>4</v>
      </c>
      <c r="EH80" s="49"/>
      <c r="EJ80" s="42"/>
      <c r="EK80" s="43"/>
      <c r="EL80" s="5"/>
      <c r="EM80" s="47"/>
      <c r="EN80" s="48" t="s">
        <v>4</v>
      </c>
      <c r="EO80" s="49"/>
      <c r="EQ80" s="42"/>
      <c r="ER80" s="43"/>
      <c r="ET80" s="47"/>
      <c r="EU80" s="48" t="s">
        <v>4</v>
      </c>
      <c r="EV80" s="49"/>
      <c r="EX80" s="42"/>
      <c r="EY80" s="43"/>
      <c r="FA80" s="47"/>
      <c r="FB80" s="48" t="s">
        <v>4</v>
      </c>
      <c r="FC80" s="49"/>
      <c r="FE80" s="42"/>
      <c r="FF80" s="43"/>
      <c r="FH80" s="47"/>
      <c r="FI80" s="48" t="s">
        <v>4</v>
      </c>
      <c r="FJ80" s="49"/>
      <c r="FL80" s="42"/>
      <c r="FM80" s="43"/>
      <c r="FN80" s="5"/>
      <c r="FO80" s="47"/>
      <c r="FP80" s="48" t="s">
        <v>4</v>
      </c>
      <c r="FQ80" s="49"/>
      <c r="FS80" s="42"/>
      <c r="FT80" s="43"/>
      <c r="FV80" s="47"/>
      <c r="FW80" s="48" t="s">
        <v>4</v>
      </c>
      <c r="FX80" s="49"/>
      <c r="FZ80" s="42"/>
      <c r="GA80" s="43"/>
      <c r="GC80" s="47"/>
      <c r="GD80" s="48" t="s">
        <v>4</v>
      </c>
      <c r="GE80" s="49"/>
      <c r="GG80" s="42"/>
      <c r="GH80" s="43"/>
      <c r="GJ80" s="47"/>
      <c r="GK80" s="48" t="s">
        <v>4</v>
      </c>
      <c r="GL80" s="49"/>
      <c r="GN80" s="42"/>
      <c r="GO80" s="43"/>
      <c r="GP80" s="5"/>
      <c r="GQ80" s="47"/>
      <c r="GR80" s="48" t="s">
        <v>4</v>
      </c>
      <c r="GS80" s="49"/>
      <c r="GU80" s="42"/>
      <c r="GV80" s="43"/>
      <c r="GX80" s="47"/>
      <c r="GY80" s="48" t="s">
        <v>4</v>
      </c>
      <c r="GZ80" s="49"/>
      <c r="HB80" s="42"/>
      <c r="HC80" s="43"/>
      <c r="HE80" s="47"/>
      <c r="HF80" s="48" t="s">
        <v>4</v>
      </c>
      <c r="HG80" s="49"/>
      <c r="HI80" s="42"/>
      <c r="HJ80" s="43"/>
      <c r="HL80" s="47"/>
      <c r="HM80" s="48" t="s">
        <v>4</v>
      </c>
      <c r="HN80" s="49"/>
      <c r="HP80" s="42"/>
      <c r="HQ80" s="43"/>
      <c r="HR80" s="5"/>
      <c r="HS80" s="47"/>
      <c r="HT80" s="48" t="s">
        <v>4</v>
      </c>
      <c r="HU80" s="49"/>
      <c r="HW80" s="42"/>
      <c r="HX80" s="43"/>
      <c r="HZ80" s="47"/>
      <c r="IA80" s="48" t="s">
        <v>4</v>
      </c>
      <c r="IB80" s="49"/>
      <c r="ID80" s="42"/>
      <c r="IE80" s="43"/>
      <c r="IG80" s="47"/>
      <c r="IH80" s="48" t="s">
        <v>4</v>
      </c>
      <c r="II80" s="49"/>
      <c r="IK80" s="42"/>
      <c r="IL80" s="43"/>
      <c r="IN80" s="47"/>
      <c r="IO80" s="48" t="s">
        <v>4</v>
      </c>
      <c r="IP80" s="49"/>
      <c r="IR80" s="42"/>
      <c r="IS80" s="43"/>
      <c r="IT80" s="5"/>
      <c r="IU80" s="47"/>
      <c r="IV80" s="48" t="s">
        <v>4</v>
      </c>
      <c r="IW80" s="49"/>
      <c r="IY80" s="42"/>
      <c r="IZ80" s="43"/>
      <c r="JB80" s="47"/>
      <c r="JC80" s="48" t="s">
        <v>4</v>
      </c>
      <c r="JD80" s="49"/>
      <c r="JF80" s="42"/>
      <c r="JG80" s="43"/>
      <c r="JI80" s="47"/>
      <c r="JJ80" s="48" t="s">
        <v>4</v>
      </c>
      <c r="JK80" s="49"/>
      <c r="JM80" s="42"/>
      <c r="JN80" s="43"/>
      <c r="JP80" s="47"/>
      <c r="JQ80" s="48" t="s">
        <v>4</v>
      </c>
      <c r="JR80" s="49"/>
      <c r="JT80" s="42"/>
      <c r="JU80" s="43"/>
      <c r="JV80" s="5"/>
      <c r="JW80" s="47"/>
      <c r="JX80" s="48" t="s">
        <v>4</v>
      </c>
      <c r="JY80" s="49"/>
      <c r="KA80" s="42"/>
      <c r="KB80" s="43"/>
      <c r="KD80" s="47"/>
      <c r="KE80" s="48" t="s">
        <v>4</v>
      </c>
      <c r="KF80" s="49"/>
      <c r="KH80" s="42"/>
      <c r="KI80" s="43"/>
      <c r="KK80" s="47"/>
      <c r="KL80" s="48" t="s">
        <v>4</v>
      </c>
      <c r="KM80" s="49"/>
      <c r="KO80" s="42"/>
      <c r="KP80" s="43"/>
      <c r="KR80" s="47"/>
      <c r="KS80" s="48" t="s">
        <v>4</v>
      </c>
      <c r="KT80" s="49"/>
      <c r="KV80" s="42"/>
      <c r="KW80" s="43"/>
      <c r="KY80" s="47"/>
      <c r="KZ80" s="48" t="s">
        <v>4</v>
      </c>
      <c r="LA80" s="49"/>
      <c r="LC80" s="42"/>
      <c r="LD80" s="43"/>
      <c r="LF80" s="47"/>
      <c r="LG80" s="48" t="s">
        <v>4</v>
      </c>
      <c r="LH80" s="49"/>
      <c r="LJ80" s="42"/>
      <c r="LK80" s="43"/>
      <c r="LM80" s="47"/>
      <c r="LN80" s="48" t="s">
        <v>4</v>
      </c>
      <c r="LO80" s="49"/>
      <c r="LQ80" s="42"/>
      <c r="LR80" s="43"/>
      <c r="LT80" s="47"/>
      <c r="LU80" s="48" t="s">
        <v>4</v>
      </c>
      <c r="LV80" s="49"/>
      <c r="LX80" s="42"/>
      <c r="LY80" s="43"/>
      <c r="MA80" s="47"/>
      <c r="MB80" s="48" t="s">
        <v>4</v>
      </c>
      <c r="MC80" s="49"/>
      <c r="ME80" s="42"/>
      <c r="MF80" s="43"/>
      <c r="MH80" s="47"/>
      <c r="MI80" s="48" t="s">
        <v>4</v>
      </c>
      <c r="MJ80" s="49"/>
      <c r="ML80" s="42"/>
      <c r="MM80" s="43"/>
      <c r="MO80" s="47"/>
      <c r="MP80" s="48" t="s">
        <v>4</v>
      </c>
      <c r="MQ80" s="49"/>
      <c r="MS80" s="42"/>
      <c r="MT80" s="43"/>
      <c r="MV80" s="47"/>
      <c r="MW80" s="48" t="s">
        <v>4</v>
      </c>
      <c r="MX80" s="49"/>
      <c r="MZ80" s="42"/>
      <c r="NA80" s="43"/>
      <c r="NC80" s="47"/>
      <c r="ND80" s="48" t="s">
        <v>4</v>
      </c>
      <c r="NE80" s="49"/>
      <c r="NG80" s="42"/>
      <c r="NH80" s="43"/>
      <c r="NJ80" s="47"/>
      <c r="NK80" s="48" t="s">
        <v>4</v>
      </c>
      <c r="NL80" s="49"/>
      <c r="NN80" s="42"/>
      <c r="NO80" s="43"/>
      <c r="NQ80" s="47"/>
      <c r="NR80" s="48" t="s">
        <v>4</v>
      </c>
      <c r="NS80" s="49"/>
      <c r="NU80" s="42"/>
      <c r="NV80" s="43"/>
      <c r="NX80" s="47"/>
      <c r="NY80" s="48" t="s">
        <v>4</v>
      </c>
      <c r="NZ80" s="49"/>
      <c r="OB80" s="42"/>
      <c r="OC80" s="43"/>
      <c r="OE80" s="47"/>
      <c r="OF80" s="48" t="s">
        <v>4</v>
      </c>
      <c r="OG80" s="49"/>
      <c r="OI80" s="42"/>
      <c r="OJ80" s="43"/>
      <c r="OL80" s="47"/>
      <c r="OM80" s="48" t="s">
        <v>4</v>
      </c>
      <c r="ON80" s="49"/>
      <c r="OP80" s="42"/>
      <c r="OQ80" s="43"/>
      <c r="OS80" s="47"/>
      <c r="OT80" s="48" t="s">
        <v>4</v>
      </c>
      <c r="OU80" s="49"/>
      <c r="OW80" s="42"/>
      <c r="OX80" s="43"/>
      <c r="OZ80" s="47"/>
      <c r="PA80" s="48" t="s">
        <v>4</v>
      </c>
      <c r="PB80" s="49"/>
      <c r="PD80" s="42"/>
      <c r="PE80" s="43"/>
      <c r="PG80" s="47"/>
      <c r="PH80" s="48" t="s">
        <v>4</v>
      </c>
      <c r="PI80" s="49"/>
      <c r="PK80" s="42"/>
      <c r="PL80" s="43"/>
      <c r="PN80" s="47"/>
      <c r="PO80" s="48" t="s">
        <v>4</v>
      </c>
      <c r="PP80" s="49"/>
      <c r="PR80" s="42"/>
      <c r="PS80" s="43"/>
      <c r="PU80" s="47"/>
      <c r="PV80" s="48" t="s">
        <v>4</v>
      </c>
      <c r="PW80" s="49"/>
      <c r="PY80" s="42"/>
      <c r="PZ80" s="43"/>
      <c r="QB80" s="47"/>
      <c r="QC80" s="48" t="s">
        <v>4</v>
      </c>
      <c r="QD80" s="49"/>
      <c r="QF80" s="42"/>
      <c r="QG80" s="43"/>
      <c r="QI80" s="47"/>
      <c r="QJ80" s="48" t="s">
        <v>4</v>
      </c>
      <c r="QK80" s="49"/>
      <c r="QM80" s="42"/>
      <c r="QN80" s="43"/>
      <c r="QP80" s="47"/>
      <c r="QQ80" s="48" t="s">
        <v>4</v>
      </c>
      <c r="QR80" s="49"/>
      <c r="QT80" s="42"/>
      <c r="QU80" s="43"/>
      <c r="QW80" s="47"/>
      <c r="QX80" s="48" t="s">
        <v>4</v>
      </c>
      <c r="QY80" s="49"/>
      <c r="RA80" s="42"/>
      <c r="RB80" s="43"/>
      <c r="RD80" s="47"/>
      <c r="RE80" s="48" t="s">
        <v>4</v>
      </c>
      <c r="RF80" s="49"/>
      <c r="RH80" s="42"/>
      <c r="RI80" s="43"/>
      <c r="RK80" s="47"/>
      <c r="RL80" s="48" t="s">
        <v>4</v>
      </c>
      <c r="RM80" s="49"/>
      <c r="RO80" s="42"/>
      <c r="RP80" s="43"/>
      <c r="RR80" s="47"/>
      <c r="RS80" s="48" t="s">
        <v>4</v>
      </c>
      <c r="RT80" s="49"/>
      <c r="RV80" s="42"/>
      <c r="RW80" s="43"/>
      <c r="RY80" s="47"/>
      <c r="RZ80" s="48" t="s">
        <v>4</v>
      </c>
      <c r="SA80" s="49"/>
      <c r="SC80" s="42"/>
      <c r="SD80" s="43"/>
      <c r="SF80" s="47"/>
      <c r="SG80" s="48" t="s">
        <v>4</v>
      </c>
      <c r="SH80" s="49"/>
      <c r="SJ80" s="42"/>
      <c r="SK80" s="43"/>
      <c r="SM80" s="47"/>
      <c r="SN80" s="48" t="s">
        <v>4</v>
      </c>
      <c r="SO80" s="49"/>
      <c r="SQ80" s="42"/>
      <c r="SR80" s="43"/>
    </row>
    <row r="81" spans="1:512" ht="16" customHeight="1" x14ac:dyDescent="0.15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 x14ac:dyDescent="0.15">
      <c r="A82" s="51">
        <v>46201</v>
      </c>
      <c r="B82" s="46">
        <v>0.875</v>
      </c>
      <c r="C82" s="82" t="s">
        <v>29</v>
      </c>
      <c r="D82" s="82" t="s">
        <v>31</v>
      </c>
      <c r="E82" s="2">
        <v>0</v>
      </c>
      <c r="F82" s="50" t="s">
        <v>4</v>
      </c>
      <c r="G82" s="1">
        <v>1</v>
      </c>
      <c r="H82" s="16">
        <v>4.8</v>
      </c>
      <c r="I82" s="32">
        <f t="shared" si="429"/>
        <v>-1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>
        <v>1</v>
      </c>
      <c r="R82" s="48" t="s">
        <v>4</v>
      </c>
      <c r="S82" s="49">
        <v>2</v>
      </c>
      <c r="U82" s="42">
        <f t="shared" ref="U82:U97" si="432">IF(OR($G82="",S82=""),"",IF(AND($E82=Q82,$G82=S82),$H82*1.5,IF(AND($I82&gt;0,V82&gt;0),$H82,IF(AND($I82&lt;0,V82&lt;0),$H82,IF(AND($I82=0,V82=0),$H82,0)))))</f>
        <v>4.8</v>
      </c>
      <c r="V82" s="43">
        <f t="shared" ref="V82:V97" si="433">Q82-S82</f>
        <v>-1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>
        <v>1</v>
      </c>
      <c r="AF82" s="48" t="s">
        <v>4</v>
      </c>
      <c r="AG82" s="49">
        <v>4</v>
      </c>
      <c r="AI82" s="42">
        <f t="shared" ref="AI82:AI97" si="436">IF(OR($G82="",AG82=""),"",IF(AND($E82=AE82,$G82=AG82),$H82*1.5,IF(AND($I82&gt;0,AJ82&gt;0),$H82,IF(AND($I82&lt;0,AJ82&lt;0),$H82,IF(AND($I82=0,AJ82=0),$H82,0)))))</f>
        <v>4.8</v>
      </c>
      <c r="AJ82" s="43">
        <f t="shared" ref="AJ82:AJ97" si="437">AE82-AG82</f>
        <v>-3</v>
      </c>
      <c r="AL82" s="47">
        <v>1</v>
      </c>
      <c r="AM82" s="48" t="s">
        <v>4</v>
      </c>
      <c r="AN82" s="49">
        <v>2</v>
      </c>
      <c r="AP82" s="42">
        <f t="shared" ref="AP82:AP97" si="438">IF(OR($G82="",AN82=""),"",IF(AND($E82=AL82,$G82=AN82),$H82*1.5,IF(AND($I82&gt;0,AQ82&gt;0),$H82,IF(AND($I82&lt;0,AQ82&lt;0),$H82,IF(AND($I82=0,AQ82=0),$H82,0)))))</f>
        <v>4.8</v>
      </c>
      <c r="AQ82" s="43">
        <f t="shared" ref="AQ82:AQ97" si="439">AL82-AN82</f>
        <v>-1</v>
      </c>
      <c r="AS82" s="47">
        <v>1</v>
      </c>
      <c r="AT82" s="48" t="s">
        <v>4</v>
      </c>
      <c r="AU82" s="49">
        <v>2</v>
      </c>
      <c r="AW82" s="42">
        <f t="shared" ref="AW82:AW97" si="440">IF(OR($G82="",AU82=""),"",IF(AND($E82=AS82,$G82=AU82),$H82*1.5,IF(AND($I82&gt;0,AX82&gt;0),$H82,IF(AND($I82&lt;0,AX82&lt;0),$H82,IF(AND($I82=0,AX82=0),$H82,0)))))</f>
        <v>4.8</v>
      </c>
      <c r="AX82" s="43">
        <f t="shared" ref="AX82:AX97" si="441">AS82-AU82</f>
        <v>-1</v>
      </c>
      <c r="AZ82" s="47">
        <v>1</v>
      </c>
      <c r="BA82" s="48" t="s">
        <v>4</v>
      </c>
      <c r="BB82" s="49">
        <v>2</v>
      </c>
      <c r="BD82" s="42">
        <f t="shared" ref="BD82:BD97" si="442">IF(OR($G82="",BB82=""),"",IF(AND($E82=AZ82,$G82=BB82),$H82*1.5,IF(AND($I82&gt;0,BE82&gt;0),$H82,IF(AND($I82&lt;0,BE82&lt;0),$H82,IF(AND($I82=0,BE82=0),$H82,0)))))</f>
        <v>4.8</v>
      </c>
      <c r="BE82" s="43">
        <f t="shared" ref="BE82:BE97" si="443">AZ82-BB82</f>
        <v>-1</v>
      </c>
      <c r="BF82" s="5"/>
      <c r="BG82" s="47">
        <v>1</v>
      </c>
      <c r="BH82" s="48" t="s">
        <v>4</v>
      </c>
      <c r="BI82" s="49">
        <v>2</v>
      </c>
      <c r="BK82" s="42">
        <f t="shared" ref="BK82:BK97" si="444">IF(OR($G82="",BI82=""),"",IF(AND($E82=BG82,$G82=BI82),$H82*1.5,IF(AND($I82&gt;0,BL82&gt;0),$H82,IF(AND($I82&lt;0,BL82&lt;0),$H82,IF(AND($I82=0,BL82=0),$H82,0)))))</f>
        <v>4.8</v>
      </c>
      <c r="BL82" s="43">
        <f t="shared" ref="BL82:BL97" si="445">BG82-BI82</f>
        <v>-1</v>
      </c>
      <c r="BN82" s="47">
        <v>1</v>
      </c>
      <c r="BO82" s="48" t="s">
        <v>4</v>
      </c>
      <c r="BP82" s="49">
        <v>2</v>
      </c>
      <c r="BR82" s="42">
        <f t="shared" ref="BR82:BR97" si="446">IF(OR($G82="",BP82=""),"",IF(AND($E82=BN82,$G82=BP82),$H82*1.5,IF(AND($I82&gt;0,BS82&gt;0),$H82,IF(AND($I82&lt;0,BS82&lt;0),$H82,IF(AND($I82=0,BS82=0),$H82,0)))))</f>
        <v>4.8</v>
      </c>
      <c r="BS82" s="43">
        <f t="shared" ref="BS82:BS97" si="447">BN82-BP82</f>
        <v>-1</v>
      </c>
      <c r="BU82" s="47"/>
      <c r="BV82" s="48" t="s">
        <v>4</v>
      </c>
      <c r="BW82" s="49"/>
      <c r="BY82" s="42" t="str">
        <f t="shared" ref="BY82:BY97" si="448">IF(OR($G82="",BW82=""),"",IF(AND($E82=BU82,$G82=BW82),$H82*1.5,IF(AND($I82&gt;0,BZ82&gt;0),$H82,IF(AND($I82&lt;0,BZ82&lt;0),$H82,IF(AND($I82=0,BZ82=0),$H82,0)))))</f>
        <v/>
      </c>
      <c r="BZ82" s="43">
        <f t="shared" ref="BZ82:BZ97" si="449">BU82-BW82</f>
        <v>0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/>
      <c r="CJ82" s="48" t="s">
        <v>4</v>
      </c>
      <c r="CK82" s="49"/>
      <c r="CM82" s="42" t="str">
        <f t="shared" ref="CM82:CM97" si="452">IF(OR($G82="",CK82=""),"",IF(AND($E82=CI82,$G82=CK82),$H82*1.5,IF(AND($I82&gt;0,CN82&gt;0),$H82,IF(AND($I82&lt;0,CN82&lt;0),$H82,IF(AND($I82=0,CN82=0),$H82,0)))))</f>
        <v/>
      </c>
      <c r="CN82" s="43">
        <f t="shared" ref="CN82:CN97" si="453">CI82-CK82</f>
        <v>0</v>
      </c>
      <c r="CP82" s="47">
        <v>0</v>
      </c>
      <c r="CQ82" s="48" t="s">
        <v>4</v>
      </c>
      <c r="CR82" s="49">
        <v>2</v>
      </c>
      <c r="CT82" s="42">
        <f t="shared" ref="CT82:CT97" si="454">IF(OR($G82="",CR82=""),"",IF(AND($E82=CP82,$G82=CR82),$H82*1.5,IF(AND($I82&gt;0,CU82&gt;0),$H82,IF(AND($I82&lt;0,CU82&lt;0),$H82,IF(AND($I82=0,CU82=0),$H82,0)))))</f>
        <v>4.8</v>
      </c>
      <c r="CU82" s="43">
        <f t="shared" ref="CU82:CU97" si="455">CP82-CR82</f>
        <v>-2</v>
      </c>
      <c r="CW82" s="47">
        <v>1</v>
      </c>
      <c r="CX82" s="48" t="s">
        <v>4</v>
      </c>
      <c r="CY82" s="49">
        <v>2</v>
      </c>
      <c r="DA82" s="42">
        <f t="shared" ref="DA82:DA97" si="456">IF(OR($G82="",CY82=""),"",IF(AND($E82=CW82,$G82=CY82),$H82*1.5,IF(AND($I82&gt;0,DB82&gt;0),$H82,IF(AND($I82&lt;0,DB82&lt;0),$H82,IF(AND($I82=0,DB82=0),$H82,0)))))</f>
        <v>4.8</v>
      </c>
      <c r="DB82" s="43">
        <f t="shared" ref="DB82:DB97" si="457">CW82-CY82</f>
        <v>-1</v>
      </c>
      <c r="DD82" s="47">
        <v>1</v>
      </c>
      <c r="DE82" s="48" t="s">
        <v>4</v>
      </c>
      <c r="DF82" s="49">
        <v>2</v>
      </c>
      <c r="DH82" s="42">
        <f t="shared" ref="DH82:DH97" si="458">IF(OR($G82="",DF82=""),"",IF(AND($E82=DD82,$G82=DF82),$H82*1.5,IF(AND($I82&gt;0,DI82&gt;0),$H82,IF(AND($I82&lt;0,DI82&lt;0),$H82,IF(AND($I82=0,DI82=0),$H82,0)))))</f>
        <v>4.8</v>
      </c>
      <c r="DI82" s="43">
        <f t="shared" ref="DI82:DI97" si="459">DD82-DF82</f>
        <v>-1</v>
      </c>
      <c r="DJ82" s="5"/>
      <c r="DK82" s="47">
        <v>0</v>
      </c>
      <c r="DL82" s="48" t="s">
        <v>4</v>
      </c>
      <c r="DM82" s="49">
        <v>2</v>
      </c>
      <c r="DO82" s="42">
        <f t="shared" ref="DO82:DO97" si="460">IF(OR($G82="",DM82=""),"",IF(AND($E82=DK82,$G82=DM82),$H82*1.5,IF(AND($I82&gt;0,DP82&gt;0),$H82,IF(AND($I82&lt;0,DP82&lt;0),$H82,IF(AND($I82=0,DP82=0),$H82,0)))))</f>
        <v>4.8</v>
      </c>
      <c r="DP82" s="43">
        <f t="shared" ref="DP82:DP97" si="461">DK82-DM82</f>
        <v>-2</v>
      </c>
      <c r="DR82" s="47">
        <v>0</v>
      </c>
      <c r="DS82" s="48" t="s">
        <v>4</v>
      </c>
      <c r="DT82" s="49">
        <v>2</v>
      </c>
      <c r="DV82" s="42">
        <f t="shared" ref="DV82:DV97" si="462">IF(OR($G82="",DT82=""),"",IF(AND($E82=DR82,$G82=DT82),$H82*1.5,IF(AND($I82&gt;0,DW82&gt;0),$H82,IF(AND($I82&lt;0,DW82&lt;0),$H82,IF(AND($I82=0,DW82=0),$H82,0)))))</f>
        <v>4.8</v>
      </c>
      <c r="DW82" s="43">
        <f t="shared" ref="DW82:DW97" si="463">DR82-DT82</f>
        <v>-2</v>
      </c>
      <c r="DY82" s="47">
        <v>3</v>
      </c>
      <c r="DZ82" s="48" t="s">
        <v>4</v>
      </c>
      <c r="EA82" s="49">
        <v>5</v>
      </c>
      <c r="EC82" s="42">
        <f t="shared" ref="EC82:EC97" si="464">IF(OR($G82="",EA82=""),"",IF(AND($E82=DY82,$G82=EA82),$H82*1.5,IF(AND($I82&gt;0,ED82&gt;0),$H82,IF(AND($I82&lt;0,ED82&lt;0),$H82,IF(AND($I82=0,ED82=0),$H82,0)))))</f>
        <v>4.8</v>
      </c>
      <c r="ED82" s="43">
        <f t="shared" ref="ED82:ED97" si="465">DY82-EA82</f>
        <v>-2</v>
      </c>
      <c r="EF82" s="47">
        <v>1</v>
      </c>
      <c r="EG82" s="48" t="s">
        <v>4</v>
      </c>
      <c r="EH82" s="49">
        <v>3</v>
      </c>
      <c r="EJ82" s="42">
        <f t="shared" ref="EJ82:EJ97" si="466">IF(OR($G82="",EH82=""),"",IF(AND($E82=EF82,$G82=EH82),$H82*1.5,IF(AND($I82&gt;0,EK82&gt;0),$H82,IF(AND($I82&lt;0,EK82&lt;0),$H82,IF(AND($I82=0,EK82=0),$H82,0)))))</f>
        <v>4.8</v>
      </c>
      <c r="EK82" s="43">
        <f t="shared" ref="EK82:EK97" si="467">EF82-EH82</f>
        <v>-2</v>
      </c>
      <c r="EL82" s="5"/>
      <c r="EM82" s="47">
        <v>1</v>
      </c>
      <c r="EN82" s="48" t="s">
        <v>4</v>
      </c>
      <c r="EO82" s="49">
        <v>2</v>
      </c>
      <c r="EQ82" s="42">
        <f t="shared" ref="EQ82:EQ97" si="468">IF(OR($G82="",EO82=""),"",IF(AND($E82=EM82,$G82=EO82),$H82*1.5,IF(AND($I82&gt;0,ER82&gt;0),$H82,IF(AND($I82&lt;0,ER82&lt;0),$H82,IF(AND($I82=0,ER82=0),$H82,0)))))</f>
        <v>4.8</v>
      </c>
      <c r="ER82" s="43">
        <f t="shared" ref="ER82:ER97" si="469">EM82-EO82</f>
        <v>-1</v>
      </c>
      <c r="ET82" s="47">
        <v>1</v>
      </c>
      <c r="EU82" s="48" t="s">
        <v>4</v>
      </c>
      <c r="EV82" s="49">
        <v>2</v>
      </c>
      <c r="EX82" s="42">
        <f t="shared" ref="EX82:EX97" si="470">IF(OR($G82="",EV82=""),"",IF(AND($E82=ET82,$G82=EV82),$H82*1.5,IF(AND($I82&gt;0,EY82&gt;0),$H82,IF(AND($I82&lt;0,EY82&lt;0),$H82,IF(AND($I82=0,EY82=0),$H82,0)))))</f>
        <v>4.8</v>
      </c>
      <c r="EY82" s="43">
        <f t="shared" ref="EY82:EY97" si="471">ET82-EV82</f>
        <v>-1</v>
      </c>
      <c r="FA82" s="47">
        <v>1</v>
      </c>
      <c r="FB82" s="48" t="s">
        <v>4</v>
      </c>
      <c r="FC82" s="49">
        <v>2</v>
      </c>
      <c r="FE82" s="42">
        <f t="shared" ref="FE82:FE97" si="472">IF(OR($G82="",FC82=""),"",IF(AND($E82=FA82,$G82=FC82),$H82*1.5,IF(AND($I82&gt;0,FF82&gt;0),$H82,IF(AND($I82&lt;0,FF82&lt;0),$H82,IF(AND($I82=0,FF82=0),$H82,0)))))</f>
        <v>4.8</v>
      </c>
      <c r="FF82" s="43">
        <f t="shared" ref="FF82:FF97" si="473">FA82-FC82</f>
        <v>-1</v>
      </c>
      <c r="FH82" s="47">
        <v>0</v>
      </c>
      <c r="FI82" s="48" t="s">
        <v>4</v>
      </c>
      <c r="FJ82" s="49">
        <v>2</v>
      </c>
      <c r="FL82" s="42">
        <f t="shared" ref="FL82:FL97" si="474">IF(OR($G82="",FJ82=""),"",IF(AND($E82=FH82,$G82=FJ82),$H82*1.5,IF(AND($I82&gt;0,FM82&gt;0),$H82,IF(AND($I82&lt;0,FM82&lt;0),$H82,IF(AND($I82=0,FM82=0),$H82,0)))))</f>
        <v>4.8</v>
      </c>
      <c r="FM82" s="43">
        <f t="shared" ref="FM82:FM97" si="475">FH82-FJ82</f>
        <v>-2</v>
      </c>
      <c r="FN82" s="5"/>
      <c r="FO82" s="47">
        <v>0</v>
      </c>
      <c r="FP82" s="48" t="s">
        <v>4</v>
      </c>
      <c r="FQ82" s="49">
        <v>1</v>
      </c>
      <c r="FS82" s="42">
        <f t="shared" ref="FS82:FS97" si="476">IF(OR($G82="",FQ82=""),"",IF(AND($E82=FO82,$G82=FQ82),$H82*1.5,IF(AND($I82&gt;0,FT82&gt;0),$H82,IF(AND($I82&lt;0,FT82&lt;0),$H82,IF(AND($I82=0,FT82=0),$H82,0)))))</f>
        <v>7.1999999999999993</v>
      </c>
      <c r="FT82" s="43">
        <f t="shared" ref="FT82:FT97" si="477">FO82-FQ82</f>
        <v>-1</v>
      </c>
      <c r="FV82" s="47">
        <v>0</v>
      </c>
      <c r="FW82" s="48" t="s">
        <v>4</v>
      </c>
      <c r="FX82" s="49">
        <v>2</v>
      </c>
      <c r="FZ82" s="42">
        <f t="shared" ref="FZ82:FZ97" si="478">IF(OR($G82="",FX82=""),"",IF(AND($E82=FV82,$G82=FX82),$H82*1.5,IF(AND($I82&gt;0,GA82&gt;0),$H82,IF(AND($I82&lt;0,GA82&lt;0),$H82,IF(AND($I82=0,GA82=0),$H82,0)))))</f>
        <v>4.8</v>
      </c>
      <c r="GA82" s="43">
        <f t="shared" ref="GA82:GA97" si="479">FV82-FX82</f>
        <v>-2</v>
      </c>
      <c r="GC82" s="47">
        <v>0</v>
      </c>
      <c r="GD82" s="48" t="s">
        <v>4</v>
      </c>
      <c r="GE82" s="49">
        <v>2</v>
      </c>
      <c r="GG82" s="42">
        <f t="shared" ref="GG82:GG97" si="480">IF(OR($G82="",GE82=""),"",IF(AND($E82=GC82,$G82=GE82),$H82*1.5,IF(AND($I82&gt;0,GH82&gt;0),$H82,IF(AND($I82&lt;0,GH82&lt;0),$H82,IF(AND($I82=0,GH82=0),$H82,0)))))</f>
        <v>4.8</v>
      </c>
      <c r="GH82" s="43">
        <f t="shared" ref="GH82:GH97" si="481">GC82-GE82</f>
        <v>-2</v>
      </c>
      <c r="GJ82" s="47">
        <v>1</v>
      </c>
      <c r="GK82" s="48" t="s">
        <v>4</v>
      </c>
      <c r="GL82" s="49">
        <v>2</v>
      </c>
      <c r="GN82" s="42">
        <f t="shared" ref="GN82:GN97" si="482">IF(OR($G82="",GL82=""),"",IF(AND($E82=GJ82,$G82=GL82),$H82*1.5,IF(AND($I82&gt;0,GO82&gt;0),$H82,IF(AND($I82&lt;0,GO82&lt;0),$H82,IF(AND($I82=0,GO82=0),$H82,0)))))</f>
        <v>4.8</v>
      </c>
      <c r="GO82" s="43">
        <f t="shared" ref="GO82:GO97" si="483">GJ82-GL82</f>
        <v>-1</v>
      </c>
      <c r="GP82" s="5"/>
      <c r="GQ82" s="47">
        <v>5</v>
      </c>
      <c r="GR82" s="48" t="s">
        <v>4</v>
      </c>
      <c r="GS82" s="49">
        <v>4</v>
      </c>
      <c r="GU82" s="42">
        <f t="shared" ref="GU82:GU97" si="484">IF(OR($G82="",GS82=""),"",IF(AND($E82=GQ82,$G82=GS82),$H82*1.5,IF(AND($I82&gt;0,GV82&gt;0),$H82,IF(AND($I82&lt;0,GV82&lt;0),$H82,IF(AND($I82=0,GV82=0),$H82,0)))))</f>
        <v>0</v>
      </c>
      <c r="GV82" s="43">
        <f t="shared" ref="GV82:GV97" si="485">GQ82-GS82</f>
        <v>1</v>
      </c>
      <c r="GX82" s="47">
        <v>5</v>
      </c>
      <c r="GY82" s="48" t="s">
        <v>4</v>
      </c>
      <c r="GZ82" s="49">
        <v>6</v>
      </c>
      <c r="HB82" s="42">
        <f t="shared" ref="HB82:HB97" si="486">IF(OR($G82="",GZ82=""),"",IF(AND($E82=GX82,$G82=GZ82),$H82*1.5,IF(AND($I82&gt;0,HC82&gt;0),$H82,IF(AND($I82&lt;0,HC82&lt;0),$H82,IF(AND($I82=0,HC82=0),$H82,0)))))</f>
        <v>4.8</v>
      </c>
      <c r="HC82" s="43">
        <f t="shared" ref="HC82:HC97" si="487">GX82-GZ82</f>
        <v>-1</v>
      </c>
      <c r="HE82" s="47">
        <v>0</v>
      </c>
      <c r="HF82" s="48" t="s">
        <v>4</v>
      </c>
      <c r="HG82" s="49">
        <v>2</v>
      </c>
      <c r="HI82" s="42">
        <f t="shared" ref="HI82:HI97" si="488">IF(OR($G82="",HG82=""),"",IF(AND($E82=HE82,$G82=HG82),$H82*1.5,IF(AND($I82&gt;0,HJ82&gt;0),$H82,IF(AND($I82&lt;0,HJ82&lt;0),$H82,IF(AND($I82=0,HJ82=0),$H82,0)))))</f>
        <v>4.8</v>
      </c>
      <c r="HJ82" s="43">
        <f t="shared" ref="HJ82:HJ97" si="489">HE82-HG82</f>
        <v>-2</v>
      </c>
      <c r="HL82" s="47">
        <v>5</v>
      </c>
      <c r="HM82" s="48" t="s">
        <v>4</v>
      </c>
      <c r="HN82" s="49">
        <v>6</v>
      </c>
      <c r="HP82" s="42">
        <f t="shared" ref="HP82:HP97" si="490">IF(OR($G82="",HN82=""),"",IF(AND($E82=HL82,$G82=HN82),$H82*1.5,IF(AND($I82&gt;0,HQ82&gt;0),$H82,IF(AND($I82&lt;0,HQ82&lt;0),$H82,IF(AND($I82=0,HQ82=0),$H82,0)))))</f>
        <v>4.8</v>
      </c>
      <c r="HQ82" s="43">
        <f t="shared" ref="HQ82:HQ97" si="491">HL82-HN82</f>
        <v>-1</v>
      </c>
      <c r="HR82" s="5"/>
      <c r="HS82" s="47">
        <v>1</v>
      </c>
      <c r="HT82" s="48" t="s">
        <v>4</v>
      </c>
      <c r="HU82" s="49">
        <v>2</v>
      </c>
      <c r="HW82" s="42">
        <f t="shared" ref="HW82:HW97" si="492">IF(OR($G82="",HU82=""),"",IF(AND($E82=HS82,$G82=HU82),$H82*1.5,IF(AND($I82&gt;0,HX82&gt;0),$H82,IF(AND($I82&lt;0,HX82&lt;0),$H82,IF(AND($I82=0,HX82=0),$H82,0)))))</f>
        <v>4.8</v>
      </c>
      <c r="HX82" s="43">
        <f t="shared" ref="HX82:HX97" si="493">HS82-HU82</f>
        <v>-1</v>
      </c>
      <c r="HZ82" s="47">
        <v>1</v>
      </c>
      <c r="IA82" s="48" t="s">
        <v>4</v>
      </c>
      <c r="IB82" s="49">
        <v>2</v>
      </c>
      <c r="ID82" s="42">
        <f t="shared" ref="ID82:ID97" si="494">IF(OR($G82="",IB82=""),"",IF(AND($E82=HZ82,$G82=IB82),$H82*1.5,IF(AND($I82&gt;0,IE82&gt;0),$H82,IF(AND($I82&lt;0,IE82&lt;0),$H82,IF(AND($I82=0,IE82=0),$H82,0)))))</f>
        <v>4.8</v>
      </c>
      <c r="IE82" s="43">
        <f t="shared" ref="IE82:IE97" si="495">HZ82-IB82</f>
        <v>-1</v>
      </c>
      <c r="IG82" s="47">
        <v>1</v>
      </c>
      <c r="IH82" s="48" t="s">
        <v>4</v>
      </c>
      <c r="II82" s="49">
        <v>2</v>
      </c>
      <c r="IK82" s="42">
        <f t="shared" ref="IK82:IK97" si="496">IF(OR($G82="",II82=""),"",IF(AND($E82=IG82,$G82=II82),$H82*1.5,IF(AND($I82&gt;0,IL82&gt;0),$H82,IF(AND($I82&lt;0,IL82&lt;0),$H82,IF(AND($I82=0,IL82=0),$H82,0)))))</f>
        <v>4.8</v>
      </c>
      <c r="IL82" s="43">
        <f t="shared" ref="IL82:IL97" si="497">IG82-II82</f>
        <v>-1</v>
      </c>
      <c r="IN82" s="47">
        <v>1</v>
      </c>
      <c r="IO82" s="48" t="s">
        <v>4</v>
      </c>
      <c r="IP82" s="49">
        <v>2</v>
      </c>
      <c r="IR82" s="42">
        <f t="shared" ref="IR82:IR97" si="498">IF(OR($G82="",IP82=""),"",IF(AND($E82=IN82,$G82=IP82),$H82*1.5,IF(AND($I82&gt;0,IS82&gt;0),$H82,IF(AND($I82&lt;0,IS82&lt;0),$H82,IF(AND($I82=0,IS82=0),$H82,0)))))</f>
        <v>4.8</v>
      </c>
      <c r="IS82" s="43">
        <f t="shared" ref="IS82:IS97" si="499">IN82-IP82</f>
        <v>-1</v>
      </c>
      <c r="IT82" s="5"/>
      <c r="IU82" s="47">
        <v>0</v>
      </c>
      <c r="IV82" s="48" t="s">
        <v>4</v>
      </c>
      <c r="IW82" s="49">
        <v>2</v>
      </c>
      <c r="IY82" s="42">
        <f t="shared" ref="IY82:IY97" si="500">IF(OR($G82="",IW82=""),"",IF(AND($E82=IU82,$G82=IW82),$H82*1.5,IF(AND($I82&gt;0,IZ82&gt;0),$H82,IF(AND($I82&lt;0,IZ82&lt;0),$H82,IF(AND($I82=0,IZ82=0),$H82,0)))))</f>
        <v>4.8</v>
      </c>
      <c r="IZ82" s="43">
        <f t="shared" ref="IZ82:IZ97" si="501">IU82-IW82</f>
        <v>-2</v>
      </c>
      <c r="JB82" s="47">
        <v>2</v>
      </c>
      <c r="JC82" s="48" t="s">
        <v>4</v>
      </c>
      <c r="JD82" s="49">
        <v>3</v>
      </c>
      <c r="JF82" s="42">
        <f t="shared" ref="JF82:JF97" si="502">IF(OR($G82="",JD82=""),"",IF(AND($E82=JB82,$G82=JD82),$H82*1.5,IF(AND($I82&gt;0,JG82&gt;0),$H82,IF(AND($I82&lt;0,JG82&lt;0),$H82,IF(AND($I82=0,JG82=0),$H82,0)))))</f>
        <v>4.8</v>
      </c>
      <c r="JG82" s="43">
        <f t="shared" ref="JG82:JG97" si="503">JB82-JD82</f>
        <v>-1</v>
      </c>
      <c r="JI82" s="47">
        <v>2</v>
      </c>
      <c r="JJ82" s="48" t="s">
        <v>4</v>
      </c>
      <c r="JK82" s="49">
        <v>1</v>
      </c>
      <c r="JM82" s="42">
        <f t="shared" ref="JM82:JM97" si="504">IF(OR($G82="",JK82=""),"",IF(AND($E82=JI82,$G82=JK82),$H82*1.5,IF(AND($I82&gt;0,JN82&gt;0),$H82,IF(AND($I82&lt;0,JN82&lt;0),$H82,IF(AND($I82=0,JN82=0),$H82,0)))))</f>
        <v>0</v>
      </c>
      <c r="JN82" s="43">
        <f t="shared" ref="JN82:JN97" si="505">JI82-JK82</f>
        <v>1</v>
      </c>
      <c r="JP82" s="47">
        <v>0</v>
      </c>
      <c r="JQ82" s="48" t="s">
        <v>4</v>
      </c>
      <c r="JR82" s="49">
        <v>2</v>
      </c>
      <c r="JT82" s="42">
        <f t="shared" ref="JT82:JT97" si="506">IF(OR($G82="",JR82=""),"",IF(AND($E82=JP82,$G82=JR82),$H82*1.5,IF(AND($I82&gt;0,JU82&gt;0),$H82,IF(AND($I82&lt;0,JU82&lt;0),$H82,IF(AND($I82=0,JU82=0),$H82,0)))))</f>
        <v>4.8</v>
      </c>
      <c r="JU82" s="43">
        <f t="shared" ref="JU82:JU97" si="507">JP82-JR82</f>
        <v>-2</v>
      </c>
      <c r="JV82" s="5"/>
      <c r="JW82" s="47">
        <v>1</v>
      </c>
      <c r="JX82" s="48" t="s">
        <v>4</v>
      </c>
      <c r="JY82" s="49">
        <v>2</v>
      </c>
      <c r="KA82" s="42">
        <f t="shared" ref="KA82:KA97" si="508">IF(OR($G82="",JY82=""),"",IF(AND($E82=JW82,$G82=JY82),$H82*1.5,IF(AND($I82&gt;0,KB82&gt;0),$H82,IF(AND($I82&lt;0,KB82&lt;0),$H82,IF(AND($I82=0,KB82=0),$H82,0)))))</f>
        <v>4.8</v>
      </c>
      <c r="KB82" s="43">
        <f t="shared" ref="KB82:KB97" si="509">JW82-JY82</f>
        <v>-1</v>
      </c>
      <c r="KD82" s="47">
        <v>5</v>
      </c>
      <c r="KE82" s="48" t="s">
        <v>4</v>
      </c>
      <c r="KF82" s="49">
        <v>6</v>
      </c>
      <c r="KH82" s="42">
        <f t="shared" ref="KH82:KH97" si="510">IF(OR($G82="",KF82=""),"",IF(AND($E82=KD82,$G82=KF82),$H82*1.5,IF(AND($I82&gt;0,KI82&gt;0),$H82,IF(AND($I82&lt;0,KI82&lt;0),$H82,IF(AND($I82=0,KI82=0),$H82,0)))))</f>
        <v>4.8</v>
      </c>
      <c r="KI82" s="43">
        <f t="shared" ref="KI82:KI97" si="511">KD82-KF82</f>
        <v>-1</v>
      </c>
      <c r="KK82" s="47">
        <v>0</v>
      </c>
      <c r="KL82" s="48" t="s">
        <v>4</v>
      </c>
      <c r="KM82" s="49">
        <v>2</v>
      </c>
      <c r="KO82" s="42">
        <f t="shared" ref="KO82:KO97" si="512">IF(OR($G82="",KM82=""),"",IF(AND($E82=KK82,$G82=KM82),$H82*1.5,IF(AND($I82&gt;0,KP82&gt;0),$H82,IF(AND($I82&lt;0,KP82&lt;0),$H82,IF(AND($I82=0,KP82=0),$H82,0)))))</f>
        <v>4.8</v>
      </c>
      <c r="KP82" s="43">
        <f t="shared" ref="KP82:KP97" si="513">KK82-KM82</f>
        <v>-2</v>
      </c>
      <c r="KR82" s="47">
        <v>4</v>
      </c>
      <c r="KS82" s="48" t="s">
        <v>4</v>
      </c>
      <c r="KT82" s="49">
        <v>6</v>
      </c>
      <c r="KV82" s="42">
        <f t="shared" ref="KV82:KV97" si="514">IF(OR($G82="",KT82=""),"",IF(AND($E82=KR82,$G82=KT82),$H82*1.5,IF(AND($I82&gt;0,KW82&gt;0),$H82,IF(AND($I82&lt;0,KW82&lt;0),$H82,IF(AND($I82=0,KW82=0),$H82,0)))))</f>
        <v>4.8</v>
      </c>
      <c r="KW82" s="43">
        <f t="shared" ref="KW82:KW97" si="515">KR82-KT82</f>
        <v>-2</v>
      </c>
      <c r="KY82" s="47">
        <v>1</v>
      </c>
      <c r="KZ82" s="48" t="s">
        <v>4</v>
      </c>
      <c r="LA82" s="49">
        <v>2</v>
      </c>
      <c r="LC82" s="42">
        <f t="shared" ref="LC82:LC97" si="516">IF(OR($G82="",LA82=""),"",IF(AND($E82=KY82,$G82=LA82),$H82*1.5,IF(AND($I82&gt;0,LD82&gt;0),$H82,IF(AND($I82&lt;0,LD82&lt;0),$H82,IF(AND($I82=0,LD82=0),$H82,0)))))</f>
        <v>4.8</v>
      </c>
      <c r="LD82" s="43">
        <f t="shared" ref="LD82:LD97" si="517">KY82-LA82</f>
        <v>-1</v>
      </c>
      <c r="LF82" s="47">
        <v>0</v>
      </c>
      <c r="LG82" s="48" t="s">
        <v>4</v>
      </c>
      <c r="LH82" s="49">
        <v>2</v>
      </c>
      <c r="LJ82" s="42">
        <f t="shared" ref="LJ82:LJ97" si="518">IF(OR($G82="",LH82=""),"",IF(AND($E82=LF82,$G82=LH82),$H82*1.5,IF(AND($I82&gt;0,LK82&gt;0),$H82,IF(AND($I82&lt;0,LK82&lt;0),$H82,IF(AND($I82=0,LK82=0),$H82,0)))))</f>
        <v>4.8</v>
      </c>
      <c r="LK82" s="43">
        <f t="shared" ref="LK82:LK97" si="519">LF82-LH82</f>
        <v>-2</v>
      </c>
      <c r="LM82" s="47">
        <v>0</v>
      </c>
      <c r="LN82" s="48" t="s">
        <v>4</v>
      </c>
      <c r="LO82" s="49">
        <v>2</v>
      </c>
      <c r="LQ82" s="42">
        <f t="shared" ref="LQ82:LQ97" si="520">IF(OR($G82="",LO82=""),"",IF(AND($E82=LM82,$G82=LO82),$H82*1.5,IF(AND($I82&gt;0,LR82&gt;0),$H82,IF(AND($I82&lt;0,LR82&lt;0),$H82,IF(AND($I82=0,LR82=0),$H82,0)))))</f>
        <v>4.8</v>
      </c>
      <c r="LR82" s="43">
        <f t="shared" ref="LR82:LR97" si="521">LM82-LO82</f>
        <v>-2</v>
      </c>
      <c r="LT82" s="47">
        <v>1</v>
      </c>
      <c r="LU82" s="48" t="s">
        <v>4</v>
      </c>
      <c r="LV82" s="49">
        <v>2</v>
      </c>
      <c r="LX82" s="42">
        <f t="shared" ref="LX82:LX97" si="522">IF(OR($G82="",LV82=""),"",IF(AND($E82=LT82,$G82=LV82),$H82*1.5,IF(AND($I82&gt;0,LY82&gt;0),$H82,IF(AND($I82&lt;0,LY82&lt;0),$H82,IF(AND($I82=0,LY82=0),$H82,0)))))</f>
        <v>4.8</v>
      </c>
      <c r="LY82" s="43">
        <f t="shared" ref="LY82:LY97" si="523">LT82-LV82</f>
        <v>-1</v>
      </c>
      <c r="MA82" s="47">
        <v>1</v>
      </c>
      <c r="MB82" s="48" t="s">
        <v>4</v>
      </c>
      <c r="MC82" s="49">
        <v>2</v>
      </c>
      <c r="ME82" s="42">
        <f t="shared" ref="ME82:ME97" si="524">IF(OR($G82="",MC82=""),"",IF(AND($E82=MA82,$G82=MC82),$H82*1.5,IF(AND($I82&gt;0,MF82&gt;0),$H82,IF(AND($I82&lt;0,MF82&lt;0),$H82,IF(AND($I82=0,MF82=0),$H82,0)))))</f>
        <v>4.8</v>
      </c>
      <c r="MF82" s="43">
        <f t="shared" ref="MF82:MF97" si="525">MA82-MC82</f>
        <v>-1</v>
      </c>
      <c r="MH82" s="47">
        <v>0</v>
      </c>
      <c r="MI82" s="48" t="s">
        <v>4</v>
      </c>
      <c r="MJ82" s="49">
        <v>2</v>
      </c>
      <c r="ML82" s="42">
        <f t="shared" ref="ML82:ML97" si="526">IF(OR($G82="",MJ82=""),"",IF(AND($E82=MH82,$G82=MJ82),$H82*1.5,IF(AND($I82&gt;0,MM82&gt;0),$H82,IF(AND($I82&lt;0,MM82&lt;0),$H82,IF(AND($I82=0,MM82=0),$H82,0)))))</f>
        <v>4.8</v>
      </c>
      <c r="MM82" s="43">
        <f t="shared" ref="MM82:MM97" si="527">MH82-MJ82</f>
        <v>-2</v>
      </c>
      <c r="MO82" s="47">
        <v>1</v>
      </c>
      <c r="MP82" s="48" t="s">
        <v>4</v>
      </c>
      <c r="MQ82" s="49">
        <v>2</v>
      </c>
      <c r="MS82" s="42">
        <f t="shared" ref="MS82:MS97" si="528">IF(OR($G82="",MQ82=""),"",IF(AND($E82=MO82,$G82=MQ82),$H82*1.5,IF(AND($I82&gt;0,MT82&gt;0),$H82,IF(AND($I82&lt;0,MT82&lt;0),$H82,IF(AND($I82=0,MT82=0),$H82,0)))))</f>
        <v>4.8</v>
      </c>
      <c r="MT82" s="43">
        <f t="shared" ref="MT82:MT97" si="529">MO82-MQ82</f>
        <v>-1</v>
      </c>
      <c r="MV82" s="47">
        <v>3</v>
      </c>
      <c r="MW82" s="48" t="s">
        <v>4</v>
      </c>
      <c r="MX82" s="49">
        <v>4</v>
      </c>
      <c r="MZ82" s="42">
        <f t="shared" ref="MZ82:MZ97" si="530">IF(OR($G82="",MX82=""),"",IF(AND($E82=MV82,$G82=MX82),$H82*1.5,IF(AND($I82&gt;0,NA82&gt;0),$H82,IF(AND($I82&lt;0,NA82&lt;0),$H82,IF(AND($I82=0,NA82=0),$H82,0)))))</f>
        <v>4.8</v>
      </c>
      <c r="NA82" s="43">
        <f t="shared" ref="NA82:NA97" si="531">MV82-MX82</f>
        <v>-1</v>
      </c>
      <c r="NC82" s="47">
        <v>2</v>
      </c>
      <c r="ND82" s="48" t="s">
        <v>4</v>
      </c>
      <c r="NE82" s="49">
        <v>1</v>
      </c>
      <c r="NG82" s="42">
        <f t="shared" ref="NG82:NG97" si="532">IF(OR($G82="",NE82=""),"",IF(AND($E82=NC82,$G82=NE82),$H82*1.5,IF(AND($I82&gt;0,NH82&gt;0),$H82,IF(AND($I82&lt;0,NH82&lt;0),$H82,IF(AND($I82=0,NH82=0),$H82,0)))))</f>
        <v>0</v>
      </c>
      <c r="NH82" s="43">
        <f t="shared" ref="NH82:NH97" si="533">NC82-NE82</f>
        <v>1</v>
      </c>
      <c r="NJ82" s="47">
        <v>1</v>
      </c>
      <c r="NK82" s="48" t="s">
        <v>4</v>
      </c>
      <c r="NL82" s="49">
        <v>2</v>
      </c>
      <c r="NN82" s="42">
        <f t="shared" ref="NN82:NN97" si="534">IF(OR($G82="",NL82=""),"",IF(AND($E82=NJ82,$G82=NL82),$H82*1.5,IF(AND($I82&gt;0,NO82&gt;0),$H82,IF(AND($I82&lt;0,NO82&lt;0),$H82,IF(AND($I82=0,NO82=0),$H82,0)))))</f>
        <v>4.8</v>
      </c>
      <c r="NO82" s="43">
        <f t="shared" ref="NO82:NO97" si="535">NJ82-NL82</f>
        <v>-1</v>
      </c>
      <c r="NQ82" s="47">
        <v>1</v>
      </c>
      <c r="NR82" s="48" t="s">
        <v>4</v>
      </c>
      <c r="NS82" s="49">
        <v>2</v>
      </c>
      <c r="NU82" s="42">
        <f t="shared" ref="NU82:NU97" si="536">IF(OR($G82="",NS82=""),"",IF(AND($E82=NQ82,$G82=NS82),$H82*1.5,IF(AND($I82&gt;0,NV82&gt;0),$H82,IF(AND($I82&lt;0,NV82&lt;0),$H82,IF(AND($I82=0,NV82=0),$H82,0)))))</f>
        <v>4.8</v>
      </c>
      <c r="NV82" s="43">
        <f t="shared" ref="NV82:NV97" si="537">NQ82-NS82</f>
        <v>-1</v>
      </c>
      <c r="NX82" s="47">
        <v>5</v>
      </c>
      <c r="NY82" s="48" t="s">
        <v>4</v>
      </c>
      <c r="NZ82" s="49">
        <v>6</v>
      </c>
      <c r="OB82" s="42">
        <f t="shared" ref="OB82:OB97" si="538">IF(OR($G82="",NZ82=""),"",IF(AND($E82=NX82,$G82=NZ82),$H82*1.5,IF(AND($I82&gt;0,OC82&gt;0),$H82,IF(AND($I82&lt;0,OC82&lt;0),$H82,IF(AND($I82=0,OC82=0),$H82,0)))))</f>
        <v>4.8</v>
      </c>
      <c r="OC82" s="43">
        <f t="shared" ref="OC82:OC97" si="539">NX82-NZ82</f>
        <v>-1</v>
      </c>
      <c r="OE82" s="47">
        <v>1</v>
      </c>
      <c r="OF82" s="48" t="s">
        <v>4</v>
      </c>
      <c r="OG82" s="49">
        <v>3</v>
      </c>
      <c r="OI82" s="42">
        <f t="shared" ref="OI82:OI97" si="540">IF(OR($G82="",OG82=""),"",IF(AND($E82=OE82,$G82=OG82),$H82*1.5,IF(AND($I82&gt;0,OJ82&gt;0),$H82,IF(AND($I82&lt;0,OJ82&lt;0),$H82,IF(AND($I82=0,OJ82=0),$H82,0)))))</f>
        <v>4.8</v>
      </c>
      <c r="OJ82" s="43">
        <f t="shared" ref="OJ82:OJ97" si="541">OE82-OG82</f>
        <v>-2</v>
      </c>
      <c r="OL82" s="47">
        <v>2</v>
      </c>
      <c r="OM82" s="48" t="s">
        <v>4</v>
      </c>
      <c r="ON82" s="49">
        <v>1</v>
      </c>
      <c r="OP82" s="42">
        <f t="shared" ref="OP82:OP97" si="542">IF(OR($G82="",ON82=""),"",IF(AND($E82=OL82,$G82=ON82),$H82*1.5,IF(AND($I82&gt;0,OQ82&gt;0),$H82,IF(AND($I82&lt;0,OQ82&lt;0),$H82,IF(AND($I82=0,OQ82=0),$H82,0)))))</f>
        <v>0</v>
      </c>
      <c r="OQ82" s="43">
        <f t="shared" ref="OQ82:OQ97" si="543">OL82-ON82</f>
        <v>1</v>
      </c>
      <c r="OS82" s="47">
        <v>2</v>
      </c>
      <c r="OT82" s="48" t="s">
        <v>4</v>
      </c>
      <c r="OU82" s="49">
        <v>1</v>
      </c>
      <c r="OW82" s="42">
        <f t="shared" ref="OW82:OW97" si="544">IF(OR($G82="",OU82=""),"",IF(AND($E82=OS82,$G82=OU82),$H82*1.5,IF(AND($I82&gt;0,OX82&gt;0),$H82,IF(AND($I82&lt;0,OX82&lt;0),$H82,IF(AND($I82=0,OX82=0),$H82,0)))))</f>
        <v>0</v>
      </c>
      <c r="OX82" s="43">
        <f t="shared" ref="OX82:OX97" si="545">OS82-OU82</f>
        <v>1</v>
      </c>
      <c r="OZ82" s="47">
        <v>2</v>
      </c>
      <c r="PA82" s="48" t="s">
        <v>4</v>
      </c>
      <c r="PB82" s="49">
        <v>0</v>
      </c>
      <c r="PD82" s="42">
        <f t="shared" ref="PD82:PD97" si="546">IF(OR($G82="",PB82=""),"",IF(AND($E82=OZ82,$G82=PB82),$H82*1.5,IF(AND($I82&gt;0,PE82&gt;0),$H82,IF(AND($I82&lt;0,PE82&lt;0),$H82,IF(AND($I82=0,PE82=0),$H82,0)))))</f>
        <v>0</v>
      </c>
      <c r="PE82" s="43">
        <f t="shared" ref="PE82:PE97" si="547">OZ82-PB82</f>
        <v>2</v>
      </c>
      <c r="PG82" s="47">
        <v>1</v>
      </c>
      <c r="PH82" s="48" t="s">
        <v>4</v>
      </c>
      <c r="PI82" s="49">
        <v>0</v>
      </c>
      <c r="PK82" s="42">
        <f t="shared" ref="PK82:PK97" si="548">IF(OR($G82="",PI82=""),"",IF(AND($E82=PG82,$G82=PI82),$H82*1.5,IF(AND($I82&gt;0,PL82&gt;0),$H82,IF(AND($I82&lt;0,PL82&lt;0),$H82,IF(AND($I82=0,PL82=0),$H82,0)))))</f>
        <v>0</v>
      </c>
      <c r="PL82" s="43">
        <f t="shared" ref="PL82:PL97" si="549">PG82-PI82</f>
        <v>1</v>
      </c>
      <c r="PN82" s="47">
        <v>1</v>
      </c>
      <c r="PO82" s="48" t="s">
        <v>4</v>
      </c>
      <c r="PP82" s="49">
        <v>2</v>
      </c>
      <c r="PR82" s="42">
        <f t="shared" ref="PR82:PR97" si="550">IF(OR($G82="",PP82=""),"",IF(AND($E82=PN82,$G82=PP82),$H82*1.5,IF(AND($I82&gt;0,PS82&gt;0),$H82,IF(AND($I82&lt;0,PS82&lt;0),$H82,IF(AND($I82=0,PS82=0),$H82,0)))))</f>
        <v>4.8</v>
      </c>
      <c r="PS82" s="43">
        <f t="shared" ref="PS82:PS97" si="551">PN82-PP82</f>
        <v>-1</v>
      </c>
      <c r="PU82" s="47">
        <v>1</v>
      </c>
      <c r="PV82" s="48" t="s">
        <v>4</v>
      </c>
      <c r="PW82" s="49">
        <v>2</v>
      </c>
      <c r="PY82" s="42">
        <f t="shared" ref="PY82:PY97" si="552">IF(OR($G82="",PW82=""),"",IF(AND($E82=PU82,$G82=PW82),$H82*1.5,IF(AND($I82&gt;0,PZ82&gt;0),$H82,IF(AND($I82&lt;0,PZ82&lt;0),$H82,IF(AND($I82=0,PZ82=0),$H82,0)))))</f>
        <v>4.8</v>
      </c>
      <c r="PZ82" s="43">
        <f t="shared" ref="PZ82:PZ97" si="553">PU82-PW82</f>
        <v>-1</v>
      </c>
      <c r="QB82" s="47">
        <v>1</v>
      </c>
      <c r="QC82" s="48"/>
      <c r="QD82" s="49">
        <v>2</v>
      </c>
      <c r="QF82" s="42">
        <f t="shared" ref="QF82:QF97" si="554">IF(OR($G82="",QD82=""),"",IF(AND($E82=QB82,$G82=QD82),$H82*1.5,IF(AND($I82&gt;0,QG82&gt;0),$H82,IF(AND($I82&lt;0,QG82&lt;0),$H82,IF(AND($I82=0,QG82=0),$H82,0)))))</f>
        <v>4.8</v>
      </c>
      <c r="QG82" s="43">
        <f t="shared" ref="QG82:QG97" si="555">QB82-QD82</f>
        <v>-1</v>
      </c>
      <c r="QI82" s="47">
        <v>0</v>
      </c>
      <c r="QJ82" s="48" t="s">
        <v>4</v>
      </c>
      <c r="QK82" s="49">
        <v>1</v>
      </c>
      <c r="QM82" s="42">
        <f t="shared" ref="QM82:QM97" si="556">IF(OR($G82="",QK82=""),"",IF(AND($E82=QI82,$G82=QK82),$H82*1.5,IF(AND($I82&gt;0,QN82&gt;0),$H82,IF(AND($I82&lt;0,QN82&lt;0),$H82,IF(AND($I82=0,QN82=0),$H82,0)))))</f>
        <v>7.1999999999999993</v>
      </c>
      <c r="QN82" s="43">
        <f t="shared" ref="QN82:QN97" si="557">QI82-QK82</f>
        <v>-1</v>
      </c>
      <c r="QP82" s="47">
        <v>5</v>
      </c>
      <c r="QQ82" s="48" t="s">
        <v>4</v>
      </c>
      <c r="QR82" s="49">
        <v>4</v>
      </c>
      <c r="QT82" s="42">
        <f t="shared" ref="QT82:QT97" si="558">IF(OR($G82="",QR82=""),"",IF(AND($E82=QP82,$G82=QR82),$H82*1.5,IF(AND($I82&gt;0,QU82&gt;0),$H82,IF(AND($I82&lt;0,QU82&lt;0),$H82,IF(AND($I82=0,QU82=0),$H82,0)))))</f>
        <v>0</v>
      </c>
      <c r="QU82" s="43">
        <f t="shared" ref="QU82:QU97" si="559">QP82-QR82</f>
        <v>1</v>
      </c>
      <c r="QW82" s="47">
        <v>1</v>
      </c>
      <c r="QX82" s="48" t="s">
        <v>4</v>
      </c>
      <c r="QY82" s="49">
        <v>2</v>
      </c>
      <c r="RA82" s="42">
        <f t="shared" ref="RA82:RA97" si="560">IF(OR($G82="",QY82=""),"",IF(AND($E82=QW82,$G82=QY82),$H82*1.5,IF(AND($I82&gt;0,RB82&gt;0),$H82,IF(AND($I82&lt;0,RB82&lt;0),$H82,IF(AND($I82=0,RB82=0),$H82,0)))))</f>
        <v>4.8</v>
      </c>
      <c r="RB82" s="43">
        <f t="shared" ref="RB82:RB97" si="561">QW82-QY82</f>
        <v>-1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>
        <v>3</v>
      </c>
      <c r="RL82" s="48" t="s">
        <v>4</v>
      </c>
      <c r="RM82" s="49">
        <v>0</v>
      </c>
      <c r="RO82" s="42">
        <f t="shared" ref="RO82:RO97" si="564">IF(OR($G82="",RM82=""),"",IF(AND($E82=RK82,$G82=RM82),$H82*1.5,IF(AND($I82&gt;0,RP82&gt;0),$H82,IF(AND($I82&lt;0,RP82&lt;0),$H82,IF(AND($I82=0,RP82=0),$H82,0)))))</f>
        <v>0</v>
      </c>
      <c r="RP82" s="43">
        <f t="shared" ref="RP82:RP97" si="565">RK82-RM82</f>
        <v>3</v>
      </c>
      <c r="RR82" s="47">
        <v>0</v>
      </c>
      <c r="RS82" s="48" t="s">
        <v>4</v>
      </c>
      <c r="RT82" s="49">
        <v>1</v>
      </c>
      <c r="RV82" s="42">
        <f t="shared" ref="RV82:RV97" si="566">IF(OR($G82="",RT82=""),"",IF(AND($E82=RR82,$G82=RT82),$H82*1.5,IF(AND($I82&gt;0,RW82&gt;0),$H82,IF(AND($I82&lt;0,RW82&lt;0),$H82,IF(AND($I82=0,RW82=0),$H82,0)))))</f>
        <v>7.1999999999999993</v>
      </c>
      <c r="RW82" s="43">
        <f t="shared" ref="RW82:RW97" si="567">RR82-RT82</f>
        <v>-1</v>
      </c>
      <c r="RY82" s="47">
        <v>1</v>
      </c>
      <c r="RZ82" s="48" t="s">
        <v>4</v>
      </c>
      <c r="SA82" s="49">
        <v>3</v>
      </c>
      <c r="SC82" s="42">
        <f t="shared" ref="SC82:SC97" si="568">IF(OR($G82="",SA82=""),"",IF(AND($E82=RY82,$G82=SA82),$H82*1.5,IF(AND($I82&gt;0,SD82&gt;0),$H82,IF(AND($I82&lt;0,SD82&lt;0),$H82,IF(AND($I82=0,SD82=0),$H82,0)))))</f>
        <v>4.8</v>
      </c>
      <c r="SD82" s="43">
        <f t="shared" ref="SD82:SD97" si="569">RY82-SA82</f>
        <v>-2</v>
      </c>
      <c r="SF82" s="47">
        <v>5</v>
      </c>
      <c r="SG82" s="48" t="s">
        <v>4</v>
      </c>
      <c r="SH82" s="49">
        <v>3</v>
      </c>
      <c r="SJ82" s="42">
        <f t="shared" ref="SJ82:SJ97" si="570">IF(OR($G82="",SH82=""),"",IF(AND($E82=SF82,$G82=SH82),$H82*1.5,IF(AND($I82&gt;0,SK82&gt;0),$H82,IF(AND($I82&lt;0,SK82&lt;0),$H82,IF(AND($I82=0,SK82=0),$H82,0)))))</f>
        <v>0</v>
      </c>
      <c r="SK82" s="43">
        <f t="shared" ref="SK82:SK97" si="571">SF82-SH82</f>
        <v>2</v>
      </c>
      <c r="SM82" s="47">
        <v>1</v>
      </c>
      <c r="SN82" s="48" t="s">
        <v>4</v>
      </c>
      <c r="SO82" s="49">
        <v>2</v>
      </c>
      <c r="SQ82" s="42">
        <f t="shared" ref="SQ82:SQ97" si="572">IF(OR($G82="",SO82=""),"",IF(AND($E82=SM82,$G82=SO82),$H82*1.5,IF(AND($I82&gt;0,SR82&gt;0),$H82,IF(AND($I82&lt;0,SR82&lt;0),$H82,IF(AND($I82=0,SR82=0),$H82,0)))))</f>
        <v>4.8</v>
      </c>
      <c r="SR82" s="43">
        <f t="shared" ref="SR82:SR97" si="573">SM82-SO82</f>
        <v>-1</v>
      </c>
    </row>
    <row r="83" spans="1:512" ht="16" customHeight="1" x14ac:dyDescent="0.15">
      <c r="A83" s="51">
        <v>46202</v>
      </c>
      <c r="B83" s="46">
        <v>0.79166666666666663</v>
      </c>
      <c r="C83" s="82" t="s">
        <v>35</v>
      </c>
      <c r="D83" s="83" t="s">
        <v>40</v>
      </c>
      <c r="E83" s="2"/>
      <c r="F83" s="50" t="s">
        <v>4</v>
      </c>
      <c r="G83" s="1"/>
      <c r="H83" s="16">
        <v>5.2</v>
      </c>
      <c r="I83" s="32">
        <f t="shared" si="429"/>
        <v>0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>
        <v>3</v>
      </c>
      <c r="R83" s="48" t="s">
        <v>4</v>
      </c>
      <c r="S83" s="49">
        <v>1</v>
      </c>
      <c r="T83" s="8"/>
      <c r="U83" s="42" t="str">
        <f t="shared" si="432"/>
        <v/>
      </c>
      <c r="V83" s="43">
        <f t="shared" si="433"/>
        <v>2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>
        <v>2</v>
      </c>
      <c r="AF83" s="48" t="s">
        <v>4</v>
      </c>
      <c r="AG83" s="49">
        <v>0</v>
      </c>
      <c r="AH83" s="8"/>
      <c r="AI83" s="42" t="str">
        <f t="shared" si="436"/>
        <v/>
      </c>
      <c r="AJ83" s="43">
        <f t="shared" si="437"/>
        <v>2</v>
      </c>
      <c r="AK83" s="8"/>
      <c r="AL83" s="47">
        <v>3</v>
      </c>
      <c r="AM83" s="48" t="s">
        <v>4</v>
      </c>
      <c r="AN83" s="49">
        <v>1</v>
      </c>
      <c r="AO83" s="8"/>
      <c r="AP83" s="42" t="str">
        <f t="shared" si="438"/>
        <v/>
      </c>
      <c r="AQ83" s="43">
        <f t="shared" si="439"/>
        <v>2</v>
      </c>
      <c r="AR83" s="8"/>
      <c r="AS83" s="47">
        <v>4</v>
      </c>
      <c r="AT83" s="48" t="s">
        <v>4</v>
      </c>
      <c r="AU83" s="49">
        <v>2</v>
      </c>
      <c r="AV83" s="8"/>
      <c r="AW83" s="42" t="str">
        <f t="shared" si="440"/>
        <v/>
      </c>
      <c r="AX83" s="43">
        <f t="shared" si="441"/>
        <v>2</v>
      </c>
      <c r="AY83" s="8"/>
      <c r="AZ83" s="47">
        <v>6</v>
      </c>
      <c r="BA83" s="48" t="s">
        <v>4</v>
      </c>
      <c r="BB83" s="49">
        <v>4</v>
      </c>
      <c r="BC83" s="8"/>
      <c r="BD83" s="42" t="str">
        <f t="shared" si="442"/>
        <v/>
      </c>
      <c r="BE83" s="43">
        <f t="shared" si="443"/>
        <v>2</v>
      </c>
      <c r="BF83" s="8"/>
      <c r="BG83" s="47">
        <v>2</v>
      </c>
      <c r="BH83" s="48" t="s">
        <v>4</v>
      </c>
      <c r="BI83" s="49">
        <v>0</v>
      </c>
      <c r="BJ83" s="8"/>
      <c r="BK83" s="42" t="str">
        <f t="shared" si="444"/>
        <v/>
      </c>
      <c r="BL83" s="43">
        <f t="shared" si="445"/>
        <v>2</v>
      </c>
      <c r="BM83" s="8"/>
      <c r="BN83" s="47">
        <v>2</v>
      </c>
      <c r="BO83" s="48" t="s">
        <v>4</v>
      </c>
      <c r="BP83" s="49">
        <v>3</v>
      </c>
      <c r="BQ83" s="8"/>
      <c r="BR83" s="42" t="str">
        <f t="shared" si="446"/>
        <v/>
      </c>
      <c r="BS83" s="43">
        <f t="shared" si="447"/>
        <v>-1</v>
      </c>
      <c r="BT83" s="8"/>
      <c r="BU83" s="47"/>
      <c r="BV83" s="48" t="s">
        <v>4</v>
      </c>
      <c r="BW83" s="49"/>
      <c r="BX83" s="8"/>
      <c r="BY83" s="42" t="str">
        <f t="shared" si="448"/>
        <v/>
      </c>
      <c r="BZ83" s="43">
        <f t="shared" si="449"/>
        <v>0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/>
      <c r="CJ83" s="48" t="s">
        <v>4</v>
      </c>
      <c r="CK83" s="49"/>
      <c r="CL83" s="8"/>
      <c r="CM83" s="42" t="str">
        <f t="shared" si="452"/>
        <v/>
      </c>
      <c r="CN83" s="43">
        <f t="shared" si="453"/>
        <v>0</v>
      </c>
      <c r="CO83" s="8"/>
      <c r="CP83" s="47">
        <v>1</v>
      </c>
      <c r="CQ83" s="48" t="s">
        <v>4</v>
      </c>
      <c r="CR83" s="49">
        <v>0</v>
      </c>
      <c r="CS83" s="8"/>
      <c r="CT83" s="42" t="str">
        <f t="shared" si="454"/>
        <v/>
      </c>
      <c r="CU83" s="43">
        <f t="shared" si="455"/>
        <v>1</v>
      </c>
      <c r="CV83" s="8"/>
      <c r="CW83" s="47">
        <v>3</v>
      </c>
      <c r="CX83" s="48" t="s">
        <v>4</v>
      </c>
      <c r="CY83" s="49">
        <v>1</v>
      </c>
      <c r="CZ83" s="8"/>
      <c r="DA83" s="42" t="str">
        <f t="shared" si="456"/>
        <v/>
      </c>
      <c r="DB83" s="43">
        <f t="shared" si="457"/>
        <v>2</v>
      </c>
      <c r="DC83" s="8"/>
      <c r="DD83" s="47">
        <v>3</v>
      </c>
      <c r="DE83" s="48" t="s">
        <v>4</v>
      </c>
      <c r="DF83" s="49">
        <v>0</v>
      </c>
      <c r="DG83" s="8"/>
      <c r="DH83" s="42" t="str">
        <f t="shared" si="458"/>
        <v/>
      </c>
      <c r="DI83" s="43">
        <f t="shared" si="459"/>
        <v>3</v>
      </c>
      <c r="DJ83" s="8"/>
      <c r="DK83" s="47">
        <v>0</v>
      </c>
      <c r="DL83" s="48" t="s">
        <v>4</v>
      </c>
      <c r="DM83" s="49">
        <v>1</v>
      </c>
      <c r="DN83" s="8"/>
      <c r="DO83" s="42" t="str">
        <f t="shared" si="460"/>
        <v/>
      </c>
      <c r="DP83" s="43">
        <f t="shared" si="461"/>
        <v>-1</v>
      </c>
      <c r="DQ83" s="8"/>
      <c r="DR83" s="47">
        <v>3</v>
      </c>
      <c r="DS83" s="48" t="s">
        <v>4</v>
      </c>
      <c r="DT83" s="49">
        <v>1</v>
      </c>
      <c r="DU83" s="8"/>
      <c r="DV83" s="42" t="str">
        <f t="shared" si="462"/>
        <v/>
      </c>
      <c r="DW83" s="43">
        <f t="shared" si="463"/>
        <v>2</v>
      </c>
      <c r="DX83" s="8"/>
      <c r="DY83" s="47">
        <v>2</v>
      </c>
      <c r="DZ83" s="48" t="s">
        <v>4</v>
      </c>
      <c r="EA83" s="49">
        <v>1</v>
      </c>
      <c r="EB83" s="8"/>
      <c r="EC83" s="42" t="str">
        <f t="shared" si="464"/>
        <v/>
      </c>
      <c r="ED83" s="43">
        <f t="shared" si="465"/>
        <v>1</v>
      </c>
      <c r="EE83" s="8"/>
      <c r="EF83" s="47">
        <v>3</v>
      </c>
      <c r="EG83" s="48" t="s">
        <v>4</v>
      </c>
      <c r="EH83" s="49">
        <v>1</v>
      </c>
      <c r="EI83" s="8"/>
      <c r="EJ83" s="42" t="str">
        <f t="shared" si="466"/>
        <v/>
      </c>
      <c r="EK83" s="43">
        <f t="shared" si="467"/>
        <v>2</v>
      </c>
      <c r="EL83" s="8"/>
      <c r="EM83" s="47">
        <v>3</v>
      </c>
      <c r="EN83" s="48" t="s">
        <v>4</v>
      </c>
      <c r="EO83" s="49">
        <v>2</v>
      </c>
      <c r="EP83" s="8"/>
      <c r="EQ83" s="42" t="str">
        <f t="shared" si="468"/>
        <v/>
      </c>
      <c r="ER83" s="43">
        <f t="shared" si="469"/>
        <v>1</v>
      </c>
      <c r="ES83" s="8"/>
      <c r="ET83" s="47">
        <v>3</v>
      </c>
      <c r="EU83" s="48" t="s">
        <v>4</v>
      </c>
      <c r="EV83" s="49">
        <v>2</v>
      </c>
      <c r="EW83" s="8"/>
      <c r="EX83" s="42" t="str">
        <f t="shared" si="470"/>
        <v/>
      </c>
      <c r="EY83" s="43">
        <f t="shared" si="471"/>
        <v>1</v>
      </c>
      <c r="EZ83" s="8"/>
      <c r="FA83" s="47">
        <v>4</v>
      </c>
      <c r="FB83" s="48" t="s">
        <v>4</v>
      </c>
      <c r="FC83" s="49">
        <v>2</v>
      </c>
      <c r="FD83" s="8"/>
      <c r="FE83" s="42" t="str">
        <f t="shared" si="472"/>
        <v/>
      </c>
      <c r="FF83" s="43">
        <f t="shared" si="473"/>
        <v>2</v>
      </c>
      <c r="FG83" s="8"/>
      <c r="FH83" s="47">
        <v>2</v>
      </c>
      <c r="FI83" s="48" t="s">
        <v>4</v>
      </c>
      <c r="FJ83" s="49">
        <v>1</v>
      </c>
      <c r="FK83" s="8"/>
      <c r="FL83" s="42" t="str">
        <f t="shared" si="474"/>
        <v/>
      </c>
      <c r="FM83" s="43">
        <f t="shared" si="475"/>
        <v>1</v>
      </c>
      <c r="FN83" s="8"/>
      <c r="FO83" s="47">
        <v>2</v>
      </c>
      <c r="FP83" s="48" t="s">
        <v>4</v>
      </c>
      <c r="FQ83" s="49">
        <v>1</v>
      </c>
      <c r="FR83" s="8"/>
      <c r="FS83" s="42" t="str">
        <f t="shared" si="476"/>
        <v/>
      </c>
      <c r="FT83" s="43">
        <f t="shared" si="477"/>
        <v>1</v>
      </c>
      <c r="FU83" s="8"/>
      <c r="FV83" s="47">
        <v>6</v>
      </c>
      <c r="FW83" s="48" t="s">
        <v>4</v>
      </c>
      <c r="FX83" s="49">
        <v>4</v>
      </c>
      <c r="FY83" s="8"/>
      <c r="FZ83" s="42" t="str">
        <f t="shared" si="478"/>
        <v/>
      </c>
      <c r="GA83" s="43">
        <f t="shared" si="479"/>
        <v>2</v>
      </c>
      <c r="GB83" s="8"/>
      <c r="GC83" s="47">
        <v>2</v>
      </c>
      <c r="GD83" s="48" t="s">
        <v>4</v>
      </c>
      <c r="GE83" s="49">
        <v>1</v>
      </c>
      <c r="GF83" s="8"/>
      <c r="GG83" s="42" t="str">
        <f t="shared" si="480"/>
        <v/>
      </c>
      <c r="GH83" s="43">
        <f t="shared" si="481"/>
        <v>1</v>
      </c>
      <c r="GI83" s="8"/>
      <c r="GJ83" s="47">
        <v>3</v>
      </c>
      <c r="GK83" s="48" t="s">
        <v>4</v>
      </c>
      <c r="GL83" s="49">
        <v>1</v>
      </c>
      <c r="GM83" s="8"/>
      <c r="GN83" s="42" t="str">
        <f t="shared" si="482"/>
        <v/>
      </c>
      <c r="GO83" s="43">
        <f t="shared" si="483"/>
        <v>2</v>
      </c>
      <c r="GP83" s="8"/>
      <c r="GQ83" s="47">
        <v>3</v>
      </c>
      <c r="GR83" s="48" t="s">
        <v>4</v>
      </c>
      <c r="GS83" s="49">
        <v>1</v>
      </c>
      <c r="GT83" s="8"/>
      <c r="GU83" s="42" t="str">
        <f t="shared" si="484"/>
        <v/>
      </c>
      <c r="GV83" s="43">
        <f t="shared" si="485"/>
        <v>2</v>
      </c>
      <c r="GW83" s="8"/>
      <c r="GX83" s="47">
        <v>2</v>
      </c>
      <c r="GY83" s="48" t="s">
        <v>4</v>
      </c>
      <c r="GZ83" s="49">
        <v>1</v>
      </c>
      <c r="HA83" s="8"/>
      <c r="HB83" s="42" t="str">
        <f t="shared" si="486"/>
        <v/>
      </c>
      <c r="HC83" s="43">
        <f t="shared" si="487"/>
        <v>1</v>
      </c>
      <c r="HD83" s="8"/>
      <c r="HE83" s="47">
        <v>3</v>
      </c>
      <c r="HF83" s="48" t="s">
        <v>4</v>
      </c>
      <c r="HG83" s="49">
        <v>1</v>
      </c>
      <c r="HH83" s="8"/>
      <c r="HI83" s="42" t="str">
        <f t="shared" si="488"/>
        <v/>
      </c>
      <c r="HJ83" s="43">
        <f t="shared" si="489"/>
        <v>2</v>
      </c>
      <c r="HK83" s="8"/>
      <c r="HL83" s="47">
        <v>2</v>
      </c>
      <c r="HM83" s="48" t="s">
        <v>4</v>
      </c>
      <c r="HN83" s="49">
        <v>1</v>
      </c>
      <c r="HO83" s="8"/>
      <c r="HP83" s="42" t="str">
        <f t="shared" si="490"/>
        <v/>
      </c>
      <c r="HQ83" s="43">
        <f t="shared" si="491"/>
        <v>1</v>
      </c>
      <c r="HR83" s="8"/>
      <c r="HS83" s="47">
        <v>2</v>
      </c>
      <c r="HT83" s="48" t="s">
        <v>4</v>
      </c>
      <c r="HU83" s="49">
        <v>1</v>
      </c>
      <c r="HV83" s="8"/>
      <c r="HW83" s="42" t="str">
        <f t="shared" si="492"/>
        <v/>
      </c>
      <c r="HX83" s="43">
        <f t="shared" si="493"/>
        <v>1</v>
      </c>
      <c r="HY83" s="8"/>
      <c r="HZ83" s="47">
        <v>3</v>
      </c>
      <c r="IA83" s="48" t="s">
        <v>4</v>
      </c>
      <c r="IB83" s="49">
        <v>2</v>
      </c>
      <c r="IC83" s="8"/>
      <c r="ID83" s="42" t="str">
        <f t="shared" si="494"/>
        <v/>
      </c>
      <c r="IE83" s="43">
        <f t="shared" si="495"/>
        <v>1</v>
      </c>
      <c r="IF83" s="8"/>
      <c r="IG83" s="47">
        <v>3</v>
      </c>
      <c r="IH83" s="48" t="s">
        <v>4</v>
      </c>
      <c r="II83" s="49">
        <v>2</v>
      </c>
      <c r="IJ83" s="8"/>
      <c r="IK83" s="42" t="str">
        <f t="shared" si="496"/>
        <v/>
      </c>
      <c r="IL83" s="43">
        <f t="shared" si="497"/>
        <v>1</v>
      </c>
      <c r="IM83" s="8"/>
      <c r="IN83" s="47">
        <v>6</v>
      </c>
      <c r="IO83" s="48" t="s">
        <v>4</v>
      </c>
      <c r="IP83" s="49">
        <v>7</v>
      </c>
      <c r="IQ83" s="8"/>
      <c r="IR83" s="42" t="str">
        <f t="shared" si="498"/>
        <v/>
      </c>
      <c r="IS83" s="43">
        <f t="shared" si="499"/>
        <v>-1</v>
      </c>
      <c r="IT83" s="8"/>
      <c r="IU83" s="47">
        <v>2</v>
      </c>
      <c r="IV83" s="48" t="s">
        <v>4</v>
      </c>
      <c r="IW83" s="49">
        <v>0</v>
      </c>
      <c r="IX83" s="8"/>
      <c r="IY83" s="42" t="str">
        <f t="shared" si="500"/>
        <v/>
      </c>
      <c r="IZ83" s="43">
        <f t="shared" si="501"/>
        <v>2</v>
      </c>
      <c r="JA83" s="8"/>
      <c r="JB83" s="47">
        <v>2</v>
      </c>
      <c r="JC83" s="48" t="s">
        <v>4</v>
      </c>
      <c r="JD83" s="49">
        <v>1</v>
      </c>
      <c r="JE83" s="8"/>
      <c r="JF83" s="42" t="str">
        <f t="shared" si="502"/>
        <v/>
      </c>
      <c r="JG83" s="43">
        <f t="shared" si="503"/>
        <v>1</v>
      </c>
      <c r="JH83" s="8"/>
      <c r="JI83" s="47">
        <v>3</v>
      </c>
      <c r="JJ83" s="48" t="s">
        <v>4</v>
      </c>
      <c r="JK83" s="49">
        <v>0</v>
      </c>
      <c r="JL83" s="8"/>
      <c r="JM83" s="42" t="str">
        <f t="shared" si="504"/>
        <v/>
      </c>
      <c r="JN83" s="43">
        <f t="shared" si="505"/>
        <v>3</v>
      </c>
      <c r="JO83" s="8"/>
      <c r="JP83" s="47">
        <v>4</v>
      </c>
      <c r="JQ83" s="48" t="s">
        <v>4</v>
      </c>
      <c r="JR83" s="49">
        <v>5</v>
      </c>
      <c r="JS83" s="8"/>
      <c r="JT83" s="42" t="str">
        <f t="shared" si="506"/>
        <v/>
      </c>
      <c r="JU83" s="43">
        <f t="shared" si="507"/>
        <v>-1</v>
      </c>
      <c r="JV83" s="8"/>
      <c r="JW83" s="47">
        <v>3</v>
      </c>
      <c r="JX83" s="48" t="s">
        <v>4</v>
      </c>
      <c r="JY83" s="49">
        <v>1</v>
      </c>
      <c r="JZ83" s="8"/>
      <c r="KA83" s="42" t="str">
        <f t="shared" si="508"/>
        <v/>
      </c>
      <c r="KB83" s="43">
        <f t="shared" si="509"/>
        <v>2</v>
      </c>
      <c r="KC83" s="8"/>
      <c r="KD83" s="47">
        <v>1</v>
      </c>
      <c r="KE83" s="48" t="s">
        <v>4</v>
      </c>
      <c r="KF83" s="49">
        <v>0</v>
      </c>
      <c r="KG83" s="8"/>
      <c r="KH83" s="42" t="str">
        <f t="shared" si="510"/>
        <v/>
      </c>
      <c r="KI83" s="43">
        <f t="shared" si="511"/>
        <v>1</v>
      </c>
      <c r="KJ83" s="8"/>
      <c r="KK83" s="47">
        <v>2</v>
      </c>
      <c r="KL83" s="48" t="s">
        <v>4</v>
      </c>
      <c r="KM83" s="49">
        <v>0</v>
      </c>
      <c r="KN83" s="8"/>
      <c r="KO83" s="42" t="str">
        <f t="shared" si="512"/>
        <v/>
      </c>
      <c r="KP83" s="43">
        <f t="shared" si="513"/>
        <v>2</v>
      </c>
      <c r="KQ83" s="8"/>
      <c r="KR83" s="47">
        <v>0</v>
      </c>
      <c r="KS83" s="48" t="s">
        <v>4</v>
      </c>
      <c r="KT83" s="49">
        <v>1</v>
      </c>
      <c r="KU83" s="8"/>
      <c r="KV83" s="42" t="str">
        <f t="shared" si="514"/>
        <v/>
      </c>
      <c r="KW83" s="43">
        <f t="shared" si="515"/>
        <v>-1</v>
      </c>
      <c r="KX83" s="8"/>
      <c r="KY83" s="47">
        <v>2</v>
      </c>
      <c r="KZ83" s="48" t="s">
        <v>4</v>
      </c>
      <c r="LA83" s="49">
        <v>1</v>
      </c>
      <c r="LB83" s="8"/>
      <c r="LC83" s="42" t="str">
        <f t="shared" si="516"/>
        <v/>
      </c>
      <c r="LD83" s="43">
        <f t="shared" si="517"/>
        <v>1</v>
      </c>
      <c r="LE83" s="8"/>
      <c r="LF83" s="47">
        <v>3</v>
      </c>
      <c r="LG83" s="48" t="s">
        <v>4</v>
      </c>
      <c r="LH83" s="49">
        <v>2</v>
      </c>
      <c r="LI83" s="8"/>
      <c r="LJ83" s="42" t="str">
        <f t="shared" si="518"/>
        <v/>
      </c>
      <c r="LK83" s="43">
        <f t="shared" si="519"/>
        <v>1</v>
      </c>
      <c r="LL83" s="8"/>
      <c r="LM83" s="47">
        <v>3</v>
      </c>
      <c r="LN83" s="48" t="s">
        <v>4</v>
      </c>
      <c r="LO83" s="49">
        <v>1</v>
      </c>
      <c r="LP83" s="8"/>
      <c r="LQ83" s="42" t="str">
        <f t="shared" si="520"/>
        <v/>
      </c>
      <c r="LR83" s="43">
        <f t="shared" si="521"/>
        <v>2</v>
      </c>
      <c r="LS83" s="8"/>
      <c r="LT83" s="47">
        <v>2</v>
      </c>
      <c r="LU83" s="48" t="s">
        <v>4</v>
      </c>
      <c r="LV83" s="49">
        <v>1</v>
      </c>
      <c r="LW83" s="8"/>
      <c r="LX83" s="42" t="str">
        <f t="shared" si="522"/>
        <v/>
      </c>
      <c r="LY83" s="43">
        <f t="shared" si="523"/>
        <v>1</v>
      </c>
      <c r="LZ83" s="8"/>
      <c r="MA83" s="47">
        <v>2</v>
      </c>
      <c r="MB83" s="48" t="s">
        <v>4</v>
      </c>
      <c r="MC83" s="49">
        <v>0</v>
      </c>
      <c r="MD83" s="8"/>
      <c r="ME83" s="42" t="str">
        <f t="shared" si="524"/>
        <v/>
      </c>
      <c r="MF83" s="43">
        <f t="shared" si="525"/>
        <v>2</v>
      </c>
      <c r="MG83" s="8"/>
      <c r="MH83" s="47">
        <v>3</v>
      </c>
      <c r="MI83" s="48" t="s">
        <v>4</v>
      </c>
      <c r="MJ83" s="49">
        <v>2</v>
      </c>
      <c r="MK83" s="8"/>
      <c r="ML83" s="42" t="str">
        <f t="shared" si="526"/>
        <v/>
      </c>
      <c r="MM83" s="43">
        <f t="shared" si="527"/>
        <v>1</v>
      </c>
      <c r="MN83" s="8"/>
      <c r="MO83" s="47">
        <v>2</v>
      </c>
      <c r="MP83" s="48" t="s">
        <v>4</v>
      </c>
      <c r="MQ83" s="49">
        <v>0</v>
      </c>
      <c r="MR83" s="8"/>
      <c r="MS83" s="42" t="str">
        <f t="shared" si="528"/>
        <v/>
      </c>
      <c r="MT83" s="43">
        <f t="shared" si="529"/>
        <v>2</v>
      </c>
      <c r="MU83" s="8"/>
      <c r="MV83" s="47">
        <v>4</v>
      </c>
      <c r="MW83" s="48" t="s">
        <v>4</v>
      </c>
      <c r="MX83" s="49">
        <v>2</v>
      </c>
      <c r="MY83" s="8"/>
      <c r="MZ83" s="42" t="str">
        <f t="shared" si="530"/>
        <v/>
      </c>
      <c r="NA83" s="43">
        <f t="shared" si="531"/>
        <v>2</v>
      </c>
      <c r="NB83" s="8"/>
      <c r="NC83" s="47">
        <v>3</v>
      </c>
      <c r="ND83" s="48" t="s">
        <v>4</v>
      </c>
      <c r="NE83" s="49">
        <v>0</v>
      </c>
      <c r="NF83" s="8"/>
      <c r="NG83" s="42" t="str">
        <f t="shared" si="532"/>
        <v/>
      </c>
      <c r="NH83" s="43">
        <f t="shared" si="533"/>
        <v>3</v>
      </c>
      <c r="NI83" s="8"/>
      <c r="NJ83" s="47">
        <v>2</v>
      </c>
      <c r="NK83" s="48" t="s">
        <v>4</v>
      </c>
      <c r="NL83" s="49">
        <v>0</v>
      </c>
      <c r="NM83" s="8"/>
      <c r="NN83" s="42" t="str">
        <f t="shared" si="534"/>
        <v/>
      </c>
      <c r="NO83" s="43">
        <f t="shared" si="535"/>
        <v>2</v>
      </c>
      <c r="NP83" s="8"/>
      <c r="NQ83" s="47">
        <v>3</v>
      </c>
      <c r="NR83" s="48" t="s">
        <v>4</v>
      </c>
      <c r="NS83" s="49">
        <v>2</v>
      </c>
      <c r="NT83" s="8"/>
      <c r="NU83" s="42" t="str">
        <f t="shared" si="536"/>
        <v/>
      </c>
      <c r="NV83" s="43">
        <f t="shared" si="537"/>
        <v>1</v>
      </c>
      <c r="NW83" s="8"/>
      <c r="NX83" s="47">
        <v>3</v>
      </c>
      <c r="NY83" s="48" t="s">
        <v>4</v>
      </c>
      <c r="NZ83" s="49">
        <v>1</v>
      </c>
      <c r="OA83" s="8"/>
      <c r="OB83" s="42" t="str">
        <f t="shared" si="538"/>
        <v/>
      </c>
      <c r="OC83" s="43">
        <f t="shared" si="539"/>
        <v>2</v>
      </c>
      <c r="OD83" s="8"/>
      <c r="OE83" s="47">
        <v>1</v>
      </c>
      <c r="OF83" s="48" t="s">
        <v>4</v>
      </c>
      <c r="OG83" s="49">
        <v>2</v>
      </c>
      <c r="OH83" s="8"/>
      <c r="OI83" s="42" t="str">
        <f t="shared" si="540"/>
        <v/>
      </c>
      <c r="OJ83" s="43">
        <f t="shared" si="541"/>
        <v>-1</v>
      </c>
      <c r="OK83" s="8"/>
      <c r="OL83" s="47">
        <v>3</v>
      </c>
      <c r="OM83" s="48" t="s">
        <v>4</v>
      </c>
      <c r="ON83" s="49">
        <v>1</v>
      </c>
      <c r="OO83" s="8"/>
      <c r="OP83" s="42" t="str">
        <f t="shared" si="542"/>
        <v/>
      </c>
      <c r="OQ83" s="43">
        <f t="shared" si="543"/>
        <v>2</v>
      </c>
      <c r="OR83" s="8"/>
      <c r="OS83" s="47">
        <v>3</v>
      </c>
      <c r="OT83" s="48" t="s">
        <v>4</v>
      </c>
      <c r="OU83" s="49">
        <v>1</v>
      </c>
      <c r="OV83" s="8"/>
      <c r="OW83" s="42" t="str">
        <f t="shared" si="544"/>
        <v/>
      </c>
      <c r="OX83" s="43">
        <f t="shared" si="545"/>
        <v>2</v>
      </c>
      <c r="OY83" s="8"/>
      <c r="OZ83" s="47">
        <v>3</v>
      </c>
      <c r="PA83" s="48" t="s">
        <v>4</v>
      </c>
      <c r="PB83" s="49">
        <v>2</v>
      </c>
      <c r="PC83" s="8"/>
      <c r="PD83" s="42" t="str">
        <f t="shared" si="546"/>
        <v/>
      </c>
      <c r="PE83" s="43">
        <f t="shared" si="547"/>
        <v>1</v>
      </c>
      <c r="PF83" s="8"/>
      <c r="PG83" s="47">
        <v>1</v>
      </c>
      <c r="PH83" s="48" t="s">
        <v>4</v>
      </c>
      <c r="PI83" s="49">
        <v>0</v>
      </c>
      <c r="PJ83" s="8"/>
      <c r="PK83" s="42" t="str">
        <f t="shared" si="548"/>
        <v/>
      </c>
      <c r="PL83" s="43">
        <f t="shared" si="549"/>
        <v>1</v>
      </c>
      <c r="PM83" s="8"/>
      <c r="PN83" s="47">
        <v>2</v>
      </c>
      <c r="PO83" s="48" t="s">
        <v>4</v>
      </c>
      <c r="PP83" s="49">
        <v>0</v>
      </c>
      <c r="PQ83" s="8"/>
      <c r="PR83" s="42" t="str">
        <f t="shared" si="550"/>
        <v/>
      </c>
      <c r="PS83" s="43">
        <f t="shared" si="551"/>
        <v>2</v>
      </c>
      <c r="PT83" s="8"/>
      <c r="PU83" s="47">
        <v>2</v>
      </c>
      <c r="PV83" s="48" t="s">
        <v>4</v>
      </c>
      <c r="PW83" s="49">
        <v>1</v>
      </c>
      <c r="PX83" s="8"/>
      <c r="PY83" s="42" t="str">
        <f t="shared" si="552"/>
        <v/>
      </c>
      <c r="PZ83" s="43">
        <f t="shared" si="553"/>
        <v>1</v>
      </c>
      <c r="QA83" s="8"/>
      <c r="QB83" s="47">
        <v>2</v>
      </c>
      <c r="QC83" s="48" t="s">
        <v>4</v>
      </c>
      <c r="QD83" s="49">
        <v>1</v>
      </c>
      <c r="QE83" s="8"/>
      <c r="QF83" s="42" t="str">
        <f t="shared" si="554"/>
        <v/>
      </c>
      <c r="QG83" s="43">
        <f t="shared" si="555"/>
        <v>1</v>
      </c>
      <c r="QH83" s="8"/>
      <c r="QI83" s="47">
        <v>4</v>
      </c>
      <c r="QJ83" s="48" t="s">
        <v>4</v>
      </c>
      <c r="QK83" s="49">
        <v>3</v>
      </c>
      <c r="QL83" s="8"/>
      <c r="QM83" s="42" t="str">
        <f t="shared" si="556"/>
        <v/>
      </c>
      <c r="QN83" s="43">
        <f t="shared" si="557"/>
        <v>1</v>
      </c>
      <c r="QO83" s="8"/>
      <c r="QP83" s="47">
        <v>4</v>
      </c>
      <c r="QQ83" s="48" t="s">
        <v>4</v>
      </c>
      <c r="QR83" s="49">
        <v>2</v>
      </c>
      <c r="QS83" s="8"/>
      <c r="QT83" s="42" t="str">
        <f t="shared" si="558"/>
        <v/>
      </c>
      <c r="QU83" s="43">
        <f t="shared" si="559"/>
        <v>2</v>
      </c>
      <c r="QV83" s="8"/>
      <c r="QW83" s="47">
        <v>2</v>
      </c>
      <c r="QX83" s="48" t="s">
        <v>4</v>
      </c>
      <c r="QY83" s="49">
        <v>1</v>
      </c>
      <c r="QZ83" s="8"/>
      <c r="RA83" s="42" t="str">
        <f t="shared" si="560"/>
        <v/>
      </c>
      <c r="RB83" s="43">
        <f t="shared" si="561"/>
        <v>1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/>
      <c r="RL83" s="48" t="s">
        <v>4</v>
      </c>
      <c r="RM83" s="49"/>
      <c r="RN83" s="8"/>
      <c r="RO83" s="42" t="str">
        <f t="shared" si="564"/>
        <v/>
      </c>
      <c r="RP83" s="43">
        <f t="shared" si="565"/>
        <v>0</v>
      </c>
      <c r="RQ83" s="8"/>
      <c r="RR83" s="47"/>
      <c r="RS83" s="48" t="s">
        <v>4</v>
      </c>
      <c r="RT83" s="49"/>
      <c r="RU83" s="8"/>
      <c r="RV83" s="42" t="str">
        <f t="shared" si="566"/>
        <v/>
      </c>
      <c r="RW83" s="43">
        <f t="shared" si="567"/>
        <v>0</v>
      </c>
      <c r="RX83" s="8"/>
      <c r="RY83" s="47"/>
      <c r="RZ83" s="48" t="s">
        <v>4</v>
      </c>
      <c r="SA83" s="49"/>
      <c r="SB83" s="8"/>
      <c r="SC83" s="42" t="str">
        <f t="shared" si="568"/>
        <v/>
      </c>
      <c r="SD83" s="43">
        <f t="shared" si="569"/>
        <v>0</v>
      </c>
      <c r="SE83" s="8"/>
      <c r="SF83" s="47"/>
      <c r="SG83" s="48" t="s">
        <v>4</v>
      </c>
      <c r="SH83" s="49"/>
      <c r="SI83" s="8"/>
      <c r="SJ83" s="42" t="str">
        <f t="shared" si="570"/>
        <v/>
      </c>
      <c r="SK83" s="43">
        <f t="shared" si="571"/>
        <v>0</v>
      </c>
      <c r="SL83" s="8"/>
      <c r="SM83" s="47"/>
      <c r="SN83" s="48" t="s">
        <v>4</v>
      </c>
      <c r="SO83" s="49"/>
      <c r="SP83" s="8"/>
      <c r="SQ83" s="42" t="str">
        <f t="shared" si="572"/>
        <v/>
      </c>
      <c r="SR83" s="43">
        <f t="shared" si="573"/>
        <v>0</v>
      </c>
    </row>
    <row r="84" spans="1:512" ht="16" customHeight="1" x14ac:dyDescent="0.15">
      <c r="A84" s="51">
        <v>46202</v>
      </c>
      <c r="B84" s="46">
        <v>0.9375</v>
      </c>
      <c r="C84" t="s">
        <v>5</v>
      </c>
      <c r="D84" t="s">
        <v>33</v>
      </c>
      <c r="E84" s="2"/>
      <c r="F84" s="50" t="s">
        <v>4</v>
      </c>
      <c r="G84" s="1"/>
      <c r="H84" s="16">
        <v>5.2</v>
      </c>
      <c r="I84" s="32">
        <f t="shared" si="429"/>
        <v>0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>
        <v>2</v>
      </c>
      <c r="R84" s="48" t="s">
        <v>4</v>
      </c>
      <c r="S84" s="49">
        <v>1</v>
      </c>
      <c r="T84" s="8"/>
      <c r="U84" s="42" t="str">
        <f t="shared" si="432"/>
        <v/>
      </c>
      <c r="V84" s="43">
        <f t="shared" si="433"/>
        <v>1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>
        <v>2</v>
      </c>
      <c r="AF84" s="48" t="s">
        <v>4</v>
      </c>
      <c r="AG84" s="49">
        <v>1</v>
      </c>
      <c r="AH84" s="8"/>
      <c r="AI84" s="42" t="str">
        <f t="shared" si="436"/>
        <v/>
      </c>
      <c r="AJ84" s="43">
        <f t="shared" si="437"/>
        <v>1</v>
      </c>
      <c r="AK84" s="8"/>
      <c r="AL84" s="47">
        <v>2</v>
      </c>
      <c r="AM84" s="48" t="s">
        <v>4</v>
      </c>
      <c r="AN84" s="49">
        <v>0</v>
      </c>
      <c r="AO84" s="8"/>
      <c r="AP84" s="42" t="str">
        <f t="shared" si="438"/>
        <v/>
      </c>
      <c r="AQ84" s="43">
        <f t="shared" si="439"/>
        <v>2</v>
      </c>
      <c r="AR84" s="8"/>
      <c r="AS84" s="47">
        <v>3</v>
      </c>
      <c r="AT84" s="48" t="s">
        <v>4</v>
      </c>
      <c r="AU84" s="49">
        <v>1</v>
      </c>
      <c r="AV84" s="8"/>
      <c r="AW84" s="42" t="str">
        <f t="shared" si="440"/>
        <v/>
      </c>
      <c r="AX84" s="43">
        <f t="shared" si="441"/>
        <v>2</v>
      </c>
      <c r="AY84" s="8"/>
      <c r="AZ84" s="47">
        <v>2</v>
      </c>
      <c r="BA84" s="48" t="s">
        <v>4</v>
      </c>
      <c r="BB84" s="49">
        <v>1</v>
      </c>
      <c r="BC84" s="8"/>
      <c r="BD84" s="42" t="str">
        <f t="shared" si="442"/>
        <v/>
      </c>
      <c r="BE84" s="43">
        <f t="shared" si="443"/>
        <v>1</v>
      </c>
      <c r="BF84" s="8"/>
      <c r="BG84" s="47">
        <v>2</v>
      </c>
      <c r="BH84" s="48" t="s">
        <v>4</v>
      </c>
      <c r="BI84" s="49">
        <v>1</v>
      </c>
      <c r="BJ84" s="8"/>
      <c r="BK84" s="42" t="str">
        <f t="shared" si="444"/>
        <v/>
      </c>
      <c r="BL84" s="43">
        <f t="shared" si="445"/>
        <v>1</v>
      </c>
      <c r="BM84" s="8"/>
      <c r="BN84" s="47">
        <v>3</v>
      </c>
      <c r="BO84" s="48" t="s">
        <v>4</v>
      </c>
      <c r="BP84" s="49">
        <v>2</v>
      </c>
      <c r="BQ84" s="8"/>
      <c r="BR84" s="42" t="str">
        <f t="shared" si="446"/>
        <v/>
      </c>
      <c r="BS84" s="43">
        <f t="shared" si="447"/>
        <v>1</v>
      </c>
      <c r="BT84" s="8"/>
      <c r="BU84" s="47"/>
      <c r="BV84" s="48" t="s">
        <v>4</v>
      </c>
      <c r="BW84" s="49"/>
      <c r="BX84" s="8"/>
      <c r="BY84" s="42" t="str">
        <f t="shared" si="448"/>
        <v/>
      </c>
      <c r="BZ84" s="43">
        <f t="shared" si="449"/>
        <v>0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/>
      <c r="CJ84" s="48" t="s">
        <v>4</v>
      </c>
      <c r="CK84" s="49"/>
      <c r="CL84" s="8"/>
      <c r="CM84" s="42" t="str">
        <f t="shared" si="452"/>
        <v/>
      </c>
      <c r="CN84" s="43">
        <f t="shared" si="453"/>
        <v>0</v>
      </c>
      <c r="CO84" s="8"/>
      <c r="CP84" s="47">
        <v>2</v>
      </c>
      <c r="CQ84" s="48" t="s">
        <v>4</v>
      </c>
      <c r="CR84" s="49">
        <v>1</v>
      </c>
      <c r="CS84" s="8"/>
      <c r="CT84" s="42" t="str">
        <f t="shared" si="454"/>
        <v/>
      </c>
      <c r="CU84" s="43">
        <f t="shared" si="455"/>
        <v>1</v>
      </c>
      <c r="CV84" s="8"/>
      <c r="CW84" s="47">
        <v>2</v>
      </c>
      <c r="CX84" s="48" t="s">
        <v>4</v>
      </c>
      <c r="CY84" s="49">
        <v>1</v>
      </c>
      <c r="CZ84" s="8"/>
      <c r="DA84" s="42" t="str">
        <f t="shared" si="456"/>
        <v/>
      </c>
      <c r="DB84" s="43">
        <f t="shared" si="457"/>
        <v>1</v>
      </c>
      <c r="DC84" s="8"/>
      <c r="DD84" s="47">
        <v>2</v>
      </c>
      <c r="DE84" s="48" t="s">
        <v>4</v>
      </c>
      <c r="DF84" s="49">
        <v>1</v>
      </c>
      <c r="DG84" s="8"/>
      <c r="DH84" s="42" t="str">
        <f t="shared" si="458"/>
        <v/>
      </c>
      <c r="DI84" s="43">
        <f t="shared" si="459"/>
        <v>1</v>
      </c>
      <c r="DJ84" s="8"/>
      <c r="DK84" s="47">
        <v>2</v>
      </c>
      <c r="DL84" s="48" t="s">
        <v>4</v>
      </c>
      <c r="DM84" s="49">
        <v>0</v>
      </c>
      <c r="DN84" s="8"/>
      <c r="DO84" s="42" t="str">
        <f t="shared" si="460"/>
        <v/>
      </c>
      <c r="DP84" s="43">
        <f t="shared" si="461"/>
        <v>2</v>
      </c>
      <c r="DQ84" s="8"/>
      <c r="DR84" s="47">
        <v>3</v>
      </c>
      <c r="DS84" s="48" t="s">
        <v>4</v>
      </c>
      <c r="DT84" s="49">
        <v>0</v>
      </c>
      <c r="DU84" s="8"/>
      <c r="DV84" s="42" t="str">
        <f t="shared" si="462"/>
        <v/>
      </c>
      <c r="DW84" s="43">
        <f t="shared" si="463"/>
        <v>3</v>
      </c>
      <c r="DX84" s="8"/>
      <c r="DY84" s="47">
        <v>2</v>
      </c>
      <c r="DZ84" s="48" t="s">
        <v>4</v>
      </c>
      <c r="EA84" s="49">
        <v>1</v>
      </c>
      <c r="EB84" s="8"/>
      <c r="EC84" s="42" t="str">
        <f t="shared" si="464"/>
        <v/>
      </c>
      <c r="ED84" s="43">
        <f t="shared" si="465"/>
        <v>1</v>
      </c>
      <c r="EE84" s="8"/>
      <c r="EF84" s="47">
        <v>2</v>
      </c>
      <c r="EG84" s="48" t="s">
        <v>4</v>
      </c>
      <c r="EH84" s="49">
        <v>1</v>
      </c>
      <c r="EI84" s="8"/>
      <c r="EJ84" s="42" t="str">
        <f t="shared" si="466"/>
        <v/>
      </c>
      <c r="EK84" s="43">
        <f t="shared" si="467"/>
        <v>1</v>
      </c>
      <c r="EL84" s="8"/>
      <c r="EM84" s="47">
        <v>4</v>
      </c>
      <c r="EN84" s="48" t="s">
        <v>4</v>
      </c>
      <c r="EO84" s="49">
        <v>1</v>
      </c>
      <c r="EP84" s="8"/>
      <c r="EQ84" s="42" t="str">
        <f t="shared" si="468"/>
        <v/>
      </c>
      <c r="ER84" s="43">
        <f t="shared" si="469"/>
        <v>3</v>
      </c>
      <c r="ES84" s="8"/>
      <c r="ET84" s="47">
        <v>3</v>
      </c>
      <c r="EU84" s="48" t="s">
        <v>4</v>
      </c>
      <c r="EV84" s="49">
        <v>0</v>
      </c>
      <c r="EW84" s="8"/>
      <c r="EX84" s="42" t="str">
        <f t="shared" si="470"/>
        <v/>
      </c>
      <c r="EY84" s="43">
        <f t="shared" si="471"/>
        <v>3</v>
      </c>
      <c r="EZ84" s="8"/>
      <c r="FA84" s="47">
        <v>2</v>
      </c>
      <c r="FB84" s="48" t="s">
        <v>4</v>
      </c>
      <c r="FC84" s="49">
        <v>0</v>
      </c>
      <c r="FD84" s="8"/>
      <c r="FE84" s="42" t="str">
        <f t="shared" si="472"/>
        <v/>
      </c>
      <c r="FF84" s="43">
        <f t="shared" si="473"/>
        <v>2</v>
      </c>
      <c r="FG84" s="8"/>
      <c r="FH84" s="47">
        <v>2</v>
      </c>
      <c r="FI84" s="48" t="s">
        <v>4</v>
      </c>
      <c r="FJ84" s="49">
        <v>0</v>
      </c>
      <c r="FK84" s="8"/>
      <c r="FL84" s="42" t="str">
        <f t="shared" si="474"/>
        <v/>
      </c>
      <c r="FM84" s="43">
        <f t="shared" si="475"/>
        <v>2</v>
      </c>
      <c r="FN84" s="8"/>
      <c r="FO84" s="47">
        <v>3</v>
      </c>
      <c r="FP84" s="48" t="s">
        <v>4</v>
      </c>
      <c r="FQ84" s="49">
        <v>1</v>
      </c>
      <c r="FR84" s="8"/>
      <c r="FS84" s="42" t="str">
        <f t="shared" si="476"/>
        <v/>
      </c>
      <c r="FT84" s="43">
        <f t="shared" si="477"/>
        <v>2</v>
      </c>
      <c r="FU84" s="8"/>
      <c r="FV84" s="47">
        <v>2</v>
      </c>
      <c r="FW84" s="48" t="s">
        <v>4</v>
      </c>
      <c r="FX84" s="49">
        <v>1</v>
      </c>
      <c r="FY84" s="8"/>
      <c r="FZ84" s="42" t="str">
        <f t="shared" si="478"/>
        <v/>
      </c>
      <c r="GA84" s="43">
        <f t="shared" si="479"/>
        <v>1</v>
      </c>
      <c r="GB84" s="8"/>
      <c r="GC84" s="47">
        <v>3</v>
      </c>
      <c r="GD84" s="48" t="s">
        <v>4</v>
      </c>
      <c r="GE84" s="49">
        <v>0</v>
      </c>
      <c r="GF84" s="8"/>
      <c r="GG84" s="42" t="str">
        <f t="shared" si="480"/>
        <v/>
      </c>
      <c r="GH84" s="43">
        <f t="shared" si="481"/>
        <v>3</v>
      </c>
      <c r="GI84" s="8"/>
      <c r="GJ84" s="47">
        <v>3</v>
      </c>
      <c r="GK84" s="48" t="s">
        <v>4</v>
      </c>
      <c r="GL84" s="49">
        <v>1</v>
      </c>
      <c r="GM84" s="8"/>
      <c r="GN84" s="42" t="str">
        <f t="shared" si="482"/>
        <v/>
      </c>
      <c r="GO84" s="43">
        <f t="shared" si="483"/>
        <v>2</v>
      </c>
      <c r="GP84" s="8"/>
      <c r="GQ84" s="47">
        <v>2</v>
      </c>
      <c r="GR84" s="48" t="s">
        <v>4</v>
      </c>
      <c r="GS84" s="49">
        <v>0</v>
      </c>
      <c r="GT84" s="8"/>
      <c r="GU84" s="42" t="str">
        <f t="shared" si="484"/>
        <v/>
      </c>
      <c r="GV84" s="43">
        <f t="shared" si="485"/>
        <v>2</v>
      </c>
      <c r="GW84" s="8"/>
      <c r="GX84" s="47">
        <v>2</v>
      </c>
      <c r="GY84" s="48" t="s">
        <v>4</v>
      </c>
      <c r="GZ84" s="49">
        <v>0</v>
      </c>
      <c r="HA84" s="8"/>
      <c r="HB84" s="42" t="str">
        <f t="shared" si="486"/>
        <v/>
      </c>
      <c r="HC84" s="43">
        <f t="shared" si="487"/>
        <v>2</v>
      </c>
      <c r="HD84" s="8"/>
      <c r="HE84" s="47">
        <v>2</v>
      </c>
      <c r="HF84" s="48" t="s">
        <v>4</v>
      </c>
      <c r="HG84" s="49">
        <v>0</v>
      </c>
      <c r="HH84" s="8"/>
      <c r="HI84" s="42" t="str">
        <f t="shared" si="488"/>
        <v/>
      </c>
      <c r="HJ84" s="43">
        <f t="shared" si="489"/>
        <v>2</v>
      </c>
      <c r="HK84" s="8"/>
      <c r="HL84" s="47">
        <v>2</v>
      </c>
      <c r="HM84" s="48" t="s">
        <v>4</v>
      </c>
      <c r="HN84" s="49">
        <v>0</v>
      </c>
      <c r="HO84" s="8"/>
      <c r="HP84" s="42" t="str">
        <f t="shared" si="490"/>
        <v/>
      </c>
      <c r="HQ84" s="43">
        <f t="shared" si="491"/>
        <v>2</v>
      </c>
      <c r="HR84" s="8"/>
      <c r="HS84" s="47">
        <v>2</v>
      </c>
      <c r="HT84" s="48" t="s">
        <v>4</v>
      </c>
      <c r="HU84" s="49">
        <v>1</v>
      </c>
      <c r="HV84" s="8"/>
      <c r="HW84" s="42" t="str">
        <f t="shared" si="492"/>
        <v/>
      </c>
      <c r="HX84" s="43">
        <f t="shared" si="493"/>
        <v>1</v>
      </c>
      <c r="HY84" s="8"/>
      <c r="HZ84" s="47">
        <v>3</v>
      </c>
      <c r="IA84" s="48" t="s">
        <v>4</v>
      </c>
      <c r="IB84" s="49">
        <v>1</v>
      </c>
      <c r="IC84" s="8"/>
      <c r="ID84" s="42" t="str">
        <f t="shared" si="494"/>
        <v/>
      </c>
      <c r="IE84" s="43">
        <f t="shared" si="495"/>
        <v>2</v>
      </c>
      <c r="IF84" s="8"/>
      <c r="IG84" s="47">
        <v>2</v>
      </c>
      <c r="IH84" s="48" t="s">
        <v>4</v>
      </c>
      <c r="II84" s="49">
        <v>0</v>
      </c>
      <c r="IJ84" s="8"/>
      <c r="IK84" s="42" t="str">
        <f t="shared" si="496"/>
        <v/>
      </c>
      <c r="IL84" s="43">
        <f t="shared" si="497"/>
        <v>2</v>
      </c>
      <c r="IM84" s="8"/>
      <c r="IN84" s="47">
        <v>2</v>
      </c>
      <c r="IO84" s="48" t="s">
        <v>4</v>
      </c>
      <c r="IP84" s="49">
        <v>0</v>
      </c>
      <c r="IQ84" s="8"/>
      <c r="IR84" s="42" t="str">
        <f t="shared" si="498"/>
        <v/>
      </c>
      <c r="IS84" s="43">
        <f t="shared" si="499"/>
        <v>2</v>
      </c>
      <c r="IT84" s="8"/>
      <c r="IU84" s="47">
        <v>2</v>
      </c>
      <c r="IV84" s="48" t="s">
        <v>4</v>
      </c>
      <c r="IW84" s="49">
        <v>0</v>
      </c>
      <c r="IX84" s="8"/>
      <c r="IY84" s="42" t="str">
        <f t="shared" si="500"/>
        <v/>
      </c>
      <c r="IZ84" s="43">
        <f t="shared" si="501"/>
        <v>2</v>
      </c>
      <c r="JA84" s="8"/>
      <c r="JB84" s="47">
        <v>2</v>
      </c>
      <c r="JC84" s="48" t="s">
        <v>4</v>
      </c>
      <c r="JD84" s="49">
        <v>1</v>
      </c>
      <c r="JE84" s="8"/>
      <c r="JF84" s="42" t="str">
        <f t="shared" si="502"/>
        <v/>
      </c>
      <c r="JG84" s="43">
        <f t="shared" si="503"/>
        <v>1</v>
      </c>
      <c r="JH84" s="8"/>
      <c r="JI84" s="47">
        <v>1</v>
      </c>
      <c r="JJ84" s="48" t="s">
        <v>4</v>
      </c>
      <c r="JK84" s="49">
        <v>0</v>
      </c>
      <c r="JL84" s="8"/>
      <c r="JM84" s="42" t="str">
        <f t="shared" si="504"/>
        <v/>
      </c>
      <c r="JN84" s="43">
        <f t="shared" si="505"/>
        <v>1</v>
      </c>
      <c r="JO84" s="8"/>
      <c r="JP84" s="47">
        <v>2</v>
      </c>
      <c r="JQ84" s="48" t="s">
        <v>4</v>
      </c>
      <c r="JR84" s="49">
        <v>0</v>
      </c>
      <c r="JS84" s="8"/>
      <c r="JT84" s="42" t="str">
        <f t="shared" si="506"/>
        <v/>
      </c>
      <c r="JU84" s="43">
        <f t="shared" si="507"/>
        <v>2</v>
      </c>
      <c r="JV84" s="8"/>
      <c r="JW84" s="47">
        <v>3</v>
      </c>
      <c r="JX84" s="48" t="s">
        <v>4</v>
      </c>
      <c r="JY84" s="49">
        <v>0</v>
      </c>
      <c r="JZ84" s="8"/>
      <c r="KA84" s="42" t="str">
        <f t="shared" si="508"/>
        <v/>
      </c>
      <c r="KB84" s="43">
        <f t="shared" si="509"/>
        <v>3</v>
      </c>
      <c r="KC84" s="8"/>
      <c r="KD84" s="47">
        <v>2</v>
      </c>
      <c r="KE84" s="48" t="s">
        <v>4</v>
      </c>
      <c r="KF84" s="49">
        <v>1</v>
      </c>
      <c r="KG84" s="8"/>
      <c r="KH84" s="42" t="str">
        <f t="shared" si="510"/>
        <v/>
      </c>
      <c r="KI84" s="43">
        <f t="shared" si="511"/>
        <v>1</v>
      </c>
      <c r="KJ84" s="8"/>
      <c r="KK84" s="47">
        <v>2</v>
      </c>
      <c r="KL84" s="48" t="s">
        <v>4</v>
      </c>
      <c r="KM84" s="49">
        <v>1</v>
      </c>
      <c r="KN84" s="8"/>
      <c r="KO84" s="42" t="str">
        <f t="shared" si="512"/>
        <v/>
      </c>
      <c r="KP84" s="43">
        <f t="shared" si="513"/>
        <v>1</v>
      </c>
      <c r="KQ84" s="8"/>
      <c r="KR84" s="47">
        <v>1</v>
      </c>
      <c r="KS84" s="48" t="s">
        <v>4</v>
      </c>
      <c r="KT84" s="49">
        <v>0</v>
      </c>
      <c r="KU84" s="8"/>
      <c r="KV84" s="42" t="str">
        <f t="shared" si="514"/>
        <v/>
      </c>
      <c r="KW84" s="43">
        <f t="shared" si="515"/>
        <v>1</v>
      </c>
      <c r="KX84" s="8"/>
      <c r="KY84" s="47">
        <v>2</v>
      </c>
      <c r="KZ84" s="48" t="s">
        <v>4</v>
      </c>
      <c r="LA84" s="49">
        <v>1</v>
      </c>
      <c r="LB84" s="8"/>
      <c r="LC84" s="42" t="str">
        <f t="shared" si="516"/>
        <v/>
      </c>
      <c r="LD84" s="43">
        <f t="shared" si="517"/>
        <v>1</v>
      </c>
      <c r="LE84" s="8"/>
      <c r="LF84" s="47">
        <v>2</v>
      </c>
      <c r="LG84" s="48" t="s">
        <v>4</v>
      </c>
      <c r="LH84" s="49">
        <v>0</v>
      </c>
      <c r="LI84" s="8"/>
      <c r="LJ84" s="42" t="str">
        <f t="shared" si="518"/>
        <v/>
      </c>
      <c r="LK84" s="43">
        <f t="shared" si="519"/>
        <v>2</v>
      </c>
      <c r="LL84" s="8"/>
      <c r="LM84" s="47">
        <v>2</v>
      </c>
      <c r="LN84" s="48" t="s">
        <v>4</v>
      </c>
      <c r="LO84" s="49">
        <v>0</v>
      </c>
      <c r="LP84" s="8"/>
      <c r="LQ84" s="42" t="str">
        <f t="shared" si="520"/>
        <v/>
      </c>
      <c r="LR84" s="43">
        <f t="shared" si="521"/>
        <v>2</v>
      </c>
      <c r="LS84" s="8"/>
      <c r="LT84" s="47">
        <v>2</v>
      </c>
      <c r="LU84" s="48" t="s">
        <v>4</v>
      </c>
      <c r="LV84" s="49">
        <v>0</v>
      </c>
      <c r="LW84" s="8"/>
      <c r="LX84" s="42" t="str">
        <f t="shared" si="522"/>
        <v/>
      </c>
      <c r="LY84" s="43">
        <f t="shared" si="523"/>
        <v>2</v>
      </c>
      <c r="LZ84" s="8"/>
      <c r="MA84" s="47">
        <v>4</v>
      </c>
      <c r="MB84" s="48" t="s">
        <v>4</v>
      </c>
      <c r="MC84" s="49">
        <v>0</v>
      </c>
      <c r="MD84" s="8"/>
      <c r="ME84" s="42" t="str">
        <f t="shared" si="524"/>
        <v/>
      </c>
      <c r="MF84" s="43">
        <f t="shared" si="525"/>
        <v>4</v>
      </c>
      <c r="MG84" s="8"/>
      <c r="MH84" s="47">
        <v>2</v>
      </c>
      <c r="MI84" s="48" t="s">
        <v>4</v>
      </c>
      <c r="MJ84" s="49">
        <v>1</v>
      </c>
      <c r="MK84" s="8"/>
      <c r="ML84" s="42" t="str">
        <f t="shared" si="526"/>
        <v/>
      </c>
      <c r="MM84" s="43">
        <f t="shared" si="527"/>
        <v>1</v>
      </c>
      <c r="MN84" s="8"/>
      <c r="MO84" s="47">
        <v>2</v>
      </c>
      <c r="MP84" s="48" t="s">
        <v>4</v>
      </c>
      <c r="MQ84" s="49">
        <v>1</v>
      </c>
      <c r="MR84" s="8"/>
      <c r="MS84" s="42" t="str">
        <f t="shared" si="528"/>
        <v/>
      </c>
      <c r="MT84" s="43">
        <f t="shared" si="529"/>
        <v>1</v>
      </c>
      <c r="MU84" s="8"/>
      <c r="MV84" s="47">
        <v>4</v>
      </c>
      <c r="MW84" s="48" t="s">
        <v>4</v>
      </c>
      <c r="MX84" s="49">
        <v>3</v>
      </c>
      <c r="MY84" s="8"/>
      <c r="MZ84" s="42" t="str">
        <f t="shared" si="530"/>
        <v/>
      </c>
      <c r="NA84" s="43">
        <f t="shared" si="531"/>
        <v>1</v>
      </c>
      <c r="NB84" s="8"/>
      <c r="NC84" s="47">
        <v>1</v>
      </c>
      <c r="ND84" s="48" t="s">
        <v>4</v>
      </c>
      <c r="NE84" s="49">
        <v>0</v>
      </c>
      <c r="NF84" s="8"/>
      <c r="NG84" s="42" t="str">
        <f t="shared" si="532"/>
        <v/>
      </c>
      <c r="NH84" s="43">
        <f t="shared" si="533"/>
        <v>1</v>
      </c>
      <c r="NI84" s="8"/>
      <c r="NJ84" s="47">
        <v>6</v>
      </c>
      <c r="NK84" s="48"/>
      <c r="NL84" s="49">
        <v>8</v>
      </c>
      <c r="NM84" s="8"/>
      <c r="NN84" s="42" t="str">
        <f t="shared" si="534"/>
        <v/>
      </c>
      <c r="NO84" s="43">
        <f t="shared" si="535"/>
        <v>-2</v>
      </c>
      <c r="NP84" s="8"/>
      <c r="NQ84" s="47">
        <v>5</v>
      </c>
      <c r="NR84" s="48" t="s">
        <v>4</v>
      </c>
      <c r="NS84" s="49">
        <v>3</v>
      </c>
      <c r="NT84" s="8"/>
      <c r="NU84" s="42" t="str">
        <f t="shared" si="536"/>
        <v/>
      </c>
      <c r="NV84" s="43">
        <f t="shared" si="537"/>
        <v>2</v>
      </c>
      <c r="NW84" s="8"/>
      <c r="NX84" s="47">
        <v>4</v>
      </c>
      <c r="NY84" s="48" t="s">
        <v>4</v>
      </c>
      <c r="NZ84" s="49">
        <v>1</v>
      </c>
      <c r="OA84" s="8"/>
      <c r="OB84" s="42" t="str">
        <f t="shared" si="538"/>
        <v/>
      </c>
      <c r="OC84" s="43">
        <f t="shared" si="539"/>
        <v>3</v>
      </c>
      <c r="OD84" s="8"/>
      <c r="OE84" s="47">
        <v>3</v>
      </c>
      <c r="OF84" s="48" t="s">
        <v>4</v>
      </c>
      <c r="OG84" s="49">
        <v>1</v>
      </c>
      <c r="OH84" s="8"/>
      <c r="OI84" s="42" t="str">
        <f t="shared" si="540"/>
        <v/>
      </c>
      <c r="OJ84" s="43">
        <f t="shared" si="541"/>
        <v>2</v>
      </c>
      <c r="OK84" s="8"/>
      <c r="OL84" s="47">
        <v>2</v>
      </c>
      <c r="OM84" s="48" t="s">
        <v>4</v>
      </c>
      <c r="ON84" s="49">
        <v>1</v>
      </c>
      <c r="OO84" s="8"/>
      <c r="OP84" s="42" t="str">
        <f t="shared" si="542"/>
        <v/>
      </c>
      <c r="OQ84" s="43">
        <f t="shared" si="543"/>
        <v>1</v>
      </c>
      <c r="OR84" s="8"/>
      <c r="OS84" s="47">
        <v>3</v>
      </c>
      <c r="OT84" s="48" t="s">
        <v>4</v>
      </c>
      <c r="OU84" s="49">
        <v>1</v>
      </c>
      <c r="OV84" s="8"/>
      <c r="OW84" s="42" t="str">
        <f t="shared" si="544"/>
        <v/>
      </c>
      <c r="OX84" s="43">
        <f t="shared" si="545"/>
        <v>2</v>
      </c>
      <c r="OY84" s="8"/>
      <c r="OZ84" s="47">
        <v>1</v>
      </c>
      <c r="PA84" s="48" t="s">
        <v>4</v>
      </c>
      <c r="PB84" s="49">
        <v>2</v>
      </c>
      <c r="PC84" s="8"/>
      <c r="PD84" s="42" t="str">
        <f t="shared" si="546"/>
        <v/>
      </c>
      <c r="PE84" s="43">
        <f t="shared" si="547"/>
        <v>-1</v>
      </c>
      <c r="PF84" s="8"/>
      <c r="PG84" s="47">
        <v>3</v>
      </c>
      <c r="PH84" s="48" t="s">
        <v>4</v>
      </c>
      <c r="PI84" s="49">
        <v>1</v>
      </c>
      <c r="PJ84" s="8"/>
      <c r="PK84" s="42" t="str">
        <f t="shared" si="548"/>
        <v/>
      </c>
      <c r="PL84" s="43">
        <f t="shared" si="549"/>
        <v>2</v>
      </c>
      <c r="PM84" s="8"/>
      <c r="PN84" s="47">
        <v>2</v>
      </c>
      <c r="PO84" s="48" t="s">
        <v>4</v>
      </c>
      <c r="PP84" s="49">
        <v>0</v>
      </c>
      <c r="PQ84" s="8"/>
      <c r="PR84" s="42" t="str">
        <f t="shared" si="550"/>
        <v/>
      </c>
      <c r="PS84" s="43">
        <f t="shared" si="551"/>
        <v>2</v>
      </c>
      <c r="PT84" s="8"/>
      <c r="PU84" s="47">
        <v>4</v>
      </c>
      <c r="PV84" s="48" t="s">
        <v>4</v>
      </c>
      <c r="PW84" s="49">
        <v>2</v>
      </c>
      <c r="PX84" s="8"/>
      <c r="PY84" s="42" t="str">
        <f t="shared" si="552"/>
        <v/>
      </c>
      <c r="PZ84" s="43">
        <f t="shared" si="553"/>
        <v>2</v>
      </c>
      <c r="QA84" s="8"/>
      <c r="QB84" s="47">
        <v>3</v>
      </c>
      <c r="QC84" s="48" t="s">
        <v>4</v>
      </c>
      <c r="QD84" s="49">
        <v>1</v>
      </c>
      <c r="QE84" s="8"/>
      <c r="QF84" s="42" t="str">
        <f t="shared" si="554"/>
        <v/>
      </c>
      <c r="QG84" s="43">
        <f t="shared" si="555"/>
        <v>2</v>
      </c>
      <c r="QH84" s="8"/>
      <c r="QI84" s="47">
        <v>3</v>
      </c>
      <c r="QJ84" s="48" t="s">
        <v>4</v>
      </c>
      <c r="QK84" s="49">
        <v>1</v>
      </c>
      <c r="QL84" s="8"/>
      <c r="QM84" s="42" t="str">
        <f t="shared" si="556"/>
        <v/>
      </c>
      <c r="QN84" s="43">
        <f t="shared" si="557"/>
        <v>2</v>
      </c>
      <c r="QO84" s="8"/>
      <c r="QP84" s="47">
        <v>2</v>
      </c>
      <c r="QQ84" s="48" t="s">
        <v>4</v>
      </c>
      <c r="QR84" s="49">
        <v>1</v>
      </c>
      <c r="QS84" s="8"/>
      <c r="QT84" s="42" t="str">
        <f t="shared" si="558"/>
        <v/>
      </c>
      <c r="QU84" s="43">
        <f t="shared" si="559"/>
        <v>1</v>
      </c>
      <c r="QV84" s="8"/>
      <c r="QW84" s="47">
        <v>5</v>
      </c>
      <c r="QX84" s="48" t="s">
        <v>4</v>
      </c>
      <c r="QY84" s="49">
        <v>4</v>
      </c>
      <c r="QZ84" s="8"/>
      <c r="RA84" s="42" t="str">
        <f t="shared" si="560"/>
        <v/>
      </c>
      <c r="RB84" s="43">
        <f t="shared" si="561"/>
        <v>1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/>
      <c r="RL84" s="48" t="s">
        <v>4</v>
      </c>
      <c r="RM84" s="49"/>
      <c r="RN84" s="8"/>
      <c r="RO84" s="42" t="str">
        <f t="shared" si="564"/>
        <v/>
      </c>
      <c r="RP84" s="43">
        <f t="shared" si="565"/>
        <v>0</v>
      </c>
      <c r="RQ84" s="8"/>
      <c r="RR84" s="47"/>
      <c r="RS84" s="48" t="s">
        <v>4</v>
      </c>
      <c r="RT84" s="49"/>
      <c r="RU84" s="8"/>
      <c r="RV84" s="42" t="str">
        <f t="shared" si="566"/>
        <v/>
      </c>
      <c r="RW84" s="43">
        <f t="shared" si="567"/>
        <v>0</v>
      </c>
      <c r="RX84" s="8"/>
      <c r="RY84" s="47"/>
      <c r="RZ84" s="48" t="s">
        <v>4</v>
      </c>
      <c r="SA84" s="49"/>
      <c r="SB84" s="8"/>
      <c r="SC84" s="42" t="str">
        <f t="shared" si="568"/>
        <v/>
      </c>
      <c r="SD84" s="43">
        <f t="shared" si="569"/>
        <v>0</v>
      </c>
      <c r="SE84" s="8"/>
      <c r="SF84" s="47"/>
      <c r="SG84" s="48" t="s">
        <v>4</v>
      </c>
      <c r="SH84" s="49"/>
      <c r="SI84" s="8"/>
      <c r="SJ84" s="42" t="str">
        <f t="shared" si="570"/>
        <v/>
      </c>
      <c r="SK84" s="43">
        <f t="shared" si="571"/>
        <v>0</v>
      </c>
      <c r="SL84" s="8"/>
      <c r="SM84" s="47"/>
      <c r="SN84" s="48" t="s">
        <v>4</v>
      </c>
      <c r="SO84" s="49"/>
      <c r="SP84" s="8"/>
      <c r="SQ84" s="42" t="str">
        <f t="shared" si="572"/>
        <v/>
      </c>
      <c r="SR84" s="43">
        <f t="shared" si="573"/>
        <v>0</v>
      </c>
    </row>
    <row r="85" spans="1:512" ht="16" customHeight="1" x14ac:dyDescent="0.15">
      <c r="A85" s="51">
        <v>46203</v>
      </c>
      <c r="B85" s="46">
        <v>0.125</v>
      </c>
      <c r="C85" s="82" t="s">
        <v>23</v>
      </c>
      <c r="D85" s="82" t="s">
        <v>36</v>
      </c>
      <c r="E85" s="2"/>
      <c r="F85" s="50" t="s">
        <v>4</v>
      </c>
      <c r="G85" s="1"/>
      <c r="H85" s="16">
        <v>5.6</v>
      </c>
      <c r="I85" s="32">
        <f t="shared" si="429"/>
        <v>0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>
        <v>2</v>
      </c>
      <c r="R85" s="48" t="s">
        <v>4</v>
      </c>
      <c r="S85" s="49">
        <v>3</v>
      </c>
      <c r="T85" s="8"/>
      <c r="U85" s="42" t="str">
        <f t="shared" si="432"/>
        <v/>
      </c>
      <c r="V85" s="43">
        <f t="shared" si="433"/>
        <v>-1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>
        <v>2</v>
      </c>
      <c r="AF85" s="48" t="s">
        <v>4</v>
      </c>
      <c r="AG85" s="49">
        <v>0</v>
      </c>
      <c r="AH85" s="8"/>
      <c r="AI85" s="42" t="str">
        <f t="shared" si="436"/>
        <v/>
      </c>
      <c r="AJ85" s="43">
        <f t="shared" si="437"/>
        <v>2</v>
      </c>
      <c r="AK85" s="8"/>
      <c r="AL85" s="47">
        <v>2</v>
      </c>
      <c r="AM85" s="48" t="s">
        <v>4</v>
      </c>
      <c r="AN85" s="49">
        <v>1</v>
      </c>
      <c r="AO85" s="8"/>
      <c r="AP85" s="42" t="str">
        <f t="shared" si="438"/>
        <v/>
      </c>
      <c r="AQ85" s="43">
        <f t="shared" si="439"/>
        <v>1</v>
      </c>
      <c r="AR85" s="8"/>
      <c r="AS85" s="47">
        <v>3</v>
      </c>
      <c r="AT85" s="48" t="s">
        <v>4</v>
      </c>
      <c r="AU85" s="49">
        <v>2</v>
      </c>
      <c r="AV85" s="8"/>
      <c r="AW85" s="42" t="str">
        <f t="shared" si="440"/>
        <v/>
      </c>
      <c r="AX85" s="43">
        <f t="shared" si="441"/>
        <v>1</v>
      </c>
      <c r="AY85" s="8"/>
      <c r="AZ85" s="47">
        <v>2</v>
      </c>
      <c r="BA85" s="48" t="s">
        <v>4</v>
      </c>
      <c r="BB85" s="49">
        <v>3</v>
      </c>
      <c r="BC85" s="8"/>
      <c r="BD85" s="42" t="str">
        <f t="shared" si="442"/>
        <v/>
      </c>
      <c r="BE85" s="43">
        <f t="shared" si="443"/>
        <v>-1</v>
      </c>
      <c r="BF85" s="8"/>
      <c r="BG85" s="47">
        <v>3</v>
      </c>
      <c r="BH85" s="48" t="s">
        <v>4</v>
      </c>
      <c r="BI85" s="49">
        <v>0</v>
      </c>
      <c r="BJ85" s="8"/>
      <c r="BK85" s="42" t="str">
        <f t="shared" si="444"/>
        <v/>
      </c>
      <c r="BL85" s="43">
        <f t="shared" si="445"/>
        <v>3</v>
      </c>
      <c r="BM85" s="8"/>
      <c r="BN85" s="47">
        <v>1</v>
      </c>
      <c r="BO85" s="48" t="s">
        <v>4</v>
      </c>
      <c r="BP85" s="49">
        <v>2</v>
      </c>
      <c r="BQ85" s="8"/>
      <c r="BR85" s="42" t="str">
        <f t="shared" si="446"/>
        <v/>
      </c>
      <c r="BS85" s="43">
        <f t="shared" si="447"/>
        <v>-1</v>
      </c>
      <c r="BT85" s="8"/>
      <c r="BU85" s="47"/>
      <c r="BV85" s="48" t="s">
        <v>4</v>
      </c>
      <c r="BW85" s="49"/>
      <c r="BX85" s="8"/>
      <c r="BY85" s="42" t="str">
        <f t="shared" si="448"/>
        <v/>
      </c>
      <c r="BZ85" s="43">
        <f t="shared" si="449"/>
        <v>0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/>
      <c r="CJ85" s="48" t="s">
        <v>4</v>
      </c>
      <c r="CK85" s="49"/>
      <c r="CL85" s="8"/>
      <c r="CM85" s="42" t="str">
        <f t="shared" si="452"/>
        <v/>
      </c>
      <c r="CN85" s="43">
        <f t="shared" si="453"/>
        <v>0</v>
      </c>
      <c r="CO85" s="8"/>
      <c r="CP85" s="47">
        <v>2</v>
      </c>
      <c r="CQ85" s="48" t="s">
        <v>4</v>
      </c>
      <c r="CR85" s="49">
        <v>1</v>
      </c>
      <c r="CS85" s="8"/>
      <c r="CT85" s="42" t="str">
        <f t="shared" si="454"/>
        <v/>
      </c>
      <c r="CU85" s="43">
        <f t="shared" si="455"/>
        <v>1</v>
      </c>
      <c r="CV85" s="8"/>
      <c r="CW85" s="47">
        <v>5</v>
      </c>
      <c r="CX85" s="48" t="s">
        <v>4</v>
      </c>
      <c r="CY85" s="49">
        <v>4</v>
      </c>
      <c r="CZ85" s="8"/>
      <c r="DA85" s="42" t="str">
        <f t="shared" si="456"/>
        <v/>
      </c>
      <c r="DB85" s="43">
        <f t="shared" si="457"/>
        <v>1</v>
      </c>
      <c r="DC85" s="8"/>
      <c r="DD85" s="47">
        <v>0</v>
      </c>
      <c r="DE85" s="48" t="s">
        <v>4</v>
      </c>
      <c r="DF85" s="49">
        <v>2</v>
      </c>
      <c r="DG85" s="8"/>
      <c r="DH85" s="42" t="str">
        <f t="shared" si="458"/>
        <v/>
      </c>
      <c r="DI85" s="43">
        <f t="shared" si="459"/>
        <v>-2</v>
      </c>
      <c r="DJ85" s="8"/>
      <c r="DK85" s="47">
        <v>0</v>
      </c>
      <c r="DL85" s="48" t="s">
        <v>4</v>
      </c>
      <c r="DM85" s="49">
        <v>1</v>
      </c>
      <c r="DN85" s="8"/>
      <c r="DO85" s="42" t="str">
        <f t="shared" si="460"/>
        <v/>
      </c>
      <c r="DP85" s="43">
        <f t="shared" si="461"/>
        <v>-1</v>
      </c>
      <c r="DQ85" s="8"/>
      <c r="DR85" s="47">
        <v>2</v>
      </c>
      <c r="DS85" s="48" t="s">
        <v>4</v>
      </c>
      <c r="DT85" s="49">
        <v>1</v>
      </c>
      <c r="DU85" s="8"/>
      <c r="DV85" s="42" t="str">
        <f t="shared" si="462"/>
        <v/>
      </c>
      <c r="DW85" s="43">
        <f t="shared" si="463"/>
        <v>1</v>
      </c>
      <c r="DX85" s="8"/>
      <c r="DY85" s="47">
        <v>4</v>
      </c>
      <c r="DZ85" s="48" t="s">
        <v>4</v>
      </c>
      <c r="EA85" s="49">
        <v>5</v>
      </c>
      <c r="EB85" s="8"/>
      <c r="EC85" s="42" t="str">
        <f t="shared" si="464"/>
        <v/>
      </c>
      <c r="ED85" s="43">
        <f t="shared" si="465"/>
        <v>-1</v>
      </c>
      <c r="EE85" s="8"/>
      <c r="EF85" s="47">
        <v>2</v>
      </c>
      <c r="EG85" s="48" t="s">
        <v>4</v>
      </c>
      <c r="EH85" s="49">
        <v>0</v>
      </c>
      <c r="EI85" s="8"/>
      <c r="EJ85" s="42" t="str">
        <f t="shared" si="466"/>
        <v/>
      </c>
      <c r="EK85" s="43">
        <f t="shared" si="467"/>
        <v>2</v>
      </c>
      <c r="EL85" s="8"/>
      <c r="EM85" s="47">
        <v>6</v>
      </c>
      <c r="EN85" s="48" t="s">
        <v>4</v>
      </c>
      <c r="EO85" s="49">
        <v>5</v>
      </c>
      <c r="EP85" s="8"/>
      <c r="EQ85" s="42" t="str">
        <f t="shared" si="468"/>
        <v/>
      </c>
      <c r="ER85" s="43">
        <f t="shared" si="469"/>
        <v>1</v>
      </c>
      <c r="ES85" s="8"/>
      <c r="ET85" s="47">
        <v>1</v>
      </c>
      <c r="EU85" s="48" t="s">
        <v>4</v>
      </c>
      <c r="EV85" s="49">
        <v>2</v>
      </c>
      <c r="EW85" s="8"/>
      <c r="EX85" s="42" t="str">
        <f t="shared" si="470"/>
        <v/>
      </c>
      <c r="EY85" s="43">
        <f t="shared" si="471"/>
        <v>-1</v>
      </c>
      <c r="EZ85" s="8"/>
      <c r="FA85" s="47">
        <v>3</v>
      </c>
      <c r="FB85" s="48" t="s">
        <v>4</v>
      </c>
      <c r="FC85" s="49">
        <v>2</v>
      </c>
      <c r="FD85" s="8"/>
      <c r="FE85" s="42" t="str">
        <f t="shared" si="472"/>
        <v/>
      </c>
      <c r="FF85" s="43">
        <f t="shared" si="473"/>
        <v>1</v>
      </c>
      <c r="FG85" s="8"/>
      <c r="FH85" s="47">
        <v>0</v>
      </c>
      <c r="FI85" s="48" t="s">
        <v>4</v>
      </c>
      <c r="FJ85" s="49">
        <v>1</v>
      </c>
      <c r="FK85" s="8"/>
      <c r="FL85" s="42" t="str">
        <f t="shared" si="474"/>
        <v/>
      </c>
      <c r="FM85" s="43">
        <f t="shared" si="475"/>
        <v>-1</v>
      </c>
      <c r="FN85" s="8"/>
      <c r="FO85" s="47">
        <v>2</v>
      </c>
      <c r="FP85" s="48" t="s">
        <v>4</v>
      </c>
      <c r="FQ85" s="49">
        <v>0</v>
      </c>
      <c r="FR85" s="8"/>
      <c r="FS85" s="42" t="str">
        <f t="shared" si="476"/>
        <v/>
      </c>
      <c r="FT85" s="43">
        <f t="shared" si="477"/>
        <v>2</v>
      </c>
      <c r="FU85" s="8"/>
      <c r="FV85" s="47">
        <v>3</v>
      </c>
      <c r="FW85" s="48" t="s">
        <v>4</v>
      </c>
      <c r="FX85" s="49">
        <v>0</v>
      </c>
      <c r="FY85" s="8"/>
      <c r="FZ85" s="42" t="str">
        <f t="shared" si="478"/>
        <v/>
      </c>
      <c r="GA85" s="43">
        <f t="shared" si="479"/>
        <v>3</v>
      </c>
      <c r="GB85" s="8"/>
      <c r="GC85" s="47">
        <v>2</v>
      </c>
      <c r="GD85" s="48" t="s">
        <v>4</v>
      </c>
      <c r="GE85" s="49">
        <v>1</v>
      </c>
      <c r="GF85" s="8"/>
      <c r="GG85" s="42" t="str">
        <f t="shared" si="480"/>
        <v/>
      </c>
      <c r="GH85" s="43">
        <f t="shared" si="481"/>
        <v>1</v>
      </c>
      <c r="GI85" s="8"/>
      <c r="GJ85" s="47">
        <v>4</v>
      </c>
      <c r="GK85" s="48" t="s">
        <v>4</v>
      </c>
      <c r="GL85" s="49">
        <v>1</v>
      </c>
      <c r="GM85" s="8"/>
      <c r="GN85" s="42" t="str">
        <f t="shared" si="482"/>
        <v/>
      </c>
      <c r="GO85" s="43">
        <f t="shared" si="483"/>
        <v>3</v>
      </c>
      <c r="GP85" s="8"/>
      <c r="GQ85" s="47">
        <v>5</v>
      </c>
      <c r="GR85" s="48" t="s">
        <v>4</v>
      </c>
      <c r="GS85" s="49">
        <v>7</v>
      </c>
      <c r="GT85" s="8"/>
      <c r="GU85" s="42" t="str">
        <f t="shared" si="484"/>
        <v/>
      </c>
      <c r="GV85" s="43">
        <f t="shared" si="485"/>
        <v>-2</v>
      </c>
      <c r="GW85" s="8"/>
      <c r="GX85" s="47">
        <v>6</v>
      </c>
      <c r="GY85" s="48" t="s">
        <v>4</v>
      </c>
      <c r="GZ85" s="49">
        <v>5</v>
      </c>
      <c r="HA85" s="8"/>
      <c r="HB85" s="42" t="str">
        <f t="shared" si="486"/>
        <v/>
      </c>
      <c r="HC85" s="43">
        <f t="shared" si="487"/>
        <v>1</v>
      </c>
      <c r="HD85" s="8"/>
      <c r="HE85" s="47">
        <v>2</v>
      </c>
      <c r="HF85" s="48" t="s">
        <v>4</v>
      </c>
      <c r="HG85" s="49">
        <v>1</v>
      </c>
      <c r="HH85" s="8"/>
      <c r="HI85" s="42" t="str">
        <f t="shared" si="488"/>
        <v/>
      </c>
      <c r="HJ85" s="43">
        <f t="shared" si="489"/>
        <v>1</v>
      </c>
      <c r="HK85" s="8"/>
      <c r="HL85" s="47">
        <v>6</v>
      </c>
      <c r="HM85" s="48" t="s">
        <v>4</v>
      </c>
      <c r="HN85" s="49">
        <v>5</v>
      </c>
      <c r="HO85" s="8"/>
      <c r="HP85" s="42" t="str">
        <f t="shared" si="490"/>
        <v/>
      </c>
      <c r="HQ85" s="43">
        <f t="shared" si="491"/>
        <v>1</v>
      </c>
      <c r="HR85" s="8"/>
      <c r="HS85" s="47">
        <v>2</v>
      </c>
      <c r="HT85" s="48" t="s">
        <v>4</v>
      </c>
      <c r="HU85" s="49">
        <v>1</v>
      </c>
      <c r="HV85" s="8"/>
      <c r="HW85" s="42" t="str">
        <f t="shared" si="492"/>
        <v/>
      </c>
      <c r="HX85" s="43">
        <f t="shared" si="493"/>
        <v>1</v>
      </c>
      <c r="HY85" s="8"/>
      <c r="HZ85" s="47">
        <v>2</v>
      </c>
      <c r="IA85" s="48" t="s">
        <v>4</v>
      </c>
      <c r="IB85" s="49">
        <v>1</v>
      </c>
      <c r="IC85" s="8"/>
      <c r="ID85" s="42" t="str">
        <f t="shared" si="494"/>
        <v/>
      </c>
      <c r="IE85" s="43">
        <f t="shared" si="495"/>
        <v>1</v>
      </c>
      <c r="IF85" s="8"/>
      <c r="IG85" s="47">
        <v>3</v>
      </c>
      <c r="IH85" s="48" t="s">
        <v>4</v>
      </c>
      <c r="II85" s="49">
        <v>1</v>
      </c>
      <c r="IJ85" s="8"/>
      <c r="IK85" s="42" t="str">
        <f t="shared" si="496"/>
        <v/>
      </c>
      <c r="IL85" s="43">
        <f t="shared" si="497"/>
        <v>2</v>
      </c>
      <c r="IM85" s="8"/>
      <c r="IN85" s="47">
        <v>1</v>
      </c>
      <c r="IO85" s="48" t="s">
        <v>4</v>
      </c>
      <c r="IP85" s="49">
        <v>3</v>
      </c>
      <c r="IQ85" s="8"/>
      <c r="IR85" s="42" t="str">
        <f t="shared" si="498"/>
        <v/>
      </c>
      <c r="IS85" s="43">
        <f t="shared" si="499"/>
        <v>-2</v>
      </c>
      <c r="IT85" s="8"/>
      <c r="IU85" s="47">
        <v>2</v>
      </c>
      <c r="IV85" s="48" t="s">
        <v>4</v>
      </c>
      <c r="IW85" s="49">
        <v>0</v>
      </c>
      <c r="IX85" s="8"/>
      <c r="IY85" s="42" t="str">
        <f t="shared" si="500"/>
        <v/>
      </c>
      <c r="IZ85" s="43">
        <f t="shared" si="501"/>
        <v>2</v>
      </c>
      <c r="JA85" s="8"/>
      <c r="JB85" s="47">
        <v>2</v>
      </c>
      <c r="JC85" s="48" t="s">
        <v>4</v>
      </c>
      <c r="JD85" s="49">
        <v>1</v>
      </c>
      <c r="JE85" s="8"/>
      <c r="JF85" s="42" t="str">
        <f t="shared" si="502"/>
        <v/>
      </c>
      <c r="JG85" s="43">
        <f t="shared" si="503"/>
        <v>1</v>
      </c>
      <c r="JH85" s="8"/>
      <c r="JI85" s="47">
        <v>2</v>
      </c>
      <c r="JJ85" s="48" t="s">
        <v>4</v>
      </c>
      <c r="JK85" s="49">
        <v>1</v>
      </c>
      <c r="JL85" s="8"/>
      <c r="JM85" s="42" t="str">
        <f t="shared" si="504"/>
        <v/>
      </c>
      <c r="JN85" s="43">
        <f t="shared" si="505"/>
        <v>1</v>
      </c>
      <c r="JO85" s="8"/>
      <c r="JP85" s="47">
        <v>1</v>
      </c>
      <c r="JQ85" s="48" t="s">
        <v>4</v>
      </c>
      <c r="JR85" s="49">
        <v>2</v>
      </c>
      <c r="JS85" s="8"/>
      <c r="JT85" s="42" t="str">
        <f t="shared" si="506"/>
        <v/>
      </c>
      <c r="JU85" s="43">
        <f t="shared" si="507"/>
        <v>-1</v>
      </c>
      <c r="JV85" s="8"/>
      <c r="JW85" s="47">
        <v>2</v>
      </c>
      <c r="JX85" s="48" t="s">
        <v>4</v>
      </c>
      <c r="JY85" s="49">
        <v>1</v>
      </c>
      <c r="JZ85" s="8"/>
      <c r="KA85" s="42" t="str">
        <f t="shared" si="508"/>
        <v/>
      </c>
      <c r="KB85" s="43">
        <f t="shared" si="509"/>
        <v>1</v>
      </c>
      <c r="KC85" s="8"/>
      <c r="KD85" s="47">
        <v>6</v>
      </c>
      <c r="KE85" s="48" t="s">
        <v>4</v>
      </c>
      <c r="KF85" s="49">
        <v>5</v>
      </c>
      <c r="KG85" s="8"/>
      <c r="KH85" s="42" t="str">
        <f t="shared" si="510"/>
        <v/>
      </c>
      <c r="KI85" s="43">
        <f t="shared" si="511"/>
        <v>1</v>
      </c>
      <c r="KJ85" s="8"/>
      <c r="KK85" s="47">
        <v>2</v>
      </c>
      <c r="KL85" s="48" t="s">
        <v>4</v>
      </c>
      <c r="KM85" s="49">
        <v>1</v>
      </c>
      <c r="KN85" s="8"/>
      <c r="KO85" s="42" t="str">
        <f t="shared" si="512"/>
        <v/>
      </c>
      <c r="KP85" s="43">
        <f t="shared" si="513"/>
        <v>1</v>
      </c>
      <c r="KQ85" s="8"/>
      <c r="KR85" s="47">
        <v>2</v>
      </c>
      <c r="KS85" s="48" t="s">
        <v>4</v>
      </c>
      <c r="KT85" s="49">
        <v>1</v>
      </c>
      <c r="KU85" s="8"/>
      <c r="KV85" s="42" t="str">
        <f t="shared" si="514"/>
        <v/>
      </c>
      <c r="KW85" s="43">
        <f t="shared" si="515"/>
        <v>1</v>
      </c>
      <c r="KX85" s="8"/>
      <c r="KY85" s="47">
        <v>2</v>
      </c>
      <c r="KZ85" s="48" t="s">
        <v>4</v>
      </c>
      <c r="LA85" s="49">
        <v>1</v>
      </c>
      <c r="LB85" s="8"/>
      <c r="LC85" s="42" t="str">
        <f t="shared" si="516"/>
        <v/>
      </c>
      <c r="LD85" s="43">
        <f t="shared" si="517"/>
        <v>1</v>
      </c>
      <c r="LE85" s="8"/>
      <c r="LF85" s="47">
        <v>2</v>
      </c>
      <c r="LG85" s="48" t="s">
        <v>4</v>
      </c>
      <c r="LH85" s="49">
        <v>1</v>
      </c>
      <c r="LI85" s="8"/>
      <c r="LJ85" s="42" t="str">
        <f t="shared" si="518"/>
        <v/>
      </c>
      <c r="LK85" s="43">
        <f t="shared" si="519"/>
        <v>1</v>
      </c>
      <c r="LL85" s="8"/>
      <c r="LM85" s="47">
        <v>7</v>
      </c>
      <c r="LN85" s="48" t="s">
        <v>4</v>
      </c>
      <c r="LO85" s="49">
        <v>6</v>
      </c>
      <c r="LP85" s="8"/>
      <c r="LQ85" s="42" t="str">
        <f t="shared" si="520"/>
        <v/>
      </c>
      <c r="LR85" s="43">
        <f t="shared" si="521"/>
        <v>1</v>
      </c>
      <c r="LS85" s="8"/>
      <c r="LT85" s="47">
        <v>1</v>
      </c>
      <c r="LU85" s="48" t="s">
        <v>4</v>
      </c>
      <c r="LV85" s="49">
        <v>2</v>
      </c>
      <c r="LW85" s="8"/>
      <c r="LX85" s="42" t="str">
        <f t="shared" si="522"/>
        <v/>
      </c>
      <c r="LY85" s="43">
        <f t="shared" si="523"/>
        <v>-1</v>
      </c>
      <c r="LZ85" s="8"/>
      <c r="MA85" s="47">
        <v>1</v>
      </c>
      <c r="MB85" s="48" t="s">
        <v>4</v>
      </c>
      <c r="MC85" s="49">
        <v>2</v>
      </c>
      <c r="MD85" s="8"/>
      <c r="ME85" s="42" t="str">
        <f t="shared" si="524"/>
        <v/>
      </c>
      <c r="MF85" s="43">
        <f t="shared" si="525"/>
        <v>-1</v>
      </c>
      <c r="MG85" s="8"/>
      <c r="MH85" s="47">
        <v>5</v>
      </c>
      <c r="MI85" s="48" t="s">
        <v>4</v>
      </c>
      <c r="MJ85" s="49">
        <v>7</v>
      </c>
      <c r="MK85" s="8"/>
      <c r="ML85" s="42" t="str">
        <f t="shared" si="526"/>
        <v/>
      </c>
      <c r="MM85" s="43">
        <f t="shared" si="527"/>
        <v>-2</v>
      </c>
      <c r="MN85" s="8"/>
      <c r="MO85" s="47">
        <v>1</v>
      </c>
      <c r="MP85" s="48" t="s">
        <v>4</v>
      </c>
      <c r="MQ85" s="49">
        <v>0</v>
      </c>
      <c r="MR85" s="8"/>
      <c r="MS85" s="42" t="str">
        <f t="shared" si="528"/>
        <v/>
      </c>
      <c r="MT85" s="43">
        <f t="shared" si="529"/>
        <v>1</v>
      </c>
      <c r="MU85" s="8"/>
      <c r="MV85" s="47">
        <v>1</v>
      </c>
      <c r="MW85" s="48" t="s">
        <v>4</v>
      </c>
      <c r="MX85" s="49">
        <v>0</v>
      </c>
      <c r="MY85" s="8"/>
      <c r="MZ85" s="42" t="str">
        <f t="shared" si="530"/>
        <v/>
      </c>
      <c r="NA85" s="43">
        <f t="shared" si="531"/>
        <v>1</v>
      </c>
      <c r="NB85" s="8"/>
      <c r="NC85" s="47">
        <v>4</v>
      </c>
      <c r="ND85" s="48" t="s">
        <v>4</v>
      </c>
      <c r="NE85" s="49">
        <v>5</v>
      </c>
      <c r="NF85" s="8"/>
      <c r="NG85" s="42" t="str">
        <f t="shared" si="532"/>
        <v/>
      </c>
      <c r="NH85" s="43">
        <f t="shared" si="533"/>
        <v>-1</v>
      </c>
      <c r="NI85" s="8"/>
      <c r="NJ85" s="47">
        <v>3</v>
      </c>
      <c r="NK85" s="48" t="s">
        <v>4</v>
      </c>
      <c r="NL85" s="49">
        <v>1</v>
      </c>
      <c r="NM85" s="8"/>
      <c r="NN85" s="42" t="str">
        <f t="shared" si="534"/>
        <v/>
      </c>
      <c r="NO85" s="43">
        <f t="shared" si="535"/>
        <v>2</v>
      </c>
      <c r="NP85" s="8"/>
      <c r="NQ85" s="47">
        <v>3</v>
      </c>
      <c r="NR85" s="48" t="s">
        <v>4</v>
      </c>
      <c r="NS85" s="49">
        <v>1</v>
      </c>
      <c r="NT85" s="8"/>
      <c r="NU85" s="42" t="str">
        <f t="shared" si="536"/>
        <v/>
      </c>
      <c r="NV85" s="43">
        <f t="shared" si="537"/>
        <v>2</v>
      </c>
      <c r="NW85" s="8"/>
      <c r="NX85" s="47">
        <v>2</v>
      </c>
      <c r="NY85" s="48" t="s">
        <v>4</v>
      </c>
      <c r="NZ85" s="49">
        <v>1</v>
      </c>
      <c r="OA85" s="8"/>
      <c r="OB85" s="42" t="str">
        <f t="shared" si="538"/>
        <v/>
      </c>
      <c r="OC85" s="43">
        <f t="shared" si="539"/>
        <v>1</v>
      </c>
      <c r="OD85" s="8"/>
      <c r="OE85" s="47">
        <v>2</v>
      </c>
      <c r="OF85" s="48" t="s">
        <v>4</v>
      </c>
      <c r="OG85" s="49">
        <v>1</v>
      </c>
      <c r="OH85" s="8"/>
      <c r="OI85" s="42" t="str">
        <f t="shared" si="540"/>
        <v/>
      </c>
      <c r="OJ85" s="43">
        <f t="shared" si="541"/>
        <v>1</v>
      </c>
      <c r="OK85" s="8"/>
      <c r="OL85" s="47">
        <v>1</v>
      </c>
      <c r="OM85" s="48" t="s">
        <v>4</v>
      </c>
      <c r="ON85" s="49">
        <v>2</v>
      </c>
      <c r="OO85" s="8"/>
      <c r="OP85" s="42" t="str">
        <f t="shared" si="542"/>
        <v/>
      </c>
      <c r="OQ85" s="43">
        <f t="shared" si="543"/>
        <v>-1</v>
      </c>
      <c r="OR85" s="8"/>
      <c r="OS85" s="47">
        <v>2</v>
      </c>
      <c r="OT85" s="48" t="s">
        <v>4</v>
      </c>
      <c r="OU85" s="49">
        <v>1</v>
      </c>
      <c r="OV85" s="8"/>
      <c r="OW85" s="42" t="str">
        <f t="shared" si="544"/>
        <v/>
      </c>
      <c r="OX85" s="43">
        <f t="shared" si="545"/>
        <v>1</v>
      </c>
      <c r="OY85" s="8"/>
      <c r="OZ85" s="47">
        <v>3</v>
      </c>
      <c r="PA85" s="48" t="s">
        <v>4</v>
      </c>
      <c r="PB85" s="49">
        <v>0</v>
      </c>
      <c r="PC85" s="8"/>
      <c r="PD85" s="42" t="str">
        <f t="shared" si="546"/>
        <v/>
      </c>
      <c r="PE85" s="43">
        <f t="shared" si="547"/>
        <v>3</v>
      </c>
      <c r="PF85" s="8"/>
      <c r="PG85" s="47">
        <v>2</v>
      </c>
      <c r="PH85" s="48" t="s">
        <v>4</v>
      </c>
      <c r="PI85" s="49">
        <v>1</v>
      </c>
      <c r="PJ85" s="8"/>
      <c r="PK85" s="42" t="str">
        <f t="shared" si="548"/>
        <v/>
      </c>
      <c r="PL85" s="43">
        <f t="shared" si="549"/>
        <v>1</v>
      </c>
      <c r="PM85" s="8"/>
      <c r="PN85" s="47">
        <v>2</v>
      </c>
      <c r="PO85" s="48" t="s">
        <v>4</v>
      </c>
      <c r="PP85" s="49">
        <v>1</v>
      </c>
      <c r="PQ85" s="8"/>
      <c r="PR85" s="42" t="str">
        <f t="shared" si="550"/>
        <v/>
      </c>
      <c r="PS85" s="43">
        <f t="shared" si="551"/>
        <v>1</v>
      </c>
      <c r="PT85" s="8"/>
      <c r="PU85" s="47">
        <v>3</v>
      </c>
      <c r="PV85" s="48" t="s">
        <v>4</v>
      </c>
      <c r="PW85" s="49">
        <v>2</v>
      </c>
      <c r="PX85" s="8"/>
      <c r="PY85" s="42" t="str">
        <f t="shared" si="552"/>
        <v/>
      </c>
      <c r="PZ85" s="43">
        <f t="shared" si="553"/>
        <v>1</v>
      </c>
      <c r="QA85" s="8"/>
      <c r="QB85" s="47">
        <v>2</v>
      </c>
      <c r="QC85" s="48" t="s">
        <v>4</v>
      </c>
      <c r="QD85" s="49">
        <v>0</v>
      </c>
      <c r="QE85" s="8"/>
      <c r="QF85" s="42" t="str">
        <f t="shared" si="554"/>
        <v/>
      </c>
      <c r="QG85" s="43">
        <f t="shared" si="555"/>
        <v>2</v>
      </c>
      <c r="QH85" s="8"/>
      <c r="QI85" s="47">
        <v>5</v>
      </c>
      <c r="QJ85" s="48" t="s">
        <v>4</v>
      </c>
      <c r="QK85" s="49">
        <v>6</v>
      </c>
      <c r="QL85" s="8"/>
      <c r="QM85" s="42" t="str">
        <f t="shared" si="556"/>
        <v/>
      </c>
      <c r="QN85" s="43">
        <f t="shared" si="557"/>
        <v>-1</v>
      </c>
      <c r="QO85" s="8"/>
      <c r="QP85" s="47">
        <v>0</v>
      </c>
      <c r="QQ85" s="48" t="s">
        <v>4</v>
      </c>
      <c r="QR85" s="49">
        <v>1</v>
      </c>
      <c r="QS85" s="8"/>
      <c r="QT85" s="42" t="str">
        <f t="shared" si="558"/>
        <v/>
      </c>
      <c r="QU85" s="43">
        <f t="shared" si="559"/>
        <v>-1</v>
      </c>
      <c r="QV85" s="8"/>
      <c r="QW85" s="47">
        <v>1</v>
      </c>
      <c r="QX85" s="48" t="s">
        <v>4</v>
      </c>
      <c r="QY85" s="49">
        <v>0</v>
      </c>
      <c r="QZ85" s="8"/>
      <c r="RA85" s="42" t="str">
        <f t="shared" si="560"/>
        <v/>
      </c>
      <c r="RB85" s="43">
        <f t="shared" si="561"/>
        <v>1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/>
      <c r="RL85" s="48" t="s">
        <v>4</v>
      </c>
      <c r="RM85" s="49"/>
      <c r="RN85" s="8"/>
      <c r="RO85" s="42" t="str">
        <f t="shared" si="564"/>
        <v/>
      </c>
      <c r="RP85" s="43">
        <f t="shared" si="565"/>
        <v>0</v>
      </c>
      <c r="RQ85" s="8"/>
      <c r="RR85" s="47"/>
      <c r="RS85" s="48" t="s">
        <v>4</v>
      </c>
      <c r="RT85" s="49"/>
      <c r="RU85" s="8"/>
      <c r="RV85" s="42" t="str">
        <f t="shared" si="566"/>
        <v/>
      </c>
      <c r="RW85" s="43">
        <f t="shared" si="567"/>
        <v>0</v>
      </c>
      <c r="RX85" s="8"/>
      <c r="RY85" s="47"/>
      <c r="RZ85" s="48" t="s">
        <v>4</v>
      </c>
      <c r="SA85" s="49"/>
      <c r="SB85" s="8"/>
      <c r="SC85" s="42" t="str">
        <f t="shared" si="568"/>
        <v/>
      </c>
      <c r="SD85" s="43">
        <f t="shared" si="569"/>
        <v>0</v>
      </c>
      <c r="SE85" s="8"/>
      <c r="SF85" s="47"/>
      <c r="SG85" s="48" t="s">
        <v>4</v>
      </c>
      <c r="SH85" s="49"/>
      <c r="SI85" s="8"/>
      <c r="SJ85" s="42" t="str">
        <f t="shared" si="570"/>
        <v/>
      </c>
      <c r="SK85" s="43">
        <f t="shared" si="571"/>
        <v>0</v>
      </c>
      <c r="SL85" s="8"/>
      <c r="SM85" s="47"/>
      <c r="SN85" s="48" t="s">
        <v>4</v>
      </c>
      <c r="SO85" s="49"/>
      <c r="SP85" s="8"/>
      <c r="SQ85" s="42" t="str">
        <f t="shared" si="572"/>
        <v/>
      </c>
      <c r="SR85" s="43">
        <f t="shared" si="573"/>
        <v>0</v>
      </c>
    </row>
    <row r="86" spans="1:512" ht="16" customHeight="1" x14ac:dyDescent="0.15">
      <c r="A86" s="51">
        <v>46203</v>
      </c>
      <c r="B86" s="46">
        <v>0.79166666666666663</v>
      </c>
      <c r="C86" s="82" t="s">
        <v>41</v>
      </c>
      <c r="D86" s="83" t="s">
        <v>53</v>
      </c>
      <c r="E86" s="2"/>
      <c r="F86" s="50" t="s">
        <v>4</v>
      </c>
      <c r="G86" s="1"/>
      <c r="H86" s="16">
        <v>5.6</v>
      </c>
      <c r="I86" s="32">
        <f t="shared" si="429"/>
        <v>0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>
        <v>2</v>
      </c>
      <c r="R86" s="48" t="s">
        <v>4</v>
      </c>
      <c r="S86" s="49">
        <v>3</v>
      </c>
      <c r="T86" s="8"/>
      <c r="U86" s="42" t="str">
        <f t="shared" si="432"/>
        <v/>
      </c>
      <c r="V86" s="43">
        <f t="shared" si="433"/>
        <v>-1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>
        <v>3</v>
      </c>
      <c r="AF86" s="48" t="s">
        <v>4</v>
      </c>
      <c r="AG86" s="49">
        <v>1</v>
      </c>
      <c r="AH86" s="8"/>
      <c r="AI86" s="42" t="str">
        <f t="shared" si="436"/>
        <v/>
      </c>
      <c r="AJ86" s="43">
        <f t="shared" si="437"/>
        <v>2</v>
      </c>
      <c r="AK86" s="8"/>
      <c r="AL86" s="47">
        <v>1</v>
      </c>
      <c r="AM86" s="48" t="s">
        <v>4</v>
      </c>
      <c r="AN86" s="49">
        <v>2</v>
      </c>
      <c r="AO86" s="8"/>
      <c r="AP86" s="42" t="str">
        <f t="shared" si="438"/>
        <v/>
      </c>
      <c r="AQ86" s="43">
        <f t="shared" si="439"/>
        <v>-1</v>
      </c>
      <c r="AR86" s="8"/>
      <c r="AS86" s="47">
        <v>2</v>
      </c>
      <c r="AT86" s="48" t="s">
        <v>4</v>
      </c>
      <c r="AU86" s="49">
        <v>1</v>
      </c>
      <c r="AV86" s="8"/>
      <c r="AW86" s="42" t="str">
        <f t="shared" si="440"/>
        <v/>
      </c>
      <c r="AX86" s="43">
        <f t="shared" si="441"/>
        <v>1</v>
      </c>
      <c r="AY86" s="8"/>
      <c r="AZ86" s="47">
        <v>1</v>
      </c>
      <c r="BA86" s="48" t="s">
        <v>4</v>
      </c>
      <c r="BB86" s="49">
        <v>2</v>
      </c>
      <c r="BC86" s="8"/>
      <c r="BD86" s="42" t="str">
        <f t="shared" si="442"/>
        <v/>
      </c>
      <c r="BE86" s="43">
        <f t="shared" si="443"/>
        <v>-1</v>
      </c>
      <c r="BF86" s="8"/>
      <c r="BG86" s="47">
        <v>0</v>
      </c>
      <c r="BH86" s="48" t="s">
        <v>4</v>
      </c>
      <c r="BI86" s="49">
        <v>2</v>
      </c>
      <c r="BJ86" s="8"/>
      <c r="BK86" s="42" t="str">
        <f t="shared" si="444"/>
        <v/>
      </c>
      <c r="BL86" s="43">
        <f t="shared" si="445"/>
        <v>-2</v>
      </c>
      <c r="BM86" s="8"/>
      <c r="BN86" s="47">
        <v>2</v>
      </c>
      <c r="BO86" s="48" t="s">
        <v>4</v>
      </c>
      <c r="BP86" s="49">
        <v>1</v>
      </c>
      <c r="BQ86" s="8"/>
      <c r="BR86" s="42" t="str">
        <f t="shared" si="446"/>
        <v/>
      </c>
      <c r="BS86" s="43">
        <f t="shared" si="447"/>
        <v>1</v>
      </c>
      <c r="BT86" s="8"/>
      <c r="BU86" s="47"/>
      <c r="BV86" s="48" t="s">
        <v>4</v>
      </c>
      <c r="BW86" s="49"/>
      <c r="BX86" s="8"/>
      <c r="BY86" s="42" t="str">
        <f t="shared" si="448"/>
        <v/>
      </c>
      <c r="BZ86" s="43">
        <f t="shared" si="449"/>
        <v>0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/>
      <c r="CJ86" s="48" t="s">
        <v>4</v>
      </c>
      <c r="CK86" s="49"/>
      <c r="CL86" s="8"/>
      <c r="CM86" s="42" t="str">
        <f t="shared" si="452"/>
        <v/>
      </c>
      <c r="CN86" s="43">
        <f t="shared" si="453"/>
        <v>0</v>
      </c>
      <c r="CO86" s="8"/>
      <c r="CP86" s="47">
        <v>1</v>
      </c>
      <c r="CQ86" s="48" t="s">
        <v>4</v>
      </c>
      <c r="CR86" s="49">
        <v>2</v>
      </c>
      <c r="CS86" s="8"/>
      <c r="CT86" s="42" t="str">
        <f t="shared" si="454"/>
        <v/>
      </c>
      <c r="CU86" s="43">
        <f t="shared" si="455"/>
        <v>-1</v>
      </c>
      <c r="CV86" s="8"/>
      <c r="CW86" s="47">
        <v>5</v>
      </c>
      <c r="CX86" s="48" t="s">
        <v>4</v>
      </c>
      <c r="CY86" s="49">
        <v>6</v>
      </c>
      <c r="CZ86" s="8"/>
      <c r="DA86" s="42" t="str">
        <f t="shared" si="456"/>
        <v/>
      </c>
      <c r="DB86" s="43">
        <f t="shared" si="457"/>
        <v>-1</v>
      </c>
      <c r="DC86" s="8"/>
      <c r="DD86" s="47">
        <v>2</v>
      </c>
      <c r="DE86" s="48" t="s">
        <v>4</v>
      </c>
      <c r="DF86" s="49">
        <v>1</v>
      </c>
      <c r="DG86" s="8"/>
      <c r="DH86" s="42" t="str">
        <f t="shared" si="458"/>
        <v/>
      </c>
      <c r="DI86" s="43">
        <f t="shared" si="459"/>
        <v>1</v>
      </c>
      <c r="DJ86" s="8"/>
      <c r="DK86" s="47">
        <v>1</v>
      </c>
      <c r="DL86" s="48" t="s">
        <v>4</v>
      </c>
      <c r="DM86" s="49">
        <v>0</v>
      </c>
      <c r="DN86" s="8"/>
      <c r="DO86" s="42" t="str">
        <f t="shared" si="460"/>
        <v/>
      </c>
      <c r="DP86" s="43">
        <f t="shared" si="461"/>
        <v>1</v>
      </c>
      <c r="DQ86" s="8"/>
      <c r="DR86" s="47">
        <v>1</v>
      </c>
      <c r="DS86" s="48" t="s">
        <v>4</v>
      </c>
      <c r="DT86" s="49">
        <v>3</v>
      </c>
      <c r="DU86" s="8"/>
      <c r="DV86" s="42" t="str">
        <f t="shared" si="462"/>
        <v/>
      </c>
      <c r="DW86" s="43">
        <f t="shared" si="463"/>
        <v>-2</v>
      </c>
      <c r="DX86" s="8"/>
      <c r="DY86" s="47">
        <v>1</v>
      </c>
      <c r="DZ86" s="48" t="s">
        <v>4</v>
      </c>
      <c r="EA86" s="49">
        <v>2</v>
      </c>
      <c r="EB86" s="8"/>
      <c r="EC86" s="42" t="str">
        <f t="shared" si="464"/>
        <v/>
      </c>
      <c r="ED86" s="43">
        <f t="shared" si="465"/>
        <v>-1</v>
      </c>
      <c r="EE86" s="8"/>
      <c r="EF86" s="47">
        <v>1</v>
      </c>
      <c r="EG86" s="48" t="s">
        <v>4</v>
      </c>
      <c r="EH86" s="49">
        <v>2</v>
      </c>
      <c r="EI86" s="8"/>
      <c r="EJ86" s="42" t="str">
        <f t="shared" si="466"/>
        <v/>
      </c>
      <c r="EK86" s="43">
        <f t="shared" si="467"/>
        <v>-1</v>
      </c>
      <c r="EL86" s="8"/>
      <c r="EM86" s="47">
        <v>2</v>
      </c>
      <c r="EN86" s="48" t="s">
        <v>4</v>
      </c>
      <c r="EO86" s="49">
        <v>3</v>
      </c>
      <c r="EP86" s="8"/>
      <c r="EQ86" s="42" t="str">
        <f t="shared" si="468"/>
        <v/>
      </c>
      <c r="ER86" s="43">
        <f t="shared" si="469"/>
        <v>-1</v>
      </c>
      <c r="ES86" s="8"/>
      <c r="ET86" s="47">
        <v>1</v>
      </c>
      <c r="EU86" s="48" t="s">
        <v>4</v>
      </c>
      <c r="EV86" s="49">
        <v>2</v>
      </c>
      <c r="EW86" s="8"/>
      <c r="EX86" s="42" t="str">
        <f t="shared" si="470"/>
        <v/>
      </c>
      <c r="EY86" s="43">
        <f t="shared" si="471"/>
        <v>-1</v>
      </c>
      <c r="EZ86" s="8"/>
      <c r="FA86" s="47">
        <v>4</v>
      </c>
      <c r="FB86" s="48" t="s">
        <v>4</v>
      </c>
      <c r="FC86" s="49">
        <v>5</v>
      </c>
      <c r="FD86" s="8"/>
      <c r="FE86" s="42" t="str">
        <f t="shared" si="472"/>
        <v/>
      </c>
      <c r="FF86" s="43">
        <f t="shared" si="473"/>
        <v>-1</v>
      </c>
      <c r="FG86" s="8"/>
      <c r="FH86" s="47">
        <v>2</v>
      </c>
      <c r="FI86" s="48" t="s">
        <v>4</v>
      </c>
      <c r="FJ86" s="49">
        <v>3</v>
      </c>
      <c r="FK86" s="8"/>
      <c r="FL86" s="42" t="str">
        <f t="shared" si="474"/>
        <v/>
      </c>
      <c r="FM86" s="43">
        <f t="shared" si="475"/>
        <v>-1</v>
      </c>
      <c r="FN86" s="8"/>
      <c r="FO86" s="47">
        <v>0</v>
      </c>
      <c r="FP86" s="48" t="s">
        <v>4</v>
      </c>
      <c r="FQ86" s="49">
        <v>2</v>
      </c>
      <c r="FR86" s="8"/>
      <c r="FS86" s="42" t="str">
        <f t="shared" si="476"/>
        <v/>
      </c>
      <c r="FT86" s="43">
        <f t="shared" si="477"/>
        <v>-2</v>
      </c>
      <c r="FU86" s="8"/>
      <c r="FV86" s="47">
        <v>1</v>
      </c>
      <c r="FW86" s="48" t="s">
        <v>4</v>
      </c>
      <c r="FX86" s="49">
        <v>3</v>
      </c>
      <c r="FY86" s="8"/>
      <c r="FZ86" s="42" t="str">
        <f t="shared" si="478"/>
        <v/>
      </c>
      <c r="GA86" s="43">
        <f t="shared" si="479"/>
        <v>-2</v>
      </c>
      <c r="GB86" s="8"/>
      <c r="GC86" s="47">
        <v>1</v>
      </c>
      <c r="GD86" s="48" t="s">
        <v>4</v>
      </c>
      <c r="GE86" s="49">
        <v>2</v>
      </c>
      <c r="GF86" s="8"/>
      <c r="GG86" s="42" t="str">
        <f t="shared" si="480"/>
        <v/>
      </c>
      <c r="GH86" s="43">
        <f t="shared" si="481"/>
        <v>-1</v>
      </c>
      <c r="GI86" s="8"/>
      <c r="GJ86" s="47">
        <v>2</v>
      </c>
      <c r="GK86" s="48" t="s">
        <v>4</v>
      </c>
      <c r="GL86" s="49">
        <v>1</v>
      </c>
      <c r="GM86" s="8"/>
      <c r="GN86" s="42" t="str">
        <f t="shared" si="482"/>
        <v/>
      </c>
      <c r="GO86" s="43">
        <f t="shared" si="483"/>
        <v>1</v>
      </c>
      <c r="GP86" s="8"/>
      <c r="GQ86" s="47">
        <v>1</v>
      </c>
      <c r="GR86" s="48" t="s">
        <v>4</v>
      </c>
      <c r="GS86" s="49">
        <v>2</v>
      </c>
      <c r="GT86" s="8"/>
      <c r="GU86" s="42" t="str">
        <f t="shared" si="484"/>
        <v/>
      </c>
      <c r="GV86" s="43">
        <f t="shared" si="485"/>
        <v>-1</v>
      </c>
      <c r="GW86" s="8"/>
      <c r="GX86" s="47">
        <v>5</v>
      </c>
      <c r="GY86" s="48" t="s">
        <v>4</v>
      </c>
      <c r="GZ86" s="49">
        <v>6</v>
      </c>
      <c r="HA86" s="8"/>
      <c r="HB86" s="42" t="str">
        <f t="shared" si="486"/>
        <v/>
      </c>
      <c r="HC86" s="43">
        <f t="shared" si="487"/>
        <v>-1</v>
      </c>
      <c r="HD86" s="8"/>
      <c r="HE86" s="47">
        <v>2</v>
      </c>
      <c r="HF86" s="48" t="s">
        <v>4</v>
      </c>
      <c r="HG86" s="49">
        <v>3</v>
      </c>
      <c r="HH86" s="8"/>
      <c r="HI86" s="42" t="str">
        <f t="shared" si="488"/>
        <v/>
      </c>
      <c r="HJ86" s="43">
        <f t="shared" si="489"/>
        <v>-1</v>
      </c>
      <c r="HK86" s="8"/>
      <c r="HL86" s="47">
        <v>1</v>
      </c>
      <c r="HM86" s="48" t="s">
        <v>4</v>
      </c>
      <c r="HN86" s="49">
        <v>2</v>
      </c>
      <c r="HO86" s="8"/>
      <c r="HP86" s="42" t="str">
        <f t="shared" si="490"/>
        <v/>
      </c>
      <c r="HQ86" s="43">
        <f t="shared" si="491"/>
        <v>-1</v>
      </c>
      <c r="HR86" s="8"/>
      <c r="HS86" s="47">
        <v>1</v>
      </c>
      <c r="HT86" s="48" t="s">
        <v>4</v>
      </c>
      <c r="HU86" s="49">
        <v>2</v>
      </c>
      <c r="HV86" s="8"/>
      <c r="HW86" s="42" t="str">
        <f t="shared" si="492"/>
        <v/>
      </c>
      <c r="HX86" s="43">
        <f t="shared" si="493"/>
        <v>-1</v>
      </c>
      <c r="HY86" s="8"/>
      <c r="HZ86" s="47">
        <v>2</v>
      </c>
      <c r="IA86" s="48" t="s">
        <v>4</v>
      </c>
      <c r="IB86" s="49">
        <v>3</v>
      </c>
      <c r="IC86" s="8"/>
      <c r="ID86" s="42" t="str">
        <f t="shared" si="494"/>
        <v/>
      </c>
      <c r="IE86" s="43">
        <f t="shared" si="495"/>
        <v>-1</v>
      </c>
      <c r="IF86" s="8"/>
      <c r="IG86" s="47">
        <v>0</v>
      </c>
      <c r="IH86" s="48" t="s">
        <v>4</v>
      </c>
      <c r="II86" s="49">
        <v>3</v>
      </c>
      <c r="IJ86" s="8"/>
      <c r="IK86" s="42" t="str">
        <f t="shared" si="496"/>
        <v/>
      </c>
      <c r="IL86" s="43">
        <f t="shared" si="497"/>
        <v>-3</v>
      </c>
      <c r="IM86" s="8"/>
      <c r="IN86" s="47">
        <v>1</v>
      </c>
      <c r="IO86" s="48" t="s">
        <v>4</v>
      </c>
      <c r="IP86" s="49">
        <v>3</v>
      </c>
      <c r="IQ86" s="8"/>
      <c r="IR86" s="42" t="str">
        <f t="shared" si="498"/>
        <v/>
      </c>
      <c r="IS86" s="43">
        <f t="shared" si="499"/>
        <v>-2</v>
      </c>
      <c r="IT86" s="8"/>
      <c r="IU86" s="47">
        <v>0</v>
      </c>
      <c r="IV86" s="48" t="s">
        <v>4</v>
      </c>
      <c r="IW86" s="49">
        <v>2</v>
      </c>
      <c r="IX86" s="8"/>
      <c r="IY86" s="42" t="str">
        <f t="shared" si="500"/>
        <v/>
      </c>
      <c r="IZ86" s="43">
        <f t="shared" si="501"/>
        <v>-2</v>
      </c>
      <c r="JA86" s="8"/>
      <c r="JB86" s="47">
        <v>1</v>
      </c>
      <c r="JC86" s="48" t="s">
        <v>4</v>
      </c>
      <c r="JD86" s="49">
        <v>2</v>
      </c>
      <c r="JE86" s="8"/>
      <c r="JF86" s="42" t="str">
        <f t="shared" si="502"/>
        <v/>
      </c>
      <c r="JG86" s="43">
        <f t="shared" si="503"/>
        <v>-1</v>
      </c>
      <c r="JH86" s="8"/>
      <c r="JI86" s="47">
        <v>0</v>
      </c>
      <c r="JJ86" s="48" t="s">
        <v>4</v>
      </c>
      <c r="JK86" s="49">
        <v>2</v>
      </c>
      <c r="JL86" s="8"/>
      <c r="JM86" s="42" t="str">
        <f t="shared" si="504"/>
        <v/>
      </c>
      <c r="JN86" s="43">
        <f t="shared" si="505"/>
        <v>-2</v>
      </c>
      <c r="JO86" s="8"/>
      <c r="JP86" s="47">
        <v>2</v>
      </c>
      <c r="JQ86" s="48" t="s">
        <v>4</v>
      </c>
      <c r="JR86" s="49">
        <v>1</v>
      </c>
      <c r="JS86" s="8"/>
      <c r="JT86" s="42" t="str">
        <f t="shared" si="506"/>
        <v/>
      </c>
      <c r="JU86" s="43">
        <f t="shared" si="507"/>
        <v>1</v>
      </c>
      <c r="JV86" s="8"/>
      <c r="JW86" s="47">
        <v>3</v>
      </c>
      <c r="JX86" s="48" t="s">
        <v>4</v>
      </c>
      <c r="JY86" s="49">
        <v>2</v>
      </c>
      <c r="JZ86" s="8"/>
      <c r="KA86" s="42" t="str">
        <f t="shared" si="508"/>
        <v/>
      </c>
      <c r="KB86" s="43">
        <f t="shared" si="509"/>
        <v>1</v>
      </c>
      <c r="KC86" s="8"/>
      <c r="KD86" s="47">
        <v>3</v>
      </c>
      <c r="KE86" s="48" t="s">
        <v>4</v>
      </c>
      <c r="KF86" s="49">
        <v>1</v>
      </c>
      <c r="KG86" s="8"/>
      <c r="KH86" s="42" t="str">
        <f t="shared" si="510"/>
        <v/>
      </c>
      <c r="KI86" s="43">
        <f t="shared" si="511"/>
        <v>2</v>
      </c>
      <c r="KJ86" s="8"/>
      <c r="KK86" s="47">
        <v>0</v>
      </c>
      <c r="KL86" s="48" t="s">
        <v>4</v>
      </c>
      <c r="KM86" s="49">
        <v>2</v>
      </c>
      <c r="KN86" s="8"/>
      <c r="KO86" s="42" t="str">
        <f t="shared" si="512"/>
        <v/>
      </c>
      <c r="KP86" s="43">
        <f t="shared" si="513"/>
        <v>-2</v>
      </c>
      <c r="KQ86" s="8"/>
      <c r="KR86" s="47">
        <v>1</v>
      </c>
      <c r="KS86" s="48" t="s">
        <v>4</v>
      </c>
      <c r="KT86" s="49">
        <v>3</v>
      </c>
      <c r="KU86" s="8"/>
      <c r="KV86" s="42" t="str">
        <f t="shared" si="514"/>
        <v/>
      </c>
      <c r="KW86" s="43">
        <f t="shared" si="515"/>
        <v>-2</v>
      </c>
      <c r="KX86" s="8"/>
      <c r="KY86" s="47">
        <v>1</v>
      </c>
      <c r="KZ86" s="48" t="s">
        <v>4</v>
      </c>
      <c r="LA86" s="49">
        <v>2</v>
      </c>
      <c r="LB86" s="8"/>
      <c r="LC86" s="42" t="str">
        <f t="shared" si="516"/>
        <v/>
      </c>
      <c r="LD86" s="43">
        <f t="shared" si="517"/>
        <v>-1</v>
      </c>
      <c r="LE86" s="8"/>
      <c r="LF86" s="47">
        <v>1</v>
      </c>
      <c r="LG86" s="48" t="s">
        <v>4</v>
      </c>
      <c r="LH86" s="49">
        <v>2</v>
      </c>
      <c r="LI86" s="8"/>
      <c r="LJ86" s="42" t="str">
        <f t="shared" si="518"/>
        <v/>
      </c>
      <c r="LK86" s="43">
        <f t="shared" si="519"/>
        <v>-1</v>
      </c>
      <c r="LL86" s="8"/>
      <c r="LM86" s="47">
        <v>1</v>
      </c>
      <c r="LN86" s="48" t="s">
        <v>4</v>
      </c>
      <c r="LO86" s="49">
        <v>3</v>
      </c>
      <c r="LP86" s="8"/>
      <c r="LQ86" s="42" t="str">
        <f t="shared" si="520"/>
        <v/>
      </c>
      <c r="LR86" s="43">
        <f t="shared" si="521"/>
        <v>-2</v>
      </c>
      <c r="LS86" s="8"/>
      <c r="LT86" s="47">
        <v>1</v>
      </c>
      <c r="LU86" s="48" t="s">
        <v>4</v>
      </c>
      <c r="LV86" s="49">
        <v>2</v>
      </c>
      <c r="LW86" s="8"/>
      <c r="LX86" s="42" t="str">
        <f t="shared" si="522"/>
        <v/>
      </c>
      <c r="LY86" s="43">
        <f t="shared" si="523"/>
        <v>-1</v>
      </c>
      <c r="LZ86" s="8"/>
      <c r="MA86" s="47">
        <v>3</v>
      </c>
      <c r="MB86" s="48" t="s">
        <v>4</v>
      </c>
      <c r="MC86" s="49">
        <v>5</v>
      </c>
      <c r="MD86" s="8"/>
      <c r="ME86" s="42" t="str">
        <f t="shared" si="524"/>
        <v/>
      </c>
      <c r="MF86" s="43">
        <f t="shared" si="525"/>
        <v>-2</v>
      </c>
      <c r="MG86" s="8"/>
      <c r="MH86" s="47">
        <v>1</v>
      </c>
      <c r="MI86" s="48" t="s">
        <v>4</v>
      </c>
      <c r="MJ86" s="49">
        <v>2</v>
      </c>
      <c r="MK86" s="8"/>
      <c r="ML86" s="42" t="str">
        <f t="shared" si="526"/>
        <v/>
      </c>
      <c r="MM86" s="43">
        <f t="shared" si="527"/>
        <v>-1</v>
      </c>
      <c r="MN86" s="8"/>
      <c r="MO86" s="47">
        <v>0</v>
      </c>
      <c r="MP86" s="48" t="s">
        <v>4</v>
      </c>
      <c r="MQ86" s="49">
        <v>2</v>
      </c>
      <c r="MR86" s="8"/>
      <c r="MS86" s="42" t="str">
        <f t="shared" si="528"/>
        <v/>
      </c>
      <c r="MT86" s="43">
        <f t="shared" si="529"/>
        <v>-2</v>
      </c>
      <c r="MU86" s="8"/>
      <c r="MV86" s="47">
        <v>0</v>
      </c>
      <c r="MW86" s="48" t="s">
        <v>4</v>
      </c>
      <c r="MX86" s="49">
        <v>4</v>
      </c>
      <c r="MY86" s="8"/>
      <c r="MZ86" s="42" t="str">
        <f t="shared" si="530"/>
        <v/>
      </c>
      <c r="NA86" s="43">
        <f t="shared" si="531"/>
        <v>-4</v>
      </c>
      <c r="NB86" s="8"/>
      <c r="NC86" s="47">
        <v>7</v>
      </c>
      <c r="ND86" s="48" t="s">
        <v>4</v>
      </c>
      <c r="NE86" s="49">
        <v>6</v>
      </c>
      <c r="NF86" s="8"/>
      <c r="NG86" s="42" t="str">
        <f t="shared" si="532"/>
        <v/>
      </c>
      <c r="NH86" s="43">
        <f t="shared" si="533"/>
        <v>1</v>
      </c>
      <c r="NI86" s="8"/>
      <c r="NJ86" s="47">
        <v>0</v>
      </c>
      <c r="NK86" s="48" t="s">
        <v>4</v>
      </c>
      <c r="NL86" s="49">
        <v>3</v>
      </c>
      <c r="NM86" s="8"/>
      <c r="NN86" s="42" t="str">
        <f t="shared" si="534"/>
        <v/>
      </c>
      <c r="NO86" s="43">
        <f t="shared" si="535"/>
        <v>-3</v>
      </c>
      <c r="NP86" s="8"/>
      <c r="NQ86" s="47">
        <v>1</v>
      </c>
      <c r="NR86" s="48" t="s">
        <v>4</v>
      </c>
      <c r="NS86" s="49">
        <v>4</v>
      </c>
      <c r="NT86" s="8"/>
      <c r="NU86" s="42" t="str">
        <f t="shared" si="536"/>
        <v/>
      </c>
      <c r="NV86" s="43">
        <f t="shared" si="537"/>
        <v>-3</v>
      </c>
      <c r="NW86" s="8"/>
      <c r="NX86" s="47">
        <v>1</v>
      </c>
      <c r="NY86" s="48" t="s">
        <v>4</v>
      </c>
      <c r="NZ86" s="49">
        <v>2</v>
      </c>
      <c r="OA86" s="8"/>
      <c r="OB86" s="42" t="str">
        <f t="shared" si="538"/>
        <v/>
      </c>
      <c r="OC86" s="43">
        <f t="shared" si="539"/>
        <v>-1</v>
      </c>
      <c r="OD86" s="8"/>
      <c r="OE86" s="47">
        <v>6</v>
      </c>
      <c r="OF86" s="48" t="s">
        <v>4</v>
      </c>
      <c r="OG86" s="49">
        <v>7</v>
      </c>
      <c r="OH86" s="8"/>
      <c r="OI86" s="42" t="str">
        <f t="shared" si="540"/>
        <v/>
      </c>
      <c r="OJ86" s="43">
        <f t="shared" si="541"/>
        <v>-1</v>
      </c>
      <c r="OK86" s="8"/>
      <c r="OL86" s="47">
        <v>4</v>
      </c>
      <c r="OM86" s="48" t="s">
        <v>4</v>
      </c>
      <c r="ON86" s="49">
        <v>0</v>
      </c>
      <c r="OO86" s="8"/>
      <c r="OP86" s="42" t="str">
        <f t="shared" si="542"/>
        <v/>
      </c>
      <c r="OQ86" s="43">
        <f t="shared" si="543"/>
        <v>4</v>
      </c>
      <c r="OR86" s="8"/>
      <c r="OS86" s="47">
        <v>1</v>
      </c>
      <c r="OT86" s="48" t="s">
        <v>4</v>
      </c>
      <c r="OU86" s="49">
        <v>2</v>
      </c>
      <c r="OV86" s="8"/>
      <c r="OW86" s="42" t="str">
        <f t="shared" si="544"/>
        <v/>
      </c>
      <c r="OX86" s="43">
        <f t="shared" si="545"/>
        <v>-1</v>
      </c>
      <c r="OY86" s="8"/>
      <c r="OZ86" s="47">
        <v>1</v>
      </c>
      <c r="PA86" s="48" t="s">
        <v>4</v>
      </c>
      <c r="PB86" s="49">
        <v>2</v>
      </c>
      <c r="PC86" s="8"/>
      <c r="PD86" s="42" t="str">
        <f t="shared" si="546"/>
        <v/>
      </c>
      <c r="PE86" s="43">
        <f t="shared" si="547"/>
        <v>-1</v>
      </c>
      <c r="PF86" s="8"/>
      <c r="PG86" s="47">
        <v>2</v>
      </c>
      <c r="PH86" s="48" t="s">
        <v>4</v>
      </c>
      <c r="PI86" s="49">
        <v>4</v>
      </c>
      <c r="PJ86" s="8"/>
      <c r="PK86" s="42" t="str">
        <f t="shared" si="548"/>
        <v/>
      </c>
      <c r="PL86" s="43">
        <f t="shared" si="549"/>
        <v>-2</v>
      </c>
      <c r="PM86" s="8"/>
      <c r="PN86" s="47">
        <v>1</v>
      </c>
      <c r="PO86" s="48" t="s">
        <v>4</v>
      </c>
      <c r="PP86" s="49">
        <v>2</v>
      </c>
      <c r="PQ86" s="8"/>
      <c r="PR86" s="42" t="str">
        <f t="shared" si="550"/>
        <v/>
      </c>
      <c r="PS86" s="43">
        <f t="shared" si="551"/>
        <v>-1</v>
      </c>
      <c r="PT86" s="8"/>
      <c r="PU86" s="47">
        <v>1</v>
      </c>
      <c r="PV86" s="48" t="s">
        <v>4</v>
      </c>
      <c r="PW86" s="49">
        <v>3</v>
      </c>
      <c r="PX86" s="8"/>
      <c r="PY86" s="42" t="str">
        <f t="shared" si="552"/>
        <v/>
      </c>
      <c r="PZ86" s="43">
        <f t="shared" si="553"/>
        <v>-2</v>
      </c>
      <c r="QA86" s="8"/>
      <c r="QB86" s="47">
        <v>1</v>
      </c>
      <c r="QC86" s="48" t="s">
        <v>4</v>
      </c>
      <c r="QD86" s="49">
        <v>1</v>
      </c>
      <c r="QE86" s="8"/>
      <c r="QF86" s="42" t="str">
        <f t="shared" si="554"/>
        <v/>
      </c>
      <c r="QG86" s="43">
        <f t="shared" si="555"/>
        <v>0</v>
      </c>
      <c r="QH86" s="8"/>
      <c r="QI86" s="47">
        <v>1</v>
      </c>
      <c r="QJ86" s="48" t="s">
        <v>4</v>
      </c>
      <c r="QK86" s="49">
        <v>3</v>
      </c>
      <c r="QL86" s="8"/>
      <c r="QM86" s="42" t="str">
        <f t="shared" si="556"/>
        <v/>
      </c>
      <c r="QN86" s="43">
        <f t="shared" si="557"/>
        <v>-2</v>
      </c>
      <c r="QO86" s="8"/>
      <c r="QP86" s="47">
        <v>2</v>
      </c>
      <c r="QQ86" s="48" t="s">
        <v>4</v>
      </c>
      <c r="QR86" s="49">
        <v>0</v>
      </c>
      <c r="QS86" s="8"/>
      <c r="QT86" s="42" t="str">
        <f t="shared" si="558"/>
        <v/>
      </c>
      <c r="QU86" s="43">
        <f t="shared" si="559"/>
        <v>2</v>
      </c>
      <c r="QV86" s="8"/>
      <c r="QW86" s="47">
        <v>1</v>
      </c>
      <c r="QX86" s="48" t="s">
        <v>4</v>
      </c>
      <c r="QY86" s="49">
        <v>0</v>
      </c>
      <c r="QZ86" s="8"/>
      <c r="RA86" s="42" t="str">
        <f t="shared" si="560"/>
        <v/>
      </c>
      <c r="RB86" s="43">
        <f t="shared" si="561"/>
        <v>1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/>
      <c r="RL86" s="48" t="s">
        <v>4</v>
      </c>
      <c r="RM86" s="49"/>
      <c r="RN86" s="8"/>
      <c r="RO86" s="42" t="str">
        <f t="shared" si="564"/>
        <v/>
      </c>
      <c r="RP86" s="43">
        <f t="shared" si="565"/>
        <v>0</v>
      </c>
      <c r="RQ86" s="8"/>
      <c r="RR86" s="47"/>
      <c r="RS86" s="48" t="s">
        <v>4</v>
      </c>
      <c r="RT86" s="49"/>
      <c r="RU86" s="8"/>
      <c r="RV86" s="42" t="str">
        <f t="shared" si="566"/>
        <v/>
      </c>
      <c r="RW86" s="43">
        <f t="shared" si="567"/>
        <v>0</v>
      </c>
      <c r="RX86" s="8"/>
      <c r="RY86" s="47"/>
      <c r="RZ86" s="48" t="s">
        <v>4</v>
      </c>
      <c r="SA86" s="49"/>
      <c r="SB86" s="8"/>
      <c r="SC86" s="42" t="str">
        <f t="shared" si="568"/>
        <v/>
      </c>
      <c r="SD86" s="43">
        <f t="shared" si="569"/>
        <v>0</v>
      </c>
      <c r="SE86" s="8"/>
      <c r="SF86" s="47"/>
      <c r="SG86" s="48" t="s">
        <v>4</v>
      </c>
      <c r="SH86" s="49"/>
      <c r="SI86" s="8"/>
      <c r="SJ86" s="42" t="str">
        <f t="shared" si="570"/>
        <v/>
      </c>
      <c r="SK86" s="43">
        <f t="shared" si="571"/>
        <v>0</v>
      </c>
      <c r="SL86" s="8"/>
      <c r="SM86" s="47"/>
      <c r="SN86" s="48" t="s">
        <v>4</v>
      </c>
      <c r="SO86" s="49"/>
      <c r="SP86" s="8"/>
      <c r="SQ86" s="42" t="str">
        <f t="shared" si="572"/>
        <v/>
      </c>
      <c r="SR86" s="43">
        <f t="shared" si="573"/>
        <v>0</v>
      </c>
    </row>
    <row r="87" spans="1:512" ht="16" customHeight="1" x14ac:dyDescent="0.15">
      <c r="A87" s="51">
        <v>46203</v>
      </c>
      <c r="B87" s="46">
        <v>0.95833333333333337</v>
      </c>
      <c r="C87" s="82" t="s">
        <v>10</v>
      </c>
      <c r="D87" s="82" t="s">
        <v>43</v>
      </c>
      <c r="E87" s="2"/>
      <c r="F87" s="50" t="s">
        <v>4</v>
      </c>
      <c r="G87" s="1"/>
      <c r="H87" s="16">
        <v>5.6</v>
      </c>
      <c r="I87" s="32">
        <f t="shared" si="429"/>
        <v>0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>
        <v>2</v>
      </c>
      <c r="R87" s="48" t="s">
        <v>4</v>
      </c>
      <c r="S87" s="49">
        <v>0</v>
      </c>
      <c r="T87" s="8"/>
      <c r="U87" s="42" t="str">
        <f t="shared" si="432"/>
        <v/>
      </c>
      <c r="V87" s="43">
        <f t="shared" si="433"/>
        <v>2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>
        <v>2</v>
      </c>
      <c r="AF87" s="48" t="s">
        <v>4</v>
      </c>
      <c r="AG87" s="49">
        <v>0</v>
      </c>
      <c r="AH87" s="8"/>
      <c r="AI87" s="42" t="str">
        <f t="shared" si="436"/>
        <v/>
      </c>
      <c r="AJ87" s="43">
        <f t="shared" si="437"/>
        <v>2</v>
      </c>
      <c r="AK87" s="8"/>
      <c r="AL87" s="47">
        <v>2</v>
      </c>
      <c r="AM87" s="48" t="s">
        <v>4</v>
      </c>
      <c r="AN87" s="49">
        <v>1</v>
      </c>
      <c r="AO87" s="8"/>
      <c r="AP87" s="42" t="str">
        <f t="shared" si="438"/>
        <v/>
      </c>
      <c r="AQ87" s="43">
        <f t="shared" si="439"/>
        <v>1</v>
      </c>
      <c r="AR87" s="8"/>
      <c r="AS87" s="47">
        <v>4</v>
      </c>
      <c r="AT87" s="48" t="s">
        <v>4</v>
      </c>
      <c r="AU87" s="49">
        <v>1</v>
      </c>
      <c r="AV87" s="8"/>
      <c r="AW87" s="42" t="str">
        <f t="shared" si="440"/>
        <v/>
      </c>
      <c r="AX87" s="43">
        <f t="shared" si="441"/>
        <v>3</v>
      </c>
      <c r="AY87" s="8"/>
      <c r="AZ87" s="47">
        <v>3</v>
      </c>
      <c r="BA87" s="48" t="s">
        <v>4</v>
      </c>
      <c r="BB87" s="49">
        <v>0</v>
      </c>
      <c r="BC87" s="8"/>
      <c r="BD87" s="42" t="str">
        <f t="shared" si="442"/>
        <v/>
      </c>
      <c r="BE87" s="43">
        <f t="shared" si="443"/>
        <v>3</v>
      </c>
      <c r="BF87" s="8"/>
      <c r="BG87" s="47">
        <v>3</v>
      </c>
      <c r="BH87" s="48" t="s">
        <v>4</v>
      </c>
      <c r="BI87" s="49">
        <v>1</v>
      </c>
      <c r="BJ87" s="8"/>
      <c r="BK87" s="42" t="str">
        <f t="shared" si="444"/>
        <v/>
      </c>
      <c r="BL87" s="43">
        <f t="shared" si="445"/>
        <v>2</v>
      </c>
      <c r="BM87" s="8"/>
      <c r="BN87" s="47">
        <v>3</v>
      </c>
      <c r="BO87" s="48" t="s">
        <v>4</v>
      </c>
      <c r="BP87" s="49">
        <v>0</v>
      </c>
      <c r="BQ87" s="8"/>
      <c r="BR87" s="42" t="str">
        <f t="shared" si="446"/>
        <v/>
      </c>
      <c r="BS87" s="43">
        <f t="shared" si="447"/>
        <v>3</v>
      </c>
      <c r="BT87" s="8"/>
      <c r="BU87" s="47"/>
      <c r="BV87" s="48" t="s">
        <v>4</v>
      </c>
      <c r="BW87" s="49"/>
      <c r="BX87" s="8"/>
      <c r="BY87" s="42" t="str">
        <f t="shared" si="448"/>
        <v/>
      </c>
      <c r="BZ87" s="43">
        <f t="shared" si="449"/>
        <v>0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/>
      <c r="CJ87" s="48" t="s">
        <v>4</v>
      </c>
      <c r="CK87" s="49"/>
      <c r="CL87" s="8"/>
      <c r="CM87" s="42" t="str">
        <f t="shared" si="452"/>
        <v/>
      </c>
      <c r="CN87" s="43">
        <f t="shared" si="453"/>
        <v>0</v>
      </c>
      <c r="CO87" s="8"/>
      <c r="CP87" s="47">
        <v>3</v>
      </c>
      <c r="CQ87" s="48" t="s">
        <v>4</v>
      </c>
      <c r="CR87" s="49">
        <v>0</v>
      </c>
      <c r="CS87" s="8"/>
      <c r="CT87" s="42" t="str">
        <f t="shared" si="454"/>
        <v/>
      </c>
      <c r="CU87" s="43">
        <f t="shared" si="455"/>
        <v>3</v>
      </c>
      <c r="CV87" s="8"/>
      <c r="CW87" s="47">
        <v>3</v>
      </c>
      <c r="CX87" s="48" t="s">
        <v>4</v>
      </c>
      <c r="CY87" s="49">
        <v>0</v>
      </c>
      <c r="CZ87" s="8"/>
      <c r="DA87" s="42" t="str">
        <f t="shared" si="456"/>
        <v/>
      </c>
      <c r="DB87" s="43">
        <f t="shared" si="457"/>
        <v>3</v>
      </c>
      <c r="DC87" s="8"/>
      <c r="DD87" s="47">
        <v>2</v>
      </c>
      <c r="DE87" s="48" t="s">
        <v>4</v>
      </c>
      <c r="DF87" s="49">
        <v>0</v>
      </c>
      <c r="DG87" s="8"/>
      <c r="DH87" s="42" t="str">
        <f t="shared" si="458"/>
        <v/>
      </c>
      <c r="DI87" s="43">
        <f t="shared" si="459"/>
        <v>2</v>
      </c>
      <c r="DJ87" s="8"/>
      <c r="DK87" s="47">
        <v>2</v>
      </c>
      <c r="DL87" s="48" t="s">
        <v>4</v>
      </c>
      <c r="DM87" s="49">
        <v>0</v>
      </c>
      <c r="DN87" s="8"/>
      <c r="DO87" s="42" t="str">
        <f t="shared" si="460"/>
        <v/>
      </c>
      <c r="DP87" s="43">
        <f t="shared" si="461"/>
        <v>2</v>
      </c>
      <c r="DQ87" s="8"/>
      <c r="DR87" s="47">
        <v>3</v>
      </c>
      <c r="DS87" s="48" t="s">
        <v>4</v>
      </c>
      <c r="DT87" s="49">
        <v>1</v>
      </c>
      <c r="DU87" s="8"/>
      <c r="DV87" s="42" t="str">
        <f t="shared" si="462"/>
        <v/>
      </c>
      <c r="DW87" s="43">
        <f t="shared" si="463"/>
        <v>2</v>
      </c>
      <c r="DX87" s="8"/>
      <c r="DY87" s="47">
        <v>3</v>
      </c>
      <c r="DZ87" s="48" t="s">
        <v>4</v>
      </c>
      <c r="EA87" s="49">
        <v>0</v>
      </c>
      <c r="EB87" s="8"/>
      <c r="EC87" s="42" t="str">
        <f t="shared" si="464"/>
        <v/>
      </c>
      <c r="ED87" s="43">
        <f t="shared" si="465"/>
        <v>3</v>
      </c>
      <c r="EE87" s="8"/>
      <c r="EF87" s="47">
        <v>3</v>
      </c>
      <c r="EG87" s="48" t="s">
        <v>4</v>
      </c>
      <c r="EH87" s="49">
        <v>1</v>
      </c>
      <c r="EI87" s="8"/>
      <c r="EJ87" s="42" t="str">
        <f t="shared" si="466"/>
        <v/>
      </c>
      <c r="EK87" s="43">
        <f t="shared" si="467"/>
        <v>2</v>
      </c>
      <c r="EL87" s="8"/>
      <c r="EM87" s="47">
        <v>5</v>
      </c>
      <c r="EN87" s="48" t="s">
        <v>4</v>
      </c>
      <c r="EO87" s="49">
        <v>0</v>
      </c>
      <c r="EP87" s="8"/>
      <c r="EQ87" s="42" t="str">
        <f t="shared" si="468"/>
        <v/>
      </c>
      <c r="ER87" s="43">
        <f t="shared" si="469"/>
        <v>5</v>
      </c>
      <c r="ES87" s="8"/>
      <c r="ET87" s="47">
        <v>3</v>
      </c>
      <c r="EU87" s="48" t="s">
        <v>4</v>
      </c>
      <c r="EV87" s="49">
        <v>1</v>
      </c>
      <c r="EW87" s="8"/>
      <c r="EX87" s="42" t="str">
        <f t="shared" si="470"/>
        <v/>
      </c>
      <c r="EY87" s="43">
        <f t="shared" si="471"/>
        <v>2</v>
      </c>
      <c r="EZ87" s="8"/>
      <c r="FA87" s="47">
        <v>4</v>
      </c>
      <c r="FB87" s="48" t="s">
        <v>4</v>
      </c>
      <c r="FC87" s="49">
        <v>2</v>
      </c>
      <c r="FD87" s="8"/>
      <c r="FE87" s="42" t="str">
        <f t="shared" si="472"/>
        <v/>
      </c>
      <c r="FF87" s="43">
        <f t="shared" si="473"/>
        <v>2</v>
      </c>
      <c r="FG87" s="8"/>
      <c r="FH87" s="47">
        <v>3</v>
      </c>
      <c r="FI87" s="48" t="s">
        <v>4</v>
      </c>
      <c r="FJ87" s="49">
        <v>0</v>
      </c>
      <c r="FK87" s="8"/>
      <c r="FL87" s="42" t="str">
        <f t="shared" si="474"/>
        <v/>
      </c>
      <c r="FM87" s="43">
        <f t="shared" si="475"/>
        <v>3</v>
      </c>
      <c r="FN87" s="8"/>
      <c r="FO87" s="47">
        <v>3</v>
      </c>
      <c r="FP87" s="48" t="s">
        <v>4</v>
      </c>
      <c r="FQ87" s="49">
        <v>2</v>
      </c>
      <c r="FR87" s="8"/>
      <c r="FS87" s="42" t="str">
        <f t="shared" si="476"/>
        <v/>
      </c>
      <c r="FT87" s="43">
        <f t="shared" si="477"/>
        <v>1</v>
      </c>
      <c r="FU87" s="8"/>
      <c r="FV87" s="47">
        <v>4</v>
      </c>
      <c r="FW87" s="48" t="s">
        <v>4</v>
      </c>
      <c r="FX87" s="49">
        <v>2</v>
      </c>
      <c r="FY87" s="8"/>
      <c r="FZ87" s="42" t="str">
        <f t="shared" si="478"/>
        <v/>
      </c>
      <c r="GA87" s="43">
        <f t="shared" si="479"/>
        <v>2</v>
      </c>
      <c r="GB87" s="8"/>
      <c r="GC87" s="47">
        <v>2</v>
      </c>
      <c r="GD87" s="48" t="s">
        <v>4</v>
      </c>
      <c r="GE87" s="49">
        <v>1</v>
      </c>
      <c r="GF87" s="8"/>
      <c r="GG87" s="42" t="str">
        <f t="shared" si="480"/>
        <v/>
      </c>
      <c r="GH87" s="43">
        <f t="shared" si="481"/>
        <v>1</v>
      </c>
      <c r="GI87" s="8"/>
      <c r="GJ87" s="47">
        <v>3</v>
      </c>
      <c r="GK87" s="48" t="s">
        <v>4</v>
      </c>
      <c r="GL87" s="49">
        <v>2</v>
      </c>
      <c r="GM87" s="8"/>
      <c r="GN87" s="42" t="str">
        <f t="shared" si="482"/>
        <v/>
      </c>
      <c r="GO87" s="43">
        <f t="shared" si="483"/>
        <v>1</v>
      </c>
      <c r="GP87" s="8"/>
      <c r="GQ87" s="47">
        <v>3</v>
      </c>
      <c r="GR87" s="48" t="s">
        <v>4</v>
      </c>
      <c r="GS87" s="49">
        <v>0</v>
      </c>
      <c r="GT87" s="8"/>
      <c r="GU87" s="42" t="str">
        <f t="shared" si="484"/>
        <v/>
      </c>
      <c r="GV87" s="43">
        <f t="shared" si="485"/>
        <v>3</v>
      </c>
      <c r="GW87" s="8"/>
      <c r="GX87" s="47">
        <v>4</v>
      </c>
      <c r="GY87" s="48" t="s">
        <v>4</v>
      </c>
      <c r="GZ87" s="49">
        <v>1</v>
      </c>
      <c r="HA87" s="8"/>
      <c r="HB87" s="42" t="str">
        <f t="shared" si="486"/>
        <v/>
      </c>
      <c r="HC87" s="43">
        <f t="shared" si="487"/>
        <v>3</v>
      </c>
      <c r="HD87" s="8"/>
      <c r="HE87" s="47">
        <v>3</v>
      </c>
      <c r="HF87" s="48" t="s">
        <v>4</v>
      </c>
      <c r="HG87" s="49">
        <v>1</v>
      </c>
      <c r="HH87" s="8"/>
      <c r="HI87" s="42" t="str">
        <f t="shared" si="488"/>
        <v/>
      </c>
      <c r="HJ87" s="43">
        <f t="shared" si="489"/>
        <v>2</v>
      </c>
      <c r="HK87" s="8"/>
      <c r="HL87" s="47">
        <v>3</v>
      </c>
      <c r="HM87" s="48" t="s">
        <v>4</v>
      </c>
      <c r="HN87" s="49">
        <v>0</v>
      </c>
      <c r="HO87" s="8"/>
      <c r="HP87" s="42" t="str">
        <f t="shared" si="490"/>
        <v/>
      </c>
      <c r="HQ87" s="43">
        <f t="shared" si="491"/>
        <v>3</v>
      </c>
      <c r="HR87" s="8"/>
      <c r="HS87" s="47">
        <v>3</v>
      </c>
      <c r="HT87" s="48" t="s">
        <v>4</v>
      </c>
      <c r="HU87" s="49">
        <v>1</v>
      </c>
      <c r="HV87" s="8"/>
      <c r="HW87" s="42" t="str">
        <f t="shared" si="492"/>
        <v/>
      </c>
      <c r="HX87" s="43">
        <f t="shared" si="493"/>
        <v>2</v>
      </c>
      <c r="HY87" s="8"/>
      <c r="HZ87" s="47">
        <v>4</v>
      </c>
      <c r="IA87" s="48" t="s">
        <v>4</v>
      </c>
      <c r="IB87" s="49">
        <v>1</v>
      </c>
      <c r="IC87" s="8"/>
      <c r="ID87" s="42" t="str">
        <f t="shared" si="494"/>
        <v/>
      </c>
      <c r="IE87" s="43">
        <f t="shared" si="495"/>
        <v>3</v>
      </c>
      <c r="IF87" s="8"/>
      <c r="IG87" s="47">
        <v>3</v>
      </c>
      <c r="IH87" s="48" t="s">
        <v>4</v>
      </c>
      <c r="II87" s="49">
        <v>2</v>
      </c>
      <c r="IJ87" s="8"/>
      <c r="IK87" s="42" t="str">
        <f t="shared" si="496"/>
        <v/>
      </c>
      <c r="IL87" s="43">
        <f t="shared" si="497"/>
        <v>1</v>
      </c>
      <c r="IM87" s="8"/>
      <c r="IN87" s="47">
        <v>4</v>
      </c>
      <c r="IO87" s="48" t="s">
        <v>4</v>
      </c>
      <c r="IP87" s="49">
        <v>0</v>
      </c>
      <c r="IQ87" s="8"/>
      <c r="IR87" s="42" t="str">
        <f t="shared" si="498"/>
        <v/>
      </c>
      <c r="IS87" s="43">
        <f t="shared" si="499"/>
        <v>4</v>
      </c>
      <c r="IT87" s="8"/>
      <c r="IU87" s="47">
        <v>2</v>
      </c>
      <c r="IV87" s="48" t="s">
        <v>4</v>
      </c>
      <c r="IW87" s="49">
        <v>0</v>
      </c>
      <c r="IX87" s="8"/>
      <c r="IY87" s="42" t="str">
        <f t="shared" si="500"/>
        <v/>
      </c>
      <c r="IZ87" s="43">
        <f t="shared" si="501"/>
        <v>2</v>
      </c>
      <c r="JA87" s="8"/>
      <c r="JB87" s="47">
        <v>3</v>
      </c>
      <c r="JC87" s="48" t="s">
        <v>4</v>
      </c>
      <c r="JD87" s="49">
        <v>2</v>
      </c>
      <c r="JE87" s="8"/>
      <c r="JF87" s="42" t="str">
        <f t="shared" si="502"/>
        <v/>
      </c>
      <c r="JG87" s="43">
        <f t="shared" si="503"/>
        <v>1</v>
      </c>
      <c r="JH87" s="8"/>
      <c r="JI87" s="47">
        <v>3</v>
      </c>
      <c r="JJ87" s="48" t="s">
        <v>4</v>
      </c>
      <c r="JK87" s="49">
        <v>0</v>
      </c>
      <c r="JL87" s="8"/>
      <c r="JM87" s="42" t="str">
        <f t="shared" si="504"/>
        <v/>
      </c>
      <c r="JN87" s="43">
        <f t="shared" si="505"/>
        <v>3</v>
      </c>
      <c r="JO87" s="8"/>
      <c r="JP87" s="47">
        <v>4</v>
      </c>
      <c r="JQ87" s="48" t="s">
        <v>4</v>
      </c>
      <c r="JR87" s="49">
        <v>1</v>
      </c>
      <c r="JS87" s="8"/>
      <c r="JT87" s="42" t="str">
        <f t="shared" si="506"/>
        <v/>
      </c>
      <c r="JU87" s="43">
        <f t="shared" si="507"/>
        <v>3</v>
      </c>
      <c r="JV87" s="8"/>
      <c r="JW87" s="47">
        <v>3</v>
      </c>
      <c r="JX87" s="48" t="s">
        <v>4</v>
      </c>
      <c r="JY87" s="49">
        <v>0</v>
      </c>
      <c r="JZ87" s="8"/>
      <c r="KA87" s="42" t="str">
        <f t="shared" si="508"/>
        <v/>
      </c>
      <c r="KB87" s="43">
        <f t="shared" si="509"/>
        <v>3</v>
      </c>
      <c r="KC87" s="8"/>
      <c r="KD87" s="47">
        <v>4</v>
      </c>
      <c r="KE87" s="48" t="s">
        <v>4</v>
      </c>
      <c r="KF87" s="49">
        <v>1</v>
      </c>
      <c r="KG87" s="8"/>
      <c r="KH87" s="42" t="str">
        <f t="shared" si="510"/>
        <v/>
      </c>
      <c r="KI87" s="43">
        <f t="shared" si="511"/>
        <v>3</v>
      </c>
      <c r="KJ87" s="8"/>
      <c r="KK87" s="47">
        <v>2</v>
      </c>
      <c r="KL87" s="48" t="s">
        <v>4</v>
      </c>
      <c r="KM87" s="49">
        <v>0</v>
      </c>
      <c r="KN87" s="8"/>
      <c r="KO87" s="42" t="str">
        <f t="shared" si="512"/>
        <v/>
      </c>
      <c r="KP87" s="43">
        <f t="shared" si="513"/>
        <v>2</v>
      </c>
      <c r="KQ87" s="8"/>
      <c r="KR87" s="47">
        <v>3</v>
      </c>
      <c r="KS87" s="48" t="s">
        <v>4</v>
      </c>
      <c r="KT87" s="49">
        <v>0</v>
      </c>
      <c r="KU87" s="8"/>
      <c r="KV87" s="42" t="str">
        <f t="shared" si="514"/>
        <v/>
      </c>
      <c r="KW87" s="43">
        <f t="shared" si="515"/>
        <v>3</v>
      </c>
      <c r="KX87" s="8"/>
      <c r="KY87" s="47">
        <v>2</v>
      </c>
      <c r="KZ87" s="48" t="s">
        <v>4</v>
      </c>
      <c r="LA87" s="49">
        <v>1</v>
      </c>
      <c r="LB87" s="8"/>
      <c r="LC87" s="42" t="str">
        <f t="shared" si="516"/>
        <v/>
      </c>
      <c r="LD87" s="43">
        <f t="shared" si="517"/>
        <v>1</v>
      </c>
      <c r="LE87" s="8"/>
      <c r="LF87" s="47">
        <v>3</v>
      </c>
      <c r="LG87" s="48" t="s">
        <v>4</v>
      </c>
      <c r="LH87" s="49">
        <v>0</v>
      </c>
      <c r="LI87" s="8"/>
      <c r="LJ87" s="42" t="str">
        <f t="shared" si="518"/>
        <v/>
      </c>
      <c r="LK87" s="43">
        <f t="shared" si="519"/>
        <v>3</v>
      </c>
      <c r="LL87" s="8"/>
      <c r="LM87" s="47">
        <v>3</v>
      </c>
      <c r="LN87" s="48" t="s">
        <v>4</v>
      </c>
      <c r="LO87" s="49">
        <v>0</v>
      </c>
      <c r="LP87" s="8"/>
      <c r="LQ87" s="42" t="str">
        <f t="shared" si="520"/>
        <v/>
      </c>
      <c r="LR87" s="43">
        <f t="shared" si="521"/>
        <v>3</v>
      </c>
      <c r="LS87" s="8"/>
      <c r="LT87" s="47">
        <v>2</v>
      </c>
      <c r="LU87" s="48" t="s">
        <v>4</v>
      </c>
      <c r="LV87" s="49">
        <v>0</v>
      </c>
      <c r="LW87" s="8"/>
      <c r="LX87" s="42" t="str">
        <f t="shared" si="522"/>
        <v/>
      </c>
      <c r="LY87" s="43">
        <f t="shared" si="523"/>
        <v>2</v>
      </c>
      <c r="LZ87" s="8"/>
      <c r="MA87" s="47">
        <v>3</v>
      </c>
      <c r="MB87" s="48" t="s">
        <v>4</v>
      </c>
      <c r="MC87" s="49">
        <v>0</v>
      </c>
      <c r="MD87" s="8"/>
      <c r="ME87" s="42" t="str">
        <f t="shared" si="524"/>
        <v/>
      </c>
      <c r="MF87" s="43">
        <f t="shared" si="525"/>
        <v>3</v>
      </c>
      <c r="MG87" s="8"/>
      <c r="MH87" s="47">
        <v>4</v>
      </c>
      <c r="MI87" s="48" t="s">
        <v>4</v>
      </c>
      <c r="MJ87" s="49">
        <v>0</v>
      </c>
      <c r="MK87" s="8"/>
      <c r="ML87" s="42" t="str">
        <f t="shared" si="526"/>
        <v/>
      </c>
      <c r="MM87" s="43">
        <f t="shared" si="527"/>
        <v>4</v>
      </c>
      <c r="MN87" s="8"/>
      <c r="MO87" s="47">
        <v>2</v>
      </c>
      <c r="MP87" s="48" t="s">
        <v>4</v>
      </c>
      <c r="MQ87" s="49">
        <v>0</v>
      </c>
      <c r="MR87" s="8"/>
      <c r="MS87" s="42" t="str">
        <f t="shared" si="528"/>
        <v/>
      </c>
      <c r="MT87" s="43">
        <f t="shared" si="529"/>
        <v>2</v>
      </c>
      <c r="MU87" s="8"/>
      <c r="MV87" s="47">
        <v>3</v>
      </c>
      <c r="MW87" s="48" t="s">
        <v>4</v>
      </c>
      <c r="MX87" s="49">
        <v>1</v>
      </c>
      <c r="MY87" s="8"/>
      <c r="MZ87" s="42" t="str">
        <f t="shared" si="530"/>
        <v/>
      </c>
      <c r="NA87" s="43">
        <f t="shared" si="531"/>
        <v>2</v>
      </c>
      <c r="NB87" s="8"/>
      <c r="NC87" s="47">
        <v>4</v>
      </c>
      <c r="ND87" s="48" t="s">
        <v>4</v>
      </c>
      <c r="NE87" s="49">
        <v>1</v>
      </c>
      <c r="NF87" s="8"/>
      <c r="NG87" s="42" t="str">
        <f t="shared" si="532"/>
        <v/>
      </c>
      <c r="NH87" s="43">
        <f t="shared" si="533"/>
        <v>3</v>
      </c>
      <c r="NI87" s="8"/>
      <c r="NJ87" s="47">
        <v>2</v>
      </c>
      <c r="NK87" s="48" t="s">
        <v>4</v>
      </c>
      <c r="NL87" s="49">
        <v>1</v>
      </c>
      <c r="NM87" s="8"/>
      <c r="NN87" s="42" t="str">
        <f t="shared" si="534"/>
        <v/>
      </c>
      <c r="NO87" s="43">
        <f t="shared" si="535"/>
        <v>1</v>
      </c>
      <c r="NP87" s="8"/>
      <c r="NQ87" s="47">
        <v>4</v>
      </c>
      <c r="NR87" s="48" t="s">
        <v>4</v>
      </c>
      <c r="NS87" s="49">
        <v>1</v>
      </c>
      <c r="NT87" s="8"/>
      <c r="NU87" s="42" t="str">
        <f t="shared" si="536"/>
        <v/>
      </c>
      <c r="NV87" s="43">
        <f t="shared" si="537"/>
        <v>3</v>
      </c>
      <c r="NW87" s="8"/>
      <c r="NX87" s="47">
        <v>3</v>
      </c>
      <c r="NY87" s="48" t="s">
        <v>4</v>
      </c>
      <c r="NZ87" s="49">
        <v>0</v>
      </c>
      <c r="OA87" s="8"/>
      <c r="OB87" s="42" t="str">
        <f t="shared" si="538"/>
        <v/>
      </c>
      <c r="OC87" s="43">
        <f t="shared" si="539"/>
        <v>3</v>
      </c>
      <c r="OD87" s="8"/>
      <c r="OE87" s="47">
        <v>3</v>
      </c>
      <c r="OF87" s="48" t="s">
        <v>4</v>
      </c>
      <c r="OG87" s="49">
        <v>1</v>
      </c>
      <c r="OH87" s="8"/>
      <c r="OI87" s="42" t="str">
        <f t="shared" si="540"/>
        <v/>
      </c>
      <c r="OJ87" s="43">
        <f t="shared" si="541"/>
        <v>2</v>
      </c>
      <c r="OK87" s="8"/>
      <c r="OL87" s="47">
        <v>3</v>
      </c>
      <c r="OM87" s="48" t="s">
        <v>4</v>
      </c>
      <c r="ON87" s="49">
        <v>1</v>
      </c>
      <c r="OO87" s="8"/>
      <c r="OP87" s="42" t="str">
        <f t="shared" si="542"/>
        <v/>
      </c>
      <c r="OQ87" s="43">
        <f t="shared" si="543"/>
        <v>2</v>
      </c>
      <c r="OR87" s="8"/>
      <c r="OS87" s="47">
        <v>3</v>
      </c>
      <c r="OT87" s="48" t="s">
        <v>4</v>
      </c>
      <c r="OU87" s="49">
        <v>0</v>
      </c>
      <c r="OV87" s="8"/>
      <c r="OW87" s="42" t="str">
        <f t="shared" si="544"/>
        <v/>
      </c>
      <c r="OX87" s="43">
        <f t="shared" si="545"/>
        <v>3</v>
      </c>
      <c r="OY87" s="8"/>
      <c r="OZ87" s="47">
        <v>3</v>
      </c>
      <c r="PA87" s="48" t="s">
        <v>4</v>
      </c>
      <c r="PB87" s="49">
        <v>0</v>
      </c>
      <c r="PC87" s="8"/>
      <c r="PD87" s="42" t="str">
        <f t="shared" si="546"/>
        <v/>
      </c>
      <c r="PE87" s="43">
        <f t="shared" si="547"/>
        <v>3</v>
      </c>
      <c r="PF87" s="8"/>
      <c r="PG87" s="47">
        <v>3</v>
      </c>
      <c r="PH87" s="48" t="s">
        <v>4</v>
      </c>
      <c r="PI87" s="49">
        <v>1</v>
      </c>
      <c r="PJ87" s="8"/>
      <c r="PK87" s="42" t="str">
        <f t="shared" si="548"/>
        <v/>
      </c>
      <c r="PL87" s="43">
        <f t="shared" si="549"/>
        <v>2</v>
      </c>
      <c r="PM87" s="8"/>
      <c r="PN87" s="47">
        <v>3</v>
      </c>
      <c r="PO87" s="48" t="s">
        <v>4</v>
      </c>
      <c r="PP87" s="49">
        <v>1</v>
      </c>
      <c r="PQ87" s="8"/>
      <c r="PR87" s="42" t="str">
        <f t="shared" si="550"/>
        <v/>
      </c>
      <c r="PS87" s="43">
        <f t="shared" si="551"/>
        <v>2</v>
      </c>
      <c r="PT87" s="8"/>
      <c r="PU87" s="47">
        <v>2</v>
      </c>
      <c r="PV87" s="48" t="s">
        <v>4</v>
      </c>
      <c r="PW87" s="49">
        <v>0</v>
      </c>
      <c r="PX87" s="8"/>
      <c r="PY87" s="42" t="str">
        <f t="shared" si="552"/>
        <v/>
      </c>
      <c r="PZ87" s="43">
        <f t="shared" si="553"/>
        <v>2</v>
      </c>
      <c r="QA87" s="8"/>
      <c r="QB87" s="47">
        <v>2</v>
      </c>
      <c r="QC87" s="48" t="s">
        <v>4</v>
      </c>
      <c r="QD87" s="49">
        <v>1</v>
      </c>
      <c r="QE87" s="8"/>
      <c r="QF87" s="42" t="str">
        <f t="shared" si="554"/>
        <v/>
      </c>
      <c r="QG87" s="43">
        <f t="shared" si="555"/>
        <v>1</v>
      </c>
      <c r="QH87" s="8"/>
      <c r="QI87" s="47">
        <v>4</v>
      </c>
      <c r="QJ87" s="48" t="s">
        <v>4</v>
      </c>
      <c r="QK87" s="49">
        <v>0</v>
      </c>
      <c r="QL87" s="8"/>
      <c r="QM87" s="42" t="str">
        <f t="shared" si="556"/>
        <v/>
      </c>
      <c r="QN87" s="43">
        <f t="shared" si="557"/>
        <v>4</v>
      </c>
      <c r="QO87" s="8"/>
      <c r="QP87" s="47">
        <v>4</v>
      </c>
      <c r="QQ87" s="48" t="s">
        <v>4</v>
      </c>
      <c r="QR87" s="49">
        <v>6</v>
      </c>
      <c r="QS87" s="8"/>
      <c r="QT87" s="42" t="str">
        <f t="shared" si="558"/>
        <v/>
      </c>
      <c r="QU87" s="43">
        <f t="shared" si="559"/>
        <v>-2</v>
      </c>
      <c r="QV87" s="8"/>
      <c r="QW87" s="47">
        <v>1</v>
      </c>
      <c r="QX87" s="48" t="s">
        <v>4</v>
      </c>
      <c r="QY87" s="49">
        <v>0</v>
      </c>
      <c r="QZ87" s="8"/>
      <c r="RA87" s="42" t="str">
        <f t="shared" si="560"/>
        <v/>
      </c>
      <c r="RB87" s="43">
        <f t="shared" si="561"/>
        <v>1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/>
      <c r="RL87" s="48" t="s">
        <v>4</v>
      </c>
      <c r="RM87" s="49"/>
      <c r="RN87" s="8"/>
      <c r="RO87" s="42" t="str">
        <f t="shared" si="564"/>
        <v/>
      </c>
      <c r="RP87" s="43">
        <f t="shared" si="565"/>
        <v>0</v>
      </c>
      <c r="RQ87" s="8"/>
      <c r="RR87" s="47"/>
      <c r="RS87" s="48" t="s">
        <v>4</v>
      </c>
      <c r="RT87" s="49"/>
      <c r="RU87" s="8"/>
      <c r="RV87" s="42" t="str">
        <f t="shared" si="566"/>
        <v/>
      </c>
      <c r="RW87" s="43">
        <f t="shared" si="567"/>
        <v>0</v>
      </c>
      <c r="RX87" s="8"/>
      <c r="RY87" s="47"/>
      <c r="RZ87" s="48" t="s">
        <v>4</v>
      </c>
      <c r="SA87" s="49"/>
      <c r="SB87" s="8"/>
      <c r="SC87" s="42" t="str">
        <f t="shared" si="568"/>
        <v/>
      </c>
      <c r="SD87" s="43">
        <f t="shared" si="569"/>
        <v>0</v>
      </c>
      <c r="SE87" s="8"/>
      <c r="SF87" s="47"/>
      <c r="SG87" s="48" t="s">
        <v>4</v>
      </c>
      <c r="SH87" s="49"/>
      <c r="SI87" s="8"/>
      <c r="SJ87" s="42" t="str">
        <f t="shared" si="570"/>
        <v/>
      </c>
      <c r="SK87" s="43">
        <f t="shared" si="571"/>
        <v>0</v>
      </c>
      <c r="SL87" s="8"/>
      <c r="SM87" s="47"/>
      <c r="SN87" s="48" t="s">
        <v>4</v>
      </c>
      <c r="SO87" s="49"/>
      <c r="SP87" s="8"/>
      <c r="SQ87" s="42" t="str">
        <f t="shared" si="572"/>
        <v/>
      </c>
      <c r="SR87" s="43">
        <f t="shared" si="573"/>
        <v>0</v>
      </c>
    </row>
    <row r="88" spans="1:512" ht="16" customHeight="1" x14ac:dyDescent="0.15">
      <c r="A88" s="51">
        <v>46204</v>
      </c>
      <c r="B88" s="46">
        <v>0.125</v>
      </c>
      <c r="C88" s="82" t="s">
        <v>626</v>
      </c>
      <c r="D88" s="82" t="s">
        <v>42</v>
      </c>
      <c r="E88" s="2"/>
      <c r="F88" s="50" t="s">
        <v>4</v>
      </c>
      <c r="G88" s="1"/>
      <c r="H88" s="16">
        <v>6</v>
      </c>
      <c r="I88" s="32">
        <f t="shared" si="429"/>
        <v>0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>
        <v>2</v>
      </c>
      <c r="R88" s="48" t="s">
        <v>4</v>
      </c>
      <c r="S88" s="49">
        <v>0</v>
      </c>
      <c r="T88" s="8"/>
      <c r="U88" s="42" t="str">
        <f t="shared" si="432"/>
        <v/>
      </c>
      <c r="V88" s="43">
        <f t="shared" si="433"/>
        <v>2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>
        <v>3</v>
      </c>
      <c r="AF88" s="48" t="s">
        <v>4</v>
      </c>
      <c r="AG88" s="49">
        <v>3</v>
      </c>
      <c r="AH88" s="8"/>
      <c r="AI88" s="42" t="str">
        <f t="shared" si="436"/>
        <v/>
      </c>
      <c r="AJ88" s="43">
        <f t="shared" si="437"/>
        <v>0</v>
      </c>
      <c r="AK88" s="8"/>
      <c r="AL88" s="47">
        <v>2</v>
      </c>
      <c r="AM88" s="48" t="s">
        <v>4</v>
      </c>
      <c r="AN88" s="49">
        <v>1</v>
      </c>
      <c r="AO88" s="8"/>
      <c r="AP88" s="42" t="str">
        <f t="shared" si="438"/>
        <v/>
      </c>
      <c r="AQ88" s="43">
        <f t="shared" si="439"/>
        <v>1</v>
      </c>
      <c r="AR88" s="8"/>
      <c r="AS88" s="47">
        <v>1</v>
      </c>
      <c r="AT88" s="48" t="s">
        <v>4</v>
      </c>
      <c r="AU88" s="49">
        <v>0</v>
      </c>
      <c r="AV88" s="8"/>
      <c r="AW88" s="42" t="str">
        <f t="shared" si="440"/>
        <v/>
      </c>
      <c r="AX88" s="43">
        <f t="shared" si="441"/>
        <v>1</v>
      </c>
      <c r="AY88" s="8"/>
      <c r="AZ88" s="47">
        <v>1</v>
      </c>
      <c r="BA88" s="48" t="s">
        <v>4</v>
      </c>
      <c r="BB88" s="49">
        <v>0</v>
      </c>
      <c r="BC88" s="8"/>
      <c r="BD88" s="42" t="str">
        <f t="shared" si="442"/>
        <v/>
      </c>
      <c r="BE88" s="43">
        <f t="shared" si="443"/>
        <v>1</v>
      </c>
      <c r="BF88" s="8"/>
      <c r="BG88" s="47">
        <v>4</v>
      </c>
      <c r="BH88" s="48" t="s">
        <v>4</v>
      </c>
      <c r="BI88" s="49">
        <v>1</v>
      </c>
      <c r="BJ88" s="8"/>
      <c r="BK88" s="42" t="str">
        <f t="shared" si="444"/>
        <v/>
      </c>
      <c r="BL88" s="43">
        <f t="shared" si="445"/>
        <v>3</v>
      </c>
      <c r="BM88" s="8"/>
      <c r="BN88" s="47">
        <v>2</v>
      </c>
      <c r="BO88" s="48" t="s">
        <v>4</v>
      </c>
      <c r="BP88" s="49">
        <v>1</v>
      </c>
      <c r="BQ88" s="8"/>
      <c r="BR88" s="42" t="str">
        <f t="shared" si="446"/>
        <v/>
      </c>
      <c r="BS88" s="43">
        <f t="shared" si="447"/>
        <v>1</v>
      </c>
      <c r="BT88" s="8"/>
      <c r="BU88" s="47"/>
      <c r="BV88" s="48" t="s">
        <v>4</v>
      </c>
      <c r="BW88" s="49"/>
      <c r="BX88" s="8"/>
      <c r="BY88" s="42" t="str">
        <f t="shared" si="448"/>
        <v/>
      </c>
      <c r="BZ88" s="43">
        <f t="shared" si="449"/>
        <v>0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/>
      <c r="CJ88" s="48" t="s">
        <v>4</v>
      </c>
      <c r="CK88" s="49"/>
      <c r="CL88" s="8"/>
      <c r="CM88" s="42" t="str">
        <f t="shared" si="452"/>
        <v/>
      </c>
      <c r="CN88" s="43">
        <f t="shared" si="453"/>
        <v>0</v>
      </c>
      <c r="CO88" s="8"/>
      <c r="CP88" s="47">
        <v>1</v>
      </c>
      <c r="CQ88" s="48" t="s">
        <v>4</v>
      </c>
      <c r="CR88" s="49">
        <v>0</v>
      </c>
      <c r="CS88" s="8"/>
      <c r="CT88" s="42" t="str">
        <f t="shared" si="454"/>
        <v/>
      </c>
      <c r="CU88" s="43">
        <f t="shared" si="455"/>
        <v>1</v>
      </c>
      <c r="CV88" s="8"/>
      <c r="CW88" s="47">
        <v>2</v>
      </c>
      <c r="CX88" s="48" t="s">
        <v>4</v>
      </c>
      <c r="CY88" s="49">
        <v>1</v>
      </c>
      <c r="CZ88" s="8"/>
      <c r="DA88" s="42" t="str">
        <f t="shared" si="456"/>
        <v/>
      </c>
      <c r="DB88" s="43">
        <f t="shared" si="457"/>
        <v>1</v>
      </c>
      <c r="DC88" s="8"/>
      <c r="DD88" s="47">
        <v>2</v>
      </c>
      <c r="DE88" s="48" t="s">
        <v>4</v>
      </c>
      <c r="DF88" s="49">
        <v>1</v>
      </c>
      <c r="DG88" s="8"/>
      <c r="DH88" s="42" t="str">
        <f t="shared" si="458"/>
        <v/>
      </c>
      <c r="DI88" s="43">
        <f t="shared" si="459"/>
        <v>1</v>
      </c>
      <c r="DJ88" s="8"/>
      <c r="DK88" s="47">
        <v>1</v>
      </c>
      <c r="DL88" s="48" t="s">
        <v>4</v>
      </c>
      <c r="DM88" s="49">
        <v>0</v>
      </c>
      <c r="DN88" s="8"/>
      <c r="DO88" s="42" t="str">
        <f t="shared" si="460"/>
        <v/>
      </c>
      <c r="DP88" s="43">
        <f t="shared" si="461"/>
        <v>1</v>
      </c>
      <c r="DQ88" s="8"/>
      <c r="DR88" s="47">
        <v>2</v>
      </c>
      <c r="DS88" s="48" t="s">
        <v>4</v>
      </c>
      <c r="DT88" s="49">
        <v>0</v>
      </c>
      <c r="DU88" s="8"/>
      <c r="DV88" s="42" t="str">
        <f t="shared" si="462"/>
        <v/>
      </c>
      <c r="DW88" s="43">
        <f t="shared" si="463"/>
        <v>2</v>
      </c>
      <c r="DX88" s="8"/>
      <c r="DY88" s="47">
        <v>2</v>
      </c>
      <c r="DZ88" s="48" t="s">
        <v>4</v>
      </c>
      <c r="EA88" s="49">
        <v>1</v>
      </c>
      <c r="EB88" s="8"/>
      <c r="EC88" s="42" t="str">
        <f t="shared" si="464"/>
        <v/>
      </c>
      <c r="ED88" s="43">
        <f t="shared" si="465"/>
        <v>1</v>
      </c>
      <c r="EE88" s="8"/>
      <c r="EF88" s="47">
        <v>2</v>
      </c>
      <c r="EG88" s="48" t="s">
        <v>4</v>
      </c>
      <c r="EH88" s="49">
        <v>0</v>
      </c>
      <c r="EI88" s="8"/>
      <c r="EJ88" s="42" t="str">
        <f t="shared" si="466"/>
        <v/>
      </c>
      <c r="EK88" s="43">
        <f t="shared" si="467"/>
        <v>2</v>
      </c>
      <c r="EL88" s="8"/>
      <c r="EM88" s="47">
        <v>1</v>
      </c>
      <c r="EN88" s="48" t="s">
        <v>4</v>
      </c>
      <c r="EO88" s="49">
        <v>0</v>
      </c>
      <c r="EP88" s="8"/>
      <c r="EQ88" s="42" t="str">
        <f t="shared" si="468"/>
        <v/>
      </c>
      <c r="ER88" s="43">
        <f t="shared" si="469"/>
        <v>1</v>
      </c>
      <c r="ES88" s="8"/>
      <c r="ET88" s="47">
        <v>2</v>
      </c>
      <c r="EU88" s="48" t="s">
        <v>4</v>
      </c>
      <c r="EV88" s="49">
        <v>3</v>
      </c>
      <c r="EW88" s="8"/>
      <c r="EX88" s="42" t="str">
        <f t="shared" si="470"/>
        <v/>
      </c>
      <c r="EY88" s="43">
        <f t="shared" si="471"/>
        <v>-1</v>
      </c>
      <c r="EZ88" s="8"/>
      <c r="FA88" s="47">
        <v>1</v>
      </c>
      <c r="FB88" s="48" t="s">
        <v>4</v>
      </c>
      <c r="FC88" s="49">
        <v>2</v>
      </c>
      <c r="FD88" s="8"/>
      <c r="FE88" s="42" t="str">
        <f t="shared" si="472"/>
        <v/>
      </c>
      <c r="FF88" s="43">
        <f t="shared" si="473"/>
        <v>-1</v>
      </c>
      <c r="FG88" s="8"/>
      <c r="FH88" s="47">
        <v>2</v>
      </c>
      <c r="FI88" s="48" t="s">
        <v>4</v>
      </c>
      <c r="FJ88" s="49">
        <v>0</v>
      </c>
      <c r="FK88" s="8"/>
      <c r="FL88" s="42" t="str">
        <f t="shared" si="474"/>
        <v/>
      </c>
      <c r="FM88" s="43">
        <f t="shared" si="475"/>
        <v>2</v>
      </c>
      <c r="FN88" s="8"/>
      <c r="FO88" s="47">
        <v>0</v>
      </c>
      <c r="FP88" s="48" t="s">
        <v>4</v>
      </c>
      <c r="FQ88" s="49">
        <v>1</v>
      </c>
      <c r="FR88" s="8"/>
      <c r="FS88" s="42" t="str">
        <f t="shared" si="476"/>
        <v/>
      </c>
      <c r="FT88" s="43">
        <f t="shared" si="477"/>
        <v>-1</v>
      </c>
      <c r="FU88" s="8"/>
      <c r="FV88" s="47">
        <v>2</v>
      </c>
      <c r="FW88" s="48" t="s">
        <v>4</v>
      </c>
      <c r="FX88" s="49">
        <v>0</v>
      </c>
      <c r="FY88" s="8"/>
      <c r="FZ88" s="42" t="str">
        <f t="shared" si="478"/>
        <v/>
      </c>
      <c r="GA88" s="43">
        <f t="shared" si="479"/>
        <v>2</v>
      </c>
      <c r="GB88" s="8"/>
      <c r="GC88" s="47">
        <v>1</v>
      </c>
      <c r="GD88" s="48" t="s">
        <v>4</v>
      </c>
      <c r="GE88" s="49">
        <v>2</v>
      </c>
      <c r="GF88" s="8"/>
      <c r="GG88" s="42" t="str">
        <f t="shared" si="480"/>
        <v/>
      </c>
      <c r="GH88" s="43">
        <f t="shared" si="481"/>
        <v>-1</v>
      </c>
      <c r="GI88" s="8"/>
      <c r="GJ88" s="47">
        <v>3</v>
      </c>
      <c r="GK88" s="48" t="s">
        <v>4</v>
      </c>
      <c r="GL88" s="49">
        <v>1</v>
      </c>
      <c r="GM88" s="8"/>
      <c r="GN88" s="42" t="str">
        <f t="shared" si="482"/>
        <v/>
      </c>
      <c r="GO88" s="43">
        <f t="shared" si="483"/>
        <v>2</v>
      </c>
      <c r="GP88" s="8"/>
      <c r="GQ88" s="47">
        <v>6</v>
      </c>
      <c r="GR88" s="48" t="s">
        <v>4</v>
      </c>
      <c r="GS88" s="49">
        <v>5</v>
      </c>
      <c r="GT88" s="8"/>
      <c r="GU88" s="42" t="str">
        <f t="shared" si="484"/>
        <v/>
      </c>
      <c r="GV88" s="43">
        <f t="shared" si="485"/>
        <v>1</v>
      </c>
      <c r="GW88" s="8"/>
      <c r="GX88" s="47">
        <v>0</v>
      </c>
      <c r="GY88" s="48" t="s">
        <v>4</v>
      </c>
      <c r="GZ88" s="49">
        <v>1</v>
      </c>
      <c r="HA88" s="8"/>
      <c r="HB88" s="42" t="str">
        <f t="shared" si="486"/>
        <v/>
      </c>
      <c r="HC88" s="43">
        <f t="shared" si="487"/>
        <v>-1</v>
      </c>
      <c r="HD88" s="8"/>
      <c r="HE88" s="47">
        <v>2</v>
      </c>
      <c r="HF88" s="48" t="s">
        <v>4</v>
      </c>
      <c r="HG88" s="49">
        <v>0</v>
      </c>
      <c r="HH88" s="8"/>
      <c r="HI88" s="42" t="str">
        <f t="shared" si="488"/>
        <v/>
      </c>
      <c r="HJ88" s="43">
        <f t="shared" si="489"/>
        <v>2</v>
      </c>
      <c r="HK88" s="8"/>
      <c r="HL88" s="47">
        <v>2</v>
      </c>
      <c r="HM88" s="48" t="s">
        <v>4</v>
      </c>
      <c r="HN88" s="49">
        <v>1</v>
      </c>
      <c r="HO88" s="8"/>
      <c r="HP88" s="42" t="str">
        <f t="shared" si="490"/>
        <v/>
      </c>
      <c r="HQ88" s="43">
        <f t="shared" si="491"/>
        <v>1</v>
      </c>
      <c r="HR88" s="8"/>
      <c r="HS88" s="47">
        <v>2</v>
      </c>
      <c r="HT88" s="48" t="s">
        <v>4</v>
      </c>
      <c r="HU88" s="49">
        <v>1</v>
      </c>
      <c r="HV88" s="8"/>
      <c r="HW88" s="42" t="str">
        <f t="shared" si="492"/>
        <v/>
      </c>
      <c r="HX88" s="43">
        <f t="shared" si="493"/>
        <v>1</v>
      </c>
      <c r="HY88" s="8"/>
      <c r="HZ88" s="47">
        <v>2</v>
      </c>
      <c r="IA88" s="48" t="s">
        <v>4</v>
      </c>
      <c r="IB88" s="49">
        <v>1</v>
      </c>
      <c r="IC88" s="8"/>
      <c r="ID88" s="42" t="str">
        <f t="shared" si="494"/>
        <v/>
      </c>
      <c r="IE88" s="43">
        <f t="shared" si="495"/>
        <v>1</v>
      </c>
      <c r="IF88" s="8"/>
      <c r="IG88" s="47">
        <v>2</v>
      </c>
      <c r="IH88" s="48" t="s">
        <v>4</v>
      </c>
      <c r="II88" s="49">
        <v>0</v>
      </c>
      <c r="IJ88" s="8"/>
      <c r="IK88" s="42" t="str">
        <f t="shared" si="496"/>
        <v/>
      </c>
      <c r="IL88" s="43">
        <f t="shared" si="497"/>
        <v>2</v>
      </c>
      <c r="IM88" s="8"/>
      <c r="IN88" s="47">
        <v>1</v>
      </c>
      <c r="IO88" s="48" t="s">
        <v>4</v>
      </c>
      <c r="IP88" s="49">
        <v>2</v>
      </c>
      <c r="IQ88" s="8"/>
      <c r="IR88" s="42" t="str">
        <f t="shared" si="498"/>
        <v/>
      </c>
      <c r="IS88" s="43">
        <f t="shared" si="499"/>
        <v>-1</v>
      </c>
      <c r="IT88" s="8"/>
      <c r="IU88" s="47">
        <v>0</v>
      </c>
      <c r="IV88" s="48" t="s">
        <v>4</v>
      </c>
      <c r="IW88" s="49">
        <v>2</v>
      </c>
      <c r="IX88" s="8"/>
      <c r="IY88" s="42" t="str">
        <f t="shared" si="500"/>
        <v/>
      </c>
      <c r="IZ88" s="43">
        <f t="shared" si="501"/>
        <v>-2</v>
      </c>
      <c r="JA88" s="8"/>
      <c r="JB88" s="47">
        <v>2</v>
      </c>
      <c r="JC88" s="48" t="s">
        <v>4</v>
      </c>
      <c r="JD88" s="49">
        <v>1</v>
      </c>
      <c r="JE88" s="8"/>
      <c r="JF88" s="42" t="str">
        <f t="shared" si="502"/>
        <v/>
      </c>
      <c r="JG88" s="43">
        <f t="shared" si="503"/>
        <v>1</v>
      </c>
      <c r="JH88" s="8"/>
      <c r="JI88" s="47">
        <v>3</v>
      </c>
      <c r="JJ88" s="48" t="s">
        <v>4</v>
      </c>
      <c r="JK88" s="49">
        <v>1</v>
      </c>
      <c r="JL88" s="8"/>
      <c r="JM88" s="42" t="str">
        <f t="shared" si="504"/>
        <v/>
      </c>
      <c r="JN88" s="43">
        <f t="shared" si="505"/>
        <v>2</v>
      </c>
      <c r="JO88" s="8"/>
      <c r="JP88" s="47">
        <v>1</v>
      </c>
      <c r="JQ88" s="48" t="s">
        <v>4</v>
      </c>
      <c r="JR88" s="49">
        <v>0</v>
      </c>
      <c r="JS88" s="8"/>
      <c r="JT88" s="42" t="str">
        <f t="shared" si="506"/>
        <v/>
      </c>
      <c r="JU88" s="43">
        <f t="shared" si="507"/>
        <v>1</v>
      </c>
      <c r="JV88" s="8"/>
      <c r="JW88" s="47">
        <v>1</v>
      </c>
      <c r="JX88" s="48" t="s">
        <v>4</v>
      </c>
      <c r="JY88" s="49">
        <v>0</v>
      </c>
      <c r="JZ88" s="8"/>
      <c r="KA88" s="42" t="str">
        <f t="shared" si="508"/>
        <v/>
      </c>
      <c r="KB88" s="43">
        <f t="shared" si="509"/>
        <v>1</v>
      </c>
      <c r="KC88" s="8"/>
      <c r="KD88" s="47">
        <v>2</v>
      </c>
      <c r="KE88" s="48" t="s">
        <v>4</v>
      </c>
      <c r="KF88" s="49">
        <v>1</v>
      </c>
      <c r="KG88" s="8"/>
      <c r="KH88" s="42" t="str">
        <f t="shared" si="510"/>
        <v/>
      </c>
      <c r="KI88" s="43">
        <f t="shared" si="511"/>
        <v>1</v>
      </c>
      <c r="KJ88" s="8"/>
      <c r="KK88" s="47">
        <v>2</v>
      </c>
      <c r="KL88" s="48" t="s">
        <v>4</v>
      </c>
      <c r="KM88" s="49">
        <v>1</v>
      </c>
      <c r="KN88" s="8"/>
      <c r="KO88" s="42" t="str">
        <f t="shared" si="512"/>
        <v/>
      </c>
      <c r="KP88" s="43">
        <f t="shared" si="513"/>
        <v>1</v>
      </c>
      <c r="KQ88" s="8"/>
      <c r="KR88" s="47">
        <v>2</v>
      </c>
      <c r="KS88" s="48" t="s">
        <v>4</v>
      </c>
      <c r="KT88" s="49">
        <v>1</v>
      </c>
      <c r="KU88" s="8"/>
      <c r="KV88" s="42" t="str">
        <f t="shared" si="514"/>
        <v/>
      </c>
      <c r="KW88" s="43">
        <f t="shared" si="515"/>
        <v>1</v>
      </c>
      <c r="KX88" s="8"/>
      <c r="KY88" s="47">
        <v>1</v>
      </c>
      <c r="KZ88" s="48" t="s">
        <v>4</v>
      </c>
      <c r="LA88" s="49">
        <v>2</v>
      </c>
      <c r="LB88" s="8"/>
      <c r="LC88" s="42" t="str">
        <f t="shared" si="516"/>
        <v/>
      </c>
      <c r="LD88" s="43">
        <f t="shared" si="517"/>
        <v>-1</v>
      </c>
      <c r="LE88" s="8"/>
      <c r="LF88" s="47">
        <v>2</v>
      </c>
      <c r="LG88" s="48" t="s">
        <v>4</v>
      </c>
      <c r="LH88" s="49">
        <v>1</v>
      </c>
      <c r="LI88" s="8"/>
      <c r="LJ88" s="42" t="str">
        <f t="shared" si="518"/>
        <v/>
      </c>
      <c r="LK88" s="43">
        <f t="shared" si="519"/>
        <v>1</v>
      </c>
      <c r="LL88" s="8"/>
      <c r="LM88" s="47">
        <v>6</v>
      </c>
      <c r="LN88" s="48" t="s">
        <v>4</v>
      </c>
      <c r="LO88" s="49">
        <v>5</v>
      </c>
      <c r="LP88" s="8"/>
      <c r="LQ88" s="42" t="str">
        <f t="shared" si="520"/>
        <v/>
      </c>
      <c r="LR88" s="43">
        <f t="shared" si="521"/>
        <v>1</v>
      </c>
      <c r="LS88" s="8"/>
      <c r="LT88" s="47">
        <v>2</v>
      </c>
      <c r="LU88" s="48" t="s">
        <v>4</v>
      </c>
      <c r="LV88" s="49">
        <v>1</v>
      </c>
      <c r="LW88" s="8"/>
      <c r="LX88" s="42" t="str">
        <f t="shared" si="522"/>
        <v/>
      </c>
      <c r="LY88" s="43">
        <f t="shared" si="523"/>
        <v>1</v>
      </c>
      <c r="LZ88" s="8"/>
      <c r="MA88" s="47">
        <v>2</v>
      </c>
      <c r="MB88" s="48" t="s">
        <v>4</v>
      </c>
      <c r="MC88" s="49">
        <v>0</v>
      </c>
      <c r="MD88" s="8"/>
      <c r="ME88" s="42" t="str">
        <f t="shared" si="524"/>
        <v/>
      </c>
      <c r="MF88" s="43">
        <f t="shared" si="525"/>
        <v>2</v>
      </c>
      <c r="MG88" s="8"/>
      <c r="MH88" s="47">
        <v>0</v>
      </c>
      <c r="MI88" s="48" t="s">
        <v>4</v>
      </c>
      <c r="MJ88" s="49">
        <v>2</v>
      </c>
      <c r="MK88" s="8"/>
      <c r="ML88" s="42" t="str">
        <f t="shared" si="526"/>
        <v/>
      </c>
      <c r="MM88" s="43">
        <f t="shared" si="527"/>
        <v>-2</v>
      </c>
      <c r="MN88" s="8"/>
      <c r="MO88" s="47">
        <v>2</v>
      </c>
      <c r="MP88" s="48" t="s">
        <v>4</v>
      </c>
      <c r="MQ88" s="49">
        <v>1</v>
      </c>
      <c r="MR88" s="8"/>
      <c r="MS88" s="42" t="str">
        <f t="shared" si="528"/>
        <v/>
      </c>
      <c r="MT88" s="43">
        <f t="shared" si="529"/>
        <v>1</v>
      </c>
      <c r="MU88" s="8"/>
      <c r="MV88" s="47">
        <v>2</v>
      </c>
      <c r="MW88" s="48" t="s">
        <v>4</v>
      </c>
      <c r="MX88" s="49">
        <v>1</v>
      </c>
      <c r="MY88" s="8"/>
      <c r="MZ88" s="42" t="str">
        <f t="shared" si="530"/>
        <v/>
      </c>
      <c r="NA88" s="43">
        <f t="shared" si="531"/>
        <v>1</v>
      </c>
      <c r="NB88" s="8"/>
      <c r="NC88" s="47">
        <v>3</v>
      </c>
      <c r="ND88" s="48" t="s">
        <v>4</v>
      </c>
      <c r="NE88" s="49">
        <v>0</v>
      </c>
      <c r="NF88" s="8"/>
      <c r="NG88" s="42" t="str">
        <f t="shared" si="532"/>
        <v/>
      </c>
      <c r="NH88" s="43">
        <f t="shared" si="533"/>
        <v>3</v>
      </c>
      <c r="NI88" s="8"/>
      <c r="NJ88" s="47">
        <v>1</v>
      </c>
      <c r="NK88" s="48" t="s">
        <v>4</v>
      </c>
      <c r="NL88" s="49">
        <v>2</v>
      </c>
      <c r="NM88" s="8"/>
      <c r="NN88" s="42" t="str">
        <f t="shared" si="534"/>
        <v/>
      </c>
      <c r="NO88" s="43">
        <f t="shared" si="535"/>
        <v>-1</v>
      </c>
      <c r="NP88" s="8"/>
      <c r="NQ88" s="47">
        <v>2</v>
      </c>
      <c r="NR88" s="48" t="s">
        <v>4</v>
      </c>
      <c r="NS88" s="49">
        <v>0</v>
      </c>
      <c r="NT88" s="8"/>
      <c r="NU88" s="42" t="str">
        <f t="shared" si="536"/>
        <v/>
      </c>
      <c r="NV88" s="43">
        <f t="shared" si="537"/>
        <v>2</v>
      </c>
      <c r="NW88" s="8"/>
      <c r="NX88" s="47">
        <v>5</v>
      </c>
      <c r="NY88" s="48" t="s">
        <v>4</v>
      </c>
      <c r="NZ88" s="49">
        <v>6</v>
      </c>
      <c r="OA88" s="8"/>
      <c r="OB88" s="42" t="str">
        <f t="shared" si="538"/>
        <v/>
      </c>
      <c r="OC88" s="43">
        <f t="shared" si="539"/>
        <v>-1</v>
      </c>
      <c r="OD88" s="8"/>
      <c r="OE88" s="47">
        <v>1</v>
      </c>
      <c r="OF88" s="48" t="s">
        <v>4</v>
      </c>
      <c r="OG88" s="49">
        <v>2</v>
      </c>
      <c r="OH88" s="8"/>
      <c r="OI88" s="42" t="str">
        <f t="shared" si="540"/>
        <v/>
      </c>
      <c r="OJ88" s="43">
        <f t="shared" si="541"/>
        <v>-1</v>
      </c>
      <c r="OK88" s="8"/>
      <c r="OL88" s="47">
        <v>3</v>
      </c>
      <c r="OM88" s="48" t="s">
        <v>4</v>
      </c>
      <c r="ON88" s="49">
        <v>0</v>
      </c>
      <c r="OO88" s="8"/>
      <c r="OP88" s="42" t="str">
        <f t="shared" si="542"/>
        <v/>
      </c>
      <c r="OQ88" s="43">
        <f t="shared" si="543"/>
        <v>3</v>
      </c>
      <c r="OR88" s="8"/>
      <c r="OS88" s="47">
        <v>2</v>
      </c>
      <c r="OT88" s="48" t="s">
        <v>4</v>
      </c>
      <c r="OU88" s="49">
        <v>1</v>
      </c>
      <c r="OV88" s="8"/>
      <c r="OW88" s="42" t="str">
        <f t="shared" si="544"/>
        <v/>
      </c>
      <c r="OX88" s="43">
        <f t="shared" si="545"/>
        <v>1</v>
      </c>
      <c r="OY88" s="8"/>
      <c r="OZ88" s="47">
        <v>1</v>
      </c>
      <c r="PA88" s="48" t="s">
        <v>4</v>
      </c>
      <c r="PB88" s="49">
        <v>2</v>
      </c>
      <c r="PC88" s="8"/>
      <c r="PD88" s="42" t="str">
        <f t="shared" si="546"/>
        <v/>
      </c>
      <c r="PE88" s="43">
        <f t="shared" si="547"/>
        <v>-1</v>
      </c>
      <c r="PF88" s="8"/>
      <c r="PG88" s="47">
        <v>2</v>
      </c>
      <c r="PH88" s="48" t="s">
        <v>4</v>
      </c>
      <c r="PI88" s="49">
        <v>0</v>
      </c>
      <c r="PJ88" s="8"/>
      <c r="PK88" s="42" t="str">
        <f t="shared" si="548"/>
        <v/>
      </c>
      <c r="PL88" s="43">
        <f t="shared" si="549"/>
        <v>2</v>
      </c>
      <c r="PM88" s="8"/>
      <c r="PN88" s="47">
        <v>2</v>
      </c>
      <c r="PO88" s="48" t="s">
        <v>4</v>
      </c>
      <c r="PP88" s="49">
        <v>0</v>
      </c>
      <c r="PQ88" s="8"/>
      <c r="PR88" s="42" t="str">
        <f t="shared" si="550"/>
        <v/>
      </c>
      <c r="PS88" s="43">
        <f t="shared" si="551"/>
        <v>2</v>
      </c>
      <c r="PT88" s="8"/>
      <c r="PU88" s="47">
        <v>2</v>
      </c>
      <c r="PV88" s="48" t="s">
        <v>4</v>
      </c>
      <c r="PW88" s="49">
        <v>0</v>
      </c>
      <c r="PX88" s="8"/>
      <c r="PY88" s="42" t="str">
        <f t="shared" si="552"/>
        <v/>
      </c>
      <c r="PZ88" s="43">
        <f t="shared" si="553"/>
        <v>2</v>
      </c>
      <c r="QA88" s="8"/>
      <c r="QB88" s="47">
        <v>1</v>
      </c>
      <c r="QC88" s="48" t="s">
        <v>4</v>
      </c>
      <c r="QD88" s="49">
        <v>2</v>
      </c>
      <c r="QE88" s="8"/>
      <c r="QF88" s="42" t="str">
        <f t="shared" si="554"/>
        <v/>
      </c>
      <c r="QG88" s="43">
        <f t="shared" si="555"/>
        <v>-1</v>
      </c>
      <c r="QH88" s="8"/>
      <c r="QI88" s="47">
        <v>2</v>
      </c>
      <c r="QJ88" s="48" t="s">
        <v>4</v>
      </c>
      <c r="QK88" s="49">
        <v>1</v>
      </c>
      <c r="QL88" s="8"/>
      <c r="QM88" s="42" t="str">
        <f t="shared" si="556"/>
        <v/>
      </c>
      <c r="QN88" s="43">
        <f t="shared" si="557"/>
        <v>1</v>
      </c>
      <c r="QO88" s="8"/>
      <c r="QP88" s="47">
        <v>2</v>
      </c>
      <c r="QQ88" s="48" t="s">
        <v>4</v>
      </c>
      <c r="QR88" s="49">
        <v>0</v>
      </c>
      <c r="QS88" s="8"/>
      <c r="QT88" s="42" t="str">
        <f t="shared" si="558"/>
        <v/>
      </c>
      <c r="QU88" s="43">
        <f t="shared" si="559"/>
        <v>2</v>
      </c>
      <c r="QV88" s="8"/>
      <c r="QW88" s="47">
        <v>1</v>
      </c>
      <c r="QX88" s="48" t="s">
        <v>4</v>
      </c>
      <c r="QY88" s="49">
        <v>2</v>
      </c>
      <c r="QZ88" s="8"/>
      <c r="RA88" s="42" t="str">
        <f t="shared" si="560"/>
        <v/>
      </c>
      <c r="RB88" s="43">
        <f t="shared" si="561"/>
        <v>-1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/>
      <c r="RL88" s="48" t="s">
        <v>4</v>
      </c>
      <c r="RM88" s="49"/>
      <c r="RN88" s="8"/>
      <c r="RO88" s="42" t="str">
        <f t="shared" si="564"/>
        <v/>
      </c>
      <c r="RP88" s="43">
        <f t="shared" si="565"/>
        <v>0</v>
      </c>
      <c r="RQ88" s="8"/>
      <c r="RR88" s="47"/>
      <c r="RS88" s="48" t="s">
        <v>4</v>
      </c>
      <c r="RT88" s="49"/>
      <c r="RU88" s="8"/>
      <c r="RV88" s="42" t="str">
        <f t="shared" si="566"/>
        <v/>
      </c>
      <c r="RW88" s="43">
        <f t="shared" si="567"/>
        <v>0</v>
      </c>
      <c r="RX88" s="8"/>
      <c r="RY88" s="47"/>
      <c r="RZ88" s="48" t="s">
        <v>4</v>
      </c>
      <c r="SA88" s="49"/>
      <c r="SB88" s="8"/>
      <c r="SC88" s="42" t="str">
        <f t="shared" si="568"/>
        <v/>
      </c>
      <c r="SD88" s="43">
        <f t="shared" si="569"/>
        <v>0</v>
      </c>
      <c r="SE88" s="8"/>
      <c r="SF88" s="47"/>
      <c r="SG88" s="48" t="s">
        <v>4</v>
      </c>
      <c r="SH88" s="49"/>
      <c r="SI88" s="8"/>
      <c r="SJ88" s="42" t="str">
        <f t="shared" si="570"/>
        <v/>
      </c>
      <c r="SK88" s="43">
        <f t="shared" si="571"/>
        <v>0</v>
      </c>
      <c r="SL88" s="8"/>
      <c r="SM88" s="47"/>
      <c r="SN88" s="48" t="s">
        <v>4</v>
      </c>
      <c r="SO88" s="49"/>
      <c r="SP88" s="8"/>
      <c r="SQ88" s="42" t="str">
        <f t="shared" si="572"/>
        <v/>
      </c>
      <c r="SR88" s="43">
        <f t="shared" si="573"/>
        <v>0</v>
      </c>
    </row>
    <row r="89" spans="1:512" ht="16" customHeight="1" x14ac:dyDescent="0.15">
      <c r="A89" s="51">
        <v>46204</v>
      </c>
      <c r="B89" s="46">
        <v>0.75</v>
      </c>
      <c r="C89" s="82" t="s">
        <v>8</v>
      </c>
      <c r="D89" s="83" t="s">
        <v>57</v>
      </c>
      <c r="E89" s="2"/>
      <c r="F89" s="50" t="s">
        <v>4</v>
      </c>
      <c r="G89" s="1"/>
      <c r="H89" s="16">
        <v>6</v>
      </c>
      <c r="I89" s="32">
        <f t="shared" si="429"/>
        <v>0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>
        <v>2</v>
      </c>
      <c r="R89" s="48" t="s">
        <v>4</v>
      </c>
      <c r="S89" s="49">
        <v>0</v>
      </c>
      <c r="T89" s="8"/>
      <c r="U89" s="42" t="str">
        <f t="shared" si="432"/>
        <v/>
      </c>
      <c r="V89" s="43">
        <f t="shared" si="433"/>
        <v>2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>
        <v>2</v>
      </c>
      <c r="AF89" s="48" t="s">
        <v>4</v>
      </c>
      <c r="AG89" s="49">
        <v>0</v>
      </c>
      <c r="AH89" s="8"/>
      <c r="AI89" s="42" t="str">
        <f t="shared" si="436"/>
        <v/>
      </c>
      <c r="AJ89" s="43">
        <f t="shared" si="437"/>
        <v>2</v>
      </c>
      <c r="AK89" s="8"/>
      <c r="AL89" s="47">
        <v>3</v>
      </c>
      <c r="AM89" s="48" t="s">
        <v>4</v>
      </c>
      <c r="AN89" s="49">
        <v>0</v>
      </c>
      <c r="AO89" s="8"/>
      <c r="AP89" s="42" t="str">
        <f t="shared" si="438"/>
        <v/>
      </c>
      <c r="AQ89" s="43">
        <f t="shared" si="439"/>
        <v>3</v>
      </c>
      <c r="AR89" s="8"/>
      <c r="AS89" s="47">
        <v>3</v>
      </c>
      <c r="AT89" s="48" t="s">
        <v>4</v>
      </c>
      <c r="AU89" s="49">
        <v>1</v>
      </c>
      <c r="AV89" s="8"/>
      <c r="AW89" s="42" t="str">
        <f t="shared" si="440"/>
        <v/>
      </c>
      <c r="AX89" s="43">
        <f t="shared" si="441"/>
        <v>2</v>
      </c>
      <c r="AY89" s="8"/>
      <c r="AZ89" s="47">
        <v>2</v>
      </c>
      <c r="BA89" s="48" t="s">
        <v>4</v>
      </c>
      <c r="BB89" s="49">
        <v>1</v>
      </c>
      <c r="BC89" s="8"/>
      <c r="BD89" s="42" t="str">
        <f t="shared" si="442"/>
        <v/>
      </c>
      <c r="BE89" s="43">
        <f t="shared" si="443"/>
        <v>1</v>
      </c>
      <c r="BF89" s="8"/>
      <c r="BG89" s="47">
        <v>3</v>
      </c>
      <c r="BH89" s="48" t="s">
        <v>4</v>
      </c>
      <c r="BI89" s="49">
        <v>1</v>
      </c>
      <c r="BJ89" s="8"/>
      <c r="BK89" s="42" t="str">
        <f t="shared" si="444"/>
        <v/>
      </c>
      <c r="BL89" s="43">
        <f t="shared" si="445"/>
        <v>2</v>
      </c>
      <c r="BM89" s="8"/>
      <c r="BN89" s="47">
        <v>3</v>
      </c>
      <c r="BO89" s="48" t="s">
        <v>4</v>
      </c>
      <c r="BP89" s="49">
        <v>1</v>
      </c>
      <c r="BQ89" s="8"/>
      <c r="BR89" s="42" t="str">
        <f t="shared" si="446"/>
        <v/>
      </c>
      <c r="BS89" s="43">
        <f t="shared" si="447"/>
        <v>2</v>
      </c>
      <c r="BT89" s="8"/>
      <c r="BU89" s="47"/>
      <c r="BV89" s="48" t="s">
        <v>4</v>
      </c>
      <c r="BW89" s="49"/>
      <c r="BX89" s="8"/>
      <c r="BY89" s="42" t="str">
        <f t="shared" si="448"/>
        <v/>
      </c>
      <c r="BZ89" s="43">
        <f t="shared" si="449"/>
        <v>0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/>
      <c r="CJ89" s="48" t="s">
        <v>4</v>
      </c>
      <c r="CK89" s="49"/>
      <c r="CL89" s="8"/>
      <c r="CM89" s="42" t="str">
        <f t="shared" si="452"/>
        <v/>
      </c>
      <c r="CN89" s="43">
        <f t="shared" si="453"/>
        <v>0</v>
      </c>
      <c r="CO89" s="8"/>
      <c r="CP89" s="47">
        <v>2</v>
      </c>
      <c r="CQ89" s="48" t="s">
        <v>4</v>
      </c>
      <c r="CR89" s="49">
        <v>0</v>
      </c>
      <c r="CS89" s="8"/>
      <c r="CT89" s="42" t="str">
        <f t="shared" si="454"/>
        <v/>
      </c>
      <c r="CU89" s="43">
        <f t="shared" si="455"/>
        <v>2</v>
      </c>
      <c r="CV89" s="8"/>
      <c r="CW89" s="47">
        <v>2</v>
      </c>
      <c r="CX89" s="48" t="s">
        <v>4</v>
      </c>
      <c r="CY89" s="49">
        <v>0</v>
      </c>
      <c r="CZ89" s="8"/>
      <c r="DA89" s="42" t="str">
        <f t="shared" si="456"/>
        <v/>
      </c>
      <c r="DB89" s="43">
        <f t="shared" si="457"/>
        <v>2</v>
      </c>
      <c r="DC89" s="8"/>
      <c r="DD89" s="47">
        <v>1</v>
      </c>
      <c r="DE89" s="48" t="s">
        <v>4</v>
      </c>
      <c r="DF89" s="49">
        <v>0</v>
      </c>
      <c r="DG89" s="8"/>
      <c r="DH89" s="42" t="str">
        <f t="shared" si="458"/>
        <v/>
      </c>
      <c r="DI89" s="43">
        <f t="shared" si="459"/>
        <v>1</v>
      </c>
      <c r="DJ89" s="8"/>
      <c r="DK89" s="47">
        <v>1</v>
      </c>
      <c r="DL89" s="48" t="s">
        <v>4</v>
      </c>
      <c r="DM89" s="49">
        <v>0</v>
      </c>
      <c r="DN89" s="8"/>
      <c r="DO89" s="42" t="str">
        <f t="shared" si="460"/>
        <v/>
      </c>
      <c r="DP89" s="43">
        <f t="shared" si="461"/>
        <v>1</v>
      </c>
      <c r="DQ89" s="8"/>
      <c r="DR89" s="47">
        <v>4</v>
      </c>
      <c r="DS89" s="48" t="s">
        <v>4</v>
      </c>
      <c r="DT89" s="49">
        <v>0</v>
      </c>
      <c r="DU89" s="8"/>
      <c r="DV89" s="42" t="str">
        <f t="shared" si="462"/>
        <v/>
      </c>
      <c r="DW89" s="43">
        <f t="shared" si="463"/>
        <v>4</v>
      </c>
      <c r="DX89" s="8"/>
      <c r="DY89" s="47">
        <v>2</v>
      </c>
      <c r="DZ89" s="48" t="s">
        <v>4</v>
      </c>
      <c r="EA89" s="49">
        <v>0</v>
      </c>
      <c r="EB89" s="8"/>
      <c r="EC89" s="42" t="str">
        <f t="shared" si="464"/>
        <v/>
      </c>
      <c r="ED89" s="43">
        <f t="shared" si="465"/>
        <v>2</v>
      </c>
      <c r="EE89" s="8"/>
      <c r="EF89" s="47">
        <v>3</v>
      </c>
      <c r="EG89" s="48" t="s">
        <v>4</v>
      </c>
      <c r="EH89" s="49">
        <v>1</v>
      </c>
      <c r="EI89" s="8"/>
      <c r="EJ89" s="42" t="str">
        <f t="shared" si="466"/>
        <v/>
      </c>
      <c r="EK89" s="43">
        <f t="shared" si="467"/>
        <v>2</v>
      </c>
      <c r="EL89" s="8"/>
      <c r="EM89" s="47">
        <v>2</v>
      </c>
      <c r="EN89" s="48" t="s">
        <v>4</v>
      </c>
      <c r="EO89" s="49">
        <v>1</v>
      </c>
      <c r="EP89" s="8"/>
      <c r="EQ89" s="42" t="str">
        <f t="shared" si="468"/>
        <v/>
      </c>
      <c r="ER89" s="43">
        <f t="shared" si="469"/>
        <v>1</v>
      </c>
      <c r="ES89" s="8"/>
      <c r="ET89" s="47">
        <v>4</v>
      </c>
      <c r="EU89" s="48" t="s">
        <v>4</v>
      </c>
      <c r="EV89" s="49">
        <v>1</v>
      </c>
      <c r="EW89" s="8"/>
      <c r="EX89" s="42" t="str">
        <f t="shared" si="470"/>
        <v/>
      </c>
      <c r="EY89" s="43">
        <f t="shared" si="471"/>
        <v>3</v>
      </c>
      <c r="EZ89" s="8"/>
      <c r="FA89" s="47">
        <v>3</v>
      </c>
      <c r="FB89" s="48" t="s">
        <v>4</v>
      </c>
      <c r="FC89" s="49">
        <v>0</v>
      </c>
      <c r="FD89" s="8"/>
      <c r="FE89" s="42" t="str">
        <f t="shared" si="472"/>
        <v/>
      </c>
      <c r="FF89" s="43">
        <f t="shared" si="473"/>
        <v>3</v>
      </c>
      <c r="FG89" s="8"/>
      <c r="FH89" s="47">
        <v>2</v>
      </c>
      <c r="FI89" s="48" t="s">
        <v>4</v>
      </c>
      <c r="FJ89" s="49">
        <v>1</v>
      </c>
      <c r="FK89" s="8"/>
      <c r="FL89" s="42" t="str">
        <f t="shared" si="474"/>
        <v/>
      </c>
      <c r="FM89" s="43">
        <f t="shared" si="475"/>
        <v>1</v>
      </c>
      <c r="FN89" s="8"/>
      <c r="FO89" s="47">
        <v>1</v>
      </c>
      <c r="FP89" s="48" t="s">
        <v>4</v>
      </c>
      <c r="FQ89" s="49">
        <v>0</v>
      </c>
      <c r="FR89" s="8"/>
      <c r="FS89" s="42" t="str">
        <f t="shared" si="476"/>
        <v/>
      </c>
      <c r="FT89" s="43">
        <f t="shared" si="477"/>
        <v>1</v>
      </c>
      <c r="FU89" s="8"/>
      <c r="FV89" s="47">
        <v>1</v>
      </c>
      <c r="FW89" s="48" t="s">
        <v>4</v>
      </c>
      <c r="FX89" s="49">
        <v>0</v>
      </c>
      <c r="FY89" s="8"/>
      <c r="FZ89" s="42" t="str">
        <f t="shared" si="478"/>
        <v/>
      </c>
      <c r="GA89" s="43">
        <f t="shared" si="479"/>
        <v>1</v>
      </c>
      <c r="GB89" s="8"/>
      <c r="GC89" s="47">
        <v>2</v>
      </c>
      <c r="GD89" s="48" t="s">
        <v>4</v>
      </c>
      <c r="GE89" s="49">
        <v>0</v>
      </c>
      <c r="GF89" s="8"/>
      <c r="GG89" s="42" t="str">
        <f t="shared" si="480"/>
        <v/>
      </c>
      <c r="GH89" s="43">
        <f t="shared" si="481"/>
        <v>2</v>
      </c>
      <c r="GI89" s="8"/>
      <c r="GJ89" s="47">
        <v>3</v>
      </c>
      <c r="GK89" s="48" t="s">
        <v>4</v>
      </c>
      <c r="GL89" s="49">
        <v>1</v>
      </c>
      <c r="GM89" s="8"/>
      <c r="GN89" s="42" t="str">
        <f t="shared" si="482"/>
        <v/>
      </c>
      <c r="GO89" s="43">
        <f t="shared" si="483"/>
        <v>2</v>
      </c>
      <c r="GP89" s="8"/>
      <c r="GQ89" s="47">
        <v>4</v>
      </c>
      <c r="GR89" s="48" t="s">
        <v>4</v>
      </c>
      <c r="GS89" s="49">
        <v>0</v>
      </c>
      <c r="GT89" s="8"/>
      <c r="GU89" s="42" t="str">
        <f t="shared" si="484"/>
        <v/>
      </c>
      <c r="GV89" s="43">
        <f t="shared" si="485"/>
        <v>4</v>
      </c>
      <c r="GW89" s="8"/>
      <c r="GX89" s="47">
        <v>3</v>
      </c>
      <c r="GY89" s="48" t="s">
        <v>4</v>
      </c>
      <c r="GZ89" s="49">
        <v>0</v>
      </c>
      <c r="HA89" s="8"/>
      <c r="HB89" s="42" t="str">
        <f t="shared" si="486"/>
        <v/>
      </c>
      <c r="HC89" s="43">
        <f t="shared" si="487"/>
        <v>3</v>
      </c>
      <c r="HD89" s="8"/>
      <c r="HE89" s="47">
        <v>3</v>
      </c>
      <c r="HF89" s="48" t="s">
        <v>4</v>
      </c>
      <c r="HG89" s="49">
        <v>0</v>
      </c>
      <c r="HH89" s="8"/>
      <c r="HI89" s="42" t="str">
        <f t="shared" si="488"/>
        <v/>
      </c>
      <c r="HJ89" s="43">
        <f t="shared" si="489"/>
        <v>3</v>
      </c>
      <c r="HK89" s="8"/>
      <c r="HL89" s="47">
        <v>3</v>
      </c>
      <c r="HM89" s="48" t="s">
        <v>4</v>
      </c>
      <c r="HN89" s="49">
        <v>0</v>
      </c>
      <c r="HO89" s="8"/>
      <c r="HP89" s="42" t="str">
        <f t="shared" si="490"/>
        <v/>
      </c>
      <c r="HQ89" s="43">
        <f t="shared" si="491"/>
        <v>3</v>
      </c>
      <c r="HR89" s="8"/>
      <c r="HS89" s="47">
        <v>2</v>
      </c>
      <c r="HT89" s="48" t="s">
        <v>4</v>
      </c>
      <c r="HU89" s="49">
        <v>0</v>
      </c>
      <c r="HV89" s="8"/>
      <c r="HW89" s="42" t="str">
        <f t="shared" si="492"/>
        <v/>
      </c>
      <c r="HX89" s="43">
        <f t="shared" si="493"/>
        <v>2</v>
      </c>
      <c r="HY89" s="8"/>
      <c r="HZ89" s="47">
        <v>2</v>
      </c>
      <c r="IA89" s="48" t="s">
        <v>4</v>
      </c>
      <c r="IB89" s="49">
        <v>1</v>
      </c>
      <c r="IC89" s="8"/>
      <c r="ID89" s="42" t="str">
        <f t="shared" si="494"/>
        <v/>
      </c>
      <c r="IE89" s="43">
        <f t="shared" si="495"/>
        <v>1</v>
      </c>
      <c r="IF89" s="8"/>
      <c r="IG89" s="47">
        <v>3</v>
      </c>
      <c r="IH89" s="48" t="s">
        <v>4</v>
      </c>
      <c r="II89" s="49">
        <v>0</v>
      </c>
      <c r="IJ89" s="8"/>
      <c r="IK89" s="42" t="str">
        <f t="shared" si="496"/>
        <v/>
      </c>
      <c r="IL89" s="43">
        <f t="shared" si="497"/>
        <v>3</v>
      </c>
      <c r="IM89" s="8"/>
      <c r="IN89" s="47">
        <v>3</v>
      </c>
      <c r="IO89" s="48" t="s">
        <v>4</v>
      </c>
      <c r="IP89" s="49">
        <v>0</v>
      </c>
      <c r="IQ89" s="8"/>
      <c r="IR89" s="42" t="str">
        <f t="shared" si="498"/>
        <v/>
      </c>
      <c r="IS89" s="43">
        <f t="shared" si="499"/>
        <v>3</v>
      </c>
      <c r="IT89" s="8"/>
      <c r="IU89" s="47">
        <v>2</v>
      </c>
      <c r="IV89" s="48" t="s">
        <v>4</v>
      </c>
      <c r="IW89" s="49">
        <v>0</v>
      </c>
      <c r="IX89" s="8"/>
      <c r="IY89" s="42" t="str">
        <f t="shared" si="500"/>
        <v/>
      </c>
      <c r="IZ89" s="43">
        <f t="shared" si="501"/>
        <v>2</v>
      </c>
      <c r="JA89" s="8"/>
      <c r="JB89" s="47">
        <v>3</v>
      </c>
      <c r="JC89" s="48" t="s">
        <v>4</v>
      </c>
      <c r="JD89" s="49">
        <v>2</v>
      </c>
      <c r="JE89" s="8"/>
      <c r="JF89" s="42" t="str">
        <f t="shared" si="502"/>
        <v/>
      </c>
      <c r="JG89" s="43">
        <f t="shared" si="503"/>
        <v>1</v>
      </c>
      <c r="JH89" s="8"/>
      <c r="JI89" s="47">
        <v>4</v>
      </c>
      <c r="JJ89" s="48" t="s">
        <v>4</v>
      </c>
      <c r="JK89" s="49">
        <v>1</v>
      </c>
      <c r="JL89" s="8"/>
      <c r="JM89" s="42" t="str">
        <f t="shared" si="504"/>
        <v/>
      </c>
      <c r="JN89" s="43">
        <f t="shared" si="505"/>
        <v>3</v>
      </c>
      <c r="JO89" s="8"/>
      <c r="JP89" s="47">
        <v>4</v>
      </c>
      <c r="JQ89" s="48" t="s">
        <v>4</v>
      </c>
      <c r="JR89" s="49">
        <v>2</v>
      </c>
      <c r="JS89" s="8"/>
      <c r="JT89" s="42" t="str">
        <f t="shared" si="506"/>
        <v/>
      </c>
      <c r="JU89" s="43">
        <f t="shared" si="507"/>
        <v>2</v>
      </c>
      <c r="JV89" s="8"/>
      <c r="JW89" s="47">
        <v>4</v>
      </c>
      <c r="JX89" s="48" t="s">
        <v>4</v>
      </c>
      <c r="JY89" s="49">
        <v>0</v>
      </c>
      <c r="JZ89" s="8"/>
      <c r="KA89" s="42" t="str">
        <f t="shared" si="508"/>
        <v/>
      </c>
      <c r="KB89" s="43">
        <f t="shared" si="509"/>
        <v>4</v>
      </c>
      <c r="KC89" s="8"/>
      <c r="KD89" s="47">
        <v>6</v>
      </c>
      <c r="KE89" s="48" t="s">
        <v>4</v>
      </c>
      <c r="KF89" s="49">
        <v>5</v>
      </c>
      <c r="KG89" s="8"/>
      <c r="KH89" s="42" t="str">
        <f t="shared" si="510"/>
        <v/>
      </c>
      <c r="KI89" s="43">
        <f t="shared" si="511"/>
        <v>1</v>
      </c>
      <c r="KJ89" s="8"/>
      <c r="KK89" s="47">
        <v>2</v>
      </c>
      <c r="KL89" s="48" t="s">
        <v>4</v>
      </c>
      <c r="KM89" s="49">
        <v>1</v>
      </c>
      <c r="KN89" s="8"/>
      <c r="KO89" s="42" t="str">
        <f t="shared" si="512"/>
        <v/>
      </c>
      <c r="KP89" s="43">
        <f t="shared" si="513"/>
        <v>1</v>
      </c>
      <c r="KQ89" s="8"/>
      <c r="KR89" s="47">
        <v>4</v>
      </c>
      <c r="KS89" s="48" t="s">
        <v>4</v>
      </c>
      <c r="KT89" s="49">
        <v>0</v>
      </c>
      <c r="KU89" s="8"/>
      <c r="KV89" s="42" t="str">
        <f t="shared" si="514"/>
        <v/>
      </c>
      <c r="KW89" s="43">
        <f t="shared" si="515"/>
        <v>4</v>
      </c>
      <c r="KX89" s="8"/>
      <c r="KY89" s="47">
        <v>2</v>
      </c>
      <c r="KZ89" s="48" t="s">
        <v>4</v>
      </c>
      <c r="LA89" s="49">
        <v>1</v>
      </c>
      <c r="LB89" s="8"/>
      <c r="LC89" s="42" t="str">
        <f t="shared" si="516"/>
        <v/>
      </c>
      <c r="LD89" s="43">
        <f t="shared" si="517"/>
        <v>1</v>
      </c>
      <c r="LE89" s="8"/>
      <c r="LF89" s="47">
        <v>2</v>
      </c>
      <c r="LG89" s="48" t="s">
        <v>4</v>
      </c>
      <c r="LH89" s="49">
        <v>0</v>
      </c>
      <c r="LI89" s="8"/>
      <c r="LJ89" s="42" t="str">
        <f t="shared" si="518"/>
        <v/>
      </c>
      <c r="LK89" s="43">
        <f t="shared" si="519"/>
        <v>2</v>
      </c>
      <c r="LL89" s="8"/>
      <c r="LM89" s="47">
        <v>3</v>
      </c>
      <c r="LN89" s="48" t="s">
        <v>4</v>
      </c>
      <c r="LO89" s="49">
        <v>0</v>
      </c>
      <c r="LP89" s="8"/>
      <c r="LQ89" s="42" t="str">
        <f t="shared" si="520"/>
        <v/>
      </c>
      <c r="LR89" s="43">
        <f t="shared" si="521"/>
        <v>3</v>
      </c>
      <c r="LS89" s="8"/>
      <c r="LT89" s="47">
        <v>3</v>
      </c>
      <c r="LU89" s="48" t="s">
        <v>4</v>
      </c>
      <c r="LV89" s="49">
        <v>0</v>
      </c>
      <c r="LW89" s="8"/>
      <c r="LX89" s="42" t="str">
        <f t="shared" si="522"/>
        <v/>
      </c>
      <c r="LY89" s="43">
        <f t="shared" si="523"/>
        <v>3</v>
      </c>
      <c r="LZ89" s="8"/>
      <c r="MA89" s="47">
        <v>4</v>
      </c>
      <c r="MB89" s="48" t="s">
        <v>4</v>
      </c>
      <c r="MC89" s="49">
        <v>1</v>
      </c>
      <c r="MD89" s="8"/>
      <c r="ME89" s="42" t="str">
        <f t="shared" si="524"/>
        <v/>
      </c>
      <c r="MF89" s="43">
        <f t="shared" si="525"/>
        <v>3</v>
      </c>
      <c r="MG89" s="8"/>
      <c r="MH89" s="47">
        <v>3</v>
      </c>
      <c r="MI89" s="48" t="s">
        <v>4</v>
      </c>
      <c r="MJ89" s="49">
        <v>0</v>
      </c>
      <c r="MK89" s="8"/>
      <c r="ML89" s="42" t="str">
        <f t="shared" si="526"/>
        <v/>
      </c>
      <c r="MM89" s="43">
        <f t="shared" si="527"/>
        <v>3</v>
      </c>
      <c r="MN89" s="8"/>
      <c r="MO89" s="47">
        <v>3</v>
      </c>
      <c r="MP89" s="48" t="s">
        <v>4</v>
      </c>
      <c r="MQ89" s="49">
        <v>0</v>
      </c>
      <c r="MR89" s="8"/>
      <c r="MS89" s="42" t="str">
        <f t="shared" si="528"/>
        <v/>
      </c>
      <c r="MT89" s="43">
        <f t="shared" si="529"/>
        <v>3</v>
      </c>
      <c r="MU89" s="8"/>
      <c r="MV89" s="47">
        <v>3</v>
      </c>
      <c r="MW89" s="48" t="s">
        <v>4</v>
      </c>
      <c r="MX89" s="49">
        <v>1</v>
      </c>
      <c r="MY89" s="8"/>
      <c r="MZ89" s="42" t="str">
        <f t="shared" si="530"/>
        <v/>
      </c>
      <c r="NA89" s="43">
        <f t="shared" si="531"/>
        <v>2</v>
      </c>
      <c r="NB89" s="8"/>
      <c r="NC89" s="47">
        <v>2</v>
      </c>
      <c r="ND89" s="48" t="s">
        <v>4</v>
      </c>
      <c r="NE89" s="49">
        <v>1</v>
      </c>
      <c r="NF89" s="8"/>
      <c r="NG89" s="42" t="str">
        <f t="shared" si="532"/>
        <v/>
      </c>
      <c r="NH89" s="43">
        <f t="shared" si="533"/>
        <v>1</v>
      </c>
      <c r="NI89" s="8"/>
      <c r="NJ89" s="47">
        <v>2</v>
      </c>
      <c r="NK89" s="48" t="s">
        <v>4</v>
      </c>
      <c r="NL89" s="49">
        <v>1</v>
      </c>
      <c r="NM89" s="8"/>
      <c r="NN89" s="42" t="str">
        <f t="shared" si="534"/>
        <v/>
      </c>
      <c r="NO89" s="43">
        <f t="shared" si="535"/>
        <v>1</v>
      </c>
      <c r="NP89" s="8"/>
      <c r="NQ89" s="47">
        <v>3</v>
      </c>
      <c r="NR89" s="48" t="s">
        <v>4</v>
      </c>
      <c r="NS89" s="49">
        <v>0</v>
      </c>
      <c r="NT89" s="8"/>
      <c r="NU89" s="42" t="str">
        <f t="shared" si="536"/>
        <v/>
      </c>
      <c r="NV89" s="43">
        <f t="shared" si="537"/>
        <v>3</v>
      </c>
      <c r="NW89" s="8"/>
      <c r="NX89" s="47">
        <v>2</v>
      </c>
      <c r="NY89" s="48" t="s">
        <v>4</v>
      </c>
      <c r="NZ89" s="49">
        <v>0</v>
      </c>
      <c r="OA89" s="8"/>
      <c r="OB89" s="42" t="str">
        <f t="shared" si="538"/>
        <v/>
      </c>
      <c r="OC89" s="43">
        <f t="shared" si="539"/>
        <v>2</v>
      </c>
      <c r="OD89" s="8"/>
      <c r="OE89" s="47">
        <v>3</v>
      </c>
      <c r="OF89" s="48" t="s">
        <v>4</v>
      </c>
      <c r="OG89" s="49">
        <v>0</v>
      </c>
      <c r="OH89" s="8"/>
      <c r="OI89" s="42" t="str">
        <f t="shared" si="540"/>
        <v/>
      </c>
      <c r="OJ89" s="43">
        <f t="shared" si="541"/>
        <v>3</v>
      </c>
      <c r="OK89" s="8"/>
      <c r="OL89" s="47">
        <v>2</v>
      </c>
      <c r="OM89" s="48" t="s">
        <v>4</v>
      </c>
      <c r="ON89" s="49">
        <v>1</v>
      </c>
      <c r="OO89" s="8"/>
      <c r="OP89" s="42" t="str">
        <f t="shared" si="542"/>
        <v/>
      </c>
      <c r="OQ89" s="43">
        <f t="shared" si="543"/>
        <v>1</v>
      </c>
      <c r="OR89" s="8"/>
      <c r="OS89" s="47">
        <v>2</v>
      </c>
      <c r="OT89" s="48" t="s">
        <v>4</v>
      </c>
      <c r="OU89" s="49">
        <v>0</v>
      </c>
      <c r="OV89" s="8"/>
      <c r="OW89" s="42" t="str">
        <f t="shared" si="544"/>
        <v/>
      </c>
      <c r="OX89" s="43">
        <f t="shared" si="545"/>
        <v>2</v>
      </c>
      <c r="OY89" s="8"/>
      <c r="OZ89" s="47">
        <v>1</v>
      </c>
      <c r="PA89" s="48" t="s">
        <v>4</v>
      </c>
      <c r="PB89" s="49">
        <v>0</v>
      </c>
      <c r="PC89" s="8"/>
      <c r="PD89" s="42" t="str">
        <f t="shared" si="546"/>
        <v/>
      </c>
      <c r="PE89" s="43">
        <f t="shared" si="547"/>
        <v>1</v>
      </c>
      <c r="PF89" s="8"/>
      <c r="PG89" s="47">
        <v>2</v>
      </c>
      <c r="PH89" s="48" t="s">
        <v>4</v>
      </c>
      <c r="PI89" s="49">
        <v>0</v>
      </c>
      <c r="PJ89" s="8"/>
      <c r="PK89" s="42" t="str">
        <f t="shared" si="548"/>
        <v/>
      </c>
      <c r="PL89" s="43">
        <f t="shared" si="549"/>
        <v>2</v>
      </c>
      <c r="PM89" s="8"/>
      <c r="PN89" s="47">
        <v>2</v>
      </c>
      <c r="PO89" s="48" t="s">
        <v>4</v>
      </c>
      <c r="PP89" s="49">
        <v>0</v>
      </c>
      <c r="PQ89" s="8"/>
      <c r="PR89" s="42" t="str">
        <f t="shared" si="550"/>
        <v/>
      </c>
      <c r="PS89" s="43">
        <f t="shared" si="551"/>
        <v>2</v>
      </c>
      <c r="PT89" s="8"/>
      <c r="PU89" s="47">
        <v>3</v>
      </c>
      <c r="PV89" s="48" t="s">
        <v>4</v>
      </c>
      <c r="PW89" s="49">
        <v>0</v>
      </c>
      <c r="PX89" s="8"/>
      <c r="PY89" s="42" t="str">
        <f t="shared" si="552"/>
        <v/>
      </c>
      <c r="PZ89" s="43">
        <f t="shared" si="553"/>
        <v>3</v>
      </c>
      <c r="QA89" s="8"/>
      <c r="QB89" s="47">
        <v>2</v>
      </c>
      <c r="QC89" s="48" t="s">
        <v>4</v>
      </c>
      <c r="QD89" s="49">
        <v>0</v>
      </c>
      <c r="QE89" s="8"/>
      <c r="QF89" s="42" t="str">
        <f t="shared" si="554"/>
        <v/>
      </c>
      <c r="QG89" s="43">
        <f t="shared" si="555"/>
        <v>2</v>
      </c>
      <c r="QH89" s="8"/>
      <c r="QI89" s="47">
        <v>5</v>
      </c>
      <c r="QJ89" s="48" t="s">
        <v>4</v>
      </c>
      <c r="QK89" s="49">
        <v>1</v>
      </c>
      <c r="QL89" s="8"/>
      <c r="QM89" s="42" t="str">
        <f t="shared" si="556"/>
        <v/>
      </c>
      <c r="QN89" s="43">
        <f t="shared" si="557"/>
        <v>4</v>
      </c>
      <c r="QO89" s="8"/>
      <c r="QP89" s="47">
        <v>3</v>
      </c>
      <c r="QQ89" s="48" t="s">
        <v>4</v>
      </c>
      <c r="QR89" s="49">
        <v>0</v>
      </c>
      <c r="QS89" s="8"/>
      <c r="QT89" s="42" t="str">
        <f t="shared" si="558"/>
        <v/>
      </c>
      <c r="QU89" s="43">
        <f t="shared" si="559"/>
        <v>3</v>
      </c>
      <c r="QV89" s="8"/>
      <c r="QW89" s="47">
        <v>2</v>
      </c>
      <c r="QX89" s="48" t="s">
        <v>4</v>
      </c>
      <c r="QY89" s="49">
        <v>0</v>
      </c>
      <c r="QZ89" s="8"/>
      <c r="RA89" s="42" t="str">
        <f t="shared" si="560"/>
        <v/>
      </c>
      <c r="RB89" s="43">
        <f t="shared" si="561"/>
        <v>2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/>
      <c r="RL89" s="48" t="s">
        <v>4</v>
      </c>
      <c r="RM89" s="49"/>
      <c r="RN89" s="8"/>
      <c r="RO89" s="42" t="str">
        <f t="shared" si="564"/>
        <v/>
      </c>
      <c r="RP89" s="43">
        <f t="shared" si="565"/>
        <v>0</v>
      </c>
      <c r="RQ89" s="8"/>
      <c r="RR89" s="47"/>
      <c r="RS89" s="48" t="s">
        <v>4</v>
      </c>
      <c r="RT89" s="49"/>
      <c r="RU89" s="8"/>
      <c r="RV89" s="42" t="str">
        <f t="shared" si="566"/>
        <v/>
      </c>
      <c r="RW89" s="43">
        <f t="shared" si="567"/>
        <v>0</v>
      </c>
      <c r="RX89" s="8"/>
      <c r="RY89" s="47"/>
      <c r="RZ89" s="48" t="s">
        <v>4</v>
      </c>
      <c r="SA89" s="49"/>
      <c r="SB89" s="8"/>
      <c r="SC89" s="42" t="str">
        <f t="shared" si="568"/>
        <v/>
      </c>
      <c r="SD89" s="43">
        <f t="shared" si="569"/>
        <v>0</v>
      </c>
      <c r="SE89" s="8"/>
      <c r="SF89" s="47"/>
      <c r="SG89" s="48" t="s">
        <v>4</v>
      </c>
      <c r="SH89" s="49"/>
      <c r="SI89" s="8"/>
      <c r="SJ89" s="42" t="str">
        <f t="shared" si="570"/>
        <v/>
      </c>
      <c r="SK89" s="43">
        <f t="shared" si="571"/>
        <v>0</v>
      </c>
      <c r="SL89" s="8"/>
      <c r="SM89" s="47"/>
      <c r="SN89" s="48" t="s">
        <v>4</v>
      </c>
      <c r="SO89" s="49"/>
      <c r="SP89" s="8"/>
      <c r="SQ89" s="42" t="str">
        <f t="shared" si="572"/>
        <v/>
      </c>
      <c r="SR89" s="43">
        <f t="shared" si="573"/>
        <v>0</v>
      </c>
    </row>
    <row r="90" spans="1:512" ht="16" customHeight="1" x14ac:dyDescent="0.15">
      <c r="A90" s="51">
        <v>46204</v>
      </c>
      <c r="B90" s="46">
        <v>0.91666666666666663</v>
      </c>
      <c r="C90" s="82" t="s">
        <v>11</v>
      </c>
      <c r="D90" s="83" t="s">
        <v>51</v>
      </c>
      <c r="E90" s="2"/>
      <c r="F90" s="50" t="s">
        <v>4</v>
      </c>
      <c r="G90" s="1"/>
      <c r="H90" s="16">
        <v>6</v>
      </c>
      <c r="I90" s="32">
        <f t="shared" si="429"/>
        <v>0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>
        <v>3</v>
      </c>
      <c r="R90" s="48" t="s">
        <v>4</v>
      </c>
      <c r="S90" s="49">
        <v>1</v>
      </c>
      <c r="T90" s="8"/>
      <c r="U90" s="42" t="str">
        <f t="shared" si="432"/>
        <v/>
      </c>
      <c r="V90" s="43">
        <f t="shared" si="433"/>
        <v>2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>
        <v>1</v>
      </c>
      <c r="AF90" s="48" t="s">
        <v>4</v>
      </c>
      <c r="AG90" s="49">
        <v>3</v>
      </c>
      <c r="AH90" s="8"/>
      <c r="AI90" s="42" t="str">
        <f t="shared" si="436"/>
        <v/>
      </c>
      <c r="AJ90" s="43">
        <f t="shared" si="437"/>
        <v>-2</v>
      </c>
      <c r="AK90" s="8"/>
      <c r="AL90" s="47">
        <v>2</v>
      </c>
      <c r="AM90" s="48" t="s">
        <v>4</v>
      </c>
      <c r="AN90" s="49">
        <v>1</v>
      </c>
      <c r="AO90" s="8"/>
      <c r="AP90" s="42" t="str">
        <f t="shared" si="438"/>
        <v/>
      </c>
      <c r="AQ90" s="43">
        <f t="shared" si="439"/>
        <v>1</v>
      </c>
      <c r="AR90" s="8"/>
      <c r="AS90" s="47">
        <v>0</v>
      </c>
      <c r="AT90" s="48" t="s">
        <v>4</v>
      </c>
      <c r="AU90" s="49">
        <v>1</v>
      </c>
      <c r="AV90" s="8"/>
      <c r="AW90" s="42" t="str">
        <f t="shared" si="440"/>
        <v/>
      </c>
      <c r="AX90" s="43">
        <f t="shared" si="441"/>
        <v>-1</v>
      </c>
      <c r="AY90" s="8"/>
      <c r="AZ90" s="47">
        <v>1</v>
      </c>
      <c r="BA90" s="48" t="s">
        <v>4</v>
      </c>
      <c r="BB90" s="49">
        <v>2</v>
      </c>
      <c r="BC90" s="8"/>
      <c r="BD90" s="42" t="str">
        <f t="shared" si="442"/>
        <v/>
      </c>
      <c r="BE90" s="43">
        <f t="shared" si="443"/>
        <v>-1</v>
      </c>
      <c r="BF90" s="8"/>
      <c r="BG90" s="47">
        <v>0</v>
      </c>
      <c r="BH90" s="48" t="s">
        <v>4</v>
      </c>
      <c r="BI90" s="49">
        <v>2</v>
      </c>
      <c r="BJ90" s="8"/>
      <c r="BK90" s="42" t="str">
        <f t="shared" si="444"/>
        <v/>
      </c>
      <c r="BL90" s="43">
        <f t="shared" si="445"/>
        <v>-2</v>
      </c>
      <c r="BM90" s="8"/>
      <c r="BN90" s="47">
        <v>1</v>
      </c>
      <c r="BO90" s="48" t="s">
        <v>4</v>
      </c>
      <c r="BP90" s="49">
        <v>3</v>
      </c>
      <c r="BQ90" s="8"/>
      <c r="BR90" s="42" t="str">
        <f t="shared" si="446"/>
        <v/>
      </c>
      <c r="BS90" s="43">
        <f t="shared" si="447"/>
        <v>-2</v>
      </c>
      <c r="BT90" s="8"/>
      <c r="BU90" s="47"/>
      <c r="BV90" s="48" t="s">
        <v>4</v>
      </c>
      <c r="BW90" s="49"/>
      <c r="BX90" s="8"/>
      <c r="BY90" s="42" t="str">
        <f t="shared" si="448"/>
        <v/>
      </c>
      <c r="BZ90" s="43">
        <f t="shared" si="449"/>
        <v>0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/>
      <c r="CJ90" s="48" t="s">
        <v>4</v>
      </c>
      <c r="CK90" s="49"/>
      <c r="CL90" s="8"/>
      <c r="CM90" s="42" t="str">
        <f t="shared" si="452"/>
        <v/>
      </c>
      <c r="CN90" s="43">
        <f t="shared" si="453"/>
        <v>0</v>
      </c>
      <c r="CO90" s="8"/>
      <c r="CP90" s="47">
        <v>1</v>
      </c>
      <c r="CQ90" s="48" t="s">
        <v>4</v>
      </c>
      <c r="CR90" s="49">
        <v>0</v>
      </c>
      <c r="CS90" s="8"/>
      <c r="CT90" s="42" t="str">
        <f t="shared" si="454"/>
        <v/>
      </c>
      <c r="CU90" s="43">
        <f t="shared" si="455"/>
        <v>1</v>
      </c>
      <c r="CV90" s="8"/>
      <c r="CW90" s="47">
        <v>4</v>
      </c>
      <c r="CX90" s="48" t="s">
        <v>4</v>
      </c>
      <c r="CY90" s="49">
        <v>3</v>
      </c>
      <c r="CZ90" s="8"/>
      <c r="DA90" s="42" t="str">
        <f t="shared" si="456"/>
        <v/>
      </c>
      <c r="DB90" s="43">
        <f t="shared" si="457"/>
        <v>1</v>
      </c>
      <c r="DC90" s="8"/>
      <c r="DD90" s="47">
        <v>0</v>
      </c>
      <c r="DE90" s="48" t="s">
        <v>4</v>
      </c>
      <c r="DF90" s="49">
        <v>2</v>
      </c>
      <c r="DG90" s="8"/>
      <c r="DH90" s="42" t="str">
        <f t="shared" si="458"/>
        <v/>
      </c>
      <c r="DI90" s="43">
        <f t="shared" si="459"/>
        <v>-2</v>
      </c>
      <c r="DJ90" s="8"/>
      <c r="DK90" s="47">
        <v>1</v>
      </c>
      <c r="DL90" s="48" t="s">
        <v>4</v>
      </c>
      <c r="DM90" s="49">
        <v>0</v>
      </c>
      <c r="DN90" s="8"/>
      <c r="DO90" s="42" t="str">
        <f t="shared" si="460"/>
        <v/>
      </c>
      <c r="DP90" s="43">
        <f t="shared" si="461"/>
        <v>1</v>
      </c>
      <c r="DQ90" s="8"/>
      <c r="DR90" s="47">
        <v>1</v>
      </c>
      <c r="DS90" s="48" t="s">
        <v>4</v>
      </c>
      <c r="DT90" s="49">
        <v>0</v>
      </c>
      <c r="DU90" s="8"/>
      <c r="DV90" s="42" t="str">
        <f t="shared" si="462"/>
        <v/>
      </c>
      <c r="DW90" s="43">
        <f t="shared" si="463"/>
        <v>1</v>
      </c>
      <c r="DX90" s="8"/>
      <c r="DY90" s="47">
        <v>3</v>
      </c>
      <c r="DZ90" s="48" t="s">
        <v>4</v>
      </c>
      <c r="EA90" s="49">
        <v>2</v>
      </c>
      <c r="EB90" s="8"/>
      <c r="EC90" s="42" t="str">
        <f t="shared" si="464"/>
        <v/>
      </c>
      <c r="ED90" s="43">
        <f t="shared" si="465"/>
        <v>1</v>
      </c>
      <c r="EE90" s="8"/>
      <c r="EF90" s="47">
        <v>1</v>
      </c>
      <c r="EG90" s="48" t="s">
        <v>4</v>
      </c>
      <c r="EH90" s="49">
        <v>2</v>
      </c>
      <c r="EI90" s="8"/>
      <c r="EJ90" s="42" t="str">
        <f t="shared" si="466"/>
        <v/>
      </c>
      <c r="EK90" s="43">
        <f t="shared" si="467"/>
        <v>-1</v>
      </c>
      <c r="EL90" s="8"/>
      <c r="EM90" s="47">
        <v>1</v>
      </c>
      <c r="EN90" s="48" t="s">
        <v>4</v>
      </c>
      <c r="EO90" s="49">
        <v>2</v>
      </c>
      <c r="EP90" s="8"/>
      <c r="EQ90" s="42" t="str">
        <f t="shared" si="468"/>
        <v/>
      </c>
      <c r="ER90" s="43">
        <f t="shared" si="469"/>
        <v>-1</v>
      </c>
      <c r="ES90" s="8"/>
      <c r="ET90" s="47">
        <v>2</v>
      </c>
      <c r="EU90" s="48" t="s">
        <v>4</v>
      </c>
      <c r="EV90" s="49">
        <v>3</v>
      </c>
      <c r="EW90" s="8"/>
      <c r="EX90" s="42" t="str">
        <f t="shared" si="470"/>
        <v/>
      </c>
      <c r="EY90" s="43">
        <f t="shared" si="471"/>
        <v>-1</v>
      </c>
      <c r="EZ90" s="8"/>
      <c r="FA90" s="47">
        <v>2</v>
      </c>
      <c r="FB90" s="48" t="s">
        <v>4</v>
      </c>
      <c r="FC90" s="49">
        <v>0</v>
      </c>
      <c r="FD90" s="8"/>
      <c r="FE90" s="42" t="str">
        <f t="shared" si="472"/>
        <v/>
      </c>
      <c r="FF90" s="43">
        <f t="shared" si="473"/>
        <v>2</v>
      </c>
      <c r="FG90" s="8"/>
      <c r="FH90" s="47">
        <v>1</v>
      </c>
      <c r="FI90" s="48" t="s">
        <v>4</v>
      </c>
      <c r="FJ90" s="49">
        <v>2</v>
      </c>
      <c r="FK90" s="8"/>
      <c r="FL90" s="42" t="str">
        <f t="shared" si="474"/>
        <v/>
      </c>
      <c r="FM90" s="43">
        <f t="shared" si="475"/>
        <v>-1</v>
      </c>
      <c r="FN90" s="8"/>
      <c r="FO90" s="47">
        <v>2</v>
      </c>
      <c r="FP90" s="48" t="s">
        <v>4</v>
      </c>
      <c r="FQ90" s="49">
        <v>1</v>
      </c>
      <c r="FR90" s="8"/>
      <c r="FS90" s="42" t="str">
        <f t="shared" si="476"/>
        <v/>
      </c>
      <c r="FT90" s="43">
        <f t="shared" si="477"/>
        <v>1</v>
      </c>
      <c r="FU90" s="8"/>
      <c r="FV90" s="47">
        <v>1</v>
      </c>
      <c r="FW90" s="48" t="s">
        <v>4</v>
      </c>
      <c r="FX90" s="49">
        <v>3</v>
      </c>
      <c r="FY90" s="8"/>
      <c r="FZ90" s="42" t="str">
        <f t="shared" si="478"/>
        <v/>
      </c>
      <c r="GA90" s="43">
        <f t="shared" si="479"/>
        <v>-2</v>
      </c>
      <c r="GB90" s="8"/>
      <c r="GC90" s="47">
        <v>2</v>
      </c>
      <c r="GD90" s="48" t="s">
        <v>4</v>
      </c>
      <c r="GE90" s="49">
        <v>1</v>
      </c>
      <c r="GF90" s="8"/>
      <c r="GG90" s="42" t="str">
        <f t="shared" si="480"/>
        <v/>
      </c>
      <c r="GH90" s="43">
        <f t="shared" si="481"/>
        <v>1</v>
      </c>
      <c r="GI90" s="8"/>
      <c r="GJ90" s="47">
        <v>3</v>
      </c>
      <c r="GK90" s="48" t="s">
        <v>4</v>
      </c>
      <c r="GL90" s="49">
        <v>1</v>
      </c>
      <c r="GM90" s="8"/>
      <c r="GN90" s="42" t="str">
        <f t="shared" si="482"/>
        <v/>
      </c>
      <c r="GO90" s="43">
        <f t="shared" si="483"/>
        <v>2</v>
      </c>
      <c r="GP90" s="8"/>
      <c r="GQ90" s="47">
        <v>2</v>
      </c>
      <c r="GR90" s="48" t="s">
        <v>4</v>
      </c>
      <c r="GS90" s="49">
        <v>1</v>
      </c>
      <c r="GT90" s="8"/>
      <c r="GU90" s="42" t="str">
        <f t="shared" si="484"/>
        <v/>
      </c>
      <c r="GV90" s="43">
        <f t="shared" si="485"/>
        <v>1</v>
      </c>
      <c r="GW90" s="8"/>
      <c r="GX90" s="47">
        <v>5</v>
      </c>
      <c r="GY90" s="48" t="s">
        <v>4</v>
      </c>
      <c r="GZ90" s="49">
        <v>4</v>
      </c>
      <c r="HA90" s="8"/>
      <c r="HB90" s="42" t="str">
        <f t="shared" si="486"/>
        <v/>
      </c>
      <c r="HC90" s="43">
        <f t="shared" si="487"/>
        <v>1</v>
      </c>
      <c r="HD90" s="8"/>
      <c r="HE90" s="47">
        <v>2</v>
      </c>
      <c r="HF90" s="48" t="s">
        <v>4</v>
      </c>
      <c r="HG90" s="49">
        <v>1</v>
      </c>
      <c r="HH90" s="8"/>
      <c r="HI90" s="42" t="str">
        <f t="shared" si="488"/>
        <v/>
      </c>
      <c r="HJ90" s="43">
        <f t="shared" si="489"/>
        <v>1</v>
      </c>
      <c r="HK90" s="8"/>
      <c r="HL90" s="47">
        <v>5</v>
      </c>
      <c r="HM90" s="48" t="s">
        <v>4</v>
      </c>
      <c r="HN90" s="49">
        <v>4</v>
      </c>
      <c r="HO90" s="8"/>
      <c r="HP90" s="42" t="str">
        <f t="shared" si="490"/>
        <v/>
      </c>
      <c r="HQ90" s="43">
        <f t="shared" si="491"/>
        <v>1</v>
      </c>
      <c r="HR90" s="8"/>
      <c r="HS90" s="47">
        <v>1</v>
      </c>
      <c r="HT90" s="48" t="s">
        <v>4</v>
      </c>
      <c r="HU90" s="49">
        <v>0</v>
      </c>
      <c r="HV90" s="8"/>
      <c r="HW90" s="42" t="str">
        <f t="shared" si="492"/>
        <v/>
      </c>
      <c r="HX90" s="43">
        <f t="shared" si="493"/>
        <v>1</v>
      </c>
      <c r="HY90" s="8"/>
      <c r="HZ90" s="47">
        <v>1</v>
      </c>
      <c r="IA90" s="48" t="s">
        <v>4</v>
      </c>
      <c r="IB90" s="49">
        <v>2</v>
      </c>
      <c r="IC90" s="8"/>
      <c r="ID90" s="42" t="str">
        <f t="shared" si="494"/>
        <v/>
      </c>
      <c r="IE90" s="43">
        <f t="shared" si="495"/>
        <v>-1</v>
      </c>
      <c r="IF90" s="8"/>
      <c r="IG90" s="47">
        <v>2</v>
      </c>
      <c r="IH90" s="48" t="s">
        <v>4</v>
      </c>
      <c r="II90" s="49">
        <v>1</v>
      </c>
      <c r="IJ90" s="8"/>
      <c r="IK90" s="42" t="str">
        <f t="shared" si="496"/>
        <v/>
      </c>
      <c r="IL90" s="43">
        <f t="shared" si="497"/>
        <v>1</v>
      </c>
      <c r="IM90" s="8"/>
      <c r="IN90" s="47">
        <v>4</v>
      </c>
      <c r="IO90" s="48" t="s">
        <v>4</v>
      </c>
      <c r="IP90" s="49">
        <v>5</v>
      </c>
      <c r="IQ90" s="8"/>
      <c r="IR90" s="42" t="str">
        <f t="shared" si="498"/>
        <v/>
      </c>
      <c r="IS90" s="43">
        <f t="shared" si="499"/>
        <v>-1</v>
      </c>
      <c r="IT90" s="8"/>
      <c r="IU90" s="47">
        <v>2</v>
      </c>
      <c r="IV90" s="48" t="s">
        <v>4</v>
      </c>
      <c r="IW90" s="49">
        <v>0</v>
      </c>
      <c r="IX90" s="8"/>
      <c r="IY90" s="42" t="str">
        <f t="shared" si="500"/>
        <v/>
      </c>
      <c r="IZ90" s="43">
        <f t="shared" si="501"/>
        <v>2</v>
      </c>
      <c r="JA90" s="8"/>
      <c r="JB90" s="47">
        <v>1</v>
      </c>
      <c r="JC90" s="48" t="s">
        <v>4</v>
      </c>
      <c r="JD90" s="49">
        <v>0</v>
      </c>
      <c r="JE90" s="8"/>
      <c r="JF90" s="42" t="str">
        <f t="shared" si="502"/>
        <v/>
      </c>
      <c r="JG90" s="43">
        <f t="shared" si="503"/>
        <v>1</v>
      </c>
      <c r="JH90" s="8"/>
      <c r="JI90" s="47">
        <v>3</v>
      </c>
      <c r="JJ90" s="48" t="s">
        <v>4</v>
      </c>
      <c r="JK90" s="49">
        <v>2</v>
      </c>
      <c r="JL90" s="8"/>
      <c r="JM90" s="42" t="str">
        <f t="shared" si="504"/>
        <v/>
      </c>
      <c r="JN90" s="43">
        <f t="shared" si="505"/>
        <v>1</v>
      </c>
      <c r="JO90" s="8"/>
      <c r="JP90" s="47">
        <v>1</v>
      </c>
      <c r="JQ90" s="48" t="s">
        <v>4</v>
      </c>
      <c r="JR90" s="49">
        <v>2</v>
      </c>
      <c r="JS90" s="8"/>
      <c r="JT90" s="42" t="str">
        <f t="shared" si="506"/>
        <v/>
      </c>
      <c r="JU90" s="43">
        <f t="shared" si="507"/>
        <v>-1</v>
      </c>
      <c r="JV90" s="8"/>
      <c r="JW90" s="47">
        <v>1</v>
      </c>
      <c r="JX90" s="48" t="s">
        <v>4</v>
      </c>
      <c r="JY90" s="49">
        <v>0</v>
      </c>
      <c r="JZ90" s="8"/>
      <c r="KA90" s="42" t="str">
        <f t="shared" si="508"/>
        <v/>
      </c>
      <c r="KB90" s="43">
        <f t="shared" si="509"/>
        <v>1</v>
      </c>
      <c r="KC90" s="8"/>
      <c r="KD90" s="47">
        <v>2</v>
      </c>
      <c r="KE90" s="48" t="s">
        <v>4</v>
      </c>
      <c r="KF90" s="49">
        <v>1</v>
      </c>
      <c r="KG90" s="8"/>
      <c r="KH90" s="42" t="str">
        <f t="shared" si="510"/>
        <v/>
      </c>
      <c r="KI90" s="43">
        <f t="shared" si="511"/>
        <v>1</v>
      </c>
      <c r="KJ90" s="8"/>
      <c r="KK90" s="47">
        <v>1</v>
      </c>
      <c r="KL90" s="48" t="s">
        <v>4</v>
      </c>
      <c r="KM90" s="49">
        <v>0</v>
      </c>
      <c r="KN90" s="8"/>
      <c r="KO90" s="42" t="str">
        <f t="shared" si="512"/>
        <v/>
      </c>
      <c r="KP90" s="43">
        <f t="shared" si="513"/>
        <v>1</v>
      </c>
      <c r="KQ90" s="8"/>
      <c r="KR90" s="47">
        <v>3</v>
      </c>
      <c r="KS90" s="48" t="s">
        <v>4</v>
      </c>
      <c r="KT90" s="49">
        <v>1</v>
      </c>
      <c r="KU90" s="8"/>
      <c r="KV90" s="42" t="str">
        <f t="shared" si="514"/>
        <v/>
      </c>
      <c r="KW90" s="43">
        <f t="shared" si="515"/>
        <v>2</v>
      </c>
      <c r="KX90" s="8"/>
      <c r="KY90" s="47">
        <v>2</v>
      </c>
      <c r="KZ90" s="48" t="s">
        <v>4</v>
      </c>
      <c r="LA90" s="49">
        <v>1</v>
      </c>
      <c r="LB90" s="8"/>
      <c r="LC90" s="42" t="str">
        <f t="shared" si="516"/>
        <v/>
      </c>
      <c r="LD90" s="43">
        <f t="shared" si="517"/>
        <v>1</v>
      </c>
      <c r="LE90" s="8"/>
      <c r="LF90" s="47">
        <v>0</v>
      </c>
      <c r="LG90" s="48" t="s">
        <v>4</v>
      </c>
      <c r="LH90" s="49">
        <v>1</v>
      </c>
      <c r="LI90" s="8"/>
      <c r="LJ90" s="42" t="str">
        <f t="shared" si="518"/>
        <v/>
      </c>
      <c r="LK90" s="43">
        <f t="shared" si="519"/>
        <v>-1</v>
      </c>
      <c r="LL90" s="8"/>
      <c r="LM90" s="47">
        <v>3</v>
      </c>
      <c r="LN90" s="48" t="s">
        <v>4</v>
      </c>
      <c r="LO90" s="49">
        <v>1</v>
      </c>
      <c r="LP90" s="8"/>
      <c r="LQ90" s="42" t="str">
        <f t="shared" si="520"/>
        <v/>
      </c>
      <c r="LR90" s="43">
        <f t="shared" si="521"/>
        <v>2</v>
      </c>
      <c r="LS90" s="8"/>
      <c r="LT90" s="47">
        <v>1</v>
      </c>
      <c r="LU90" s="48" t="s">
        <v>4</v>
      </c>
      <c r="LV90" s="49">
        <v>2</v>
      </c>
      <c r="LW90" s="8"/>
      <c r="LX90" s="42" t="str">
        <f t="shared" si="522"/>
        <v/>
      </c>
      <c r="LY90" s="43">
        <f t="shared" si="523"/>
        <v>-1</v>
      </c>
      <c r="LZ90" s="8"/>
      <c r="MA90" s="47">
        <v>1</v>
      </c>
      <c r="MB90" s="48" t="s">
        <v>4</v>
      </c>
      <c r="MC90" s="49">
        <v>2</v>
      </c>
      <c r="MD90" s="8"/>
      <c r="ME90" s="42" t="str">
        <f t="shared" si="524"/>
        <v/>
      </c>
      <c r="MF90" s="43">
        <f t="shared" si="525"/>
        <v>-1</v>
      </c>
      <c r="MG90" s="8"/>
      <c r="MH90" s="47">
        <v>2</v>
      </c>
      <c r="MI90" s="48" t="s">
        <v>4</v>
      </c>
      <c r="MJ90" s="49">
        <v>1</v>
      </c>
      <c r="MK90" s="8"/>
      <c r="ML90" s="42" t="str">
        <f t="shared" si="526"/>
        <v/>
      </c>
      <c r="MM90" s="43">
        <f t="shared" si="527"/>
        <v>1</v>
      </c>
      <c r="MN90" s="8"/>
      <c r="MO90" s="47">
        <v>2</v>
      </c>
      <c r="MP90" s="48" t="s">
        <v>4</v>
      </c>
      <c r="MQ90" s="49">
        <v>0</v>
      </c>
      <c r="MR90" s="8"/>
      <c r="MS90" s="42" t="str">
        <f t="shared" si="528"/>
        <v/>
      </c>
      <c r="MT90" s="43">
        <f t="shared" si="529"/>
        <v>2</v>
      </c>
      <c r="MU90" s="8"/>
      <c r="MV90" s="47">
        <v>2</v>
      </c>
      <c r="MW90" s="48" t="s">
        <v>4</v>
      </c>
      <c r="MX90" s="49">
        <v>1</v>
      </c>
      <c r="MY90" s="8"/>
      <c r="MZ90" s="42" t="str">
        <f t="shared" si="530"/>
        <v/>
      </c>
      <c r="NA90" s="43">
        <f t="shared" si="531"/>
        <v>1</v>
      </c>
      <c r="NB90" s="8"/>
      <c r="NC90" s="47">
        <v>2</v>
      </c>
      <c r="ND90" s="48" t="s">
        <v>4</v>
      </c>
      <c r="NE90" s="49">
        <v>0</v>
      </c>
      <c r="NF90" s="8"/>
      <c r="NG90" s="42" t="str">
        <f t="shared" si="532"/>
        <v/>
      </c>
      <c r="NH90" s="43">
        <f t="shared" si="533"/>
        <v>2</v>
      </c>
      <c r="NI90" s="8"/>
      <c r="NJ90" s="47">
        <v>3</v>
      </c>
      <c r="NK90" s="48" t="s">
        <v>4</v>
      </c>
      <c r="NL90" s="49">
        <v>1</v>
      </c>
      <c r="NM90" s="8"/>
      <c r="NN90" s="42" t="str">
        <f t="shared" si="534"/>
        <v/>
      </c>
      <c r="NO90" s="43">
        <f t="shared" si="535"/>
        <v>2</v>
      </c>
      <c r="NP90" s="8"/>
      <c r="NQ90" s="47">
        <v>1</v>
      </c>
      <c r="NR90" s="48" t="s">
        <v>4</v>
      </c>
      <c r="NS90" s="49">
        <v>0</v>
      </c>
      <c r="NT90" s="8"/>
      <c r="NU90" s="42" t="str">
        <f t="shared" si="536"/>
        <v/>
      </c>
      <c r="NV90" s="43">
        <f t="shared" si="537"/>
        <v>1</v>
      </c>
      <c r="NW90" s="8"/>
      <c r="NX90" s="47">
        <v>5</v>
      </c>
      <c r="NY90" s="48" t="s">
        <v>4</v>
      </c>
      <c r="NZ90" s="49">
        <v>3</v>
      </c>
      <c r="OA90" s="8"/>
      <c r="OB90" s="42" t="str">
        <f t="shared" si="538"/>
        <v/>
      </c>
      <c r="OC90" s="43">
        <f t="shared" si="539"/>
        <v>2</v>
      </c>
      <c r="OD90" s="8"/>
      <c r="OE90" s="47">
        <v>3</v>
      </c>
      <c r="OF90" s="48" t="s">
        <v>4</v>
      </c>
      <c r="OG90" s="49">
        <v>1</v>
      </c>
      <c r="OH90" s="8"/>
      <c r="OI90" s="42" t="str">
        <f t="shared" si="540"/>
        <v/>
      </c>
      <c r="OJ90" s="43">
        <f t="shared" si="541"/>
        <v>2</v>
      </c>
      <c r="OK90" s="8"/>
      <c r="OL90" s="47">
        <v>3</v>
      </c>
      <c r="OM90" s="48" t="s">
        <v>4</v>
      </c>
      <c r="ON90" s="49">
        <v>0</v>
      </c>
      <c r="OO90" s="8"/>
      <c r="OP90" s="42" t="str">
        <f t="shared" si="542"/>
        <v/>
      </c>
      <c r="OQ90" s="43">
        <f t="shared" si="543"/>
        <v>3</v>
      </c>
      <c r="OR90" s="8"/>
      <c r="OS90" s="47">
        <v>4</v>
      </c>
      <c r="OT90" s="48" t="s">
        <v>4</v>
      </c>
      <c r="OU90" s="49">
        <v>0</v>
      </c>
      <c r="OV90" s="8"/>
      <c r="OW90" s="42" t="str">
        <f t="shared" si="544"/>
        <v/>
      </c>
      <c r="OX90" s="43">
        <f t="shared" si="545"/>
        <v>4</v>
      </c>
      <c r="OY90" s="8"/>
      <c r="OZ90" s="47">
        <v>3</v>
      </c>
      <c r="PA90" s="48" t="s">
        <v>4</v>
      </c>
      <c r="PB90" s="49">
        <v>2</v>
      </c>
      <c r="PC90" s="8"/>
      <c r="PD90" s="42" t="str">
        <f t="shared" si="546"/>
        <v/>
      </c>
      <c r="PE90" s="43">
        <f t="shared" si="547"/>
        <v>1</v>
      </c>
      <c r="PF90" s="8"/>
      <c r="PG90" s="47">
        <v>1</v>
      </c>
      <c r="PH90" s="48" t="s">
        <v>4</v>
      </c>
      <c r="PI90" s="49">
        <v>2</v>
      </c>
      <c r="PJ90" s="8"/>
      <c r="PK90" s="42" t="str">
        <f t="shared" si="548"/>
        <v/>
      </c>
      <c r="PL90" s="43">
        <f t="shared" si="549"/>
        <v>-1</v>
      </c>
      <c r="PM90" s="8"/>
      <c r="PN90" s="47">
        <v>2</v>
      </c>
      <c r="PO90" s="48" t="s">
        <v>4</v>
      </c>
      <c r="PP90" s="49">
        <v>1</v>
      </c>
      <c r="PQ90" s="8"/>
      <c r="PR90" s="42" t="str">
        <f t="shared" si="550"/>
        <v/>
      </c>
      <c r="PS90" s="43">
        <f t="shared" si="551"/>
        <v>1</v>
      </c>
      <c r="PT90" s="8"/>
      <c r="PU90" s="47">
        <v>1</v>
      </c>
      <c r="PV90" s="48" t="s">
        <v>4</v>
      </c>
      <c r="PW90" s="49">
        <v>2</v>
      </c>
      <c r="PX90" s="8"/>
      <c r="PY90" s="42" t="str">
        <f t="shared" si="552"/>
        <v/>
      </c>
      <c r="PZ90" s="43">
        <f t="shared" si="553"/>
        <v>-1</v>
      </c>
      <c r="QA90" s="8"/>
      <c r="QB90" s="47">
        <v>2</v>
      </c>
      <c r="QC90" s="48" t="s">
        <v>4</v>
      </c>
      <c r="QD90" s="49">
        <v>1</v>
      </c>
      <c r="QE90" s="8"/>
      <c r="QF90" s="42" t="str">
        <f t="shared" si="554"/>
        <v/>
      </c>
      <c r="QG90" s="43">
        <f t="shared" si="555"/>
        <v>1</v>
      </c>
      <c r="QH90" s="8"/>
      <c r="QI90" s="47">
        <v>1</v>
      </c>
      <c r="QJ90" s="48" t="s">
        <v>4</v>
      </c>
      <c r="QK90" s="49">
        <v>0</v>
      </c>
      <c r="QL90" s="8"/>
      <c r="QM90" s="42" t="str">
        <f t="shared" si="556"/>
        <v/>
      </c>
      <c r="QN90" s="43">
        <f t="shared" si="557"/>
        <v>1</v>
      </c>
      <c r="QO90" s="8"/>
      <c r="QP90" s="47">
        <v>1</v>
      </c>
      <c r="QQ90" s="48" t="s">
        <v>4</v>
      </c>
      <c r="QR90" s="49">
        <v>3</v>
      </c>
      <c r="QS90" s="8"/>
      <c r="QT90" s="42" t="str">
        <f t="shared" si="558"/>
        <v/>
      </c>
      <c r="QU90" s="43">
        <f t="shared" si="559"/>
        <v>-2</v>
      </c>
      <c r="QV90" s="8"/>
      <c r="QW90" s="47">
        <v>1</v>
      </c>
      <c r="QX90" s="48" t="s">
        <v>4</v>
      </c>
      <c r="QY90" s="49">
        <v>0</v>
      </c>
      <c r="QZ90" s="8"/>
      <c r="RA90" s="42" t="str">
        <f t="shared" si="560"/>
        <v/>
      </c>
      <c r="RB90" s="43">
        <f t="shared" si="561"/>
        <v>1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/>
      <c r="RL90" s="48" t="s">
        <v>4</v>
      </c>
      <c r="RM90" s="49"/>
      <c r="RN90" s="8"/>
      <c r="RO90" s="42" t="str">
        <f t="shared" si="564"/>
        <v/>
      </c>
      <c r="RP90" s="43">
        <f t="shared" si="565"/>
        <v>0</v>
      </c>
      <c r="RQ90" s="8"/>
      <c r="RR90" s="47"/>
      <c r="RS90" s="48" t="s">
        <v>4</v>
      </c>
      <c r="RT90" s="49"/>
      <c r="RU90" s="8"/>
      <c r="RV90" s="42" t="str">
        <f t="shared" si="566"/>
        <v/>
      </c>
      <c r="RW90" s="43">
        <f t="shared" si="567"/>
        <v>0</v>
      </c>
      <c r="RX90" s="8"/>
      <c r="RY90" s="47"/>
      <c r="RZ90" s="48" t="s">
        <v>4</v>
      </c>
      <c r="SA90" s="49"/>
      <c r="SB90" s="8"/>
      <c r="SC90" s="42" t="str">
        <f t="shared" si="568"/>
        <v/>
      </c>
      <c r="SD90" s="43">
        <f t="shared" si="569"/>
        <v>0</v>
      </c>
      <c r="SE90" s="8"/>
      <c r="SF90" s="47"/>
      <c r="SG90" s="48" t="s">
        <v>4</v>
      </c>
      <c r="SH90" s="49"/>
      <c r="SI90" s="8"/>
      <c r="SJ90" s="42" t="str">
        <f t="shared" si="570"/>
        <v/>
      </c>
      <c r="SK90" s="43">
        <f t="shared" si="571"/>
        <v>0</v>
      </c>
      <c r="SL90" s="8"/>
      <c r="SM90" s="47"/>
      <c r="SN90" s="48" t="s">
        <v>4</v>
      </c>
      <c r="SO90" s="49"/>
      <c r="SP90" s="8"/>
      <c r="SQ90" s="42" t="str">
        <f t="shared" si="572"/>
        <v/>
      </c>
      <c r="SR90" s="43">
        <f t="shared" si="573"/>
        <v>0</v>
      </c>
    </row>
    <row r="91" spans="1:512" ht="16" customHeight="1" x14ac:dyDescent="0.15">
      <c r="A91" s="51">
        <v>46205</v>
      </c>
      <c r="B91" s="46">
        <v>8.3333333333333329E-2</v>
      </c>
      <c r="C91" s="82" t="s">
        <v>32</v>
      </c>
      <c r="D91" s="82" t="s">
        <v>627</v>
      </c>
      <c r="E91" s="2"/>
      <c r="F91" s="50" t="s">
        <v>4</v>
      </c>
      <c r="G91" s="1"/>
      <c r="H91" s="45">
        <v>0.2</v>
      </c>
      <c r="I91" s="32">
        <f t="shared" si="429"/>
        <v>0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>
        <v>0</v>
      </c>
      <c r="R91" s="48" t="s">
        <v>4</v>
      </c>
      <c r="S91" s="49">
        <v>10</v>
      </c>
      <c r="T91" s="8"/>
      <c r="U91" s="42" t="str">
        <f t="shared" si="432"/>
        <v/>
      </c>
      <c r="V91" s="43">
        <f t="shared" si="433"/>
        <v>-10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>
        <v>1</v>
      </c>
      <c r="AF91" s="48" t="s">
        <v>4</v>
      </c>
      <c r="AG91" s="49">
        <v>2</v>
      </c>
      <c r="AH91" s="8"/>
      <c r="AI91" s="42" t="str">
        <f t="shared" si="436"/>
        <v/>
      </c>
      <c r="AJ91" s="43">
        <f t="shared" si="437"/>
        <v>-1</v>
      </c>
      <c r="AK91" s="8"/>
      <c r="AL91" s="47">
        <v>2</v>
      </c>
      <c r="AM91" s="48" t="s">
        <v>4</v>
      </c>
      <c r="AN91" s="49">
        <v>0</v>
      </c>
      <c r="AO91" s="8"/>
      <c r="AP91" s="42" t="str">
        <f t="shared" si="438"/>
        <v/>
      </c>
      <c r="AQ91" s="43">
        <f t="shared" si="439"/>
        <v>2</v>
      </c>
      <c r="AR91" s="8"/>
      <c r="AS91" s="47">
        <v>0</v>
      </c>
      <c r="AT91" s="48" t="s">
        <v>4</v>
      </c>
      <c r="AU91" s="49">
        <v>1</v>
      </c>
      <c r="AV91" s="8"/>
      <c r="AW91" s="42" t="str">
        <f t="shared" si="440"/>
        <v/>
      </c>
      <c r="AX91" s="43">
        <f t="shared" si="441"/>
        <v>-1</v>
      </c>
      <c r="AY91" s="8"/>
      <c r="AZ91" s="47">
        <v>2</v>
      </c>
      <c r="BA91" s="48" t="s">
        <v>4</v>
      </c>
      <c r="BB91" s="49">
        <v>1</v>
      </c>
      <c r="BC91" s="8"/>
      <c r="BD91" s="42" t="str">
        <f t="shared" si="442"/>
        <v/>
      </c>
      <c r="BE91" s="43">
        <f t="shared" si="443"/>
        <v>1</v>
      </c>
      <c r="BF91" s="8"/>
      <c r="BG91" s="47">
        <v>1</v>
      </c>
      <c r="BH91" s="48" t="s">
        <v>4</v>
      </c>
      <c r="BI91" s="49">
        <v>0</v>
      </c>
      <c r="BJ91" s="8"/>
      <c r="BK91" s="42" t="str">
        <f t="shared" si="444"/>
        <v/>
      </c>
      <c r="BL91" s="43">
        <f t="shared" si="445"/>
        <v>1</v>
      </c>
      <c r="BM91" s="8"/>
      <c r="BN91" s="47">
        <v>2</v>
      </c>
      <c r="BO91" s="48" t="s">
        <v>4</v>
      </c>
      <c r="BP91" s="49">
        <v>0</v>
      </c>
      <c r="BQ91" s="8"/>
      <c r="BR91" s="42" t="str">
        <f t="shared" si="446"/>
        <v/>
      </c>
      <c r="BS91" s="43">
        <f t="shared" si="447"/>
        <v>2</v>
      </c>
      <c r="BT91" s="8"/>
      <c r="BU91" s="47"/>
      <c r="BV91" s="48" t="s">
        <v>4</v>
      </c>
      <c r="BW91" s="49"/>
      <c r="BX91" s="8"/>
      <c r="BY91" s="42" t="str">
        <f t="shared" si="448"/>
        <v/>
      </c>
      <c r="BZ91" s="43">
        <f t="shared" si="449"/>
        <v>0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/>
      <c r="CJ91" s="48" t="s">
        <v>4</v>
      </c>
      <c r="CK91" s="49"/>
      <c r="CL91" s="8"/>
      <c r="CM91" s="42" t="str">
        <f t="shared" si="452"/>
        <v/>
      </c>
      <c r="CN91" s="43">
        <f t="shared" si="453"/>
        <v>0</v>
      </c>
      <c r="CO91" s="8"/>
      <c r="CP91" s="47">
        <v>6</v>
      </c>
      <c r="CQ91" s="48" t="s">
        <v>4</v>
      </c>
      <c r="CR91" s="49">
        <v>7</v>
      </c>
      <c r="CS91" s="8"/>
      <c r="CT91" s="42" t="str">
        <f t="shared" si="454"/>
        <v/>
      </c>
      <c r="CU91" s="43">
        <f t="shared" si="455"/>
        <v>-1</v>
      </c>
      <c r="CV91" s="8"/>
      <c r="CW91" s="47">
        <v>2</v>
      </c>
      <c r="CX91" s="48" t="s">
        <v>4</v>
      </c>
      <c r="CY91" s="49">
        <v>0</v>
      </c>
      <c r="CZ91" s="8"/>
      <c r="DA91" s="42" t="str">
        <f t="shared" si="456"/>
        <v/>
      </c>
      <c r="DB91" s="43">
        <f t="shared" si="457"/>
        <v>2</v>
      </c>
      <c r="DC91" s="8"/>
      <c r="DD91" s="47">
        <v>0</v>
      </c>
      <c r="DE91" s="48" t="s">
        <v>4</v>
      </c>
      <c r="DF91" s="49">
        <v>2</v>
      </c>
      <c r="DG91" s="8"/>
      <c r="DH91" s="42" t="str">
        <f t="shared" si="458"/>
        <v/>
      </c>
      <c r="DI91" s="43">
        <f t="shared" si="459"/>
        <v>-2</v>
      </c>
      <c r="DJ91" s="8"/>
      <c r="DK91" s="47">
        <v>0</v>
      </c>
      <c r="DL91" s="48" t="s">
        <v>4</v>
      </c>
      <c r="DM91" s="49">
        <v>1</v>
      </c>
      <c r="DN91" s="8"/>
      <c r="DO91" s="42" t="str">
        <f t="shared" si="460"/>
        <v/>
      </c>
      <c r="DP91" s="43">
        <f t="shared" si="461"/>
        <v>-1</v>
      </c>
      <c r="DQ91" s="8"/>
      <c r="DR91" s="47">
        <v>4</v>
      </c>
      <c r="DS91" s="48" t="s">
        <v>4</v>
      </c>
      <c r="DT91" s="49">
        <v>3</v>
      </c>
      <c r="DU91" s="8"/>
      <c r="DV91" s="42" t="str">
        <f t="shared" si="462"/>
        <v/>
      </c>
      <c r="DW91" s="43">
        <f t="shared" si="463"/>
        <v>1</v>
      </c>
      <c r="DX91" s="8"/>
      <c r="DY91" s="47">
        <v>0</v>
      </c>
      <c r="DZ91" s="48" t="s">
        <v>4</v>
      </c>
      <c r="EA91" s="49">
        <v>3</v>
      </c>
      <c r="EB91" s="8"/>
      <c r="EC91" s="42" t="str">
        <f t="shared" si="464"/>
        <v/>
      </c>
      <c r="ED91" s="43">
        <f t="shared" si="465"/>
        <v>-3</v>
      </c>
      <c r="EE91" s="8"/>
      <c r="EF91" s="47">
        <v>2</v>
      </c>
      <c r="EG91" s="48" t="s">
        <v>4</v>
      </c>
      <c r="EH91" s="49">
        <v>0</v>
      </c>
      <c r="EI91" s="8"/>
      <c r="EJ91" s="42" t="str">
        <f t="shared" si="466"/>
        <v/>
      </c>
      <c r="EK91" s="43">
        <f t="shared" si="467"/>
        <v>2</v>
      </c>
      <c r="EL91" s="8"/>
      <c r="EM91" s="47">
        <v>2</v>
      </c>
      <c r="EN91" s="48" t="s">
        <v>4</v>
      </c>
      <c r="EO91" s="49">
        <v>1</v>
      </c>
      <c r="EP91" s="8"/>
      <c r="EQ91" s="42" t="str">
        <f t="shared" si="468"/>
        <v/>
      </c>
      <c r="ER91" s="43">
        <f t="shared" si="469"/>
        <v>1</v>
      </c>
      <c r="ES91" s="8"/>
      <c r="ET91" s="47">
        <v>3</v>
      </c>
      <c r="EU91" s="48" t="s">
        <v>4</v>
      </c>
      <c r="EV91" s="49">
        <v>1</v>
      </c>
      <c r="EW91" s="8"/>
      <c r="EX91" s="42" t="str">
        <f t="shared" si="470"/>
        <v/>
      </c>
      <c r="EY91" s="43">
        <f t="shared" si="471"/>
        <v>2</v>
      </c>
      <c r="EZ91" s="8"/>
      <c r="FA91" s="47">
        <v>1</v>
      </c>
      <c r="FB91" s="48" t="s">
        <v>4</v>
      </c>
      <c r="FC91" s="49">
        <v>2</v>
      </c>
      <c r="FD91" s="8"/>
      <c r="FE91" s="42" t="str">
        <f t="shared" si="472"/>
        <v/>
      </c>
      <c r="FF91" s="43">
        <f t="shared" si="473"/>
        <v>-1</v>
      </c>
      <c r="FG91" s="8"/>
      <c r="FH91" s="47">
        <v>2</v>
      </c>
      <c r="FI91" s="48" t="s">
        <v>4</v>
      </c>
      <c r="FJ91" s="49">
        <v>0</v>
      </c>
      <c r="FK91" s="8"/>
      <c r="FL91" s="42" t="str">
        <f t="shared" si="474"/>
        <v/>
      </c>
      <c r="FM91" s="43">
        <f t="shared" si="475"/>
        <v>2</v>
      </c>
      <c r="FN91" s="8"/>
      <c r="FO91" s="47">
        <v>2</v>
      </c>
      <c r="FP91" s="48" t="s">
        <v>4</v>
      </c>
      <c r="FQ91" s="49">
        <v>1</v>
      </c>
      <c r="FR91" s="8"/>
      <c r="FS91" s="42" t="str">
        <f t="shared" si="476"/>
        <v/>
      </c>
      <c r="FT91" s="43">
        <f t="shared" si="477"/>
        <v>1</v>
      </c>
      <c r="FU91" s="8"/>
      <c r="FV91" s="47">
        <v>3</v>
      </c>
      <c r="FW91" s="48" t="s">
        <v>4</v>
      </c>
      <c r="FX91" s="49">
        <v>0</v>
      </c>
      <c r="FY91" s="8"/>
      <c r="FZ91" s="42" t="str">
        <f t="shared" si="478"/>
        <v/>
      </c>
      <c r="GA91" s="43">
        <f t="shared" si="479"/>
        <v>3</v>
      </c>
      <c r="GB91" s="8"/>
      <c r="GC91" s="47">
        <v>0</v>
      </c>
      <c r="GD91" s="48" t="s">
        <v>4</v>
      </c>
      <c r="GE91" s="49">
        <v>1</v>
      </c>
      <c r="GF91" s="8"/>
      <c r="GG91" s="42" t="str">
        <f t="shared" si="480"/>
        <v/>
      </c>
      <c r="GH91" s="43">
        <f t="shared" si="481"/>
        <v>-1</v>
      </c>
      <c r="GI91" s="8"/>
      <c r="GJ91" s="47">
        <v>1</v>
      </c>
      <c r="GK91" s="48" t="s">
        <v>4</v>
      </c>
      <c r="GL91" s="49">
        <v>2</v>
      </c>
      <c r="GM91" s="8"/>
      <c r="GN91" s="42" t="str">
        <f t="shared" si="482"/>
        <v/>
      </c>
      <c r="GO91" s="43">
        <f t="shared" si="483"/>
        <v>-1</v>
      </c>
      <c r="GP91" s="8"/>
      <c r="GQ91" s="47">
        <v>5</v>
      </c>
      <c r="GR91" s="48" t="s">
        <v>4</v>
      </c>
      <c r="GS91" s="49">
        <v>3</v>
      </c>
      <c r="GT91" s="8"/>
      <c r="GU91" s="42" t="str">
        <f t="shared" si="484"/>
        <v/>
      </c>
      <c r="GV91" s="43">
        <f t="shared" si="485"/>
        <v>2</v>
      </c>
      <c r="GW91" s="8"/>
      <c r="GX91" s="47">
        <v>2</v>
      </c>
      <c r="GY91" s="48" t="s">
        <v>4</v>
      </c>
      <c r="GZ91" s="49">
        <v>0</v>
      </c>
      <c r="HA91" s="8"/>
      <c r="HB91" s="42" t="str">
        <f t="shared" si="486"/>
        <v/>
      </c>
      <c r="HC91" s="43">
        <f t="shared" si="487"/>
        <v>2</v>
      </c>
      <c r="HD91" s="8"/>
      <c r="HE91" s="47">
        <v>2</v>
      </c>
      <c r="HF91" s="48" t="s">
        <v>4</v>
      </c>
      <c r="HG91" s="49">
        <v>0</v>
      </c>
      <c r="HH91" s="8"/>
      <c r="HI91" s="42" t="str">
        <f t="shared" si="488"/>
        <v/>
      </c>
      <c r="HJ91" s="43">
        <f t="shared" si="489"/>
        <v>2</v>
      </c>
      <c r="HK91" s="8"/>
      <c r="HL91" s="47">
        <v>0</v>
      </c>
      <c r="HM91" s="48" t="s">
        <v>4</v>
      </c>
      <c r="HN91" s="49">
        <v>5</v>
      </c>
      <c r="HO91" s="8"/>
      <c r="HP91" s="42" t="str">
        <f t="shared" si="490"/>
        <v/>
      </c>
      <c r="HQ91" s="43">
        <f t="shared" si="491"/>
        <v>-5</v>
      </c>
      <c r="HR91" s="8"/>
      <c r="HS91" s="47">
        <v>2</v>
      </c>
      <c r="HT91" s="48" t="s">
        <v>4</v>
      </c>
      <c r="HU91" s="49">
        <v>0</v>
      </c>
      <c r="HV91" s="8"/>
      <c r="HW91" s="42" t="str">
        <f t="shared" si="492"/>
        <v/>
      </c>
      <c r="HX91" s="43">
        <f t="shared" si="493"/>
        <v>2</v>
      </c>
      <c r="HY91" s="8"/>
      <c r="HZ91" s="47">
        <v>67</v>
      </c>
      <c r="IA91" s="48" t="s">
        <v>4</v>
      </c>
      <c r="IB91" s="49">
        <v>1</v>
      </c>
      <c r="IC91" s="8"/>
      <c r="ID91" s="42" t="str">
        <f t="shared" si="494"/>
        <v/>
      </c>
      <c r="IE91" s="43">
        <f t="shared" si="495"/>
        <v>66</v>
      </c>
      <c r="IF91" s="8"/>
      <c r="IG91" s="47">
        <v>0</v>
      </c>
      <c r="IH91" s="48" t="s">
        <v>4</v>
      </c>
      <c r="II91" s="49">
        <v>3</v>
      </c>
      <c r="IJ91" s="8"/>
      <c r="IK91" s="42" t="str">
        <f t="shared" si="496"/>
        <v/>
      </c>
      <c r="IL91" s="43">
        <f t="shared" si="497"/>
        <v>-3</v>
      </c>
      <c r="IM91" s="8"/>
      <c r="IN91" s="47">
        <v>2</v>
      </c>
      <c r="IO91" s="48" t="s">
        <v>4</v>
      </c>
      <c r="IP91" s="49">
        <v>1</v>
      </c>
      <c r="IQ91" s="8"/>
      <c r="IR91" s="42" t="str">
        <f t="shared" si="498"/>
        <v/>
      </c>
      <c r="IS91" s="43">
        <f t="shared" si="499"/>
        <v>1</v>
      </c>
      <c r="IT91" s="8"/>
      <c r="IU91" s="47">
        <v>0</v>
      </c>
      <c r="IV91" s="48" t="s">
        <v>4</v>
      </c>
      <c r="IW91" s="49">
        <v>2</v>
      </c>
      <c r="IX91" s="8"/>
      <c r="IY91" s="42" t="str">
        <f t="shared" si="500"/>
        <v/>
      </c>
      <c r="IZ91" s="43">
        <f t="shared" si="501"/>
        <v>-2</v>
      </c>
      <c r="JA91" s="8"/>
      <c r="JB91" s="47">
        <v>7</v>
      </c>
      <c r="JC91" s="48" t="s">
        <v>4</v>
      </c>
      <c r="JD91" s="49">
        <v>6</v>
      </c>
      <c r="JE91" s="8"/>
      <c r="JF91" s="42" t="str">
        <f t="shared" si="502"/>
        <v/>
      </c>
      <c r="JG91" s="43">
        <f t="shared" si="503"/>
        <v>1</v>
      </c>
      <c r="JH91" s="8"/>
      <c r="JI91" s="47">
        <v>1</v>
      </c>
      <c r="JJ91" s="48" t="s">
        <v>4</v>
      </c>
      <c r="JK91" s="49">
        <v>2</v>
      </c>
      <c r="JL91" s="8"/>
      <c r="JM91" s="42" t="str">
        <f t="shared" si="504"/>
        <v/>
      </c>
      <c r="JN91" s="43">
        <f t="shared" si="505"/>
        <v>-1</v>
      </c>
      <c r="JO91" s="8"/>
      <c r="JP91" s="47">
        <v>2</v>
      </c>
      <c r="JQ91" s="48" t="s">
        <v>4</v>
      </c>
      <c r="JR91" s="49">
        <v>0</v>
      </c>
      <c r="JS91" s="8"/>
      <c r="JT91" s="42" t="str">
        <f t="shared" si="506"/>
        <v/>
      </c>
      <c r="JU91" s="43">
        <f t="shared" si="507"/>
        <v>2</v>
      </c>
      <c r="JV91" s="8"/>
      <c r="JW91" s="47">
        <v>3</v>
      </c>
      <c r="JX91" s="48" t="s">
        <v>4</v>
      </c>
      <c r="JY91" s="49">
        <v>1</v>
      </c>
      <c r="JZ91" s="8"/>
      <c r="KA91" s="42" t="str">
        <f t="shared" si="508"/>
        <v/>
      </c>
      <c r="KB91" s="43">
        <f t="shared" si="509"/>
        <v>2</v>
      </c>
      <c r="KC91" s="8"/>
      <c r="KD91" s="47">
        <v>3</v>
      </c>
      <c r="KE91" s="48" t="s">
        <v>4</v>
      </c>
      <c r="KF91" s="49">
        <v>1</v>
      </c>
      <c r="KG91" s="8"/>
      <c r="KH91" s="42" t="str">
        <f t="shared" si="510"/>
        <v/>
      </c>
      <c r="KI91" s="43">
        <f t="shared" si="511"/>
        <v>2</v>
      </c>
      <c r="KJ91" s="8"/>
      <c r="KK91" s="47">
        <v>2</v>
      </c>
      <c r="KL91" s="48" t="s">
        <v>4</v>
      </c>
      <c r="KM91" s="49">
        <v>0</v>
      </c>
      <c r="KN91" s="8"/>
      <c r="KO91" s="42" t="str">
        <f t="shared" si="512"/>
        <v/>
      </c>
      <c r="KP91" s="43">
        <f t="shared" si="513"/>
        <v>2</v>
      </c>
      <c r="KQ91" s="8"/>
      <c r="KR91" s="47">
        <v>3</v>
      </c>
      <c r="KS91" s="48" t="s">
        <v>4</v>
      </c>
      <c r="KT91" s="49">
        <v>0</v>
      </c>
      <c r="KU91" s="8"/>
      <c r="KV91" s="42" t="str">
        <f t="shared" si="514"/>
        <v/>
      </c>
      <c r="KW91" s="43">
        <f t="shared" si="515"/>
        <v>3</v>
      </c>
      <c r="KX91" s="8"/>
      <c r="KY91" s="47">
        <v>1</v>
      </c>
      <c r="KZ91" s="48" t="s">
        <v>4</v>
      </c>
      <c r="LA91" s="49">
        <v>2</v>
      </c>
      <c r="LB91" s="8"/>
      <c r="LC91" s="42" t="str">
        <f t="shared" si="516"/>
        <v/>
      </c>
      <c r="LD91" s="43">
        <f t="shared" si="517"/>
        <v>-1</v>
      </c>
      <c r="LE91" s="8"/>
      <c r="LF91" s="47">
        <v>3</v>
      </c>
      <c r="LG91" s="48" t="s">
        <v>4</v>
      </c>
      <c r="LH91" s="49">
        <v>1</v>
      </c>
      <c r="LI91" s="8"/>
      <c r="LJ91" s="42" t="str">
        <f t="shared" si="518"/>
        <v/>
      </c>
      <c r="LK91" s="43">
        <f t="shared" si="519"/>
        <v>2</v>
      </c>
      <c r="LL91" s="8"/>
      <c r="LM91" s="47">
        <v>3</v>
      </c>
      <c r="LN91" s="48" t="s">
        <v>4</v>
      </c>
      <c r="LO91" s="49">
        <v>2</v>
      </c>
      <c r="LP91" s="8"/>
      <c r="LQ91" s="42" t="str">
        <f t="shared" si="520"/>
        <v/>
      </c>
      <c r="LR91" s="43">
        <f t="shared" si="521"/>
        <v>1</v>
      </c>
      <c r="LS91" s="8"/>
      <c r="LT91" s="47">
        <v>2</v>
      </c>
      <c r="LU91" s="48" t="s">
        <v>4</v>
      </c>
      <c r="LV91" s="49">
        <v>1</v>
      </c>
      <c r="LW91" s="8"/>
      <c r="LX91" s="42" t="str">
        <f t="shared" si="522"/>
        <v/>
      </c>
      <c r="LY91" s="43">
        <f t="shared" si="523"/>
        <v>1</v>
      </c>
      <c r="LZ91" s="8"/>
      <c r="MA91" s="47">
        <v>3</v>
      </c>
      <c r="MB91" s="48" t="s">
        <v>4</v>
      </c>
      <c r="MC91" s="49">
        <v>0</v>
      </c>
      <c r="MD91" s="8"/>
      <c r="ME91" s="42" t="str">
        <f t="shared" si="524"/>
        <v/>
      </c>
      <c r="MF91" s="43">
        <f t="shared" si="525"/>
        <v>3</v>
      </c>
      <c r="MG91" s="8"/>
      <c r="MH91" s="47">
        <v>2</v>
      </c>
      <c r="MI91" s="48" t="s">
        <v>4</v>
      </c>
      <c r="MJ91" s="49">
        <v>0</v>
      </c>
      <c r="MK91" s="8"/>
      <c r="ML91" s="42" t="str">
        <f t="shared" si="526"/>
        <v/>
      </c>
      <c r="MM91" s="43">
        <f t="shared" si="527"/>
        <v>2</v>
      </c>
      <c r="MN91" s="8"/>
      <c r="MO91" s="47">
        <v>2</v>
      </c>
      <c r="MP91" s="48" t="s">
        <v>4</v>
      </c>
      <c r="MQ91" s="49">
        <v>1</v>
      </c>
      <c r="MR91" s="8"/>
      <c r="MS91" s="42" t="str">
        <f t="shared" si="528"/>
        <v/>
      </c>
      <c r="MT91" s="43">
        <f t="shared" si="529"/>
        <v>1</v>
      </c>
      <c r="MU91" s="8"/>
      <c r="MV91" s="47">
        <v>4</v>
      </c>
      <c r="MW91" s="48" t="s">
        <v>4</v>
      </c>
      <c r="MX91" s="49">
        <v>1</v>
      </c>
      <c r="MY91" s="8"/>
      <c r="MZ91" s="42" t="str">
        <f t="shared" si="530"/>
        <v/>
      </c>
      <c r="NA91" s="43">
        <f t="shared" si="531"/>
        <v>3</v>
      </c>
      <c r="NB91" s="8"/>
      <c r="NC91" s="47">
        <v>3</v>
      </c>
      <c r="ND91" s="48" t="s">
        <v>4</v>
      </c>
      <c r="NE91" s="49">
        <v>1</v>
      </c>
      <c r="NF91" s="8"/>
      <c r="NG91" s="42" t="str">
        <f t="shared" si="532"/>
        <v/>
      </c>
      <c r="NH91" s="43">
        <f t="shared" si="533"/>
        <v>2</v>
      </c>
      <c r="NI91" s="8"/>
      <c r="NJ91" s="47">
        <v>2</v>
      </c>
      <c r="NK91" s="48" t="s">
        <v>4</v>
      </c>
      <c r="NL91" s="49">
        <v>0</v>
      </c>
      <c r="NM91" s="8"/>
      <c r="NN91" s="42" t="str">
        <f t="shared" si="534"/>
        <v/>
      </c>
      <c r="NO91" s="43">
        <f t="shared" si="535"/>
        <v>2</v>
      </c>
      <c r="NP91" s="8"/>
      <c r="NQ91" s="47">
        <v>0</v>
      </c>
      <c r="NR91" s="48" t="s">
        <v>4</v>
      </c>
      <c r="NS91" s="49">
        <v>2</v>
      </c>
      <c r="NT91" s="8"/>
      <c r="NU91" s="42" t="str">
        <f t="shared" si="536"/>
        <v/>
      </c>
      <c r="NV91" s="43">
        <f t="shared" si="537"/>
        <v>-2</v>
      </c>
      <c r="NW91" s="8"/>
      <c r="NX91" s="47">
        <v>2</v>
      </c>
      <c r="NY91" s="48" t="s">
        <v>4</v>
      </c>
      <c r="NZ91" s="49">
        <v>1</v>
      </c>
      <c r="OA91" s="8"/>
      <c r="OB91" s="42" t="str">
        <f t="shared" si="538"/>
        <v/>
      </c>
      <c r="OC91" s="43">
        <f t="shared" si="539"/>
        <v>1</v>
      </c>
      <c r="OD91" s="8"/>
      <c r="OE91" s="47">
        <v>3</v>
      </c>
      <c r="OF91" s="48" t="s">
        <v>4</v>
      </c>
      <c r="OG91" s="49">
        <v>2</v>
      </c>
      <c r="OH91" s="8"/>
      <c r="OI91" s="42" t="str">
        <f t="shared" si="540"/>
        <v/>
      </c>
      <c r="OJ91" s="43">
        <f t="shared" si="541"/>
        <v>1</v>
      </c>
      <c r="OK91" s="8"/>
      <c r="OL91" s="47">
        <v>3</v>
      </c>
      <c r="OM91" s="48" t="s">
        <v>4</v>
      </c>
      <c r="ON91" s="49">
        <v>1</v>
      </c>
      <c r="OO91" s="8"/>
      <c r="OP91" s="42" t="str">
        <f t="shared" si="542"/>
        <v/>
      </c>
      <c r="OQ91" s="43">
        <f t="shared" si="543"/>
        <v>2</v>
      </c>
      <c r="OR91" s="8"/>
      <c r="OS91" s="47">
        <v>2</v>
      </c>
      <c r="OT91" s="48" t="s">
        <v>4</v>
      </c>
      <c r="OU91" s="49">
        <v>1</v>
      </c>
      <c r="OV91" s="8"/>
      <c r="OW91" s="42" t="str">
        <f t="shared" si="544"/>
        <v/>
      </c>
      <c r="OX91" s="43">
        <f t="shared" si="545"/>
        <v>1</v>
      </c>
      <c r="OY91" s="8"/>
      <c r="OZ91" s="47">
        <v>2</v>
      </c>
      <c r="PA91" s="48" t="s">
        <v>4</v>
      </c>
      <c r="PB91" s="49">
        <v>1</v>
      </c>
      <c r="PC91" s="8"/>
      <c r="PD91" s="42" t="str">
        <f t="shared" si="546"/>
        <v/>
      </c>
      <c r="PE91" s="43">
        <f t="shared" si="547"/>
        <v>1</v>
      </c>
      <c r="PF91" s="8"/>
      <c r="PG91" s="47">
        <v>2</v>
      </c>
      <c r="PH91" s="48" t="s">
        <v>4</v>
      </c>
      <c r="PI91" s="49">
        <v>0</v>
      </c>
      <c r="PJ91" s="8"/>
      <c r="PK91" s="42" t="str">
        <f t="shared" si="548"/>
        <v/>
      </c>
      <c r="PL91" s="43">
        <f t="shared" si="549"/>
        <v>2</v>
      </c>
      <c r="PM91" s="8"/>
      <c r="PN91" s="47">
        <v>2</v>
      </c>
      <c r="PO91" s="48" t="s">
        <v>4</v>
      </c>
      <c r="PP91" s="49">
        <v>1</v>
      </c>
      <c r="PQ91" s="8"/>
      <c r="PR91" s="42" t="str">
        <f t="shared" si="550"/>
        <v/>
      </c>
      <c r="PS91" s="43">
        <f t="shared" si="551"/>
        <v>1</v>
      </c>
      <c r="PT91" s="8"/>
      <c r="PU91" s="47">
        <v>4</v>
      </c>
      <c r="PV91" s="48" t="s">
        <v>4</v>
      </c>
      <c r="PW91" s="49">
        <v>5</v>
      </c>
      <c r="PX91" s="8"/>
      <c r="PY91" s="42" t="str">
        <f t="shared" si="552"/>
        <v/>
      </c>
      <c r="PZ91" s="43">
        <f t="shared" si="553"/>
        <v>-1</v>
      </c>
      <c r="QA91" s="8"/>
      <c r="QB91" s="47">
        <v>2</v>
      </c>
      <c r="QC91" s="48" t="s">
        <v>4</v>
      </c>
      <c r="QD91" s="49">
        <v>0</v>
      </c>
      <c r="QE91" s="8"/>
      <c r="QF91" s="42" t="str">
        <f t="shared" si="554"/>
        <v/>
      </c>
      <c r="QG91" s="43">
        <f t="shared" si="555"/>
        <v>2</v>
      </c>
      <c r="QH91" s="8"/>
      <c r="QI91" s="47">
        <v>2</v>
      </c>
      <c r="QJ91" s="48" t="s">
        <v>4</v>
      </c>
      <c r="QK91" s="49">
        <v>1</v>
      </c>
      <c r="QL91" s="8"/>
      <c r="QM91" s="42" t="str">
        <f t="shared" si="556"/>
        <v/>
      </c>
      <c r="QN91" s="43">
        <f t="shared" si="557"/>
        <v>1</v>
      </c>
      <c r="QO91" s="8"/>
      <c r="QP91" s="47">
        <v>0</v>
      </c>
      <c r="QQ91" s="48" t="s">
        <v>4</v>
      </c>
      <c r="QR91" s="49">
        <v>1</v>
      </c>
      <c r="QS91" s="8"/>
      <c r="QT91" s="42" t="str">
        <f t="shared" si="558"/>
        <v/>
      </c>
      <c r="QU91" s="43">
        <f t="shared" si="559"/>
        <v>-1</v>
      </c>
      <c r="QV91" s="8"/>
      <c r="QW91" s="47">
        <v>1</v>
      </c>
      <c r="QX91" s="48" t="s">
        <v>4</v>
      </c>
      <c r="QY91" s="49">
        <v>0</v>
      </c>
      <c r="QZ91" s="8"/>
      <c r="RA91" s="42" t="str">
        <f t="shared" si="560"/>
        <v/>
      </c>
      <c r="RB91" s="43">
        <f t="shared" si="561"/>
        <v>1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/>
      <c r="RL91" s="48" t="s">
        <v>4</v>
      </c>
      <c r="RM91" s="49"/>
      <c r="RN91" s="8"/>
      <c r="RO91" s="42" t="str">
        <f t="shared" si="564"/>
        <v/>
      </c>
      <c r="RP91" s="43">
        <f t="shared" si="565"/>
        <v>0</v>
      </c>
      <c r="RQ91" s="8"/>
      <c r="RR91" s="47"/>
      <c r="RS91" s="48" t="s">
        <v>4</v>
      </c>
      <c r="RT91" s="49"/>
      <c r="RU91" s="8"/>
      <c r="RV91" s="42" t="str">
        <f t="shared" si="566"/>
        <v/>
      </c>
      <c r="RW91" s="43">
        <f t="shared" si="567"/>
        <v>0</v>
      </c>
      <c r="RX91" s="8"/>
      <c r="RY91" s="47"/>
      <c r="RZ91" s="48" t="s">
        <v>4</v>
      </c>
      <c r="SA91" s="49"/>
      <c r="SB91" s="8"/>
      <c r="SC91" s="42" t="str">
        <f t="shared" si="568"/>
        <v/>
      </c>
      <c r="SD91" s="43">
        <f t="shared" si="569"/>
        <v>0</v>
      </c>
      <c r="SE91" s="8"/>
      <c r="SF91" s="47"/>
      <c r="SG91" s="48" t="s">
        <v>4</v>
      </c>
      <c r="SH91" s="49"/>
      <c r="SI91" s="8"/>
      <c r="SJ91" s="42" t="str">
        <f t="shared" si="570"/>
        <v/>
      </c>
      <c r="SK91" s="43">
        <f t="shared" si="571"/>
        <v>0</v>
      </c>
      <c r="SL91" s="8"/>
      <c r="SM91" s="47"/>
      <c r="SN91" s="48" t="s">
        <v>4</v>
      </c>
      <c r="SO91" s="49"/>
      <c r="SP91" s="8"/>
      <c r="SQ91" s="42" t="str">
        <f t="shared" si="572"/>
        <v/>
      </c>
      <c r="SR91" s="43">
        <f t="shared" si="573"/>
        <v>0</v>
      </c>
    </row>
    <row r="92" spans="1:512" ht="16" customHeight="1" x14ac:dyDescent="0.15">
      <c r="A92" s="51">
        <v>46205</v>
      </c>
      <c r="B92" s="46">
        <v>0.875</v>
      </c>
      <c r="C92" s="82" t="s">
        <v>3</v>
      </c>
      <c r="D92" s="83" t="s">
        <v>24</v>
      </c>
      <c r="E92" s="2"/>
      <c r="F92" s="50" t="s">
        <v>4</v>
      </c>
      <c r="G92" s="1"/>
      <c r="H92" s="16">
        <v>6.4</v>
      </c>
      <c r="I92" s="32">
        <f t="shared" si="429"/>
        <v>0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>
        <v>3</v>
      </c>
      <c r="R92" s="48" t="s">
        <v>4</v>
      </c>
      <c r="S92" s="49">
        <v>1</v>
      </c>
      <c r="T92" s="8"/>
      <c r="U92" s="42" t="str">
        <f t="shared" si="432"/>
        <v/>
      </c>
      <c r="V92" s="43">
        <f t="shared" si="433"/>
        <v>2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>
        <v>3</v>
      </c>
      <c r="AF92" s="48" t="s">
        <v>4</v>
      </c>
      <c r="AG92" s="49">
        <v>1</v>
      </c>
      <c r="AH92" s="8"/>
      <c r="AI92" s="42" t="str">
        <f t="shared" si="436"/>
        <v/>
      </c>
      <c r="AJ92" s="43">
        <f t="shared" si="437"/>
        <v>2</v>
      </c>
      <c r="AK92" s="8"/>
      <c r="AL92" s="47">
        <v>2</v>
      </c>
      <c r="AM92" s="48" t="s">
        <v>4</v>
      </c>
      <c r="AN92" s="49">
        <v>1</v>
      </c>
      <c r="AO92" s="8"/>
      <c r="AP92" s="42" t="str">
        <f t="shared" si="438"/>
        <v/>
      </c>
      <c r="AQ92" s="43">
        <f t="shared" si="439"/>
        <v>1</v>
      </c>
      <c r="AR92" s="8"/>
      <c r="AS92" s="47">
        <v>3</v>
      </c>
      <c r="AT92" s="48" t="s">
        <v>4</v>
      </c>
      <c r="AU92" s="49">
        <v>1</v>
      </c>
      <c r="AV92" s="8"/>
      <c r="AW92" s="42" t="str">
        <f t="shared" si="440"/>
        <v/>
      </c>
      <c r="AX92" s="43">
        <f t="shared" si="441"/>
        <v>2</v>
      </c>
      <c r="AY92" s="8"/>
      <c r="AZ92" s="47">
        <v>2</v>
      </c>
      <c r="BA92" s="48" t="s">
        <v>4</v>
      </c>
      <c r="BB92" s="49">
        <v>1</v>
      </c>
      <c r="BC92" s="8"/>
      <c r="BD92" s="42" t="str">
        <f t="shared" si="442"/>
        <v/>
      </c>
      <c r="BE92" s="43">
        <f t="shared" si="443"/>
        <v>1</v>
      </c>
      <c r="BF92" s="8"/>
      <c r="BG92" s="47">
        <v>1</v>
      </c>
      <c r="BH92" s="48" t="s">
        <v>4</v>
      </c>
      <c r="BI92" s="49">
        <v>2</v>
      </c>
      <c r="BJ92" s="8"/>
      <c r="BK92" s="42" t="str">
        <f t="shared" si="444"/>
        <v/>
      </c>
      <c r="BL92" s="43">
        <f t="shared" si="445"/>
        <v>-1</v>
      </c>
      <c r="BM92" s="8"/>
      <c r="BN92" s="47">
        <v>2</v>
      </c>
      <c r="BO92" s="48" t="s">
        <v>4</v>
      </c>
      <c r="BP92" s="49">
        <v>1</v>
      </c>
      <c r="BQ92" s="8"/>
      <c r="BR92" s="42" t="str">
        <f t="shared" si="446"/>
        <v/>
      </c>
      <c r="BS92" s="43">
        <f t="shared" si="447"/>
        <v>1</v>
      </c>
      <c r="BT92" s="8"/>
      <c r="BU92" s="47"/>
      <c r="BV92" s="48" t="s">
        <v>4</v>
      </c>
      <c r="BW92" s="49"/>
      <c r="BX92" s="8"/>
      <c r="BY92" s="42" t="str">
        <f t="shared" si="448"/>
        <v/>
      </c>
      <c r="BZ92" s="43">
        <f t="shared" si="449"/>
        <v>0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/>
      <c r="CJ92" s="48" t="s">
        <v>4</v>
      </c>
      <c r="CK92" s="49"/>
      <c r="CL92" s="8"/>
      <c r="CM92" s="42" t="str">
        <f t="shared" si="452"/>
        <v/>
      </c>
      <c r="CN92" s="43">
        <f t="shared" si="453"/>
        <v>0</v>
      </c>
      <c r="CO92" s="8"/>
      <c r="CP92" s="47">
        <v>2</v>
      </c>
      <c r="CQ92" s="48" t="s">
        <v>4</v>
      </c>
      <c r="CR92" s="49">
        <v>1</v>
      </c>
      <c r="CS92" s="8"/>
      <c r="CT92" s="42" t="str">
        <f t="shared" si="454"/>
        <v/>
      </c>
      <c r="CU92" s="43">
        <f t="shared" si="455"/>
        <v>1</v>
      </c>
      <c r="CV92" s="8"/>
      <c r="CW92" s="47">
        <v>3</v>
      </c>
      <c r="CX92" s="48" t="s">
        <v>4</v>
      </c>
      <c r="CY92" s="49">
        <v>1</v>
      </c>
      <c r="CZ92" s="8"/>
      <c r="DA92" s="42" t="str">
        <f t="shared" si="456"/>
        <v/>
      </c>
      <c r="DB92" s="43">
        <f t="shared" si="457"/>
        <v>2</v>
      </c>
      <c r="DC92" s="8"/>
      <c r="DD92" s="47">
        <v>2</v>
      </c>
      <c r="DE92" s="48" t="s">
        <v>4</v>
      </c>
      <c r="DF92" s="49">
        <v>1</v>
      </c>
      <c r="DG92" s="8"/>
      <c r="DH92" s="42" t="str">
        <f t="shared" si="458"/>
        <v/>
      </c>
      <c r="DI92" s="43">
        <f t="shared" si="459"/>
        <v>1</v>
      </c>
      <c r="DJ92" s="8"/>
      <c r="DK92" s="47">
        <v>2</v>
      </c>
      <c r="DL92" s="48" t="s">
        <v>4</v>
      </c>
      <c r="DM92" s="49">
        <v>0</v>
      </c>
      <c r="DN92" s="8"/>
      <c r="DO92" s="42" t="str">
        <f t="shared" si="460"/>
        <v/>
      </c>
      <c r="DP92" s="43">
        <f t="shared" si="461"/>
        <v>2</v>
      </c>
      <c r="DQ92" s="8"/>
      <c r="DR92" s="47">
        <v>2</v>
      </c>
      <c r="DS92" s="48" t="s">
        <v>4</v>
      </c>
      <c r="DT92" s="49">
        <v>0</v>
      </c>
      <c r="DU92" s="8"/>
      <c r="DV92" s="42" t="str">
        <f t="shared" si="462"/>
        <v/>
      </c>
      <c r="DW92" s="43">
        <f t="shared" si="463"/>
        <v>2</v>
      </c>
      <c r="DX92" s="8"/>
      <c r="DY92" s="47">
        <v>3</v>
      </c>
      <c r="DZ92" s="48" t="s">
        <v>4</v>
      </c>
      <c r="EA92" s="49">
        <v>1</v>
      </c>
      <c r="EB92" s="8"/>
      <c r="EC92" s="42" t="str">
        <f t="shared" si="464"/>
        <v/>
      </c>
      <c r="ED92" s="43">
        <f t="shared" si="465"/>
        <v>2</v>
      </c>
      <c r="EE92" s="8"/>
      <c r="EF92" s="47">
        <v>2</v>
      </c>
      <c r="EG92" s="48" t="s">
        <v>4</v>
      </c>
      <c r="EH92" s="49">
        <v>1</v>
      </c>
      <c r="EI92" s="8"/>
      <c r="EJ92" s="42" t="str">
        <f t="shared" si="466"/>
        <v/>
      </c>
      <c r="EK92" s="43">
        <f t="shared" si="467"/>
        <v>1</v>
      </c>
      <c r="EL92" s="8"/>
      <c r="EM92" s="47">
        <v>3</v>
      </c>
      <c r="EN92" s="48" t="s">
        <v>4</v>
      </c>
      <c r="EO92" s="49">
        <v>1</v>
      </c>
      <c r="EP92" s="8"/>
      <c r="EQ92" s="42" t="str">
        <f t="shared" si="468"/>
        <v/>
      </c>
      <c r="ER92" s="43">
        <f t="shared" si="469"/>
        <v>2</v>
      </c>
      <c r="ES92" s="8"/>
      <c r="ET92" s="47">
        <v>4</v>
      </c>
      <c r="EU92" s="48" t="s">
        <v>4</v>
      </c>
      <c r="EV92" s="49">
        <v>5</v>
      </c>
      <c r="EW92" s="8"/>
      <c r="EX92" s="42" t="str">
        <f t="shared" si="470"/>
        <v/>
      </c>
      <c r="EY92" s="43">
        <f t="shared" si="471"/>
        <v>-1</v>
      </c>
      <c r="EZ92" s="8"/>
      <c r="FA92" s="47">
        <v>5</v>
      </c>
      <c r="FB92" s="48" t="s">
        <v>4</v>
      </c>
      <c r="FC92" s="49">
        <v>3</v>
      </c>
      <c r="FD92" s="8"/>
      <c r="FE92" s="42" t="str">
        <f t="shared" si="472"/>
        <v/>
      </c>
      <c r="FF92" s="43">
        <f t="shared" si="473"/>
        <v>2</v>
      </c>
      <c r="FG92" s="8"/>
      <c r="FH92" s="47">
        <v>2</v>
      </c>
      <c r="FI92" s="48" t="s">
        <v>4</v>
      </c>
      <c r="FJ92" s="49">
        <v>0</v>
      </c>
      <c r="FK92" s="8"/>
      <c r="FL92" s="42" t="str">
        <f t="shared" si="474"/>
        <v/>
      </c>
      <c r="FM92" s="43">
        <f t="shared" si="475"/>
        <v>2</v>
      </c>
      <c r="FN92" s="8"/>
      <c r="FO92" s="47">
        <v>3</v>
      </c>
      <c r="FP92" s="48" t="s">
        <v>4</v>
      </c>
      <c r="FQ92" s="49">
        <v>1</v>
      </c>
      <c r="FR92" s="8"/>
      <c r="FS92" s="42" t="str">
        <f t="shared" si="476"/>
        <v/>
      </c>
      <c r="FT92" s="43">
        <f t="shared" si="477"/>
        <v>2</v>
      </c>
      <c r="FU92" s="8"/>
      <c r="FV92" s="47">
        <v>2</v>
      </c>
      <c r="FW92" s="48" t="s">
        <v>4</v>
      </c>
      <c r="FX92" s="49">
        <v>0</v>
      </c>
      <c r="FY92" s="8"/>
      <c r="FZ92" s="42" t="str">
        <f t="shared" si="478"/>
        <v/>
      </c>
      <c r="GA92" s="43">
        <f t="shared" si="479"/>
        <v>2</v>
      </c>
      <c r="GB92" s="8"/>
      <c r="GC92" s="47">
        <v>2</v>
      </c>
      <c r="GD92" s="48" t="s">
        <v>4</v>
      </c>
      <c r="GE92" s="49">
        <v>1</v>
      </c>
      <c r="GF92" s="8"/>
      <c r="GG92" s="42" t="str">
        <f t="shared" si="480"/>
        <v/>
      </c>
      <c r="GH92" s="43">
        <f t="shared" si="481"/>
        <v>1</v>
      </c>
      <c r="GI92" s="8"/>
      <c r="GJ92" s="47">
        <v>3</v>
      </c>
      <c r="GK92" s="48" t="s">
        <v>4</v>
      </c>
      <c r="GL92" s="49">
        <v>1</v>
      </c>
      <c r="GM92" s="8"/>
      <c r="GN92" s="42" t="str">
        <f t="shared" si="482"/>
        <v/>
      </c>
      <c r="GO92" s="43">
        <f t="shared" si="483"/>
        <v>2</v>
      </c>
      <c r="GP92" s="8"/>
      <c r="GQ92" s="47">
        <v>2</v>
      </c>
      <c r="GR92" s="48" t="s">
        <v>4</v>
      </c>
      <c r="GS92" s="49">
        <v>1</v>
      </c>
      <c r="GT92" s="8"/>
      <c r="GU92" s="42" t="str">
        <f t="shared" si="484"/>
        <v/>
      </c>
      <c r="GV92" s="43">
        <f t="shared" si="485"/>
        <v>1</v>
      </c>
      <c r="GW92" s="8"/>
      <c r="GX92" s="47">
        <v>3</v>
      </c>
      <c r="GY92" s="48" t="s">
        <v>4</v>
      </c>
      <c r="GZ92" s="49">
        <v>1</v>
      </c>
      <c r="HA92" s="8"/>
      <c r="HB92" s="42" t="str">
        <f t="shared" si="486"/>
        <v/>
      </c>
      <c r="HC92" s="43">
        <f t="shared" si="487"/>
        <v>2</v>
      </c>
      <c r="HD92" s="8"/>
      <c r="HE92" s="47">
        <v>3</v>
      </c>
      <c r="HF92" s="48" t="s">
        <v>4</v>
      </c>
      <c r="HG92" s="49">
        <v>1</v>
      </c>
      <c r="HH92" s="8"/>
      <c r="HI92" s="42" t="str">
        <f t="shared" si="488"/>
        <v/>
      </c>
      <c r="HJ92" s="43">
        <f t="shared" si="489"/>
        <v>2</v>
      </c>
      <c r="HK92" s="8"/>
      <c r="HL92" s="47">
        <v>3</v>
      </c>
      <c r="HM92" s="48" t="s">
        <v>4</v>
      </c>
      <c r="HN92" s="49">
        <v>1</v>
      </c>
      <c r="HO92" s="8"/>
      <c r="HP92" s="42" t="str">
        <f t="shared" si="490"/>
        <v/>
      </c>
      <c r="HQ92" s="43">
        <f t="shared" si="491"/>
        <v>2</v>
      </c>
      <c r="HR92" s="8"/>
      <c r="HS92" s="47">
        <v>2</v>
      </c>
      <c r="HT92" s="48" t="s">
        <v>4</v>
      </c>
      <c r="HU92" s="49">
        <v>1</v>
      </c>
      <c r="HV92" s="8"/>
      <c r="HW92" s="42" t="str">
        <f t="shared" si="492"/>
        <v/>
      </c>
      <c r="HX92" s="43">
        <f t="shared" si="493"/>
        <v>1</v>
      </c>
      <c r="HY92" s="8"/>
      <c r="HZ92" s="47">
        <v>2</v>
      </c>
      <c r="IA92" s="48" t="s">
        <v>4</v>
      </c>
      <c r="IB92" s="49">
        <v>1</v>
      </c>
      <c r="IC92" s="8"/>
      <c r="ID92" s="42" t="str">
        <f t="shared" si="494"/>
        <v/>
      </c>
      <c r="IE92" s="43">
        <f t="shared" si="495"/>
        <v>1</v>
      </c>
      <c r="IF92" s="8"/>
      <c r="IG92" s="47">
        <v>2</v>
      </c>
      <c r="IH92" s="48" t="s">
        <v>4</v>
      </c>
      <c r="II92" s="49">
        <v>0</v>
      </c>
      <c r="IJ92" s="8"/>
      <c r="IK92" s="42" t="str">
        <f t="shared" si="496"/>
        <v/>
      </c>
      <c r="IL92" s="43">
        <f t="shared" si="497"/>
        <v>2</v>
      </c>
      <c r="IM92" s="8"/>
      <c r="IN92" s="47">
        <v>5</v>
      </c>
      <c r="IO92" s="48" t="s">
        <v>4</v>
      </c>
      <c r="IP92" s="49">
        <v>6</v>
      </c>
      <c r="IQ92" s="8"/>
      <c r="IR92" s="42" t="str">
        <f t="shared" si="498"/>
        <v/>
      </c>
      <c r="IS92" s="43">
        <f t="shared" si="499"/>
        <v>-1</v>
      </c>
      <c r="IT92" s="8"/>
      <c r="IU92" s="47">
        <v>2</v>
      </c>
      <c r="IV92" s="48" t="s">
        <v>4</v>
      </c>
      <c r="IW92" s="49">
        <v>0</v>
      </c>
      <c r="IX92" s="8"/>
      <c r="IY92" s="42" t="str">
        <f t="shared" si="500"/>
        <v/>
      </c>
      <c r="IZ92" s="43">
        <f t="shared" si="501"/>
        <v>2</v>
      </c>
      <c r="JA92" s="8"/>
      <c r="JB92" s="47">
        <v>3</v>
      </c>
      <c r="JC92" s="48" t="s">
        <v>4</v>
      </c>
      <c r="JD92" s="49">
        <v>1</v>
      </c>
      <c r="JE92" s="8"/>
      <c r="JF92" s="42" t="str">
        <f t="shared" si="502"/>
        <v/>
      </c>
      <c r="JG92" s="43">
        <f t="shared" si="503"/>
        <v>2</v>
      </c>
      <c r="JH92" s="8"/>
      <c r="JI92" s="47">
        <v>1</v>
      </c>
      <c r="JJ92" s="48" t="s">
        <v>4</v>
      </c>
      <c r="JK92" s="49">
        <v>0</v>
      </c>
      <c r="JL92" s="8"/>
      <c r="JM92" s="42" t="str">
        <f t="shared" si="504"/>
        <v/>
      </c>
      <c r="JN92" s="43">
        <f t="shared" si="505"/>
        <v>1</v>
      </c>
      <c r="JO92" s="8"/>
      <c r="JP92" s="47">
        <v>3</v>
      </c>
      <c r="JQ92" s="48" t="s">
        <v>4</v>
      </c>
      <c r="JR92" s="49">
        <v>1</v>
      </c>
      <c r="JS92" s="8"/>
      <c r="JT92" s="42" t="str">
        <f t="shared" si="506"/>
        <v/>
      </c>
      <c r="JU92" s="43">
        <f t="shared" si="507"/>
        <v>2</v>
      </c>
      <c r="JV92" s="8"/>
      <c r="JW92" s="47">
        <v>2</v>
      </c>
      <c r="JX92" s="48" t="s">
        <v>4</v>
      </c>
      <c r="JY92" s="49">
        <v>1</v>
      </c>
      <c r="JZ92" s="8"/>
      <c r="KA92" s="42" t="str">
        <f t="shared" si="508"/>
        <v/>
      </c>
      <c r="KB92" s="43">
        <f t="shared" si="509"/>
        <v>1</v>
      </c>
      <c r="KC92" s="8"/>
      <c r="KD92" s="47">
        <v>2</v>
      </c>
      <c r="KE92" s="48" t="s">
        <v>4</v>
      </c>
      <c r="KF92" s="49">
        <v>0</v>
      </c>
      <c r="KG92" s="8"/>
      <c r="KH92" s="42" t="str">
        <f t="shared" si="510"/>
        <v/>
      </c>
      <c r="KI92" s="43">
        <f t="shared" si="511"/>
        <v>2</v>
      </c>
      <c r="KJ92" s="8"/>
      <c r="KK92" s="47">
        <v>2</v>
      </c>
      <c r="KL92" s="48" t="s">
        <v>4</v>
      </c>
      <c r="KM92" s="49">
        <v>0</v>
      </c>
      <c r="KN92" s="8"/>
      <c r="KO92" s="42" t="str">
        <f t="shared" si="512"/>
        <v/>
      </c>
      <c r="KP92" s="43">
        <f t="shared" si="513"/>
        <v>2</v>
      </c>
      <c r="KQ92" s="8"/>
      <c r="KR92" s="47">
        <v>2</v>
      </c>
      <c r="KS92" s="48" t="s">
        <v>4</v>
      </c>
      <c r="KT92" s="49">
        <v>0</v>
      </c>
      <c r="KU92" s="8"/>
      <c r="KV92" s="42" t="str">
        <f t="shared" si="514"/>
        <v/>
      </c>
      <c r="KW92" s="43">
        <f t="shared" si="515"/>
        <v>2</v>
      </c>
      <c r="KX92" s="8"/>
      <c r="KY92" s="47">
        <v>2</v>
      </c>
      <c r="KZ92" s="48" t="s">
        <v>4</v>
      </c>
      <c r="LA92" s="49">
        <v>1</v>
      </c>
      <c r="LB92" s="8"/>
      <c r="LC92" s="42" t="str">
        <f t="shared" si="516"/>
        <v/>
      </c>
      <c r="LD92" s="43">
        <f t="shared" si="517"/>
        <v>1</v>
      </c>
      <c r="LE92" s="8"/>
      <c r="LF92" s="47">
        <v>2</v>
      </c>
      <c r="LG92" s="48" t="s">
        <v>4</v>
      </c>
      <c r="LH92" s="49">
        <v>1</v>
      </c>
      <c r="LI92" s="8"/>
      <c r="LJ92" s="42" t="str">
        <f t="shared" si="518"/>
        <v/>
      </c>
      <c r="LK92" s="43">
        <f t="shared" si="519"/>
        <v>1</v>
      </c>
      <c r="LL92" s="8"/>
      <c r="LM92" s="47">
        <v>4</v>
      </c>
      <c r="LN92" s="48" t="s">
        <v>4</v>
      </c>
      <c r="LO92" s="49">
        <v>1</v>
      </c>
      <c r="LP92" s="8"/>
      <c r="LQ92" s="42" t="str">
        <f t="shared" si="520"/>
        <v/>
      </c>
      <c r="LR92" s="43">
        <f t="shared" si="521"/>
        <v>3</v>
      </c>
      <c r="LS92" s="8"/>
      <c r="LT92" s="47">
        <v>2</v>
      </c>
      <c r="LU92" s="48" t="s">
        <v>4</v>
      </c>
      <c r="LV92" s="49">
        <v>1</v>
      </c>
      <c r="LW92" s="8"/>
      <c r="LX92" s="42" t="str">
        <f t="shared" si="522"/>
        <v/>
      </c>
      <c r="LY92" s="43">
        <f t="shared" si="523"/>
        <v>1</v>
      </c>
      <c r="LZ92" s="8"/>
      <c r="MA92" s="47">
        <v>2</v>
      </c>
      <c r="MB92" s="48" t="s">
        <v>4</v>
      </c>
      <c r="MC92" s="49">
        <v>0</v>
      </c>
      <c r="MD92" s="8"/>
      <c r="ME92" s="42" t="str">
        <f t="shared" si="524"/>
        <v/>
      </c>
      <c r="MF92" s="43">
        <f t="shared" si="525"/>
        <v>2</v>
      </c>
      <c r="MG92" s="8"/>
      <c r="MH92" s="47">
        <v>3</v>
      </c>
      <c r="MI92" s="48" t="s">
        <v>4</v>
      </c>
      <c r="MJ92" s="49">
        <v>1</v>
      </c>
      <c r="MK92" s="8"/>
      <c r="ML92" s="42" t="str">
        <f t="shared" si="526"/>
        <v/>
      </c>
      <c r="MM92" s="43">
        <f t="shared" si="527"/>
        <v>2</v>
      </c>
      <c r="MN92" s="8"/>
      <c r="MO92" s="47">
        <v>3</v>
      </c>
      <c r="MP92" s="48" t="s">
        <v>4</v>
      </c>
      <c r="MQ92" s="49">
        <v>0</v>
      </c>
      <c r="MR92" s="8"/>
      <c r="MS92" s="42" t="str">
        <f t="shared" si="528"/>
        <v/>
      </c>
      <c r="MT92" s="43">
        <f t="shared" si="529"/>
        <v>3</v>
      </c>
      <c r="MU92" s="8"/>
      <c r="MV92" s="47">
        <v>4</v>
      </c>
      <c r="MW92" s="48" t="s">
        <v>4</v>
      </c>
      <c r="MX92" s="49">
        <v>5</v>
      </c>
      <c r="MY92" s="8"/>
      <c r="MZ92" s="42" t="str">
        <f t="shared" si="530"/>
        <v/>
      </c>
      <c r="NA92" s="43">
        <f t="shared" si="531"/>
        <v>-1</v>
      </c>
      <c r="NB92" s="8"/>
      <c r="NC92" s="47">
        <v>4</v>
      </c>
      <c r="ND92" s="48" t="s">
        <v>4</v>
      </c>
      <c r="NE92" s="49">
        <v>1</v>
      </c>
      <c r="NF92" s="8"/>
      <c r="NG92" s="42" t="str">
        <f t="shared" si="532"/>
        <v/>
      </c>
      <c r="NH92" s="43">
        <f t="shared" si="533"/>
        <v>3</v>
      </c>
      <c r="NI92" s="8"/>
      <c r="NJ92" s="47">
        <v>3</v>
      </c>
      <c r="NK92" s="48" t="s">
        <v>4</v>
      </c>
      <c r="NL92" s="49">
        <v>2</v>
      </c>
      <c r="NM92" s="8"/>
      <c r="NN92" s="42" t="str">
        <f t="shared" si="534"/>
        <v/>
      </c>
      <c r="NO92" s="43">
        <f t="shared" si="535"/>
        <v>1</v>
      </c>
      <c r="NP92" s="8"/>
      <c r="NQ92" s="47">
        <v>2</v>
      </c>
      <c r="NR92" s="48" t="s">
        <v>4</v>
      </c>
      <c r="NS92" s="49">
        <v>1</v>
      </c>
      <c r="NT92" s="8"/>
      <c r="NU92" s="42" t="str">
        <f t="shared" si="536"/>
        <v/>
      </c>
      <c r="NV92" s="43">
        <f t="shared" si="537"/>
        <v>1</v>
      </c>
      <c r="NW92" s="8"/>
      <c r="NX92" s="47">
        <v>2</v>
      </c>
      <c r="NY92" s="48" t="s">
        <v>4</v>
      </c>
      <c r="NZ92" s="49">
        <v>1</v>
      </c>
      <c r="OA92" s="8"/>
      <c r="OB92" s="42" t="str">
        <f t="shared" si="538"/>
        <v/>
      </c>
      <c r="OC92" s="43">
        <f t="shared" si="539"/>
        <v>1</v>
      </c>
      <c r="OD92" s="8"/>
      <c r="OE92" s="47">
        <v>3</v>
      </c>
      <c r="OF92" s="48" t="s">
        <v>4</v>
      </c>
      <c r="OG92" s="49">
        <v>0</v>
      </c>
      <c r="OH92" s="8"/>
      <c r="OI92" s="42" t="str">
        <f t="shared" si="540"/>
        <v/>
      </c>
      <c r="OJ92" s="43">
        <f t="shared" si="541"/>
        <v>3</v>
      </c>
      <c r="OK92" s="8"/>
      <c r="OL92" s="47">
        <v>2</v>
      </c>
      <c r="OM92" s="48" t="s">
        <v>4</v>
      </c>
      <c r="ON92" s="49">
        <v>1</v>
      </c>
      <c r="OO92" s="8"/>
      <c r="OP92" s="42" t="str">
        <f t="shared" si="542"/>
        <v/>
      </c>
      <c r="OQ92" s="43">
        <f t="shared" si="543"/>
        <v>1</v>
      </c>
      <c r="OR92" s="8"/>
      <c r="OS92" s="47">
        <v>3</v>
      </c>
      <c r="OT92" s="48" t="s">
        <v>4</v>
      </c>
      <c r="OU92" s="49">
        <v>0</v>
      </c>
      <c r="OV92" s="8"/>
      <c r="OW92" s="42" t="str">
        <f t="shared" si="544"/>
        <v/>
      </c>
      <c r="OX92" s="43">
        <f t="shared" si="545"/>
        <v>3</v>
      </c>
      <c r="OY92" s="8"/>
      <c r="OZ92" s="47">
        <v>4</v>
      </c>
      <c r="PA92" s="48" t="s">
        <v>4</v>
      </c>
      <c r="PB92" s="49">
        <v>3</v>
      </c>
      <c r="PC92" s="8"/>
      <c r="PD92" s="42" t="str">
        <f t="shared" si="546"/>
        <v/>
      </c>
      <c r="PE92" s="43">
        <f t="shared" si="547"/>
        <v>1</v>
      </c>
      <c r="PF92" s="8"/>
      <c r="PG92" s="47">
        <v>2</v>
      </c>
      <c r="PH92" s="48" t="s">
        <v>4</v>
      </c>
      <c r="PI92" s="49">
        <v>0</v>
      </c>
      <c r="PJ92" s="8"/>
      <c r="PK92" s="42" t="str">
        <f t="shared" si="548"/>
        <v/>
      </c>
      <c r="PL92" s="43">
        <f t="shared" si="549"/>
        <v>2</v>
      </c>
      <c r="PM92" s="8"/>
      <c r="PN92" s="47">
        <v>2</v>
      </c>
      <c r="PO92" s="48" t="s">
        <v>4</v>
      </c>
      <c r="PP92" s="49">
        <v>0</v>
      </c>
      <c r="PQ92" s="8"/>
      <c r="PR92" s="42" t="str">
        <f t="shared" si="550"/>
        <v/>
      </c>
      <c r="PS92" s="43">
        <f t="shared" si="551"/>
        <v>2</v>
      </c>
      <c r="PT92" s="8"/>
      <c r="PU92" s="47">
        <v>2</v>
      </c>
      <c r="PV92" s="48" t="s">
        <v>4</v>
      </c>
      <c r="PW92" s="49">
        <v>0</v>
      </c>
      <c r="PX92" s="8"/>
      <c r="PY92" s="42" t="str">
        <f t="shared" si="552"/>
        <v/>
      </c>
      <c r="PZ92" s="43">
        <f t="shared" si="553"/>
        <v>2</v>
      </c>
      <c r="QA92" s="8"/>
      <c r="QB92" s="47">
        <v>2</v>
      </c>
      <c r="QC92" s="48" t="s">
        <v>4</v>
      </c>
      <c r="QD92" s="49">
        <v>1</v>
      </c>
      <c r="QE92" s="8"/>
      <c r="QF92" s="42" t="str">
        <f t="shared" si="554"/>
        <v/>
      </c>
      <c r="QG92" s="43">
        <f t="shared" si="555"/>
        <v>1</v>
      </c>
      <c r="QH92" s="8"/>
      <c r="QI92" s="47">
        <v>1</v>
      </c>
      <c r="QJ92" s="48" t="s">
        <v>4</v>
      </c>
      <c r="QK92" s="49">
        <v>0</v>
      </c>
      <c r="QL92" s="8"/>
      <c r="QM92" s="42" t="str">
        <f t="shared" si="556"/>
        <v/>
      </c>
      <c r="QN92" s="43">
        <f t="shared" si="557"/>
        <v>1</v>
      </c>
      <c r="QO92" s="8"/>
      <c r="QP92" s="47">
        <v>4</v>
      </c>
      <c r="QQ92" s="48" t="s">
        <v>4</v>
      </c>
      <c r="QR92" s="49">
        <v>1</v>
      </c>
      <c r="QS92" s="8"/>
      <c r="QT92" s="42" t="str">
        <f t="shared" si="558"/>
        <v/>
      </c>
      <c r="QU92" s="43">
        <f t="shared" si="559"/>
        <v>3</v>
      </c>
      <c r="QV92" s="8"/>
      <c r="QW92" s="47">
        <v>2</v>
      </c>
      <c r="QX92" s="48" t="s">
        <v>4</v>
      </c>
      <c r="QY92" s="49">
        <v>0</v>
      </c>
      <c r="QZ92" s="8"/>
      <c r="RA92" s="42" t="str">
        <f t="shared" si="560"/>
        <v/>
      </c>
      <c r="RB92" s="43">
        <f t="shared" si="561"/>
        <v>2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/>
      <c r="RL92" s="48" t="s">
        <v>4</v>
      </c>
      <c r="RM92" s="49"/>
      <c r="RN92" s="8"/>
      <c r="RO92" s="42" t="str">
        <f t="shared" si="564"/>
        <v/>
      </c>
      <c r="RP92" s="43">
        <f t="shared" si="565"/>
        <v>0</v>
      </c>
      <c r="RQ92" s="8"/>
      <c r="RR92" s="47"/>
      <c r="RS92" s="48" t="s">
        <v>4</v>
      </c>
      <c r="RT92" s="49"/>
      <c r="RU92" s="8"/>
      <c r="RV92" s="42" t="str">
        <f t="shared" si="566"/>
        <v/>
      </c>
      <c r="RW92" s="43">
        <f t="shared" si="567"/>
        <v>0</v>
      </c>
      <c r="RX92" s="8"/>
      <c r="RY92" s="47"/>
      <c r="RZ92" s="48" t="s">
        <v>4</v>
      </c>
      <c r="SA92" s="49"/>
      <c r="SB92" s="8"/>
      <c r="SC92" s="42" t="str">
        <f t="shared" si="568"/>
        <v/>
      </c>
      <c r="SD92" s="43">
        <f t="shared" si="569"/>
        <v>0</v>
      </c>
      <c r="SE92" s="8"/>
      <c r="SF92" s="47"/>
      <c r="SG92" s="48" t="s">
        <v>4</v>
      </c>
      <c r="SH92" s="49"/>
      <c r="SI92" s="8"/>
      <c r="SJ92" s="42" t="str">
        <f t="shared" si="570"/>
        <v/>
      </c>
      <c r="SK92" s="43">
        <f t="shared" si="571"/>
        <v>0</v>
      </c>
      <c r="SL92" s="8"/>
      <c r="SM92" s="47"/>
      <c r="SN92" s="48" t="s">
        <v>4</v>
      </c>
      <c r="SO92" s="49"/>
      <c r="SP92" s="8"/>
      <c r="SQ92" s="42" t="str">
        <f t="shared" si="572"/>
        <v/>
      </c>
      <c r="SR92" s="43">
        <f t="shared" si="573"/>
        <v>0</v>
      </c>
    </row>
    <row r="93" spans="1:512" ht="16" customHeight="1" x14ac:dyDescent="0.15">
      <c r="A93" s="51">
        <v>46206</v>
      </c>
      <c r="B93" s="46">
        <v>4.1666666666666664E-2</v>
      </c>
      <c r="C93" s="82" t="s">
        <v>9</v>
      </c>
      <c r="D93" s="82" t="s">
        <v>22</v>
      </c>
      <c r="E93" s="2"/>
      <c r="F93" s="50" t="s">
        <v>4</v>
      </c>
      <c r="G93" s="1"/>
      <c r="H93" s="16">
        <v>6.8</v>
      </c>
      <c r="I93" s="32">
        <f t="shared" si="429"/>
        <v>0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>
        <v>1</v>
      </c>
      <c r="R93" s="48" t="s">
        <v>4</v>
      </c>
      <c r="S93" s="49">
        <v>2</v>
      </c>
      <c r="T93" s="8"/>
      <c r="U93" s="42" t="str">
        <f t="shared" si="432"/>
        <v/>
      </c>
      <c r="V93" s="43">
        <f t="shared" si="433"/>
        <v>-1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>
        <v>2</v>
      </c>
      <c r="AF93" s="48" t="s">
        <v>4</v>
      </c>
      <c r="AG93" s="49">
        <v>1</v>
      </c>
      <c r="AH93" s="8"/>
      <c r="AI93" s="42" t="str">
        <f t="shared" si="436"/>
        <v/>
      </c>
      <c r="AJ93" s="43">
        <f t="shared" si="437"/>
        <v>1</v>
      </c>
      <c r="AK93" s="8"/>
      <c r="AL93" s="47">
        <v>2</v>
      </c>
      <c r="AM93" s="48" t="s">
        <v>4</v>
      </c>
      <c r="AN93" s="49">
        <v>1</v>
      </c>
      <c r="AO93" s="8"/>
      <c r="AP93" s="42" t="str">
        <f t="shared" si="438"/>
        <v/>
      </c>
      <c r="AQ93" s="43">
        <f t="shared" si="439"/>
        <v>1</v>
      </c>
      <c r="AR93" s="8"/>
      <c r="AS93" s="47">
        <v>2</v>
      </c>
      <c r="AT93" s="48" t="s">
        <v>4</v>
      </c>
      <c r="AU93" s="49">
        <v>0</v>
      </c>
      <c r="AV93" s="8"/>
      <c r="AW93" s="42" t="str">
        <f t="shared" si="440"/>
        <v/>
      </c>
      <c r="AX93" s="43">
        <f t="shared" si="441"/>
        <v>2</v>
      </c>
      <c r="AY93" s="8"/>
      <c r="AZ93" s="47">
        <v>2</v>
      </c>
      <c r="BA93" s="48" t="s">
        <v>4</v>
      </c>
      <c r="BB93" s="49">
        <v>1</v>
      </c>
      <c r="BC93" s="8"/>
      <c r="BD93" s="42" t="str">
        <f t="shared" si="442"/>
        <v/>
      </c>
      <c r="BE93" s="43">
        <f t="shared" si="443"/>
        <v>1</v>
      </c>
      <c r="BF93" s="8"/>
      <c r="BG93" s="47">
        <v>3</v>
      </c>
      <c r="BH93" s="48" t="s">
        <v>4</v>
      </c>
      <c r="BI93" s="49">
        <v>1</v>
      </c>
      <c r="BJ93" s="8"/>
      <c r="BK93" s="42" t="str">
        <f t="shared" si="444"/>
        <v/>
      </c>
      <c r="BL93" s="43">
        <f t="shared" si="445"/>
        <v>2</v>
      </c>
      <c r="BM93" s="8"/>
      <c r="BN93" s="47">
        <v>1</v>
      </c>
      <c r="BO93" s="48" t="s">
        <v>4</v>
      </c>
      <c r="BP93" s="49">
        <v>0</v>
      </c>
      <c r="BQ93" s="8"/>
      <c r="BR93" s="42" t="str">
        <f t="shared" si="446"/>
        <v/>
      </c>
      <c r="BS93" s="43">
        <f t="shared" si="447"/>
        <v>1</v>
      </c>
      <c r="BT93" s="8"/>
      <c r="BU93" s="47"/>
      <c r="BV93" s="48" t="s">
        <v>4</v>
      </c>
      <c r="BW93" s="49"/>
      <c r="BX93" s="8"/>
      <c r="BY93" s="42" t="str">
        <f t="shared" si="448"/>
        <v/>
      </c>
      <c r="BZ93" s="43">
        <f t="shared" si="449"/>
        <v>0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/>
      <c r="CJ93" s="48" t="s">
        <v>4</v>
      </c>
      <c r="CK93" s="49"/>
      <c r="CL93" s="8"/>
      <c r="CM93" s="42" t="str">
        <f t="shared" si="452"/>
        <v/>
      </c>
      <c r="CN93" s="43">
        <f t="shared" si="453"/>
        <v>0</v>
      </c>
      <c r="CO93" s="8"/>
      <c r="CP93" s="47">
        <v>1</v>
      </c>
      <c r="CQ93" s="48" t="s">
        <v>4</v>
      </c>
      <c r="CR93" s="49">
        <v>2</v>
      </c>
      <c r="CS93" s="8"/>
      <c r="CT93" s="42" t="str">
        <f t="shared" si="454"/>
        <v/>
      </c>
      <c r="CU93" s="43">
        <f t="shared" si="455"/>
        <v>-1</v>
      </c>
      <c r="CV93" s="8"/>
      <c r="CW93" s="47">
        <v>3</v>
      </c>
      <c r="CX93" s="48" t="s">
        <v>4</v>
      </c>
      <c r="CY93" s="49">
        <v>2</v>
      </c>
      <c r="CZ93" s="8"/>
      <c r="DA93" s="42" t="str">
        <f t="shared" si="456"/>
        <v/>
      </c>
      <c r="DB93" s="43">
        <f t="shared" si="457"/>
        <v>1</v>
      </c>
      <c r="DC93" s="8"/>
      <c r="DD93" s="47">
        <v>2</v>
      </c>
      <c r="DE93" s="48" t="s">
        <v>4</v>
      </c>
      <c r="DF93" s="49">
        <v>1</v>
      </c>
      <c r="DG93" s="8"/>
      <c r="DH93" s="42" t="str">
        <f t="shared" si="458"/>
        <v/>
      </c>
      <c r="DI93" s="43">
        <f t="shared" si="459"/>
        <v>1</v>
      </c>
      <c r="DJ93" s="8"/>
      <c r="DK93" s="47">
        <v>1</v>
      </c>
      <c r="DL93" s="48" t="s">
        <v>4</v>
      </c>
      <c r="DM93" s="49">
        <v>0</v>
      </c>
      <c r="DN93" s="8"/>
      <c r="DO93" s="42" t="str">
        <f t="shared" si="460"/>
        <v/>
      </c>
      <c r="DP93" s="43">
        <f t="shared" si="461"/>
        <v>1</v>
      </c>
      <c r="DQ93" s="8"/>
      <c r="DR93" s="47">
        <v>3</v>
      </c>
      <c r="DS93" s="48" t="s">
        <v>4</v>
      </c>
      <c r="DT93" s="49">
        <v>1</v>
      </c>
      <c r="DU93" s="8"/>
      <c r="DV93" s="42" t="str">
        <f t="shared" si="462"/>
        <v/>
      </c>
      <c r="DW93" s="43">
        <f t="shared" si="463"/>
        <v>2</v>
      </c>
      <c r="DX93" s="8"/>
      <c r="DY93" s="47">
        <v>2</v>
      </c>
      <c r="DZ93" s="48" t="s">
        <v>4</v>
      </c>
      <c r="EA93" s="49">
        <v>1</v>
      </c>
      <c r="EB93" s="8"/>
      <c r="EC93" s="42" t="str">
        <f t="shared" si="464"/>
        <v/>
      </c>
      <c r="ED93" s="43">
        <f t="shared" si="465"/>
        <v>1</v>
      </c>
      <c r="EE93" s="8"/>
      <c r="EF93" s="47">
        <v>1</v>
      </c>
      <c r="EG93" s="48" t="s">
        <v>4</v>
      </c>
      <c r="EH93" s="49">
        <v>0</v>
      </c>
      <c r="EI93" s="8"/>
      <c r="EJ93" s="42" t="str">
        <f t="shared" si="466"/>
        <v/>
      </c>
      <c r="EK93" s="43">
        <f t="shared" si="467"/>
        <v>1</v>
      </c>
      <c r="EL93" s="8"/>
      <c r="EM93" s="47">
        <v>2</v>
      </c>
      <c r="EN93" s="48" t="s">
        <v>4</v>
      </c>
      <c r="EO93" s="49">
        <v>1</v>
      </c>
      <c r="EP93" s="8"/>
      <c r="EQ93" s="42" t="str">
        <f t="shared" si="468"/>
        <v/>
      </c>
      <c r="ER93" s="43">
        <f t="shared" si="469"/>
        <v>1</v>
      </c>
      <c r="ES93" s="8"/>
      <c r="ET93" s="47">
        <v>4</v>
      </c>
      <c r="EU93" s="48" t="s">
        <v>4</v>
      </c>
      <c r="EV93" s="49">
        <v>3</v>
      </c>
      <c r="EW93" s="8"/>
      <c r="EX93" s="42" t="str">
        <f t="shared" si="470"/>
        <v/>
      </c>
      <c r="EY93" s="43">
        <f t="shared" si="471"/>
        <v>1</v>
      </c>
      <c r="EZ93" s="8"/>
      <c r="FA93" s="47">
        <v>1</v>
      </c>
      <c r="FB93" s="48" t="s">
        <v>4</v>
      </c>
      <c r="FC93" s="49">
        <v>0</v>
      </c>
      <c r="FD93" s="8"/>
      <c r="FE93" s="42" t="str">
        <f t="shared" si="472"/>
        <v/>
      </c>
      <c r="FF93" s="43">
        <f t="shared" si="473"/>
        <v>1</v>
      </c>
      <c r="FG93" s="8"/>
      <c r="FH93" s="47">
        <v>1</v>
      </c>
      <c r="FI93" s="48" t="s">
        <v>4</v>
      </c>
      <c r="FJ93" s="49">
        <v>0</v>
      </c>
      <c r="FK93" s="8"/>
      <c r="FL93" s="42" t="str">
        <f t="shared" si="474"/>
        <v/>
      </c>
      <c r="FM93" s="43">
        <f t="shared" si="475"/>
        <v>1</v>
      </c>
      <c r="FN93" s="8"/>
      <c r="FO93" s="47">
        <v>1</v>
      </c>
      <c r="FP93" s="48" t="s">
        <v>4</v>
      </c>
      <c r="FQ93" s="49">
        <v>2</v>
      </c>
      <c r="FR93" s="8"/>
      <c r="FS93" s="42" t="str">
        <f t="shared" si="476"/>
        <v/>
      </c>
      <c r="FT93" s="43">
        <f t="shared" si="477"/>
        <v>-1</v>
      </c>
      <c r="FU93" s="8"/>
      <c r="FV93" s="47">
        <v>2</v>
      </c>
      <c r="FW93" s="48" t="s">
        <v>4</v>
      </c>
      <c r="FX93" s="49">
        <v>1</v>
      </c>
      <c r="FY93" s="8"/>
      <c r="FZ93" s="42" t="str">
        <f t="shared" si="478"/>
        <v/>
      </c>
      <c r="GA93" s="43">
        <f t="shared" si="479"/>
        <v>1</v>
      </c>
      <c r="GB93" s="8"/>
      <c r="GC93" s="47">
        <v>2</v>
      </c>
      <c r="GD93" s="48" t="s">
        <v>4</v>
      </c>
      <c r="GE93" s="49">
        <v>1</v>
      </c>
      <c r="GF93" s="8"/>
      <c r="GG93" s="42" t="str">
        <f t="shared" si="480"/>
        <v/>
      </c>
      <c r="GH93" s="43">
        <f t="shared" si="481"/>
        <v>1</v>
      </c>
      <c r="GI93" s="8"/>
      <c r="GJ93" s="47">
        <v>1</v>
      </c>
      <c r="GK93" s="48" t="s">
        <v>4</v>
      </c>
      <c r="GL93" s="49">
        <v>2</v>
      </c>
      <c r="GM93" s="8"/>
      <c r="GN93" s="42" t="str">
        <f t="shared" si="482"/>
        <v/>
      </c>
      <c r="GO93" s="43">
        <f t="shared" si="483"/>
        <v>-1</v>
      </c>
      <c r="GP93" s="8"/>
      <c r="GQ93" s="47">
        <v>4</v>
      </c>
      <c r="GR93" s="48" t="s">
        <v>4</v>
      </c>
      <c r="GS93" s="49">
        <v>5</v>
      </c>
      <c r="GT93" s="8"/>
      <c r="GU93" s="42" t="str">
        <f t="shared" si="484"/>
        <v/>
      </c>
      <c r="GV93" s="43">
        <f t="shared" si="485"/>
        <v>-1</v>
      </c>
      <c r="GW93" s="8"/>
      <c r="GX93" s="47">
        <v>2</v>
      </c>
      <c r="GY93" s="48" t="s">
        <v>4</v>
      </c>
      <c r="GZ93" s="49">
        <v>1</v>
      </c>
      <c r="HA93" s="8"/>
      <c r="HB93" s="42" t="str">
        <f t="shared" si="486"/>
        <v/>
      </c>
      <c r="HC93" s="43">
        <f t="shared" si="487"/>
        <v>1</v>
      </c>
      <c r="HD93" s="8"/>
      <c r="HE93" s="47">
        <v>2</v>
      </c>
      <c r="HF93" s="48" t="s">
        <v>4</v>
      </c>
      <c r="HG93" s="49">
        <v>1</v>
      </c>
      <c r="HH93" s="8"/>
      <c r="HI93" s="42" t="str">
        <f t="shared" si="488"/>
        <v/>
      </c>
      <c r="HJ93" s="43">
        <f t="shared" si="489"/>
        <v>1</v>
      </c>
      <c r="HK93" s="8"/>
      <c r="HL93" s="47">
        <v>2</v>
      </c>
      <c r="HM93" s="48" t="s">
        <v>4</v>
      </c>
      <c r="HN93" s="49">
        <v>1</v>
      </c>
      <c r="HO93" s="8"/>
      <c r="HP93" s="42" t="str">
        <f t="shared" si="490"/>
        <v/>
      </c>
      <c r="HQ93" s="43">
        <f t="shared" si="491"/>
        <v>1</v>
      </c>
      <c r="HR93" s="8"/>
      <c r="HS93" s="47">
        <v>1</v>
      </c>
      <c r="HT93" s="48" t="s">
        <v>4</v>
      </c>
      <c r="HU93" s="49">
        <v>2</v>
      </c>
      <c r="HV93" s="8"/>
      <c r="HW93" s="42" t="str">
        <f t="shared" si="492"/>
        <v/>
      </c>
      <c r="HX93" s="43">
        <f t="shared" si="493"/>
        <v>-1</v>
      </c>
      <c r="HY93" s="8"/>
      <c r="HZ93" s="47">
        <v>1</v>
      </c>
      <c r="IA93" s="48" t="s">
        <v>4</v>
      </c>
      <c r="IB93" s="49">
        <v>2</v>
      </c>
      <c r="IC93" s="8"/>
      <c r="ID93" s="42" t="str">
        <f t="shared" si="494"/>
        <v/>
      </c>
      <c r="IE93" s="43">
        <f t="shared" si="495"/>
        <v>-1</v>
      </c>
      <c r="IF93" s="8"/>
      <c r="IG93" s="47">
        <v>2</v>
      </c>
      <c r="IH93" s="48" t="s">
        <v>4</v>
      </c>
      <c r="II93" s="49">
        <v>3</v>
      </c>
      <c r="IJ93" s="8"/>
      <c r="IK93" s="42" t="str">
        <f t="shared" si="496"/>
        <v/>
      </c>
      <c r="IL93" s="43">
        <f t="shared" si="497"/>
        <v>-1</v>
      </c>
      <c r="IM93" s="8"/>
      <c r="IN93" s="47">
        <v>6</v>
      </c>
      <c r="IO93" s="48" t="s">
        <v>4</v>
      </c>
      <c r="IP93" s="49">
        <v>7</v>
      </c>
      <c r="IQ93" s="8"/>
      <c r="IR93" s="42" t="str">
        <f t="shared" si="498"/>
        <v/>
      </c>
      <c r="IS93" s="43">
        <f t="shared" si="499"/>
        <v>-1</v>
      </c>
      <c r="IT93" s="8"/>
      <c r="IU93" s="47">
        <v>2</v>
      </c>
      <c r="IV93" s="48" t="s">
        <v>4</v>
      </c>
      <c r="IW93" s="49">
        <v>0</v>
      </c>
      <c r="IX93" s="8"/>
      <c r="IY93" s="42" t="str">
        <f t="shared" si="500"/>
        <v/>
      </c>
      <c r="IZ93" s="43">
        <f t="shared" si="501"/>
        <v>2</v>
      </c>
      <c r="JA93" s="8"/>
      <c r="JB93" s="47">
        <v>2</v>
      </c>
      <c r="JC93" s="48" t="s">
        <v>4</v>
      </c>
      <c r="JD93" s="49">
        <v>0</v>
      </c>
      <c r="JE93" s="8"/>
      <c r="JF93" s="42" t="str">
        <f t="shared" si="502"/>
        <v/>
      </c>
      <c r="JG93" s="43">
        <f t="shared" si="503"/>
        <v>2</v>
      </c>
      <c r="JH93" s="8"/>
      <c r="JI93" s="47">
        <v>2</v>
      </c>
      <c r="JJ93" s="48" t="s">
        <v>4</v>
      </c>
      <c r="JK93" s="49">
        <v>3</v>
      </c>
      <c r="JL93" s="8"/>
      <c r="JM93" s="42" t="str">
        <f t="shared" si="504"/>
        <v/>
      </c>
      <c r="JN93" s="43">
        <f t="shared" si="505"/>
        <v>-1</v>
      </c>
      <c r="JO93" s="8"/>
      <c r="JP93" s="47">
        <v>1</v>
      </c>
      <c r="JQ93" s="48" t="s">
        <v>4</v>
      </c>
      <c r="JR93" s="49">
        <v>0</v>
      </c>
      <c r="JS93" s="8"/>
      <c r="JT93" s="42" t="str">
        <f t="shared" si="506"/>
        <v/>
      </c>
      <c r="JU93" s="43">
        <f t="shared" si="507"/>
        <v>1</v>
      </c>
      <c r="JV93" s="8"/>
      <c r="JW93" s="47">
        <v>2</v>
      </c>
      <c r="JX93" s="48" t="s">
        <v>4</v>
      </c>
      <c r="JY93" s="49">
        <v>0</v>
      </c>
      <c r="JZ93" s="8"/>
      <c r="KA93" s="42" t="str">
        <f t="shared" si="508"/>
        <v/>
      </c>
      <c r="KB93" s="43">
        <f t="shared" si="509"/>
        <v>2</v>
      </c>
      <c r="KC93" s="8"/>
      <c r="KD93" s="47">
        <v>6</v>
      </c>
      <c r="KE93" s="48" t="s">
        <v>4</v>
      </c>
      <c r="KF93" s="49">
        <v>5</v>
      </c>
      <c r="KG93" s="8"/>
      <c r="KH93" s="42" t="str">
        <f t="shared" si="510"/>
        <v/>
      </c>
      <c r="KI93" s="43">
        <f t="shared" si="511"/>
        <v>1</v>
      </c>
      <c r="KJ93" s="8"/>
      <c r="KK93" s="47">
        <v>2</v>
      </c>
      <c r="KL93" s="48" t="s">
        <v>4</v>
      </c>
      <c r="KM93" s="49">
        <v>0</v>
      </c>
      <c r="KN93" s="8"/>
      <c r="KO93" s="42" t="str">
        <f t="shared" si="512"/>
        <v/>
      </c>
      <c r="KP93" s="43">
        <f t="shared" si="513"/>
        <v>2</v>
      </c>
      <c r="KQ93" s="8"/>
      <c r="KR93" s="47">
        <v>0</v>
      </c>
      <c r="KS93" s="48" t="s">
        <v>4</v>
      </c>
      <c r="KT93" s="49">
        <v>1</v>
      </c>
      <c r="KU93" s="8"/>
      <c r="KV93" s="42" t="str">
        <f t="shared" si="514"/>
        <v/>
      </c>
      <c r="KW93" s="43">
        <f t="shared" si="515"/>
        <v>-1</v>
      </c>
      <c r="KX93" s="8"/>
      <c r="KY93" s="47">
        <v>2</v>
      </c>
      <c r="KZ93" s="48" t="s">
        <v>4</v>
      </c>
      <c r="LA93" s="49">
        <v>1</v>
      </c>
      <c r="LB93" s="8"/>
      <c r="LC93" s="42" t="str">
        <f t="shared" si="516"/>
        <v/>
      </c>
      <c r="LD93" s="43">
        <f t="shared" si="517"/>
        <v>1</v>
      </c>
      <c r="LE93" s="8"/>
      <c r="LF93" s="47">
        <v>1</v>
      </c>
      <c r="LG93" s="48" t="s">
        <v>4</v>
      </c>
      <c r="LH93" s="49">
        <v>0</v>
      </c>
      <c r="LI93" s="8"/>
      <c r="LJ93" s="42" t="str">
        <f t="shared" si="518"/>
        <v/>
      </c>
      <c r="LK93" s="43">
        <f t="shared" si="519"/>
        <v>1</v>
      </c>
      <c r="LL93" s="8"/>
      <c r="LM93" s="47">
        <v>2</v>
      </c>
      <c r="LN93" s="48" t="s">
        <v>4</v>
      </c>
      <c r="LO93" s="49">
        <v>3</v>
      </c>
      <c r="LP93" s="8"/>
      <c r="LQ93" s="42" t="str">
        <f t="shared" si="520"/>
        <v/>
      </c>
      <c r="LR93" s="43">
        <f t="shared" si="521"/>
        <v>-1</v>
      </c>
      <c r="LS93" s="8"/>
      <c r="LT93" s="47">
        <v>0</v>
      </c>
      <c r="LU93" s="48" t="s">
        <v>4</v>
      </c>
      <c r="LV93" s="49">
        <v>1</v>
      </c>
      <c r="LW93" s="8"/>
      <c r="LX93" s="42" t="str">
        <f t="shared" si="522"/>
        <v/>
      </c>
      <c r="LY93" s="43">
        <f t="shared" si="523"/>
        <v>-1</v>
      </c>
      <c r="LZ93" s="8"/>
      <c r="MA93" s="47">
        <v>1</v>
      </c>
      <c r="MB93" s="48" t="s">
        <v>4</v>
      </c>
      <c r="MC93" s="49">
        <v>2</v>
      </c>
      <c r="MD93" s="8"/>
      <c r="ME93" s="42" t="str">
        <f t="shared" si="524"/>
        <v/>
      </c>
      <c r="MF93" s="43">
        <f t="shared" si="525"/>
        <v>-1</v>
      </c>
      <c r="MG93" s="8"/>
      <c r="MH93" s="47">
        <v>1</v>
      </c>
      <c r="MI93" s="48" t="s">
        <v>4</v>
      </c>
      <c r="MJ93" s="49">
        <v>3</v>
      </c>
      <c r="MK93" s="8"/>
      <c r="ML93" s="42" t="str">
        <f t="shared" si="526"/>
        <v/>
      </c>
      <c r="MM93" s="43">
        <f t="shared" si="527"/>
        <v>-2</v>
      </c>
      <c r="MN93" s="8"/>
      <c r="MO93" s="47">
        <v>1</v>
      </c>
      <c r="MP93" s="48" t="s">
        <v>4</v>
      </c>
      <c r="MQ93" s="49">
        <v>2</v>
      </c>
      <c r="MR93" s="8"/>
      <c r="MS93" s="42" t="str">
        <f t="shared" si="528"/>
        <v/>
      </c>
      <c r="MT93" s="43">
        <f t="shared" si="529"/>
        <v>-1</v>
      </c>
      <c r="MU93" s="8"/>
      <c r="MV93" s="47">
        <v>1</v>
      </c>
      <c r="MW93" s="48" t="s">
        <v>4</v>
      </c>
      <c r="MX93" s="49">
        <v>3</v>
      </c>
      <c r="MY93" s="8"/>
      <c r="MZ93" s="42" t="str">
        <f t="shared" si="530"/>
        <v/>
      </c>
      <c r="NA93" s="43">
        <f t="shared" si="531"/>
        <v>-2</v>
      </c>
      <c r="NB93" s="8"/>
      <c r="NC93" s="47">
        <v>8</v>
      </c>
      <c r="ND93" s="48" t="s">
        <v>4</v>
      </c>
      <c r="NE93" s="49">
        <v>7</v>
      </c>
      <c r="NF93" s="8"/>
      <c r="NG93" s="42" t="str">
        <f t="shared" si="532"/>
        <v/>
      </c>
      <c r="NH93" s="43">
        <f t="shared" si="533"/>
        <v>1</v>
      </c>
      <c r="NI93" s="8"/>
      <c r="NJ93" s="47">
        <v>2</v>
      </c>
      <c r="NK93" s="48" t="s">
        <v>4</v>
      </c>
      <c r="NL93" s="49">
        <v>1</v>
      </c>
      <c r="NM93" s="8"/>
      <c r="NN93" s="42" t="str">
        <f t="shared" si="534"/>
        <v/>
      </c>
      <c r="NO93" s="43">
        <f t="shared" si="535"/>
        <v>1</v>
      </c>
      <c r="NP93" s="8"/>
      <c r="NQ93" s="47">
        <v>7</v>
      </c>
      <c r="NR93" s="48" t="s">
        <v>4</v>
      </c>
      <c r="NS93" s="49">
        <v>6</v>
      </c>
      <c r="NT93" s="8"/>
      <c r="NU93" s="42" t="str">
        <f t="shared" si="536"/>
        <v/>
      </c>
      <c r="NV93" s="43">
        <f t="shared" si="537"/>
        <v>1</v>
      </c>
      <c r="NW93" s="8"/>
      <c r="NX93" s="47">
        <v>6</v>
      </c>
      <c r="NY93" s="48" t="s">
        <v>4</v>
      </c>
      <c r="NZ93" s="49">
        <v>4</v>
      </c>
      <c r="OA93" s="8"/>
      <c r="OB93" s="42" t="str">
        <f t="shared" si="538"/>
        <v/>
      </c>
      <c r="OC93" s="43">
        <f t="shared" si="539"/>
        <v>2</v>
      </c>
      <c r="OD93" s="8"/>
      <c r="OE93" s="47">
        <v>3</v>
      </c>
      <c r="OF93" s="48" t="s">
        <v>4</v>
      </c>
      <c r="OG93" s="49">
        <v>2</v>
      </c>
      <c r="OH93" s="8"/>
      <c r="OI93" s="42" t="str">
        <f t="shared" si="540"/>
        <v/>
      </c>
      <c r="OJ93" s="43">
        <f t="shared" si="541"/>
        <v>1</v>
      </c>
      <c r="OK93" s="8"/>
      <c r="OL93" s="47">
        <v>2</v>
      </c>
      <c r="OM93" s="48" t="s">
        <v>4</v>
      </c>
      <c r="ON93" s="49">
        <v>0</v>
      </c>
      <c r="OO93" s="8"/>
      <c r="OP93" s="42" t="str">
        <f t="shared" si="542"/>
        <v/>
      </c>
      <c r="OQ93" s="43">
        <f t="shared" si="543"/>
        <v>2</v>
      </c>
      <c r="OR93" s="8"/>
      <c r="OS93" s="47">
        <v>4</v>
      </c>
      <c r="OT93" s="48" t="s">
        <v>4</v>
      </c>
      <c r="OU93" s="49">
        <v>1</v>
      </c>
      <c r="OV93" s="8"/>
      <c r="OW93" s="42" t="str">
        <f t="shared" si="544"/>
        <v/>
      </c>
      <c r="OX93" s="43">
        <f t="shared" si="545"/>
        <v>3</v>
      </c>
      <c r="OY93" s="8"/>
      <c r="OZ93" s="47">
        <v>1</v>
      </c>
      <c r="PA93" s="48" t="s">
        <v>4</v>
      </c>
      <c r="PB93" s="49">
        <v>2</v>
      </c>
      <c r="PC93" s="8"/>
      <c r="PD93" s="42" t="str">
        <f t="shared" si="546"/>
        <v/>
      </c>
      <c r="PE93" s="43">
        <f t="shared" si="547"/>
        <v>-1</v>
      </c>
      <c r="PF93" s="8"/>
      <c r="PG93" s="47">
        <v>5</v>
      </c>
      <c r="PH93" s="48" t="s">
        <v>4</v>
      </c>
      <c r="PI93" s="49">
        <v>4</v>
      </c>
      <c r="PJ93" s="8"/>
      <c r="PK93" s="42" t="str">
        <f t="shared" si="548"/>
        <v/>
      </c>
      <c r="PL93" s="43">
        <f t="shared" si="549"/>
        <v>1</v>
      </c>
      <c r="PM93" s="8"/>
      <c r="PN93" s="47">
        <v>2</v>
      </c>
      <c r="PO93" s="48" t="s">
        <v>4</v>
      </c>
      <c r="PP93" s="49">
        <v>1</v>
      </c>
      <c r="PQ93" s="8"/>
      <c r="PR93" s="42" t="str">
        <f t="shared" si="550"/>
        <v/>
      </c>
      <c r="PS93" s="43">
        <f t="shared" si="551"/>
        <v>1</v>
      </c>
      <c r="PT93" s="8"/>
      <c r="PU93" s="47">
        <v>6</v>
      </c>
      <c r="PV93" s="48" t="s">
        <v>4</v>
      </c>
      <c r="PW93" s="49">
        <v>5</v>
      </c>
      <c r="PX93" s="8"/>
      <c r="PY93" s="42" t="str">
        <f t="shared" si="552"/>
        <v/>
      </c>
      <c r="PZ93" s="43">
        <f t="shared" si="553"/>
        <v>1</v>
      </c>
      <c r="QA93" s="8"/>
      <c r="QB93" s="47">
        <v>2</v>
      </c>
      <c r="QC93" s="48" t="s">
        <v>4</v>
      </c>
      <c r="QD93" s="49">
        <v>1</v>
      </c>
      <c r="QE93" s="8"/>
      <c r="QF93" s="42" t="str">
        <f t="shared" si="554"/>
        <v/>
      </c>
      <c r="QG93" s="43">
        <f t="shared" si="555"/>
        <v>1</v>
      </c>
      <c r="QH93" s="8"/>
      <c r="QI93" s="47">
        <v>2</v>
      </c>
      <c r="QJ93" s="48" t="s">
        <v>4</v>
      </c>
      <c r="QK93" s="49">
        <v>1</v>
      </c>
      <c r="QL93" s="8"/>
      <c r="QM93" s="42" t="str">
        <f t="shared" si="556"/>
        <v/>
      </c>
      <c r="QN93" s="43">
        <f t="shared" si="557"/>
        <v>1</v>
      </c>
      <c r="QO93" s="8"/>
      <c r="QP93" s="47">
        <v>2</v>
      </c>
      <c r="QQ93" s="48" t="s">
        <v>4</v>
      </c>
      <c r="QR93" s="49">
        <v>0</v>
      </c>
      <c r="QS93" s="8"/>
      <c r="QT93" s="42" t="str">
        <f t="shared" si="558"/>
        <v/>
      </c>
      <c r="QU93" s="43">
        <f t="shared" si="559"/>
        <v>2</v>
      </c>
      <c r="QV93" s="8"/>
      <c r="QW93" s="47">
        <v>2</v>
      </c>
      <c r="QX93" s="48" t="s">
        <v>4</v>
      </c>
      <c r="QY93" s="49">
        <v>1</v>
      </c>
      <c r="QZ93" s="8"/>
      <c r="RA93" s="42" t="str">
        <f t="shared" si="560"/>
        <v/>
      </c>
      <c r="RB93" s="43">
        <f t="shared" si="561"/>
        <v>1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/>
      <c r="RL93" s="48" t="s">
        <v>4</v>
      </c>
      <c r="RM93" s="49"/>
      <c r="RN93" s="8"/>
      <c r="RO93" s="42" t="str">
        <f t="shared" si="564"/>
        <v/>
      </c>
      <c r="RP93" s="43">
        <f t="shared" si="565"/>
        <v>0</v>
      </c>
      <c r="RQ93" s="8"/>
      <c r="RR93" s="47"/>
      <c r="RS93" s="48" t="s">
        <v>4</v>
      </c>
      <c r="RT93" s="49"/>
      <c r="RU93" s="8"/>
      <c r="RV93" s="42" t="str">
        <f t="shared" si="566"/>
        <v/>
      </c>
      <c r="RW93" s="43">
        <f t="shared" si="567"/>
        <v>0</v>
      </c>
      <c r="RX93" s="8"/>
      <c r="RY93" s="47"/>
      <c r="RZ93" s="48" t="s">
        <v>4</v>
      </c>
      <c r="SA93" s="49"/>
      <c r="SB93" s="8"/>
      <c r="SC93" s="42" t="str">
        <f t="shared" si="568"/>
        <v/>
      </c>
      <c r="SD93" s="43">
        <f t="shared" si="569"/>
        <v>0</v>
      </c>
      <c r="SE93" s="8"/>
      <c r="SF93" s="47"/>
      <c r="SG93" s="48" t="s">
        <v>4</v>
      </c>
      <c r="SH93" s="49"/>
      <c r="SI93" s="8"/>
      <c r="SJ93" s="42" t="str">
        <f t="shared" si="570"/>
        <v/>
      </c>
      <c r="SK93" s="43">
        <f t="shared" si="571"/>
        <v>0</v>
      </c>
      <c r="SL93" s="8"/>
      <c r="SM93" s="47"/>
      <c r="SN93" s="48" t="s">
        <v>4</v>
      </c>
      <c r="SO93" s="49"/>
      <c r="SP93" s="8"/>
      <c r="SQ93" s="42" t="str">
        <f t="shared" si="572"/>
        <v/>
      </c>
      <c r="SR93" s="43">
        <f t="shared" si="573"/>
        <v>0</v>
      </c>
    </row>
    <row r="94" spans="1:512" ht="16" customHeight="1" x14ac:dyDescent="0.15">
      <c r="A94" s="51">
        <v>46206</v>
      </c>
      <c r="B94" s="46">
        <v>0.20833333333333334</v>
      </c>
      <c r="C94" s="82" t="s">
        <v>21</v>
      </c>
      <c r="D94" s="82" t="s">
        <v>55</v>
      </c>
      <c r="E94" s="2"/>
      <c r="F94" s="50" t="s">
        <v>4</v>
      </c>
      <c r="G94" s="1"/>
      <c r="H94" s="16">
        <v>6.8</v>
      </c>
      <c r="I94" s="32">
        <f t="shared" si="429"/>
        <v>0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>
        <v>2</v>
      </c>
      <c r="R94" s="48" t="s">
        <v>4</v>
      </c>
      <c r="S94" s="49">
        <v>0</v>
      </c>
      <c r="T94" s="8"/>
      <c r="U94" s="42" t="str">
        <f t="shared" si="432"/>
        <v/>
      </c>
      <c r="V94" s="43">
        <f t="shared" si="433"/>
        <v>2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>
        <v>2</v>
      </c>
      <c r="AF94" s="48" t="s">
        <v>4</v>
      </c>
      <c r="AG94" s="49">
        <v>0</v>
      </c>
      <c r="AH94" s="8"/>
      <c r="AI94" s="42" t="str">
        <f t="shared" si="436"/>
        <v/>
      </c>
      <c r="AJ94" s="43">
        <f t="shared" si="437"/>
        <v>2</v>
      </c>
      <c r="AK94" s="8"/>
      <c r="AL94" s="47">
        <v>2</v>
      </c>
      <c r="AM94" s="48" t="s">
        <v>4</v>
      </c>
      <c r="AN94" s="49">
        <v>0</v>
      </c>
      <c r="AO94" s="8"/>
      <c r="AP94" s="42" t="str">
        <f t="shared" si="438"/>
        <v/>
      </c>
      <c r="AQ94" s="43">
        <f t="shared" si="439"/>
        <v>2</v>
      </c>
      <c r="AR94" s="8"/>
      <c r="AS94" s="47">
        <v>3</v>
      </c>
      <c r="AT94" s="48" t="s">
        <v>4</v>
      </c>
      <c r="AU94" s="49">
        <v>1</v>
      </c>
      <c r="AV94" s="8"/>
      <c r="AW94" s="42" t="str">
        <f t="shared" si="440"/>
        <v/>
      </c>
      <c r="AX94" s="43">
        <f t="shared" si="441"/>
        <v>2</v>
      </c>
      <c r="AY94" s="8"/>
      <c r="AZ94" s="47">
        <v>2</v>
      </c>
      <c r="BA94" s="48" t="s">
        <v>4</v>
      </c>
      <c r="BB94" s="49">
        <v>1</v>
      </c>
      <c r="BC94" s="8"/>
      <c r="BD94" s="42" t="str">
        <f t="shared" si="442"/>
        <v/>
      </c>
      <c r="BE94" s="43">
        <f t="shared" si="443"/>
        <v>1</v>
      </c>
      <c r="BF94" s="8"/>
      <c r="BG94" s="47">
        <v>2</v>
      </c>
      <c r="BH94" s="48" t="s">
        <v>4</v>
      </c>
      <c r="BI94" s="49">
        <v>0</v>
      </c>
      <c r="BJ94" s="8"/>
      <c r="BK94" s="42" t="str">
        <f t="shared" si="444"/>
        <v/>
      </c>
      <c r="BL94" s="43">
        <f t="shared" si="445"/>
        <v>2</v>
      </c>
      <c r="BM94" s="8"/>
      <c r="BN94" s="47">
        <v>1</v>
      </c>
      <c r="BO94" s="48" t="s">
        <v>4</v>
      </c>
      <c r="BP94" s="49">
        <v>0</v>
      </c>
      <c r="BQ94" s="8"/>
      <c r="BR94" s="42" t="str">
        <f t="shared" si="446"/>
        <v/>
      </c>
      <c r="BS94" s="43">
        <f t="shared" si="447"/>
        <v>1</v>
      </c>
      <c r="BT94" s="8"/>
      <c r="BU94" s="47"/>
      <c r="BV94" s="48" t="s">
        <v>4</v>
      </c>
      <c r="BW94" s="49"/>
      <c r="BX94" s="8"/>
      <c r="BY94" s="42" t="str">
        <f t="shared" si="448"/>
        <v/>
      </c>
      <c r="BZ94" s="43">
        <f t="shared" si="449"/>
        <v>0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/>
      <c r="CJ94" s="48" t="s">
        <v>4</v>
      </c>
      <c r="CK94" s="49"/>
      <c r="CL94" s="8"/>
      <c r="CM94" s="42" t="str">
        <f t="shared" si="452"/>
        <v/>
      </c>
      <c r="CN94" s="43">
        <f t="shared" si="453"/>
        <v>0</v>
      </c>
      <c r="CO94" s="8"/>
      <c r="CP94" s="47">
        <v>0</v>
      </c>
      <c r="CQ94" s="48" t="s">
        <v>4</v>
      </c>
      <c r="CR94" s="49">
        <v>1</v>
      </c>
      <c r="CS94" s="8"/>
      <c r="CT94" s="42" t="str">
        <f t="shared" si="454"/>
        <v/>
      </c>
      <c r="CU94" s="43">
        <f t="shared" si="455"/>
        <v>-1</v>
      </c>
      <c r="CV94" s="8"/>
      <c r="CW94" s="47">
        <v>2</v>
      </c>
      <c r="CX94" s="48" t="s">
        <v>4</v>
      </c>
      <c r="CY94" s="49">
        <v>1</v>
      </c>
      <c r="CZ94" s="8"/>
      <c r="DA94" s="42" t="str">
        <f t="shared" si="456"/>
        <v/>
      </c>
      <c r="DB94" s="43">
        <f t="shared" si="457"/>
        <v>1</v>
      </c>
      <c r="DC94" s="8"/>
      <c r="DD94" s="47">
        <v>2</v>
      </c>
      <c r="DE94" s="48" t="s">
        <v>4</v>
      </c>
      <c r="DF94" s="49">
        <v>1</v>
      </c>
      <c r="DG94" s="8"/>
      <c r="DH94" s="42" t="str">
        <f t="shared" si="458"/>
        <v/>
      </c>
      <c r="DI94" s="43">
        <f t="shared" si="459"/>
        <v>1</v>
      </c>
      <c r="DJ94" s="8"/>
      <c r="DK94" s="47">
        <v>1</v>
      </c>
      <c r="DL94" s="48" t="s">
        <v>4</v>
      </c>
      <c r="DM94" s="49">
        <v>0</v>
      </c>
      <c r="DN94" s="8"/>
      <c r="DO94" s="42" t="str">
        <f t="shared" si="460"/>
        <v/>
      </c>
      <c r="DP94" s="43">
        <f t="shared" si="461"/>
        <v>1</v>
      </c>
      <c r="DQ94" s="8"/>
      <c r="DR94" s="47">
        <v>2</v>
      </c>
      <c r="DS94" s="48" t="s">
        <v>4</v>
      </c>
      <c r="DT94" s="49">
        <v>0</v>
      </c>
      <c r="DU94" s="8"/>
      <c r="DV94" s="42" t="str">
        <f t="shared" si="462"/>
        <v/>
      </c>
      <c r="DW94" s="43">
        <f t="shared" si="463"/>
        <v>2</v>
      </c>
      <c r="DX94" s="8"/>
      <c r="DY94" s="47">
        <v>3</v>
      </c>
      <c r="DZ94" s="48" t="s">
        <v>4</v>
      </c>
      <c r="EA94" s="49">
        <v>2</v>
      </c>
      <c r="EB94" s="8"/>
      <c r="EC94" s="42" t="str">
        <f t="shared" si="464"/>
        <v/>
      </c>
      <c r="ED94" s="43">
        <f t="shared" si="465"/>
        <v>1</v>
      </c>
      <c r="EE94" s="8"/>
      <c r="EF94" s="47">
        <v>1</v>
      </c>
      <c r="EG94" s="48" t="s">
        <v>4</v>
      </c>
      <c r="EH94" s="49">
        <v>2</v>
      </c>
      <c r="EI94" s="8"/>
      <c r="EJ94" s="42" t="str">
        <f t="shared" si="466"/>
        <v/>
      </c>
      <c r="EK94" s="43">
        <f t="shared" si="467"/>
        <v>-1</v>
      </c>
      <c r="EL94" s="8"/>
      <c r="EM94" s="47">
        <v>3</v>
      </c>
      <c r="EN94" s="48" t="s">
        <v>4</v>
      </c>
      <c r="EO94" s="49">
        <v>1</v>
      </c>
      <c r="EP94" s="8"/>
      <c r="EQ94" s="42" t="str">
        <f t="shared" si="468"/>
        <v/>
      </c>
      <c r="ER94" s="43">
        <f t="shared" si="469"/>
        <v>2</v>
      </c>
      <c r="ES94" s="8"/>
      <c r="ET94" s="47">
        <v>2</v>
      </c>
      <c r="EU94" s="48" t="s">
        <v>4</v>
      </c>
      <c r="EV94" s="49">
        <v>1</v>
      </c>
      <c r="EW94" s="8"/>
      <c r="EX94" s="42" t="str">
        <f t="shared" si="470"/>
        <v/>
      </c>
      <c r="EY94" s="43">
        <f t="shared" si="471"/>
        <v>1</v>
      </c>
      <c r="EZ94" s="8"/>
      <c r="FA94" s="47">
        <v>3</v>
      </c>
      <c r="FB94" s="48" t="s">
        <v>4</v>
      </c>
      <c r="FC94" s="49">
        <v>1</v>
      </c>
      <c r="FD94" s="8"/>
      <c r="FE94" s="42" t="str">
        <f t="shared" si="472"/>
        <v/>
      </c>
      <c r="FF94" s="43">
        <f t="shared" si="473"/>
        <v>2</v>
      </c>
      <c r="FG94" s="8"/>
      <c r="FH94" s="47">
        <v>1</v>
      </c>
      <c r="FI94" s="48" t="s">
        <v>4</v>
      </c>
      <c r="FJ94" s="49">
        <v>0</v>
      </c>
      <c r="FK94" s="8"/>
      <c r="FL94" s="42" t="str">
        <f t="shared" si="474"/>
        <v/>
      </c>
      <c r="FM94" s="43">
        <f t="shared" si="475"/>
        <v>1</v>
      </c>
      <c r="FN94" s="8"/>
      <c r="FO94" s="47">
        <v>3</v>
      </c>
      <c r="FP94" s="48" t="s">
        <v>4</v>
      </c>
      <c r="FQ94" s="49">
        <v>0</v>
      </c>
      <c r="FR94" s="8"/>
      <c r="FS94" s="42" t="str">
        <f t="shared" si="476"/>
        <v/>
      </c>
      <c r="FT94" s="43">
        <f t="shared" si="477"/>
        <v>3</v>
      </c>
      <c r="FU94" s="8"/>
      <c r="FV94" s="47">
        <v>2</v>
      </c>
      <c r="FW94" s="48" t="s">
        <v>4</v>
      </c>
      <c r="FX94" s="49">
        <v>0</v>
      </c>
      <c r="FY94" s="8"/>
      <c r="FZ94" s="42" t="str">
        <f t="shared" si="478"/>
        <v/>
      </c>
      <c r="GA94" s="43">
        <f t="shared" si="479"/>
        <v>2</v>
      </c>
      <c r="GB94" s="8"/>
      <c r="GC94" s="47">
        <v>2</v>
      </c>
      <c r="GD94" s="48" t="s">
        <v>4</v>
      </c>
      <c r="GE94" s="49">
        <v>1</v>
      </c>
      <c r="GF94" s="8"/>
      <c r="GG94" s="42" t="str">
        <f t="shared" si="480"/>
        <v/>
      </c>
      <c r="GH94" s="43">
        <f t="shared" si="481"/>
        <v>1</v>
      </c>
      <c r="GI94" s="8"/>
      <c r="GJ94" s="47">
        <v>1</v>
      </c>
      <c r="GK94" s="48" t="s">
        <v>4</v>
      </c>
      <c r="GL94" s="49">
        <v>2</v>
      </c>
      <c r="GM94" s="8"/>
      <c r="GN94" s="42" t="str">
        <f t="shared" si="482"/>
        <v/>
      </c>
      <c r="GO94" s="43">
        <f t="shared" si="483"/>
        <v>-1</v>
      </c>
      <c r="GP94" s="8"/>
      <c r="GQ94" s="47">
        <v>5</v>
      </c>
      <c r="GR94" s="48" t="s">
        <v>4</v>
      </c>
      <c r="GS94" s="49">
        <v>4</v>
      </c>
      <c r="GT94" s="8"/>
      <c r="GU94" s="42" t="str">
        <f t="shared" si="484"/>
        <v/>
      </c>
      <c r="GV94" s="43">
        <f t="shared" si="485"/>
        <v>1</v>
      </c>
      <c r="GW94" s="8"/>
      <c r="GX94" s="47">
        <v>3</v>
      </c>
      <c r="GY94" s="48" t="s">
        <v>4</v>
      </c>
      <c r="GZ94" s="49">
        <v>2</v>
      </c>
      <c r="HA94" s="8"/>
      <c r="HB94" s="42" t="str">
        <f t="shared" si="486"/>
        <v/>
      </c>
      <c r="HC94" s="43">
        <f t="shared" si="487"/>
        <v>1</v>
      </c>
      <c r="HD94" s="8"/>
      <c r="HE94" s="47">
        <v>1</v>
      </c>
      <c r="HF94" s="48" t="s">
        <v>4</v>
      </c>
      <c r="HG94" s="49">
        <v>0</v>
      </c>
      <c r="HH94" s="8"/>
      <c r="HI94" s="42" t="str">
        <f t="shared" si="488"/>
        <v/>
      </c>
      <c r="HJ94" s="43">
        <f t="shared" si="489"/>
        <v>1</v>
      </c>
      <c r="HK94" s="8"/>
      <c r="HL94" s="47">
        <v>2</v>
      </c>
      <c r="HM94" s="48" t="s">
        <v>4</v>
      </c>
      <c r="HN94" s="49">
        <v>1</v>
      </c>
      <c r="HO94" s="8"/>
      <c r="HP94" s="42" t="str">
        <f t="shared" si="490"/>
        <v/>
      </c>
      <c r="HQ94" s="43">
        <f t="shared" si="491"/>
        <v>1</v>
      </c>
      <c r="HR94" s="8"/>
      <c r="HS94" s="47">
        <v>1</v>
      </c>
      <c r="HT94" s="48" t="s">
        <v>4</v>
      </c>
      <c r="HU94" s="49">
        <v>0</v>
      </c>
      <c r="HV94" s="8"/>
      <c r="HW94" s="42" t="str">
        <f t="shared" si="492"/>
        <v/>
      </c>
      <c r="HX94" s="43">
        <f t="shared" si="493"/>
        <v>1</v>
      </c>
      <c r="HY94" s="8"/>
      <c r="HZ94" s="47">
        <v>2</v>
      </c>
      <c r="IA94" s="48" t="s">
        <v>4</v>
      </c>
      <c r="IB94" s="49">
        <v>1</v>
      </c>
      <c r="IC94" s="8"/>
      <c r="ID94" s="42" t="str">
        <f t="shared" si="494"/>
        <v/>
      </c>
      <c r="IE94" s="43">
        <f t="shared" si="495"/>
        <v>1</v>
      </c>
      <c r="IF94" s="8"/>
      <c r="IG94" s="47">
        <v>4</v>
      </c>
      <c r="IH94" s="48" t="s">
        <v>4</v>
      </c>
      <c r="II94" s="49">
        <v>1</v>
      </c>
      <c r="IJ94" s="8"/>
      <c r="IK94" s="42" t="str">
        <f t="shared" si="496"/>
        <v/>
      </c>
      <c r="IL94" s="43">
        <f t="shared" si="497"/>
        <v>3</v>
      </c>
      <c r="IM94" s="8"/>
      <c r="IN94" s="47">
        <v>2</v>
      </c>
      <c r="IO94" s="48" t="s">
        <v>4</v>
      </c>
      <c r="IP94" s="49">
        <v>1</v>
      </c>
      <c r="IQ94" s="8"/>
      <c r="IR94" s="42" t="str">
        <f t="shared" si="498"/>
        <v/>
      </c>
      <c r="IS94" s="43">
        <f t="shared" si="499"/>
        <v>1</v>
      </c>
      <c r="IT94" s="8"/>
      <c r="IU94" s="47">
        <v>2</v>
      </c>
      <c r="IV94" s="48" t="s">
        <v>4</v>
      </c>
      <c r="IW94" s="49">
        <v>0</v>
      </c>
      <c r="IX94" s="8"/>
      <c r="IY94" s="42" t="str">
        <f t="shared" si="500"/>
        <v/>
      </c>
      <c r="IZ94" s="43">
        <f t="shared" si="501"/>
        <v>2</v>
      </c>
      <c r="JA94" s="8"/>
      <c r="JB94" s="47">
        <v>2</v>
      </c>
      <c r="JC94" s="48" t="s">
        <v>4</v>
      </c>
      <c r="JD94" s="49">
        <v>1</v>
      </c>
      <c r="JE94" s="8"/>
      <c r="JF94" s="42" t="str">
        <f t="shared" si="502"/>
        <v/>
      </c>
      <c r="JG94" s="43">
        <f t="shared" si="503"/>
        <v>1</v>
      </c>
      <c r="JH94" s="8"/>
      <c r="JI94" s="47">
        <v>2</v>
      </c>
      <c r="JJ94" s="48" t="s">
        <v>4</v>
      </c>
      <c r="JK94" s="49">
        <v>1</v>
      </c>
      <c r="JL94" s="8"/>
      <c r="JM94" s="42" t="str">
        <f t="shared" si="504"/>
        <v/>
      </c>
      <c r="JN94" s="43">
        <f t="shared" si="505"/>
        <v>1</v>
      </c>
      <c r="JO94" s="8"/>
      <c r="JP94" s="47">
        <v>2</v>
      </c>
      <c r="JQ94" s="48" t="s">
        <v>4</v>
      </c>
      <c r="JR94" s="49">
        <v>1</v>
      </c>
      <c r="JS94" s="8"/>
      <c r="JT94" s="42" t="str">
        <f t="shared" si="506"/>
        <v/>
      </c>
      <c r="JU94" s="43">
        <f t="shared" si="507"/>
        <v>1</v>
      </c>
      <c r="JV94" s="8"/>
      <c r="JW94" s="47">
        <v>2</v>
      </c>
      <c r="JX94" s="48" t="s">
        <v>4</v>
      </c>
      <c r="JY94" s="49">
        <v>1</v>
      </c>
      <c r="JZ94" s="8"/>
      <c r="KA94" s="42" t="str">
        <f t="shared" si="508"/>
        <v/>
      </c>
      <c r="KB94" s="43">
        <f t="shared" si="509"/>
        <v>1</v>
      </c>
      <c r="KC94" s="8"/>
      <c r="KD94" s="47">
        <v>3</v>
      </c>
      <c r="KE94" s="48" t="s">
        <v>4</v>
      </c>
      <c r="KF94" s="49">
        <v>0</v>
      </c>
      <c r="KG94" s="8"/>
      <c r="KH94" s="42" t="str">
        <f t="shared" si="510"/>
        <v/>
      </c>
      <c r="KI94" s="43">
        <f t="shared" si="511"/>
        <v>3</v>
      </c>
      <c r="KJ94" s="8"/>
      <c r="KK94" s="47">
        <v>1</v>
      </c>
      <c r="KL94" s="48" t="s">
        <v>4</v>
      </c>
      <c r="KM94" s="49">
        <v>2</v>
      </c>
      <c r="KN94" s="8"/>
      <c r="KO94" s="42" t="str">
        <f t="shared" si="512"/>
        <v/>
      </c>
      <c r="KP94" s="43">
        <f t="shared" si="513"/>
        <v>-1</v>
      </c>
      <c r="KQ94" s="8"/>
      <c r="KR94" s="47">
        <v>2</v>
      </c>
      <c r="KS94" s="48" t="s">
        <v>4</v>
      </c>
      <c r="KT94" s="49">
        <v>0</v>
      </c>
      <c r="KU94" s="8"/>
      <c r="KV94" s="42" t="str">
        <f t="shared" si="514"/>
        <v/>
      </c>
      <c r="KW94" s="43">
        <f t="shared" si="515"/>
        <v>2</v>
      </c>
      <c r="KX94" s="8"/>
      <c r="KY94" s="47">
        <v>2</v>
      </c>
      <c r="KZ94" s="48" t="s">
        <v>4</v>
      </c>
      <c r="LA94" s="49">
        <v>1</v>
      </c>
      <c r="LB94" s="8"/>
      <c r="LC94" s="42" t="str">
        <f t="shared" si="516"/>
        <v/>
      </c>
      <c r="LD94" s="43">
        <f t="shared" si="517"/>
        <v>1</v>
      </c>
      <c r="LE94" s="8"/>
      <c r="LF94" s="47">
        <v>2</v>
      </c>
      <c r="LG94" s="48" t="s">
        <v>4</v>
      </c>
      <c r="LH94" s="49">
        <v>1</v>
      </c>
      <c r="LI94" s="8"/>
      <c r="LJ94" s="42" t="str">
        <f t="shared" si="518"/>
        <v/>
      </c>
      <c r="LK94" s="43">
        <f t="shared" si="519"/>
        <v>1</v>
      </c>
      <c r="LL94" s="8"/>
      <c r="LM94" s="47">
        <v>2</v>
      </c>
      <c r="LN94" s="48" t="s">
        <v>4</v>
      </c>
      <c r="LO94" s="49">
        <v>1</v>
      </c>
      <c r="LP94" s="8"/>
      <c r="LQ94" s="42" t="str">
        <f t="shared" si="520"/>
        <v/>
      </c>
      <c r="LR94" s="43">
        <f t="shared" si="521"/>
        <v>1</v>
      </c>
      <c r="LS94" s="8"/>
      <c r="LT94" s="47">
        <v>2</v>
      </c>
      <c r="LU94" s="48" t="s">
        <v>4</v>
      </c>
      <c r="LV94" s="49">
        <v>1</v>
      </c>
      <c r="LW94" s="8"/>
      <c r="LX94" s="42" t="str">
        <f t="shared" si="522"/>
        <v/>
      </c>
      <c r="LY94" s="43">
        <f t="shared" si="523"/>
        <v>1</v>
      </c>
      <c r="LZ94" s="8"/>
      <c r="MA94" s="47">
        <v>1</v>
      </c>
      <c r="MB94" s="48" t="s">
        <v>4</v>
      </c>
      <c r="MC94" s="49">
        <v>2</v>
      </c>
      <c r="MD94" s="8"/>
      <c r="ME94" s="42" t="str">
        <f t="shared" si="524"/>
        <v/>
      </c>
      <c r="MF94" s="43">
        <f t="shared" si="525"/>
        <v>-1</v>
      </c>
      <c r="MG94" s="8"/>
      <c r="MH94" s="47">
        <v>6</v>
      </c>
      <c r="MI94" s="48" t="s">
        <v>4</v>
      </c>
      <c r="MJ94" s="49">
        <v>3</v>
      </c>
      <c r="MK94" s="8"/>
      <c r="ML94" s="42" t="str">
        <f t="shared" si="526"/>
        <v/>
      </c>
      <c r="MM94" s="43">
        <f t="shared" si="527"/>
        <v>3</v>
      </c>
      <c r="MN94" s="8"/>
      <c r="MO94" s="47">
        <v>1</v>
      </c>
      <c r="MP94" s="48" t="s">
        <v>4</v>
      </c>
      <c r="MQ94" s="49">
        <v>0</v>
      </c>
      <c r="MR94" s="8"/>
      <c r="MS94" s="42" t="str">
        <f t="shared" si="528"/>
        <v/>
      </c>
      <c r="MT94" s="43">
        <f t="shared" si="529"/>
        <v>1</v>
      </c>
      <c r="MU94" s="8"/>
      <c r="MV94" s="47">
        <v>4</v>
      </c>
      <c r="MW94" s="48" t="s">
        <v>4</v>
      </c>
      <c r="MX94" s="49">
        <v>1</v>
      </c>
      <c r="MY94" s="8"/>
      <c r="MZ94" s="42" t="str">
        <f t="shared" si="530"/>
        <v/>
      </c>
      <c r="NA94" s="43">
        <f t="shared" si="531"/>
        <v>3</v>
      </c>
      <c r="NB94" s="8"/>
      <c r="NC94" s="47">
        <v>5</v>
      </c>
      <c r="ND94" s="48" t="s">
        <v>4</v>
      </c>
      <c r="NE94" s="49">
        <v>6</v>
      </c>
      <c r="NF94" s="8"/>
      <c r="NG94" s="42" t="str">
        <f t="shared" si="532"/>
        <v/>
      </c>
      <c r="NH94" s="43">
        <f t="shared" si="533"/>
        <v>-1</v>
      </c>
      <c r="NI94" s="8"/>
      <c r="NJ94" s="47">
        <v>3</v>
      </c>
      <c r="NK94" s="48" t="s">
        <v>4</v>
      </c>
      <c r="NL94" s="49">
        <v>2</v>
      </c>
      <c r="NM94" s="8"/>
      <c r="NN94" s="42" t="str">
        <f t="shared" si="534"/>
        <v/>
      </c>
      <c r="NO94" s="43">
        <f t="shared" si="535"/>
        <v>1</v>
      </c>
      <c r="NP94" s="8"/>
      <c r="NQ94" s="47">
        <v>1</v>
      </c>
      <c r="NR94" s="48" t="s">
        <v>4</v>
      </c>
      <c r="NS94" s="49">
        <v>0</v>
      </c>
      <c r="NT94" s="8"/>
      <c r="NU94" s="42" t="str">
        <f t="shared" si="536"/>
        <v/>
      </c>
      <c r="NV94" s="43">
        <f t="shared" si="537"/>
        <v>1</v>
      </c>
      <c r="NW94" s="8"/>
      <c r="NX94" s="47">
        <v>3</v>
      </c>
      <c r="NY94" s="48" t="s">
        <v>4</v>
      </c>
      <c r="NZ94" s="49">
        <v>2</v>
      </c>
      <c r="OA94" s="8"/>
      <c r="OB94" s="42" t="str">
        <f t="shared" si="538"/>
        <v/>
      </c>
      <c r="OC94" s="43">
        <f t="shared" si="539"/>
        <v>1</v>
      </c>
      <c r="OD94" s="8"/>
      <c r="OE94" s="47">
        <v>2</v>
      </c>
      <c r="OF94" s="48" t="s">
        <v>4</v>
      </c>
      <c r="OG94" s="49">
        <v>1</v>
      </c>
      <c r="OH94" s="8"/>
      <c r="OI94" s="42" t="str">
        <f t="shared" si="540"/>
        <v/>
      </c>
      <c r="OJ94" s="43">
        <f t="shared" si="541"/>
        <v>1</v>
      </c>
      <c r="OK94" s="8"/>
      <c r="OL94" s="47">
        <v>0</v>
      </c>
      <c r="OM94" s="48" t="s">
        <v>4</v>
      </c>
      <c r="ON94" s="49">
        <v>1</v>
      </c>
      <c r="OO94" s="8"/>
      <c r="OP94" s="42" t="str">
        <f t="shared" si="542"/>
        <v/>
      </c>
      <c r="OQ94" s="43">
        <f t="shared" si="543"/>
        <v>-1</v>
      </c>
      <c r="OR94" s="8"/>
      <c r="OS94" s="47">
        <v>2</v>
      </c>
      <c r="OT94" s="48" t="s">
        <v>4</v>
      </c>
      <c r="OU94" s="49">
        <v>0</v>
      </c>
      <c r="OV94" s="8"/>
      <c r="OW94" s="42" t="str">
        <f t="shared" si="544"/>
        <v/>
      </c>
      <c r="OX94" s="43">
        <f t="shared" si="545"/>
        <v>2</v>
      </c>
      <c r="OY94" s="8"/>
      <c r="OZ94" s="47">
        <v>4</v>
      </c>
      <c r="PA94" s="48" t="s">
        <v>4</v>
      </c>
      <c r="PB94" s="49">
        <v>0</v>
      </c>
      <c r="PC94" s="8"/>
      <c r="PD94" s="42" t="str">
        <f t="shared" si="546"/>
        <v/>
      </c>
      <c r="PE94" s="43">
        <f t="shared" si="547"/>
        <v>4</v>
      </c>
      <c r="PF94" s="8"/>
      <c r="PG94" s="47">
        <v>1</v>
      </c>
      <c r="PH94" s="48" t="s">
        <v>4</v>
      </c>
      <c r="PI94" s="49">
        <v>2</v>
      </c>
      <c r="PJ94" s="8"/>
      <c r="PK94" s="42" t="str">
        <f t="shared" si="548"/>
        <v/>
      </c>
      <c r="PL94" s="43">
        <f t="shared" si="549"/>
        <v>-1</v>
      </c>
      <c r="PM94" s="8"/>
      <c r="PN94" s="47">
        <v>2</v>
      </c>
      <c r="PO94" s="48" t="s">
        <v>4</v>
      </c>
      <c r="PP94" s="49">
        <v>1</v>
      </c>
      <c r="PQ94" s="8"/>
      <c r="PR94" s="42" t="str">
        <f t="shared" si="550"/>
        <v/>
      </c>
      <c r="PS94" s="43">
        <f t="shared" si="551"/>
        <v>1</v>
      </c>
      <c r="PT94" s="8"/>
      <c r="PU94" s="47">
        <v>3</v>
      </c>
      <c r="PV94" s="48" t="s">
        <v>4</v>
      </c>
      <c r="PW94" s="49">
        <v>1</v>
      </c>
      <c r="PX94" s="8"/>
      <c r="PY94" s="42" t="str">
        <f t="shared" si="552"/>
        <v/>
      </c>
      <c r="PZ94" s="43">
        <f t="shared" si="553"/>
        <v>2</v>
      </c>
      <c r="QA94" s="8"/>
      <c r="QB94" s="47">
        <v>1</v>
      </c>
      <c r="QC94" s="48" t="s">
        <v>4</v>
      </c>
      <c r="QD94" s="49">
        <v>1</v>
      </c>
      <c r="QE94" s="8"/>
      <c r="QF94" s="42" t="str">
        <f t="shared" si="554"/>
        <v/>
      </c>
      <c r="QG94" s="43">
        <f t="shared" si="555"/>
        <v>0</v>
      </c>
      <c r="QH94" s="8"/>
      <c r="QI94" s="47">
        <v>3</v>
      </c>
      <c r="QJ94" s="48" t="s">
        <v>4</v>
      </c>
      <c r="QK94" s="49">
        <v>2</v>
      </c>
      <c r="QL94" s="8"/>
      <c r="QM94" s="42" t="str">
        <f t="shared" si="556"/>
        <v/>
      </c>
      <c r="QN94" s="43">
        <f t="shared" si="557"/>
        <v>1</v>
      </c>
      <c r="QO94" s="8"/>
      <c r="QP94" s="47">
        <v>4</v>
      </c>
      <c r="QQ94" s="48" t="s">
        <v>4</v>
      </c>
      <c r="QR94" s="49">
        <v>3</v>
      </c>
      <c r="QS94" s="8"/>
      <c r="QT94" s="42" t="str">
        <f t="shared" si="558"/>
        <v/>
      </c>
      <c r="QU94" s="43">
        <f t="shared" si="559"/>
        <v>1</v>
      </c>
      <c r="QV94" s="8"/>
      <c r="QW94" s="47">
        <v>1</v>
      </c>
      <c r="QX94" s="48" t="s">
        <v>4</v>
      </c>
      <c r="QY94" s="49">
        <v>0</v>
      </c>
      <c r="QZ94" s="8"/>
      <c r="RA94" s="42" t="str">
        <f t="shared" si="560"/>
        <v/>
      </c>
      <c r="RB94" s="43">
        <f t="shared" si="561"/>
        <v>1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/>
      <c r="RL94" s="48" t="s">
        <v>4</v>
      </c>
      <c r="RM94" s="49"/>
      <c r="RN94" s="8"/>
      <c r="RO94" s="42" t="str">
        <f t="shared" si="564"/>
        <v/>
      </c>
      <c r="RP94" s="43">
        <f t="shared" si="565"/>
        <v>0</v>
      </c>
      <c r="RQ94" s="8"/>
      <c r="RR94" s="47"/>
      <c r="RS94" s="48" t="s">
        <v>4</v>
      </c>
      <c r="RT94" s="49"/>
      <c r="RU94" s="8"/>
      <c r="RV94" s="42" t="str">
        <f t="shared" si="566"/>
        <v/>
      </c>
      <c r="RW94" s="43">
        <f t="shared" si="567"/>
        <v>0</v>
      </c>
      <c r="RX94" s="8"/>
      <c r="RY94" s="47"/>
      <c r="RZ94" s="48" t="s">
        <v>4</v>
      </c>
      <c r="SA94" s="49"/>
      <c r="SB94" s="8"/>
      <c r="SC94" s="42" t="str">
        <f t="shared" si="568"/>
        <v/>
      </c>
      <c r="SD94" s="43">
        <f t="shared" si="569"/>
        <v>0</v>
      </c>
      <c r="SE94" s="8"/>
      <c r="SF94" s="47"/>
      <c r="SG94" s="48" t="s">
        <v>4</v>
      </c>
      <c r="SH94" s="49"/>
      <c r="SI94" s="8"/>
      <c r="SJ94" s="42" t="str">
        <f t="shared" si="570"/>
        <v/>
      </c>
      <c r="SK94" s="43">
        <f t="shared" si="571"/>
        <v>0</v>
      </c>
      <c r="SL94" s="8"/>
      <c r="SM94" s="47"/>
      <c r="SN94" s="48" t="s">
        <v>4</v>
      </c>
      <c r="SO94" s="49"/>
      <c r="SP94" s="8"/>
      <c r="SQ94" s="42" t="str">
        <f t="shared" si="572"/>
        <v/>
      </c>
      <c r="SR94" s="43">
        <f t="shared" si="573"/>
        <v>0</v>
      </c>
    </row>
    <row r="95" spans="1:512" ht="16" customHeight="1" x14ac:dyDescent="0.15">
      <c r="A95" s="51">
        <v>46206</v>
      </c>
      <c r="B95" s="46">
        <v>0.83333333333333337</v>
      </c>
      <c r="C95" s="82" t="s">
        <v>38</v>
      </c>
      <c r="D95" s="83" t="s">
        <v>46</v>
      </c>
      <c r="E95" s="2"/>
      <c r="F95" s="50" t="s">
        <v>4</v>
      </c>
      <c r="G95" s="1"/>
      <c r="H95" s="16">
        <v>6.8</v>
      </c>
      <c r="I95" s="32">
        <f t="shared" si="429"/>
        <v>0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>
        <v>1</v>
      </c>
      <c r="R95" s="48" t="s">
        <v>4</v>
      </c>
      <c r="S95" s="49">
        <v>0</v>
      </c>
      <c r="T95" s="8"/>
      <c r="U95" s="42" t="str">
        <f t="shared" si="432"/>
        <v/>
      </c>
      <c r="V95" s="43">
        <f t="shared" si="433"/>
        <v>1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>
        <v>1</v>
      </c>
      <c r="AF95" s="48" t="s">
        <v>4</v>
      </c>
      <c r="AG95" s="49">
        <v>0</v>
      </c>
      <c r="AH95" s="8"/>
      <c r="AI95" s="42" t="str">
        <f t="shared" si="436"/>
        <v/>
      </c>
      <c r="AJ95" s="43">
        <f t="shared" si="437"/>
        <v>1</v>
      </c>
      <c r="AK95" s="8"/>
      <c r="AL95" s="47">
        <v>5</v>
      </c>
      <c r="AM95" s="48" t="s">
        <v>4</v>
      </c>
      <c r="AN95" s="49">
        <v>4</v>
      </c>
      <c r="AO95" s="8"/>
      <c r="AP95" s="42" t="str">
        <f t="shared" si="438"/>
        <v/>
      </c>
      <c r="AQ95" s="43">
        <f t="shared" si="439"/>
        <v>1</v>
      </c>
      <c r="AR95" s="8"/>
      <c r="AS95" s="47">
        <v>0</v>
      </c>
      <c r="AT95" s="48" t="s">
        <v>4</v>
      </c>
      <c r="AU95" s="49">
        <v>2</v>
      </c>
      <c r="AV95" s="8"/>
      <c r="AW95" s="42" t="str">
        <f t="shared" si="440"/>
        <v/>
      </c>
      <c r="AX95" s="43">
        <f t="shared" si="441"/>
        <v>-2</v>
      </c>
      <c r="AY95" s="8"/>
      <c r="AZ95" s="47">
        <v>1</v>
      </c>
      <c r="BA95" s="48" t="s">
        <v>4</v>
      </c>
      <c r="BB95" s="49">
        <v>2</v>
      </c>
      <c r="BC95" s="8"/>
      <c r="BD95" s="42" t="str">
        <f t="shared" si="442"/>
        <v/>
      </c>
      <c r="BE95" s="43">
        <f t="shared" si="443"/>
        <v>-1</v>
      </c>
      <c r="BF95" s="8"/>
      <c r="BG95" s="47">
        <v>3</v>
      </c>
      <c r="BH95" s="48" t="s">
        <v>4</v>
      </c>
      <c r="BI95" s="49">
        <v>1</v>
      </c>
      <c r="BJ95" s="8"/>
      <c r="BK95" s="42" t="str">
        <f t="shared" si="444"/>
        <v/>
      </c>
      <c r="BL95" s="43">
        <f t="shared" si="445"/>
        <v>2</v>
      </c>
      <c r="BM95" s="8"/>
      <c r="BN95" s="47">
        <v>1</v>
      </c>
      <c r="BO95" s="48" t="s">
        <v>4</v>
      </c>
      <c r="BP95" s="49">
        <v>3</v>
      </c>
      <c r="BQ95" s="8"/>
      <c r="BR95" s="42" t="str">
        <f t="shared" si="446"/>
        <v/>
      </c>
      <c r="BS95" s="43">
        <f t="shared" si="447"/>
        <v>-2</v>
      </c>
      <c r="BT95" s="8"/>
      <c r="BU95" s="47"/>
      <c r="BV95" s="48" t="s">
        <v>4</v>
      </c>
      <c r="BW95" s="49"/>
      <c r="BX95" s="8"/>
      <c r="BY95" s="42" t="str">
        <f t="shared" si="448"/>
        <v/>
      </c>
      <c r="BZ95" s="43">
        <f t="shared" si="449"/>
        <v>0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/>
      <c r="CJ95" s="48" t="s">
        <v>4</v>
      </c>
      <c r="CK95" s="49"/>
      <c r="CL95" s="8"/>
      <c r="CM95" s="42" t="str">
        <f t="shared" si="452"/>
        <v/>
      </c>
      <c r="CN95" s="43">
        <f t="shared" si="453"/>
        <v>0</v>
      </c>
      <c r="CO95" s="8"/>
      <c r="CP95" s="47">
        <v>1</v>
      </c>
      <c r="CQ95" s="48" t="s">
        <v>4</v>
      </c>
      <c r="CR95" s="49">
        <v>2</v>
      </c>
      <c r="CS95" s="8"/>
      <c r="CT95" s="42" t="str">
        <f t="shared" si="454"/>
        <v/>
      </c>
      <c r="CU95" s="43">
        <f t="shared" si="455"/>
        <v>-1</v>
      </c>
      <c r="CV95" s="8"/>
      <c r="CW95" s="47">
        <v>0</v>
      </c>
      <c r="CX95" s="48" t="s">
        <v>4</v>
      </c>
      <c r="CY95" s="49">
        <v>1</v>
      </c>
      <c r="CZ95" s="8"/>
      <c r="DA95" s="42" t="str">
        <f t="shared" si="456"/>
        <v/>
      </c>
      <c r="DB95" s="43">
        <f t="shared" si="457"/>
        <v>-1</v>
      </c>
      <c r="DC95" s="8"/>
      <c r="DD95" s="47">
        <v>0</v>
      </c>
      <c r="DE95" s="48" t="s">
        <v>4</v>
      </c>
      <c r="DF95" s="49">
        <v>1</v>
      </c>
      <c r="DG95" s="8"/>
      <c r="DH95" s="42" t="str">
        <f t="shared" si="458"/>
        <v/>
      </c>
      <c r="DI95" s="43">
        <f t="shared" si="459"/>
        <v>-1</v>
      </c>
      <c r="DJ95" s="8"/>
      <c r="DK95" s="47">
        <v>0</v>
      </c>
      <c r="DL95" s="48" t="s">
        <v>4</v>
      </c>
      <c r="DM95" s="49">
        <v>1</v>
      </c>
      <c r="DN95" s="8"/>
      <c r="DO95" s="42" t="str">
        <f t="shared" si="460"/>
        <v/>
      </c>
      <c r="DP95" s="43">
        <f t="shared" si="461"/>
        <v>-1</v>
      </c>
      <c r="DQ95" s="8"/>
      <c r="DR95" s="47">
        <v>0</v>
      </c>
      <c r="DS95" s="48" t="s">
        <v>4</v>
      </c>
      <c r="DT95" s="49">
        <v>2</v>
      </c>
      <c r="DU95" s="8"/>
      <c r="DV95" s="42" t="str">
        <f t="shared" si="462"/>
        <v/>
      </c>
      <c r="DW95" s="43">
        <f t="shared" si="463"/>
        <v>-2</v>
      </c>
      <c r="DX95" s="8"/>
      <c r="DY95" s="47">
        <v>1</v>
      </c>
      <c r="DZ95" s="48" t="s">
        <v>4</v>
      </c>
      <c r="EA95" s="49">
        <v>2</v>
      </c>
      <c r="EB95" s="8"/>
      <c r="EC95" s="42" t="str">
        <f t="shared" si="464"/>
        <v/>
      </c>
      <c r="ED95" s="43">
        <f t="shared" si="465"/>
        <v>-1</v>
      </c>
      <c r="EE95" s="8"/>
      <c r="EF95" s="47">
        <v>1</v>
      </c>
      <c r="EG95" s="48" t="s">
        <v>4</v>
      </c>
      <c r="EH95" s="49">
        <v>2</v>
      </c>
      <c r="EI95" s="8"/>
      <c r="EJ95" s="42" t="str">
        <f t="shared" si="466"/>
        <v/>
      </c>
      <c r="EK95" s="43">
        <f t="shared" si="467"/>
        <v>-1</v>
      </c>
      <c r="EL95" s="8"/>
      <c r="EM95" s="47">
        <v>1</v>
      </c>
      <c r="EN95" s="48" t="s">
        <v>4</v>
      </c>
      <c r="EO95" s="49">
        <v>4</v>
      </c>
      <c r="EP95" s="8"/>
      <c r="EQ95" s="42" t="str">
        <f t="shared" si="468"/>
        <v/>
      </c>
      <c r="ER95" s="43">
        <f t="shared" si="469"/>
        <v>-3</v>
      </c>
      <c r="ES95" s="8"/>
      <c r="ET95" s="47">
        <v>0</v>
      </c>
      <c r="EU95" s="48" t="s">
        <v>4</v>
      </c>
      <c r="EV95" s="49">
        <v>2</v>
      </c>
      <c r="EW95" s="8"/>
      <c r="EX95" s="42" t="str">
        <f t="shared" si="470"/>
        <v/>
      </c>
      <c r="EY95" s="43">
        <f t="shared" si="471"/>
        <v>-2</v>
      </c>
      <c r="EZ95" s="8"/>
      <c r="FA95" s="47">
        <v>6</v>
      </c>
      <c r="FB95" s="48" t="s">
        <v>4</v>
      </c>
      <c r="FC95" s="49">
        <v>5</v>
      </c>
      <c r="FD95" s="8"/>
      <c r="FE95" s="42" t="str">
        <f t="shared" si="472"/>
        <v/>
      </c>
      <c r="FF95" s="43">
        <f t="shared" si="473"/>
        <v>1</v>
      </c>
      <c r="FG95" s="8"/>
      <c r="FH95" s="47">
        <v>0</v>
      </c>
      <c r="FI95" s="48" t="s">
        <v>4</v>
      </c>
      <c r="FJ95" s="49">
        <v>2</v>
      </c>
      <c r="FK95" s="8"/>
      <c r="FL95" s="42" t="str">
        <f t="shared" si="474"/>
        <v/>
      </c>
      <c r="FM95" s="43">
        <f t="shared" si="475"/>
        <v>-2</v>
      </c>
      <c r="FN95" s="8"/>
      <c r="FO95" s="47">
        <v>1</v>
      </c>
      <c r="FP95" s="48" t="s">
        <v>4</v>
      </c>
      <c r="FQ95" s="49">
        <v>0</v>
      </c>
      <c r="FR95" s="8"/>
      <c r="FS95" s="42" t="str">
        <f t="shared" si="476"/>
        <v/>
      </c>
      <c r="FT95" s="43">
        <f t="shared" si="477"/>
        <v>1</v>
      </c>
      <c r="FU95" s="8"/>
      <c r="FV95" s="47">
        <v>2</v>
      </c>
      <c r="FW95" s="48" t="s">
        <v>4</v>
      </c>
      <c r="FX95" s="49">
        <v>1</v>
      </c>
      <c r="FY95" s="8"/>
      <c r="FZ95" s="42" t="str">
        <f t="shared" si="478"/>
        <v/>
      </c>
      <c r="GA95" s="43">
        <f t="shared" si="479"/>
        <v>1</v>
      </c>
      <c r="GB95" s="8"/>
      <c r="GC95" s="47">
        <v>0</v>
      </c>
      <c r="GD95" s="48" t="s">
        <v>4</v>
      </c>
      <c r="GE95" s="49">
        <v>1</v>
      </c>
      <c r="GF95" s="8"/>
      <c r="GG95" s="42" t="str">
        <f t="shared" si="480"/>
        <v/>
      </c>
      <c r="GH95" s="43">
        <f t="shared" si="481"/>
        <v>-1</v>
      </c>
      <c r="GI95" s="8"/>
      <c r="GJ95" s="47">
        <v>2</v>
      </c>
      <c r="GK95" s="48" t="s">
        <v>4</v>
      </c>
      <c r="GL95" s="49">
        <v>1</v>
      </c>
      <c r="GM95" s="8"/>
      <c r="GN95" s="42" t="str">
        <f t="shared" si="482"/>
        <v/>
      </c>
      <c r="GO95" s="43">
        <f t="shared" si="483"/>
        <v>1</v>
      </c>
      <c r="GP95" s="8"/>
      <c r="GQ95" s="47">
        <v>0</v>
      </c>
      <c r="GR95" s="48" t="s">
        <v>4</v>
      </c>
      <c r="GS95" s="49">
        <v>1</v>
      </c>
      <c r="GT95" s="8"/>
      <c r="GU95" s="42" t="str">
        <f t="shared" si="484"/>
        <v/>
      </c>
      <c r="GV95" s="43">
        <f t="shared" si="485"/>
        <v>-1</v>
      </c>
      <c r="GW95" s="8"/>
      <c r="GX95" s="47">
        <v>1</v>
      </c>
      <c r="GY95" s="48" t="s">
        <v>4</v>
      </c>
      <c r="GZ95" s="49">
        <v>2</v>
      </c>
      <c r="HA95" s="8"/>
      <c r="HB95" s="42" t="str">
        <f t="shared" si="486"/>
        <v/>
      </c>
      <c r="HC95" s="43">
        <f t="shared" si="487"/>
        <v>-1</v>
      </c>
      <c r="HD95" s="8"/>
      <c r="HE95" s="47">
        <v>0</v>
      </c>
      <c r="HF95" s="48" t="s">
        <v>4</v>
      </c>
      <c r="HG95" s="49">
        <v>2</v>
      </c>
      <c r="HH95" s="8"/>
      <c r="HI95" s="42" t="str">
        <f t="shared" si="488"/>
        <v/>
      </c>
      <c r="HJ95" s="43">
        <f t="shared" si="489"/>
        <v>-2</v>
      </c>
      <c r="HK95" s="8"/>
      <c r="HL95" s="47">
        <v>0</v>
      </c>
      <c r="HM95" s="48" t="s">
        <v>4</v>
      </c>
      <c r="HN95" s="49">
        <v>2</v>
      </c>
      <c r="HO95" s="8"/>
      <c r="HP95" s="42" t="str">
        <f t="shared" si="490"/>
        <v/>
      </c>
      <c r="HQ95" s="43">
        <f t="shared" si="491"/>
        <v>-2</v>
      </c>
      <c r="HR95" s="8"/>
      <c r="HS95" s="47">
        <v>1</v>
      </c>
      <c r="HT95" s="48" t="s">
        <v>4</v>
      </c>
      <c r="HU95" s="49">
        <v>2</v>
      </c>
      <c r="HV95" s="8"/>
      <c r="HW95" s="42" t="str">
        <f t="shared" si="492"/>
        <v/>
      </c>
      <c r="HX95" s="43">
        <f t="shared" si="493"/>
        <v>-1</v>
      </c>
      <c r="HY95" s="8"/>
      <c r="HZ95" s="47">
        <v>1</v>
      </c>
      <c r="IA95" s="48" t="s">
        <v>4</v>
      </c>
      <c r="IB95" s="49">
        <v>2</v>
      </c>
      <c r="IC95" s="8"/>
      <c r="ID95" s="42" t="str">
        <f t="shared" si="494"/>
        <v/>
      </c>
      <c r="IE95" s="43">
        <f t="shared" si="495"/>
        <v>-1</v>
      </c>
      <c r="IF95" s="8"/>
      <c r="IG95" s="47">
        <v>2</v>
      </c>
      <c r="IH95" s="48" t="s">
        <v>4</v>
      </c>
      <c r="II95" s="49">
        <v>1</v>
      </c>
      <c r="IJ95" s="8"/>
      <c r="IK95" s="42" t="str">
        <f t="shared" si="496"/>
        <v/>
      </c>
      <c r="IL95" s="43">
        <f t="shared" si="497"/>
        <v>1</v>
      </c>
      <c r="IM95" s="8"/>
      <c r="IN95" s="47">
        <v>0</v>
      </c>
      <c r="IO95" s="48" t="s">
        <v>4</v>
      </c>
      <c r="IP95" s="49">
        <v>2</v>
      </c>
      <c r="IQ95" s="8"/>
      <c r="IR95" s="42" t="str">
        <f t="shared" si="498"/>
        <v/>
      </c>
      <c r="IS95" s="43">
        <f t="shared" si="499"/>
        <v>-2</v>
      </c>
      <c r="IT95" s="8"/>
      <c r="IU95" s="47">
        <v>2</v>
      </c>
      <c r="IV95" s="48" t="s">
        <v>4</v>
      </c>
      <c r="IW95" s="49">
        <v>0</v>
      </c>
      <c r="IX95" s="8"/>
      <c r="IY95" s="42" t="str">
        <f t="shared" si="500"/>
        <v/>
      </c>
      <c r="IZ95" s="43">
        <f t="shared" si="501"/>
        <v>2</v>
      </c>
      <c r="JA95" s="8"/>
      <c r="JB95" s="47">
        <v>6</v>
      </c>
      <c r="JC95" s="48" t="s">
        <v>4</v>
      </c>
      <c r="JD95" s="49">
        <v>5</v>
      </c>
      <c r="JE95" s="8"/>
      <c r="JF95" s="42" t="str">
        <f t="shared" si="502"/>
        <v/>
      </c>
      <c r="JG95" s="43">
        <f t="shared" si="503"/>
        <v>1</v>
      </c>
      <c r="JH95" s="8"/>
      <c r="JI95" s="47">
        <v>0</v>
      </c>
      <c r="JJ95" s="48" t="s">
        <v>4</v>
      </c>
      <c r="JK95" s="49">
        <v>1</v>
      </c>
      <c r="JL95" s="8"/>
      <c r="JM95" s="42" t="str">
        <f t="shared" si="504"/>
        <v/>
      </c>
      <c r="JN95" s="43">
        <f t="shared" si="505"/>
        <v>-1</v>
      </c>
      <c r="JO95" s="8"/>
      <c r="JP95" s="47">
        <v>0</v>
      </c>
      <c r="JQ95" s="48" t="s">
        <v>4</v>
      </c>
      <c r="JR95" s="49">
        <v>3</v>
      </c>
      <c r="JS95" s="8"/>
      <c r="JT95" s="42" t="str">
        <f t="shared" si="506"/>
        <v/>
      </c>
      <c r="JU95" s="43">
        <f t="shared" si="507"/>
        <v>-3</v>
      </c>
      <c r="JV95" s="8"/>
      <c r="JW95" s="47">
        <v>0</v>
      </c>
      <c r="JX95" s="48" t="s">
        <v>4</v>
      </c>
      <c r="JY95" s="49">
        <v>1</v>
      </c>
      <c r="JZ95" s="8"/>
      <c r="KA95" s="42" t="str">
        <f t="shared" si="508"/>
        <v/>
      </c>
      <c r="KB95" s="43">
        <f t="shared" si="509"/>
        <v>-1</v>
      </c>
      <c r="KC95" s="8"/>
      <c r="KD95" s="47">
        <v>2</v>
      </c>
      <c r="KE95" s="48" t="s">
        <v>4</v>
      </c>
      <c r="KF95" s="49">
        <v>1</v>
      </c>
      <c r="KG95" s="8"/>
      <c r="KH95" s="42" t="str">
        <f t="shared" si="510"/>
        <v/>
      </c>
      <c r="KI95" s="43">
        <f t="shared" si="511"/>
        <v>1</v>
      </c>
      <c r="KJ95" s="8"/>
      <c r="KK95" s="47">
        <v>1</v>
      </c>
      <c r="KL95" s="48" t="s">
        <v>4</v>
      </c>
      <c r="KM95" s="49">
        <v>0</v>
      </c>
      <c r="KN95" s="8"/>
      <c r="KO95" s="42" t="str">
        <f t="shared" si="512"/>
        <v/>
      </c>
      <c r="KP95" s="43">
        <f t="shared" si="513"/>
        <v>1</v>
      </c>
      <c r="KQ95" s="8"/>
      <c r="KR95" s="47">
        <v>4</v>
      </c>
      <c r="KS95" s="48" t="s">
        <v>4</v>
      </c>
      <c r="KT95" s="49">
        <v>5</v>
      </c>
      <c r="KU95" s="8"/>
      <c r="KV95" s="42" t="str">
        <f t="shared" si="514"/>
        <v/>
      </c>
      <c r="KW95" s="43">
        <f t="shared" si="515"/>
        <v>-1</v>
      </c>
      <c r="KX95" s="8"/>
      <c r="KY95" s="47">
        <v>1</v>
      </c>
      <c r="KZ95" s="48" t="s">
        <v>4</v>
      </c>
      <c r="LA95" s="49">
        <v>2</v>
      </c>
      <c r="LB95" s="8"/>
      <c r="LC95" s="42" t="str">
        <f t="shared" si="516"/>
        <v/>
      </c>
      <c r="LD95" s="43">
        <f t="shared" si="517"/>
        <v>-1</v>
      </c>
      <c r="LE95" s="8"/>
      <c r="LF95" s="47">
        <v>1</v>
      </c>
      <c r="LG95" s="48" t="s">
        <v>4</v>
      </c>
      <c r="LH95" s="49">
        <v>2</v>
      </c>
      <c r="LI95" s="8"/>
      <c r="LJ95" s="42" t="str">
        <f t="shared" si="518"/>
        <v/>
      </c>
      <c r="LK95" s="43">
        <f t="shared" si="519"/>
        <v>-1</v>
      </c>
      <c r="LL95" s="8"/>
      <c r="LM95" s="47">
        <v>3</v>
      </c>
      <c r="LN95" s="48" t="s">
        <v>4</v>
      </c>
      <c r="LO95" s="49">
        <v>4</v>
      </c>
      <c r="LP95" s="8"/>
      <c r="LQ95" s="42" t="str">
        <f t="shared" si="520"/>
        <v/>
      </c>
      <c r="LR95" s="43">
        <f t="shared" si="521"/>
        <v>-1</v>
      </c>
      <c r="LS95" s="8"/>
      <c r="LT95" s="47">
        <v>0</v>
      </c>
      <c r="LU95" s="48" t="s">
        <v>4</v>
      </c>
      <c r="LV95" s="49">
        <v>1</v>
      </c>
      <c r="LW95" s="8"/>
      <c r="LX95" s="42" t="str">
        <f t="shared" si="522"/>
        <v/>
      </c>
      <c r="LY95" s="43">
        <f t="shared" si="523"/>
        <v>-1</v>
      </c>
      <c r="LZ95" s="8"/>
      <c r="MA95" s="47">
        <v>3</v>
      </c>
      <c r="MB95" s="48" t="s">
        <v>4</v>
      </c>
      <c r="MC95" s="49">
        <v>2</v>
      </c>
      <c r="MD95" s="8"/>
      <c r="ME95" s="42" t="str">
        <f t="shared" si="524"/>
        <v/>
      </c>
      <c r="MF95" s="43">
        <f t="shared" si="525"/>
        <v>1</v>
      </c>
      <c r="MG95" s="8"/>
      <c r="MH95" s="47">
        <v>0</v>
      </c>
      <c r="MI95" s="48" t="s">
        <v>4</v>
      </c>
      <c r="MJ95" s="49">
        <v>2</v>
      </c>
      <c r="MK95" s="8"/>
      <c r="ML95" s="42" t="str">
        <f t="shared" si="526"/>
        <v/>
      </c>
      <c r="MM95" s="43">
        <f t="shared" si="527"/>
        <v>-2</v>
      </c>
      <c r="MN95" s="8"/>
      <c r="MO95" s="47">
        <v>2</v>
      </c>
      <c r="MP95" s="48" t="s">
        <v>4</v>
      </c>
      <c r="MQ95" s="49">
        <v>1</v>
      </c>
      <c r="MR95" s="8"/>
      <c r="MS95" s="42" t="str">
        <f t="shared" si="528"/>
        <v/>
      </c>
      <c r="MT95" s="43">
        <f t="shared" si="529"/>
        <v>1</v>
      </c>
      <c r="MU95" s="8"/>
      <c r="MV95" s="47">
        <v>1</v>
      </c>
      <c r="MW95" s="48" t="s">
        <v>4</v>
      </c>
      <c r="MX95" s="49">
        <v>2</v>
      </c>
      <c r="MY95" s="8"/>
      <c r="MZ95" s="42" t="str">
        <f t="shared" si="530"/>
        <v/>
      </c>
      <c r="NA95" s="43">
        <f t="shared" si="531"/>
        <v>-1</v>
      </c>
      <c r="NB95" s="8"/>
      <c r="NC95" s="47">
        <v>2</v>
      </c>
      <c r="ND95" s="48" t="s">
        <v>4</v>
      </c>
      <c r="NE95" s="49">
        <v>3</v>
      </c>
      <c r="NF95" s="8"/>
      <c r="NG95" s="42" t="str">
        <f t="shared" si="532"/>
        <v/>
      </c>
      <c r="NH95" s="43">
        <f t="shared" si="533"/>
        <v>-1</v>
      </c>
      <c r="NI95" s="8"/>
      <c r="NJ95" s="47">
        <v>1</v>
      </c>
      <c r="NK95" s="48" t="s">
        <v>4</v>
      </c>
      <c r="NL95" s="49">
        <v>0</v>
      </c>
      <c r="NM95" s="8"/>
      <c r="NN95" s="42" t="str">
        <f t="shared" si="534"/>
        <v/>
      </c>
      <c r="NO95" s="43">
        <f t="shared" si="535"/>
        <v>1</v>
      </c>
      <c r="NP95" s="8"/>
      <c r="NQ95" s="47">
        <v>0</v>
      </c>
      <c r="NR95" s="48" t="s">
        <v>4</v>
      </c>
      <c r="NS95" s="49">
        <v>1</v>
      </c>
      <c r="NT95" s="8"/>
      <c r="NU95" s="42" t="str">
        <f t="shared" si="536"/>
        <v/>
      </c>
      <c r="NV95" s="43">
        <f t="shared" si="537"/>
        <v>-1</v>
      </c>
      <c r="NW95" s="8"/>
      <c r="NX95" s="47">
        <v>0</v>
      </c>
      <c r="NY95" s="48" t="s">
        <v>4</v>
      </c>
      <c r="NZ95" s="49">
        <v>1</v>
      </c>
      <c r="OA95" s="8"/>
      <c r="OB95" s="42" t="str">
        <f t="shared" si="538"/>
        <v/>
      </c>
      <c r="OC95" s="43">
        <f t="shared" si="539"/>
        <v>-1</v>
      </c>
      <c r="OD95" s="8"/>
      <c r="OE95" s="47">
        <v>2</v>
      </c>
      <c r="OF95" s="48" t="s">
        <v>4</v>
      </c>
      <c r="OG95" s="49">
        <v>1</v>
      </c>
      <c r="OH95" s="8"/>
      <c r="OI95" s="42" t="str">
        <f t="shared" si="540"/>
        <v/>
      </c>
      <c r="OJ95" s="43">
        <f t="shared" si="541"/>
        <v>1</v>
      </c>
      <c r="OK95" s="8"/>
      <c r="OL95" s="47">
        <v>5</v>
      </c>
      <c r="OM95" s="48" t="s">
        <v>4</v>
      </c>
      <c r="ON95" s="49">
        <v>0</v>
      </c>
      <c r="OO95" s="8"/>
      <c r="OP95" s="42" t="str">
        <f t="shared" si="542"/>
        <v/>
      </c>
      <c r="OQ95" s="43">
        <f t="shared" si="543"/>
        <v>5</v>
      </c>
      <c r="OR95" s="8"/>
      <c r="OS95" s="47">
        <v>0</v>
      </c>
      <c r="OT95" s="48" t="s">
        <v>4</v>
      </c>
      <c r="OU95" s="49">
        <v>1</v>
      </c>
      <c r="OV95" s="8"/>
      <c r="OW95" s="42" t="str">
        <f t="shared" si="544"/>
        <v/>
      </c>
      <c r="OX95" s="43">
        <f t="shared" si="545"/>
        <v>-1</v>
      </c>
      <c r="OY95" s="8"/>
      <c r="OZ95" s="47">
        <v>2</v>
      </c>
      <c r="PA95" s="48" t="s">
        <v>4</v>
      </c>
      <c r="PB95" s="49">
        <v>0</v>
      </c>
      <c r="PC95" s="8"/>
      <c r="PD95" s="42" t="str">
        <f t="shared" si="546"/>
        <v/>
      </c>
      <c r="PE95" s="43">
        <f t="shared" si="547"/>
        <v>2</v>
      </c>
      <c r="PF95" s="8"/>
      <c r="PG95" s="47">
        <v>0</v>
      </c>
      <c r="PH95" s="48" t="s">
        <v>4</v>
      </c>
      <c r="PI95" s="49">
        <v>1</v>
      </c>
      <c r="PJ95" s="8"/>
      <c r="PK95" s="42" t="str">
        <f t="shared" si="548"/>
        <v/>
      </c>
      <c r="PL95" s="43">
        <f t="shared" si="549"/>
        <v>-1</v>
      </c>
      <c r="PM95" s="8"/>
      <c r="PN95" s="47">
        <v>1</v>
      </c>
      <c r="PO95" s="48" t="s">
        <v>4</v>
      </c>
      <c r="PP95" s="49">
        <v>2</v>
      </c>
      <c r="PQ95" s="8"/>
      <c r="PR95" s="42" t="str">
        <f t="shared" si="550"/>
        <v/>
      </c>
      <c r="PS95" s="43">
        <f t="shared" si="551"/>
        <v>-1</v>
      </c>
      <c r="PT95" s="8"/>
      <c r="PU95" s="47">
        <v>2</v>
      </c>
      <c r="PV95" s="48" t="s">
        <v>4</v>
      </c>
      <c r="PW95" s="49">
        <v>3</v>
      </c>
      <c r="PX95" s="8"/>
      <c r="PY95" s="42" t="str">
        <f t="shared" si="552"/>
        <v/>
      </c>
      <c r="PZ95" s="43">
        <f t="shared" si="553"/>
        <v>-1</v>
      </c>
      <c r="QA95" s="8"/>
      <c r="QB95" s="47">
        <v>1</v>
      </c>
      <c r="QC95" s="48" t="s">
        <v>4</v>
      </c>
      <c r="QD95" s="49">
        <v>2</v>
      </c>
      <c r="QE95" s="8"/>
      <c r="QF95" s="42" t="str">
        <f t="shared" si="554"/>
        <v/>
      </c>
      <c r="QG95" s="43">
        <f t="shared" si="555"/>
        <v>-1</v>
      </c>
      <c r="QH95" s="8"/>
      <c r="QI95" s="47">
        <v>1</v>
      </c>
      <c r="QJ95" s="48" t="s">
        <v>4</v>
      </c>
      <c r="QK95" s="49">
        <v>3</v>
      </c>
      <c r="QL95" s="8"/>
      <c r="QM95" s="42" t="str">
        <f t="shared" si="556"/>
        <v/>
      </c>
      <c r="QN95" s="43">
        <f t="shared" si="557"/>
        <v>-2</v>
      </c>
      <c r="QO95" s="8"/>
      <c r="QP95" s="47">
        <v>2</v>
      </c>
      <c r="QQ95" s="48" t="s">
        <v>4</v>
      </c>
      <c r="QR95" s="49">
        <v>0</v>
      </c>
      <c r="QS95" s="8"/>
      <c r="QT95" s="42" t="str">
        <f t="shared" si="558"/>
        <v/>
      </c>
      <c r="QU95" s="43">
        <f t="shared" si="559"/>
        <v>2</v>
      </c>
      <c r="QV95" s="8"/>
      <c r="QW95" s="47">
        <v>5</v>
      </c>
      <c r="QX95" s="48" t="s">
        <v>4</v>
      </c>
      <c r="QY95" s="49">
        <v>4</v>
      </c>
      <c r="QZ95" s="8"/>
      <c r="RA95" s="42" t="str">
        <f t="shared" si="560"/>
        <v/>
      </c>
      <c r="RB95" s="43">
        <f t="shared" si="561"/>
        <v>1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/>
      <c r="RL95" s="48" t="s">
        <v>4</v>
      </c>
      <c r="RM95" s="49"/>
      <c r="RN95" s="8"/>
      <c r="RO95" s="42" t="str">
        <f t="shared" si="564"/>
        <v/>
      </c>
      <c r="RP95" s="43">
        <f t="shared" si="565"/>
        <v>0</v>
      </c>
      <c r="RQ95" s="8"/>
      <c r="RR95" s="47"/>
      <c r="RS95" s="48" t="s">
        <v>4</v>
      </c>
      <c r="RT95" s="49"/>
      <c r="RU95" s="8"/>
      <c r="RV95" s="42" t="str">
        <f t="shared" si="566"/>
        <v/>
      </c>
      <c r="RW95" s="43">
        <f t="shared" si="567"/>
        <v>0</v>
      </c>
      <c r="RX95" s="8"/>
      <c r="RY95" s="47"/>
      <c r="RZ95" s="48" t="s">
        <v>4</v>
      </c>
      <c r="SA95" s="49"/>
      <c r="SB95" s="8"/>
      <c r="SC95" s="42" t="str">
        <f t="shared" si="568"/>
        <v/>
      </c>
      <c r="SD95" s="43">
        <f t="shared" si="569"/>
        <v>0</v>
      </c>
      <c r="SE95" s="8"/>
      <c r="SF95" s="47"/>
      <c r="SG95" s="48" t="s">
        <v>4</v>
      </c>
      <c r="SH95" s="49"/>
      <c r="SI95" s="8"/>
      <c r="SJ95" s="42" t="str">
        <f t="shared" si="570"/>
        <v/>
      </c>
      <c r="SK95" s="43">
        <f t="shared" si="571"/>
        <v>0</v>
      </c>
      <c r="SL95" s="8"/>
      <c r="SM95" s="47"/>
      <c r="SN95" s="48" t="s">
        <v>4</v>
      </c>
      <c r="SO95" s="49"/>
      <c r="SP95" s="8"/>
      <c r="SQ95" s="42" t="str">
        <f t="shared" si="572"/>
        <v/>
      </c>
      <c r="SR95" s="43">
        <f t="shared" si="573"/>
        <v>0</v>
      </c>
    </row>
    <row r="96" spans="1:512" ht="16" customHeight="1" x14ac:dyDescent="0.15">
      <c r="A96" s="51">
        <v>46207</v>
      </c>
      <c r="B96" s="46">
        <v>0</v>
      </c>
      <c r="C96" s="82" t="s">
        <v>54</v>
      </c>
      <c r="D96" s="83" t="s">
        <v>45</v>
      </c>
      <c r="E96" s="2"/>
      <c r="F96" s="50" t="s">
        <v>4</v>
      </c>
      <c r="G96" s="1"/>
      <c r="H96" s="16">
        <v>7.2</v>
      </c>
      <c r="I96" s="32">
        <f t="shared" si="429"/>
        <v>0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>
        <v>4</v>
      </c>
      <c r="R96" s="48" t="s">
        <v>4</v>
      </c>
      <c r="S96" s="49">
        <v>1</v>
      </c>
      <c r="T96" s="8"/>
      <c r="U96" s="42" t="str">
        <f t="shared" si="432"/>
        <v/>
      </c>
      <c r="V96" s="43">
        <f t="shared" si="433"/>
        <v>3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>
        <v>5</v>
      </c>
      <c r="AF96" s="48" t="s">
        <v>4</v>
      </c>
      <c r="AG96" s="49">
        <v>0</v>
      </c>
      <c r="AH96" s="8"/>
      <c r="AI96" s="42" t="str">
        <f t="shared" si="436"/>
        <v/>
      </c>
      <c r="AJ96" s="43">
        <f t="shared" si="437"/>
        <v>5</v>
      </c>
      <c r="AK96" s="8"/>
      <c r="AL96" s="47">
        <v>3</v>
      </c>
      <c r="AM96" s="48" t="s">
        <v>4</v>
      </c>
      <c r="AN96" s="49">
        <v>0</v>
      </c>
      <c r="AO96" s="8"/>
      <c r="AP96" s="42" t="str">
        <f t="shared" si="438"/>
        <v/>
      </c>
      <c r="AQ96" s="43">
        <f t="shared" si="439"/>
        <v>3</v>
      </c>
      <c r="AR96" s="8"/>
      <c r="AS96" s="47">
        <v>4</v>
      </c>
      <c r="AT96" s="48" t="s">
        <v>4</v>
      </c>
      <c r="AU96" s="49">
        <v>5</v>
      </c>
      <c r="AV96" s="8"/>
      <c r="AW96" s="42" t="str">
        <f t="shared" si="440"/>
        <v/>
      </c>
      <c r="AX96" s="43">
        <f t="shared" si="441"/>
        <v>-1</v>
      </c>
      <c r="AY96" s="8"/>
      <c r="AZ96" s="47">
        <v>3</v>
      </c>
      <c r="BA96" s="48" t="s">
        <v>4</v>
      </c>
      <c r="BB96" s="49">
        <v>0</v>
      </c>
      <c r="BC96" s="8"/>
      <c r="BD96" s="42" t="str">
        <f t="shared" si="442"/>
        <v/>
      </c>
      <c r="BE96" s="43">
        <f t="shared" si="443"/>
        <v>3</v>
      </c>
      <c r="BF96" s="8"/>
      <c r="BG96" s="47">
        <v>4</v>
      </c>
      <c r="BH96" s="48" t="s">
        <v>4</v>
      </c>
      <c r="BI96" s="49">
        <v>0</v>
      </c>
      <c r="BJ96" s="8"/>
      <c r="BK96" s="42" t="str">
        <f t="shared" si="444"/>
        <v/>
      </c>
      <c r="BL96" s="43">
        <f t="shared" si="445"/>
        <v>4</v>
      </c>
      <c r="BM96" s="8"/>
      <c r="BN96" s="47">
        <v>1</v>
      </c>
      <c r="BO96" s="48" t="s">
        <v>4</v>
      </c>
      <c r="BP96" s="49">
        <v>0</v>
      </c>
      <c r="BQ96" s="8"/>
      <c r="BR96" s="42" t="str">
        <f t="shared" si="446"/>
        <v/>
      </c>
      <c r="BS96" s="43">
        <f t="shared" si="447"/>
        <v>1</v>
      </c>
      <c r="BT96" s="8"/>
      <c r="BU96" s="47"/>
      <c r="BV96" s="48" t="s">
        <v>4</v>
      </c>
      <c r="BW96" s="49"/>
      <c r="BX96" s="8"/>
      <c r="BY96" s="42" t="str">
        <f t="shared" si="448"/>
        <v/>
      </c>
      <c r="BZ96" s="43">
        <f t="shared" si="449"/>
        <v>0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/>
      <c r="CJ96" s="48" t="s">
        <v>4</v>
      </c>
      <c r="CK96" s="49"/>
      <c r="CL96" s="8"/>
      <c r="CM96" s="42" t="str">
        <f t="shared" si="452"/>
        <v/>
      </c>
      <c r="CN96" s="43">
        <f t="shared" si="453"/>
        <v>0</v>
      </c>
      <c r="CO96" s="8"/>
      <c r="CP96" s="47">
        <v>2</v>
      </c>
      <c r="CQ96" s="48" t="s">
        <v>4</v>
      </c>
      <c r="CR96" s="49">
        <v>0</v>
      </c>
      <c r="CS96" s="8"/>
      <c r="CT96" s="42" t="str">
        <f t="shared" si="454"/>
        <v/>
      </c>
      <c r="CU96" s="43">
        <f t="shared" si="455"/>
        <v>2</v>
      </c>
      <c r="CV96" s="8"/>
      <c r="CW96" s="47">
        <v>4</v>
      </c>
      <c r="CX96" s="48" t="s">
        <v>4</v>
      </c>
      <c r="CY96" s="49">
        <v>0</v>
      </c>
      <c r="CZ96" s="8"/>
      <c r="DA96" s="42" t="str">
        <f t="shared" si="456"/>
        <v/>
      </c>
      <c r="DB96" s="43">
        <f t="shared" si="457"/>
        <v>4</v>
      </c>
      <c r="DC96" s="8"/>
      <c r="DD96" s="47">
        <v>3</v>
      </c>
      <c r="DE96" s="48" t="s">
        <v>4</v>
      </c>
      <c r="DF96" s="49">
        <v>0</v>
      </c>
      <c r="DG96" s="8"/>
      <c r="DH96" s="42" t="str">
        <f t="shared" si="458"/>
        <v/>
      </c>
      <c r="DI96" s="43">
        <f t="shared" si="459"/>
        <v>3</v>
      </c>
      <c r="DJ96" s="8"/>
      <c r="DK96" s="47">
        <v>3</v>
      </c>
      <c r="DL96" s="48" t="s">
        <v>4</v>
      </c>
      <c r="DM96" s="49">
        <v>0</v>
      </c>
      <c r="DN96" s="8"/>
      <c r="DO96" s="42" t="str">
        <f t="shared" si="460"/>
        <v/>
      </c>
      <c r="DP96" s="43">
        <f t="shared" si="461"/>
        <v>3</v>
      </c>
      <c r="DQ96" s="8"/>
      <c r="DR96" s="47">
        <v>4</v>
      </c>
      <c r="DS96" s="48" t="s">
        <v>4</v>
      </c>
      <c r="DT96" s="49">
        <v>0</v>
      </c>
      <c r="DU96" s="8"/>
      <c r="DV96" s="42" t="str">
        <f t="shared" si="462"/>
        <v/>
      </c>
      <c r="DW96" s="43">
        <f t="shared" si="463"/>
        <v>4</v>
      </c>
      <c r="DX96" s="8"/>
      <c r="DY96" s="47">
        <v>3</v>
      </c>
      <c r="DZ96" s="48" t="s">
        <v>4</v>
      </c>
      <c r="EA96" s="49">
        <v>0</v>
      </c>
      <c r="EB96" s="8"/>
      <c r="EC96" s="42" t="str">
        <f t="shared" si="464"/>
        <v/>
      </c>
      <c r="ED96" s="43">
        <f t="shared" si="465"/>
        <v>3</v>
      </c>
      <c r="EE96" s="8"/>
      <c r="EF96" s="47">
        <v>4</v>
      </c>
      <c r="EG96" s="48" t="s">
        <v>4</v>
      </c>
      <c r="EH96" s="49">
        <v>0</v>
      </c>
      <c r="EI96" s="8"/>
      <c r="EJ96" s="42" t="str">
        <f t="shared" si="466"/>
        <v/>
      </c>
      <c r="EK96" s="43">
        <f t="shared" si="467"/>
        <v>4</v>
      </c>
      <c r="EL96" s="8"/>
      <c r="EM96" s="47">
        <v>4</v>
      </c>
      <c r="EN96" s="48" t="s">
        <v>4</v>
      </c>
      <c r="EO96" s="49">
        <v>0</v>
      </c>
      <c r="EP96" s="8"/>
      <c r="EQ96" s="42" t="str">
        <f t="shared" si="468"/>
        <v/>
      </c>
      <c r="ER96" s="43">
        <f t="shared" si="469"/>
        <v>4</v>
      </c>
      <c r="ES96" s="8"/>
      <c r="ET96" s="47">
        <v>4</v>
      </c>
      <c r="EU96" s="48" t="s">
        <v>4</v>
      </c>
      <c r="EV96" s="49">
        <v>0</v>
      </c>
      <c r="EW96" s="8"/>
      <c r="EX96" s="42" t="str">
        <f t="shared" si="470"/>
        <v/>
      </c>
      <c r="EY96" s="43">
        <f t="shared" si="471"/>
        <v>4</v>
      </c>
      <c r="EZ96" s="8"/>
      <c r="FA96" s="47">
        <v>5</v>
      </c>
      <c r="FB96" s="48" t="s">
        <v>4</v>
      </c>
      <c r="FC96" s="49">
        <v>1</v>
      </c>
      <c r="FD96" s="8"/>
      <c r="FE96" s="42" t="str">
        <f t="shared" si="472"/>
        <v/>
      </c>
      <c r="FF96" s="43">
        <f t="shared" si="473"/>
        <v>4</v>
      </c>
      <c r="FG96" s="8"/>
      <c r="FH96" s="47">
        <v>3</v>
      </c>
      <c r="FI96" s="48" t="s">
        <v>4</v>
      </c>
      <c r="FJ96" s="49">
        <v>1</v>
      </c>
      <c r="FK96" s="8"/>
      <c r="FL96" s="42" t="str">
        <f t="shared" si="474"/>
        <v/>
      </c>
      <c r="FM96" s="43">
        <f t="shared" si="475"/>
        <v>2</v>
      </c>
      <c r="FN96" s="8"/>
      <c r="FO96" s="47">
        <v>2</v>
      </c>
      <c r="FP96" s="48" t="s">
        <v>4</v>
      </c>
      <c r="FQ96" s="49">
        <v>0</v>
      </c>
      <c r="FR96" s="8"/>
      <c r="FS96" s="42" t="str">
        <f t="shared" si="476"/>
        <v/>
      </c>
      <c r="FT96" s="43">
        <f t="shared" si="477"/>
        <v>2</v>
      </c>
      <c r="FU96" s="8"/>
      <c r="FV96" s="47">
        <v>3</v>
      </c>
      <c r="FW96" s="48" t="s">
        <v>4</v>
      </c>
      <c r="FX96" s="49">
        <v>0</v>
      </c>
      <c r="FY96" s="8"/>
      <c r="FZ96" s="42" t="str">
        <f t="shared" si="478"/>
        <v/>
      </c>
      <c r="GA96" s="43">
        <f t="shared" si="479"/>
        <v>3</v>
      </c>
      <c r="GB96" s="8"/>
      <c r="GC96" s="47">
        <v>2</v>
      </c>
      <c r="GD96" s="48" t="s">
        <v>4</v>
      </c>
      <c r="GE96" s="49">
        <v>0</v>
      </c>
      <c r="GF96" s="8"/>
      <c r="GG96" s="42" t="str">
        <f t="shared" si="480"/>
        <v/>
      </c>
      <c r="GH96" s="43">
        <f t="shared" si="481"/>
        <v>2</v>
      </c>
      <c r="GI96" s="8"/>
      <c r="GJ96" s="47">
        <v>5</v>
      </c>
      <c r="GK96" s="48" t="s">
        <v>4</v>
      </c>
      <c r="GL96" s="49">
        <v>1</v>
      </c>
      <c r="GM96" s="8"/>
      <c r="GN96" s="42" t="str">
        <f t="shared" si="482"/>
        <v/>
      </c>
      <c r="GO96" s="43">
        <f t="shared" si="483"/>
        <v>4</v>
      </c>
      <c r="GP96" s="8"/>
      <c r="GQ96" s="47">
        <v>3</v>
      </c>
      <c r="GR96" s="48" t="s">
        <v>4</v>
      </c>
      <c r="GS96" s="49">
        <v>0</v>
      </c>
      <c r="GT96" s="8"/>
      <c r="GU96" s="42" t="str">
        <f t="shared" si="484"/>
        <v/>
      </c>
      <c r="GV96" s="43">
        <f t="shared" si="485"/>
        <v>3</v>
      </c>
      <c r="GW96" s="8"/>
      <c r="GX96" s="47">
        <v>3</v>
      </c>
      <c r="GY96" s="48" t="s">
        <v>4</v>
      </c>
      <c r="GZ96" s="49">
        <v>0</v>
      </c>
      <c r="HA96" s="8"/>
      <c r="HB96" s="42" t="str">
        <f t="shared" si="486"/>
        <v/>
      </c>
      <c r="HC96" s="43">
        <f t="shared" si="487"/>
        <v>3</v>
      </c>
      <c r="HD96" s="8"/>
      <c r="HE96" s="47">
        <v>3</v>
      </c>
      <c r="HF96" s="48" t="s">
        <v>4</v>
      </c>
      <c r="HG96" s="49">
        <v>0</v>
      </c>
      <c r="HH96" s="8"/>
      <c r="HI96" s="42" t="str">
        <f t="shared" si="488"/>
        <v/>
      </c>
      <c r="HJ96" s="43">
        <f t="shared" si="489"/>
        <v>3</v>
      </c>
      <c r="HK96" s="8"/>
      <c r="HL96" s="47">
        <v>3</v>
      </c>
      <c r="HM96" s="48" t="s">
        <v>4</v>
      </c>
      <c r="HN96" s="49">
        <v>0</v>
      </c>
      <c r="HO96" s="8"/>
      <c r="HP96" s="42" t="str">
        <f t="shared" si="490"/>
        <v/>
      </c>
      <c r="HQ96" s="43">
        <f t="shared" si="491"/>
        <v>3</v>
      </c>
      <c r="HR96" s="8"/>
      <c r="HS96" s="47">
        <v>3</v>
      </c>
      <c r="HT96" s="48" t="s">
        <v>4</v>
      </c>
      <c r="HU96" s="49">
        <v>1</v>
      </c>
      <c r="HV96" s="8"/>
      <c r="HW96" s="42" t="str">
        <f t="shared" si="492"/>
        <v/>
      </c>
      <c r="HX96" s="43">
        <f t="shared" si="493"/>
        <v>2</v>
      </c>
      <c r="HY96" s="8"/>
      <c r="HZ96" s="47">
        <v>3</v>
      </c>
      <c r="IA96" s="48" t="s">
        <v>4</v>
      </c>
      <c r="IB96" s="49">
        <v>1</v>
      </c>
      <c r="IC96" s="8"/>
      <c r="ID96" s="42" t="str">
        <f t="shared" si="494"/>
        <v/>
      </c>
      <c r="IE96" s="43">
        <f t="shared" si="495"/>
        <v>2</v>
      </c>
      <c r="IF96" s="8"/>
      <c r="IG96" s="47">
        <v>3</v>
      </c>
      <c r="IH96" s="48" t="s">
        <v>4</v>
      </c>
      <c r="II96" s="49">
        <v>1</v>
      </c>
      <c r="IJ96" s="8"/>
      <c r="IK96" s="42" t="str">
        <f t="shared" si="496"/>
        <v/>
      </c>
      <c r="IL96" s="43">
        <f t="shared" si="497"/>
        <v>2</v>
      </c>
      <c r="IM96" s="8"/>
      <c r="IN96" s="47">
        <v>3</v>
      </c>
      <c r="IO96" s="48" t="s">
        <v>4</v>
      </c>
      <c r="IP96" s="49">
        <v>0</v>
      </c>
      <c r="IQ96" s="8"/>
      <c r="IR96" s="42" t="str">
        <f t="shared" si="498"/>
        <v/>
      </c>
      <c r="IS96" s="43">
        <f t="shared" si="499"/>
        <v>3</v>
      </c>
      <c r="IT96" s="8"/>
      <c r="IU96" s="47">
        <v>2</v>
      </c>
      <c r="IV96" s="48" t="s">
        <v>4</v>
      </c>
      <c r="IW96" s="49">
        <v>0</v>
      </c>
      <c r="IX96" s="8"/>
      <c r="IY96" s="42" t="str">
        <f t="shared" si="500"/>
        <v/>
      </c>
      <c r="IZ96" s="43">
        <f t="shared" si="501"/>
        <v>2</v>
      </c>
      <c r="JA96" s="8"/>
      <c r="JB96" s="47">
        <v>2</v>
      </c>
      <c r="JC96" s="48" t="s">
        <v>4</v>
      </c>
      <c r="JD96" s="49">
        <v>0</v>
      </c>
      <c r="JE96" s="8"/>
      <c r="JF96" s="42" t="str">
        <f t="shared" si="502"/>
        <v/>
      </c>
      <c r="JG96" s="43">
        <f t="shared" si="503"/>
        <v>2</v>
      </c>
      <c r="JH96" s="8"/>
      <c r="JI96" s="47">
        <v>2</v>
      </c>
      <c r="JJ96" s="48" t="s">
        <v>4</v>
      </c>
      <c r="JK96" s="49">
        <v>1</v>
      </c>
      <c r="JL96" s="8"/>
      <c r="JM96" s="42" t="str">
        <f t="shared" si="504"/>
        <v/>
      </c>
      <c r="JN96" s="43">
        <f t="shared" si="505"/>
        <v>1</v>
      </c>
      <c r="JO96" s="8"/>
      <c r="JP96" s="47">
        <v>2</v>
      </c>
      <c r="JQ96" s="48" t="s">
        <v>4</v>
      </c>
      <c r="JR96" s="49">
        <v>1</v>
      </c>
      <c r="JS96" s="8"/>
      <c r="JT96" s="42" t="str">
        <f t="shared" si="506"/>
        <v/>
      </c>
      <c r="JU96" s="43">
        <f t="shared" si="507"/>
        <v>1</v>
      </c>
      <c r="JV96" s="8"/>
      <c r="JW96" s="47">
        <v>6</v>
      </c>
      <c r="JX96" s="48" t="s">
        <v>4</v>
      </c>
      <c r="JY96" s="49">
        <v>0</v>
      </c>
      <c r="JZ96" s="8"/>
      <c r="KA96" s="42" t="str">
        <f t="shared" si="508"/>
        <v/>
      </c>
      <c r="KB96" s="43">
        <f t="shared" si="509"/>
        <v>6</v>
      </c>
      <c r="KC96" s="8"/>
      <c r="KD96" s="47">
        <v>5</v>
      </c>
      <c r="KE96" s="48" t="s">
        <v>4</v>
      </c>
      <c r="KF96" s="49">
        <v>1</v>
      </c>
      <c r="KG96" s="8"/>
      <c r="KH96" s="42" t="str">
        <f t="shared" si="510"/>
        <v/>
      </c>
      <c r="KI96" s="43">
        <f t="shared" si="511"/>
        <v>4</v>
      </c>
      <c r="KJ96" s="8"/>
      <c r="KK96" s="47">
        <v>2</v>
      </c>
      <c r="KL96" s="48" t="s">
        <v>4</v>
      </c>
      <c r="KM96" s="49">
        <v>0</v>
      </c>
      <c r="KN96" s="8"/>
      <c r="KO96" s="42" t="str">
        <f t="shared" si="512"/>
        <v/>
      </c>
      <c r="KP96" s="43">
        <f t="shared" si="513"/>
        <v>2</v>
      </c>
      <c r="KQ96" s="8"/>
      <c r="KR96" s="47">
        <v>2</v>
      </c>
      <c r="KS96" s="48" t="s">
        <v>4</v>
      </c>
      <c r="KT96" s="49">
        <v>0</v>
      </c>
      <c r="KU96" s="8"/>
      <c r="KV96" s="42" t="str">
        <f t="shared" si="514"/>
        <v/>
      </c>
      <c r="KW96" s="43">
        <f t="shared" si="515"/>
        <v>2</v>
      </c>
      <c r="KX96" s="8"/>
      <c r="KY96" s="47">
        <v>2</v>
      </c>
      <c r="KZ96" s="48" t="s">
        <v>4</v>
      </c>
      <c r="LA96" s="49">
        <v>1</v>
      </c>
      <c r="LB96" s="8"/>
      <c r="LC96" s="42" t="str">
        <f t="shared" si="516"/>
        <v/>
      </c>
      <c r="LD96" s="43">
        <f t="shared" si="517"/>
        <v>1</v>
      </c>
      <c r="LE96" s="8"/>
      <c r="LF96" s="47">
        <v>3</v>
      </c>
      <c r="LG96" s="48" t="s">
        <v>4</v>
      </c>
      <c r="LH96" s="49">
        <v>0</v>
      </c>
      <c r="LI96" s="8"/>
      <c r="LJ96" s="42" t="str">
        <f t="shared" si="518"/>
        <v/>
      </c>
      <c r="LK96" s="43">
        <f t="shared" si="519"/>
        <v>3</v>
      </c>
      <c r="LL96" s="8"/>
      <c r="LM96" s="47">
        <v>3</v>
      </c>
      <c r="LN96" s="48" t="s">
        <v>4</v>
      </c>
      <c r="LO96" s="49">
        <v>1</v>
      </c>
      <c r="LP96" s="8"/>
      <c r="LQ96" s="42" t="str">
        <f t="shared" si="520"/>
        <v/>
      </c>
      <c r="LR96" s="43">
        <f t="shared" si="521"/>
        <v>2</v>
      </c>
      <c r="LS96" s="8"/>
      <c r="LT96" s="47">
        <v>3</v>
      </c>
      <c r="LU96" s="48" t="s">
        <v>4</v>
      </c>
      <c r="LV96" s="49">
        <v>0</v>
      </c>
      <c r="LW96" s="8"/>
      <c r="LX96" s="42" t="str">
        <f t="shared" si="522"/>
        <v/>
      </c>
      <c r="LY96" s="43">
        <f t="shared" si="523"/>
        <v>3</v>
      </c>
      <c r="LZ96" s="8"/>
      <c r="MA96" s="47">
        <v>3</v>
      </c>
      <c r="MB96" s="48" t="s">
        <v>4</v>
      </c>
      <c r="MC96" s="49">
        <v>0</v>
      </c>
      <c r="MD96" s="8"/>
      <c r="ME96" s="42" t="str">
        <f t="shared" si="524"/>
        <v/>
      </c>
      <c r="MF96" s="43">
        <f t="shared" si="525"/>
        <v>3</v>
      </c>
      <c r="MG96" s="8"/>
      <c r="MH96" s="47">
        <v>4</v>
      </c>
      <c r="MI96" s="48" t="s">
        <v>4</v>
      </c>
      <c r="MJ96" s="49">
        <v>0</v>
      </c>
      <c r="MK96" s="8"/>
      <c r="ML96" s="42" t="str">
        <f t="shared" si="526"/>
        <v/>
      </c>
      <c r="MM96" s="43">
        <f t="shared" si="527"/>
        <v>4</v>
      </c>
      <c r="MN96" s="8"/>
      <c r="MO96" s="47">
        <v>2</v>
      </c>
      <c r="MP96" s="48" t="s">
        <v>4</v>
      </c>
      <c r="MQ96" s="49">
        <v>0</v>
      </c>
      <c r="MR96" s="8"/>
      <c r="MS96" s="42" t="str">
        <f t="shared" si="528"/>
        <v/>
      </c>
      <c r="MT96" s="43">
        <f t="shared" si="529"/>
        <v>2</v>
      </c>
      <c r="MU96" s="8"/>
      <c r="MV96" s="47">
        <v>4</v>
      </c>
      <c r="MW96" s="48" t="s">
        <v>4</v>
      </c>
      <c r="MX96" s="49">
        <v>0</v>
      </c>
      <c r="MY96" s="8"/>
      <c r="MZ96" s="42" t="str">
        <f t="shared" si="530"/>
        <v/>
      </c>
      <c r="NA96" s="43">
        <f t="shared" si="531"/>
        <v>4</v>
      </c>
      <c r="NB96" s="8"/>
      <c r="NC96" s="47">
        <v>2</v>
      </c>
      <c r="ND96" s="48" t="s">
        <v>4</v>
      </c>
      <c r="NE96" s="49">
        <v>0</v>
      </c>
      <c r="NF96" s="8"/>
      <c r="NG96" s="42" t="str">
        <f t="shared" si="532"/>
        <v/>
      </c>
      <c r="NH96" s="43">
        <f t="shared" si="533"/>
        <v>2</v>
      </c>
      <c r="NI96" s="8"/>
      <c r="NJ96" s="47">
        <v>2</v>
      </c>
      <c r="NK96" s="48" t="s">
        <v>4</v>
      </c>
      <c r="NL96" s="49">
        <v>0</v>
      </c>
      <c r="NM96" s="8"/>
      <c r="NN96" s="42" t="str">
        <f t="shared" si="534"/>
        <v/>
      </c>
      <c r="NO96" s="43">
        <f t="shared" si="535"/>
        <v>2</v>
      </c>
      <c r="NP96" s="8"/>
      <c r="NQ96" s="47">
        <v>3</v>
      </c>
      <c r="NR96" s="48" t="s">
        <v>4</v>
      </c>
      <c r="NS96" s="49">
        <v>1</v>
      </c>
      <c r="NT96" s="8"/>
      <c r="NU96" s="42" t="str">
        <f t="shared" si="536"/>
        <v/>
      </c>
      <c r="NV96" s="43">
        <f t="shared" si="537"/>
        <v>2</v>
      </c>
      <c r="NW96" s="8"/>
      <c r="NX96" s="47">
        <v>2</v>
      </c>
      <c r="NY96" s="48" t="s">
        <v>4</v>
      </c>
      <c r="NZ96" s="49">
        <v>0</v>
      </c>
      <c r="OA96" s="8"/>
      <c r="OB96" s="42" t="str">
        <f t="shared" si="538"/>
        <v/>
      </c>
      <c r="OC96" s="43">
        <f t="shared" si="539"/>
        <v>2</v>
      </c>
      <c r="OD96" s="8"/>
      <c r="OE96" s="47">
        <v>4</v>
      </c>
      <c r="OF96" s="48" t="s">
        <v>4</v>
      </c>
      <c r="OG96" s="49">
        <v>0</v>
      </c>
      <c r="OH96" s="8"/>
      <c r="OI96" s="42" t="str">
        <f t="shared" si="540"/>
        <v/>
      </c>
      <c r="OJ96" s="43">
        <f t="shared" si="541"/>
        <v>4</v>
      </c>
      <c r="OK96" s="8"/>
      <c r="OL96" s="47">
        <v>2</v>
      </c>
      <c r="OM96" s="48" t="s">
        <v>4</v>
      </c>
      <c r="ON96" s="49">
        <v>0</v>
      </c>
      <c r="OO96" s="8"/>
      <c r="OP96" s="42" t="str">
        <f t="shared" si="542"/>
        <v/>
      </c>
      <c r="OQ96" s="43">
        <f t="shared" si="543"/>
        <v>2</v>
      </c>
      <c r="OR96" s="8"/>
      <c r="OS96" s="47">
        <v>3</v>
      </c>
      <c r="OT96" s="48" t="s">
        <v>4</v>
      </c>
      <c r="OU96" s="49">
        <v>0</v>
      </c>
      <c r="OV96" s="8"/>
      <c r="OW96" s="42" t="str">
        <f t="shared" si="544"/>
        <v/>
      </c>
      <c r="OX96" s="43">
        <f t="shared" si="545"/>
        <v>3</v>
      </c>
      <c r="OY96" s="8"/>
      <c r="OZ96" s="47"/>
      <c r="PA96" s="48" t="s">
        <v>4</v>
      </c>
      <c r="PB96" s="49"/>
      <c r="PC96" s="8"/>
      <c r="PD96" s="42" t="str">
        <f t="shared" si="546"/>
        <v/>
      </c>
      <c r="PE96" s="43">
        <f t="shared" si="547"/>
        <v>0</v>
      </c>
      <c r="PF96" s="8"/>
      <c r="PG96" s="47">
        <v>2</v>
      </c>
      <c r="PH96" s="48" t="s">
        <v>4</v>
      </c>
      <c r="PI96" s="49">
        <v>0</v>
      </c>
      <c r="PJ96" s="8"/>
      <c r="PK96" s="42" t="str">
        <f t="shared" si="548"/>
        <v/>
      </c>
      <c r="PL96" s="43">
        <f t="shared" si="549"/>
        <v>2</v>
      </c>
      <c r="PM96" s="8"/>
      <c r="PN96" s="47">
        <v>3</v>
      </c>
      <c r="PO96" s="48" t="s">
        <v>4</v>
      </c>
      <c r="PP96" s="49">
        <v>0</v>
      </c>
      <c r="PQ96" s="8"/>
      <c r="PR96" s="42" t="str">
        <f t="shared" si="550"/>
        <v/>
      </c>
      <c r="PS96" s="43">
        <f t="shared" si="551"/>
        <v>3</v>
      </c>
      <c r="PT96" s="8"/>
      <c r="PU96" s="47">
        <v>1</v>
      </c>
      <c r="PV96" s="48" t="s">
        <v>4</v>
      </c>
      <c r="PW96" s="49">
        <v>0</v>
      </c>
      <c r="PX96" s="8"/>
      <c r="PY96" s="42" t="str">
        <f t="shared" si="552"/>
        <v/>
      </c>
      <c r="PZ96" s="43">
        <f t="shared" si="553"/>
        <v>1</v>
      </c>
      <c r="QA96" s="8"/>
      <c r="QB96" s="47">
        <v>2</v>
      </c>
      <c r="QC96" s="48" t="s">
        <v>4</v>
      </c>
      <c r="QD96" s="49">
        <v>0</v>
      </c>
      <c r="QE96" s="8"/>
      <c r="QF96" s="42" t="str">
        <f t="shared" si="554"/>
        <v/>
      </c>
      <c r="QG96" s="43">
        <f t="shared" si="555"/>
        <v>2</v>
      </c>
      <c r="QH96" s="8"/>
      <c r="QI96" s="47">
        <v>2</v>
      </c>
      <c r="QJ96" s="48" t="s">
        <v>4</v>
      </c>
      <c r="QK96" s="49">
        <v>0</v>
      </c>
      <c r="QL96" s="8"/>
      <c r="QM96" s="42" t="str">
        <f t="shared" si="556"/>
        <v/>
      </c>
      <c r="QN96" s="43">
        <f t="shared" si="557"/>
        <v>2</v>
      </c>
      <c r="QO96" s="8"/>
      <c r="QP96" s="47">
        <v>5</v>
      </c>
      <c r="QQ96" s="48" t="s">
        <v>4</v>
      </c>
      <c r="QR96" s="49">
        <v>0</v>
      </c>
      <c r="QS96" s="8"/>
      <c r="QT96" s="42" t="str">
        <f t="shared" si="558"/>
        <v/>
      </c>
      <c r="QU96" s="43">
        <f t="shared" si="559"/>
        <v>5</v>
      </c>
      <c r="QV96" s="8"/>
      <c r="QW96" s="47">
        <v>3</v>
      </c>
      <c r="QX96" s="48" t="s">
        <v>4</v>
      </c>
      <c r="QY96" s="49">
        <v>1</v>
      </c>
      <c r="QZ96" s="8"/>
      <c r="RA96" s="42" t="str">
        <f t="shared" si="560"/>
        <v/>
      </c>
      <c r="RB96" s="43">
        <f t="shared" si="561"/>
        <v>2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/>
      <c r="RL96" s="48" t="s">
        <v>4</v>
      </c>
      <c r="RM96" s="49"/>
      <c r="RN96" s="8"/>
      <c r="RO96" s="42" t="str">
        <f t="shared" si="564"/>
        <v/>
      </c>
      <c r="RP96" s="43">
        <f t="shared" si="565"/>
        <v>0</v>
      </c>
      <c r="RQ96" s="8"/>
      <c r="RR96" s="47"/>
      <c r="RS96" s="48" t="s">
        <v>4</v>
      </c>
      <c r="RT96" s="49"/>
      <c r="RU96" s="8"/>
      <c r="RV96" s="42" t="str">
        <f t="shared" si="566"/>
        <v/>
      </c>
      <c r="RW96" s="43">
        <f t="shared" si="567"/>
        <v>0</v>
      </c>
      <c r="RX96" s="8"/>
      <c r="RY96" s="47"/>
      <c r="RZ96" s="48" t="s">
        <v>4</v>
      </c>
      <c r="SA96" s="49"/>
      <c r="SB96" s="8"/>
      <c r="SC96" s="42" t="str">
        <f t="shared" si="568"/>
        <v/>
      </c>
      <c r="SD96" s="43">
        <f t="shared" si="569"/>
        <v>0</v>
      </c>
      <c r="SE96" s="8"/>
      <c r="SF96" s="47"/>
      <c r="SG96" s="48" t="s">
        <v>4</v>
      </c>
      <c r="SH96" s="49"/>
      <c r="SI96" s="8"/>
      <c r="SJ96" s="42" t="str">
        <f t="shared" si="570"/>
        <v/>
      </c>
      <c r="SK96" s="43">
        <f t="shared" si="571"/>
        <v>0</v>
      </c>
      <c r="SL96" s="8"/>
      <c r="SM96" s="47"/>
      <c r="SN96" s="48" t="s">
        <v>4</v>
      </c>
      <c r="SO96" s="49"/>
      <c r="SP96" s="8"/>
      <c r="SQ96" s="42" t="str">
        <f t="shared" si="572"/>
        <v/>
      </c>
      <c r="SR96" s="43">
        <f t="shared" si="573"/>
        <v>0</v>
      </c>
    </row>
    <row r="97" spans="1:512" ht="16" customHeight="1" x14ac:dyDescent="0.15">
      <c r="A97" s="51">
        <v>46207</v>
      </c>
      <c r="B97" s="46">
        <v>0.14583333333333334</v>
      </c>
      <c r="C97" s="82" t="s">
        <v>61</v>
      </c>
      <c r="D97" s="82" t="s">
        <v>58</v>
      </c>
      <c r="E97" s="2"/>
      <c r="F97" s="50" t="s">
        <v>4</v>
      </c>
      <c r="G97" s="1"/>
      <c r="H97" s="16">
        <v>7.2</v>
      </c>
      <c r="I97" s="32">
        <f t="shared" si="429"/>
        <v>0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>
        <v>1</v>
      </c>
      <c r="R97" s="48" t="s">
        <v>4</v>
      </c>
      <c r="S97" s="49">
        <v>2</v>
      </c>
      <c r="T97" s="8"/>
      <c r="U97" s="42" t="str">
        <f t="shared" si="432"/>
        <v/>
      </c>
      <c r="V97" s="43">
        <f t="shared" si="433"/>
        <v>-1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>
        <v>3</v>
      </c>
      <c r="AF97" s="48" t="s">
        <v>4</v>
      </c>
      <c r="AG97" s="49">
        <v>1</v>
      </c>
      <c r="AH97" s="8"/>
      <c r="AI97" s="42" t="str">
        <f t="shared" si="436"/>
        <v/>
      </c>
      <c r="AJ97" s="43">
        <f t="shared" si="437"/>
        <v>2</v>
      </c>
      <c r="AK97" s="8"/>
      <c r="AL97" s="47">
        <v>2</v>
      </c>
      <c r="AM97" s="48" t="s">
        <v>4</v>
      </c>
      <c r="AN97" s="49">
        <v>1</v>
      </c>
      <c r="AO97" s="8"/>
      <c r="AP97" s="42" t="str">
        <f t="shared" si="438"/>
        <v/>
      </c>
      <c r="AQ97" s="43">
        <f t="shared" si="439"/>
        <v>1</v>
      </c>
      <c r="AR97" s="8"/>
      <c r="AS97" s="47">
        <v>0</v>
      </c>
      <c r="AT97" s="48" t="s">
        <v>4</v>
      </c>
      <c r="AU97" s="49">
        <v>1</v>
      </c>
      <c r="AV97" s="8"/>
      <c r="AW97" s="42" t="str">
        <f t="shared" si="440"/>
        <v/>
      </c>
      <c r="AX97" s="43">
        <f t="shared" si="441"/>
        <v>-1</v>
      </c>
      <c r="AY97" s="8"/>
      <c r="AZ97" s="47">
        <v>2</v>
      </c>
      <c r="BA97" s="48" t="s">
        <v>4</v>
      </c>
      <c r="BB97" s="49">
        <v>1</v>
      </c>
      <c r="BC97" s="8"/>
      <c r="BD97" s="42" t="str">
        <f t="shared" si="442"/>
        <v/>
      </c>
      <c r="BE97" s="43">
        <f t="shared" si="443"/>
        <v>1</v>
      </c>
      <c r="BF97" s="8"/>
      <c r="BG97" s="47">
        <v>2</v>
      </c>
      <c r="BH97" s="48" t="s">
        <v>4</v>
      </c>
      <c r="BI97" s="49">
        <v>1</v>
      </c>
      <c r="BJ97" s="8"/>
      <c r="BK97" s="42" t="str">
        <f t="shared" si="444"/>
        <v/>
      </c>
      <c r="BL97" s="43">
        <f t="shared" si="445"/>
        <v>1</v>
      </c>
      <c r="BM97" s="8"/>
      <c r="BN97" s="47">
        <v>2</v>
      </c>
      <c r="BO97" s="48" t="s">
        <v>4</v>
      </c>
      <c r="BP97" s="49">
        <v>1</v>
      </c>
      <c r="BQ97" s="8"/>
      <c r="BR97" s="42" t="str">
        <f t="shared" si="446"/>
        <v/>
      </c>
      <c r="BS97" s="43">
        <f t="shared" si="447"/>
        <v>1</v>
      </c>
      <c r="BT97" s="8"/>
      <c r="BU97" s="47"/>
      <c r="BV97" s="48" t="s">
        <v>4</v>
      </c>
      <c r="BW97" s="49"/>
      <c r="BX97" s="8"/>
      <c r="BY97" s="42" t="str">
        <f t="shared" si="448"/>
        <v/>
      </c>
      <c r="BZ97" s="43">
        <f t="shared" si="449"/>
        <v>0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/>
      <c r="CJ97" s="48" t="s">
        <v>4</v>
      </c>
      <c r="CK97" s="49"/>
      <c r="CL97" s="8"/>
      <c r="CM97" s="42" t="str">
        <f t="shared" si="452"/>
        <v/>
      </c>
      <c r="CN97" s="43">
        <f t="shared" si="453"/>
        <v>0</v>
      </c>
      <c r="CO97" s="8"/>
      <c r="CP97" s="47">
        <v>2</v>
      </c>
      <c r="CQ97" s="48" t="s">
        <v>4</v>
      </c>
      <c r="CR97" s="49">
        <v>1</v>
      </c>
      <c r="CS97" s="8"/>
      <c r="CT97" s="42" t="str">
        <f t="shared" si="454"/>
        <v/>
      </c>
      <c r="CU97" s="43">
        <f t="shared" si="455"/>
        <v>1</v>
      </c>
      <c r="CV97" s="8"/>
      <c r="CW97" s="47">
        <v>2</v>
      </c>
      <c r="CX97" s="48" t="s">
        <v>4</v>
      </c>
      <c r="CY97" s="49">
        <v>0</v>
      </c>
      <c r="CZ97" s="8"/>
      <c r="DA97" s="42" t="str">
        <f t="shared" si="456"/>
        <v/>
      </c>
      <c r="DB97" s="43">
        <f t="shared" si="457"/>
        <v>2</v>
      </c>
      <c r="DC97" s="8"/>
      <c r="DD97" s="47">
        <v>0</v>
      </c>
      <c r="DE97" s="48" t="s">
        <v>4</v>
      </c>
      <c r="DF97" s="49">
        <v>2</v>
      </c>
      <c r="DG97" s="8"/>
      <c r="DH97" s="42" t="str">
        <f t="shared" si="458"/>
        <v/>
      </c>
      <c r="DI97" s="43">
        <f t="shared" si="459"/>
        <v>-2</v>
      </c>
      <c r="DJ97" s="8"/>
      <c r="DK97" s="47">
        <v>1</v>
      </c>
      <c r="DL97" s="48" t="s">
        <v>4</v>
      </c>
      <c r="DM97" s="49">
        <v>0</v>
      </c>
      <c r="DN97" s="8"/>
      <c r="DO97" s="42" t="str">
        <f t="shared" si="460"/>
        <v/>
      </c>
      <c r="DP97" s="43">
        <f t="shared" si="461"/>
        <v>1</v>
      </c>
      <c r="DQ97" s="8"/>
      <c r="DR97" s="47">
        <v>3</v>
      </c>
      <c r="DS97" s="48" t="s">
        <v>4</v>
      </c>
      <c r="DT97" s="49">
        <v>1</v>
      </c>
      <c r="DU97" s="8"/>
      <c r="DV97" s="42" t="str">
        <f t="shared" si="462"/>
        <v/>
      </c>
      <c r="DW97" s="43">
        <f t="shared" si="463"/>
        <v>2</v>
      </c>
      <c r="DX97" s="8"/>
      <c r="DY97" s="47">
        <v>4</v>
      </c>
      <c r="DZ97" s="48" t="s">
        <v>4</v>
      </c>
      <c r="EA97" s="49">
        <v>5</v>
      </c>
      <c r="EB97" s="8"/>
      <c r="EC97" s="42" t="str">
        <f t="shared" si="464"/>
        <v/>
      </c>
      <c r="ED97" s="43">
        <f t="shared" si="465"/>
        <v>-1</v>
      </c>
      <c r="EE97" s="8"/>
      <c r="EF97" s="47">
        <v>2</v>
      </c>
      <c r="EG97" s="48" t="s">
        <v>4</v>
      </c>
      <c r="EH97" s="49">
        <v>0</v>
      </c>
      <c r="EI97" s="8"/>
      <c r="EJ97" s="42" t="str">
        <f t="shared" si="466"/>
        <v/>
      </c>
      <c r="EK97" s="43">
        <f t="shared" si="467"/>
        <v>2</v>
      </c>
      <c r="EL97" s="8"/>
      <c r="EM97" s="47">
        <v>2</v>
      </c>
      <c r="EN97" s="48" t="s">
        <v>4</v>
      </c>
      <c r="EO97" s="49">
        <v>1</v>
      </c>
      <c r="EP97" s="8"/>
      <c r="EQ97" s="42" t="str">
        <f t="shared" si="468"/>
        <v/>
      </c>
      <c r="ER97" s="43">
        <f t="shared" si="469"/>
        <v>1</v>
      </c>
      <c r="ES97" s="8"/>
      <c r="ET97" s="47">
        <v>3</v>
      </c>
      <c r="EU97" s="48" t="s">
        <v>4</v>
      </c>
      <c r="EV97" s="49">
        <v>1</v>
      </c>
      <c r="EW97" s="8"/>
      <c r="EX97" s="42" t="str">
        <f t="shared" si="470"/>
        <v/>
      </c>
      <c r="EY97" s="43">
        <f t="shared" si="471"/>
        <v>2</v>
      </c>
      <c r="EZ97" s="8"/>
      <c r="FA97" s="47">
        <v>2</v>
      </c>
      <c r="FB97" s="48" t="s">
        <v>4</v>
      </c>
      <c r="FC97" s="49">
        <v>0</v>
      </c>
      <c r="FD97" s="8"/>
      <c r="FE97" s="42" t="str">
        <f t="shared" si="472"/>
        <v/>
      </c>
      <c r="FF97" s="43">
        <f t="shared" si="473"/>
        <v>2</v>
      </c>
      <c r="FG97" s="8"/>
      <c r="FH97" s="47">
        <v>2</v>
      </c>
      <c r="FI97" s="48" t="s">
        <v>4</v>
      </c>
      <c r="FJ97" s="49">
        <v>0</v>
      </c>
      <c r="FK97" s="8"/>
      <c r="FL97" s="42" t="str">
        <f t="shared" si="474"/>
        <v/>
      </c>
      <c r="FM97" s="43">
        <f t="shared" si="475"/>
        <v>2</v>
      </c>
      <c r="FN97" s="8"/>
      <c r="FO97" s="47">
        <v>1</v>
      </c>
      <c r="FP97" s="48" t="s">
        <v>4</v>
      </c>
      <c r="FQ97" s="49">
        <v>0</v>
      </c>
      <c r="FR97" s="8"/>
      <c r="FS97" s="42" t="str">
        <f t="shared" si="476"/>
        <v/>
      </c>
      <c r="FT97" s="43">
        <f t="shared" si="477"/>
        <v>1</v>
      </c>
      <c r="FU97" s="8"/>
      <c r="FV97" s="47">
        <v>2</v>
      </c>
      <c r="FW97" s="48" t="s">
        <v>4</v>
      </c>
      <c r="FX97" s="49">
        <v>1</v>
      </c>
      <c r="FY97" s="8"/>
      <c r="FZ97" s="42" t="str">
        <f t="shared" si="478"/>
        <v/>
      </c>
      <c r="GA97" s="43">
        <f t="shared" si="479"/>
        <v>1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>
        <v>2</v>
      </c>
      <c r="GK97" s="48" t="s">
        <v>4</v>
      </c>
      <c r="GL97" s="49">
        <v>1</v>
      </c>
      <c r="GM97" s="8"/>
      <c r="GN97" s="42" t="str">
        <f t="shared" si="482"/>
        <v/>
      </c>
      <c r="GO97" s="43">
        <f t="shared" si="483"/>
        <v>1</v>
      </c>
      <c r="GP97" s="8"/>
      <c r="GQ97" s="47">
        <v>7</v>
      </c>
      <c r="GR97" s="48" t="s">
        <v>4</v>
      </c>
      <c r="GS97" s="49">
        <v>5</v>
      </c>
      <c r="GT97" s="8"/>
      <c r="GU97" s="42" t="str">
        <f t="shared" si="484"/>
        <v/>
      </c>
      <c r="GV97" s="43">
        <f t="shared" si="485"/>
        <v>2</v>
      </c>
      <c r="GW97" s="8"/>
      <c r="GX97" s="47">
        <v>2</v>
      </c>
      <c r="GY97" s="48" t="s">
        <v>4</v>
      </c>
      <c r="GZ97" s="49">
        <v>1</v>
      </c>
      <c r="HA97" s="8"/>
      <c r="HB97" s="42" t="str">
        <f t="shared" si="486"/>
        <v/>
      </c>
      <c r="HC97" s="43">
        <f t="shared" si="487"/>
        <v>1</v>
      </c>
      <c r="HD97" s="8"/>
      <c r="HE97" s="47">
        <v>2</v>
      </c>
      <c r="HF97" s="48" t="s">
        <v>4</v>
      </c>
      <c r="HG97" s="49">
        <v>1</v>
      </c>
      <c r="HH97" s="8"/>
      <c r="HI97" s="42" t="str">
        <f t="shared" si="488"/>
        <v/>
      </c>
      <c r="HJ97" s="43">
        <f t="shared" si="489"/>
        <v>1</v>
      </c>
      <c r="HK97" s="8"/>
      <c r="HL97" s="47">
        <v>2</v>
      </c>
      <c r="HM97" s="48" t="s">
        <v>4</v>
      </c>
      <c r="HN97" s="49">
        <v>0</v>
      </c>
      <c r="HO97" s="8"/>
      <c r="HP97" s="42" t="str">
        <f t="shared" si="490"/>
        <v/>
      </c>
      <c r="HQ97" s="43">
        <f t="shared" si="491"/>
        <v>2</v>
      </c>
      <c r="HR97" s="8"/>
      <c r="HS97" s="47">
        <v>2</v>
      </c>
      <c r="HT97" s="48" t="s">
        <v>4</v>
      </c>
      <c r="HU97" s="49">
        <v>0</v>
      </c>
      <c r="HV97" s="8"/>
      <c r="HW97" s="42" t="str">
        <f t="shared" si="492"/>
        <v/>
      </c>
      <c r="HX97" s="43">
        <f t="shared" si="493"/>
        <v>2</v>
      </c>
      <c r="HY97" s="8"/>
      <c r="HZ97" s="47">
        <v>3</v>
      </c>
      <c r="IA97" s="48" t="s">
        <v>4</v>
      </c>
      <c r="IB97" s="49">
        <v>2</v>
      </c>
      <c r="IC97" s="8"/>
      <c r="ID97" s="42" t="str">
        <f t="shared" si="494"/>
        <v/>
      </c>
      <c r="IE97" s="43">
        <f t="shared" si="495"/>
        <v>1</v>
      </c>
      <c r="IF97" s="8"/>
      <c r="IG97" s="47">
        <v>2</v>
      </c>
      <c r="IH97" s="48" t="s">
        <v>4</v>
      </c>
      <c r="II97" s="49">
        <v>1</v>
      </c>
      <c r="IJ97" s="8"/>
      <c r="IK97" s="42" t="str">
        <f t="shared" si="496"/>
        <v/>
      </c>
      <c r="IL97" s="43">
        <f t="shared" si="497"/>
        <v>1</v>
      </c>
      <c r="IM97" s="8"/>
      <c r="IN97" s="47">
        <v>2</v>
      </c>
      <c r="IO97" s="48" t="s">
        <v>4</v>
      </c>
      <c r="IP97" s="49">
        <v>1</v>
      </c>
      <c r="IQ97" s="8"/>
      <c r="IR97" s="42" t="str">
        <f t="shared" si="498"/>
        <v/>
      </c>
      <c r="IS97" s="43">
        <f t="shared" si="499"/>
        <v>1</v>
      </c>
      <c r="IT97" s="8"/>
      <c r="IU97" s="47">
        <v>0</v>
      </c>
      <c r="IV97" s="48" t="s">
        <v>4</v>
      </c>
      <c r="IW97" s="49">
        <v>2</v>
      </c>
      <c r="IX97" s="8"/>
      <c r="IY97" s="42" t="str">
        <f t="shared" si="500"/>
        <v/>
      </c>
      <c r="IZ97" s="43">
        <f t="shared" si="501"/>
        <v>-2</v>
      </c>
      <c r="JA97" s="8"/>
      <c r="JB97" s="47">
        <v>2</v>
      </c>
      <c r="JC97" s="48" t="s">
        <v>4</v>
      </c>
      <c r="JD97" s="49">
        <v>1</v>
      </c>
      <c r="JE97" s="8"/>
      <c r="JF97" s="42" t="str">
        <f t="shared" si="502"/>
        <v/>
      </c>
      <c r="JG97" s="43">
        <f t="shared" si="503"/>
        <v>1</v>
      </c>
      <c r="JH97" s="8"/>
      <c r="JI97" s="47">
        <v>3</v>
      </c>
      <c r="JJ97" s="48" t="s">
        <v>4</v>
      </c>
      <c r="JK97" s="49">
        <v>1</v>
      </c>
      <c r="JL97" s="8"/>
      <c r="JM97" s="42" t="str">
        <f t="shared" si="504"/>
        <v/>
      </c>
      <c r="JN97" s="43">
        <f t="shared" si="505"/>
        <v>2</v>
      </c>
      <c r="JO97" s="8"/>
      <c r="JP97" s="47">
        <v>1</v>
      </c>
      <c r="JQ97" s="48" t="s">
        <v>4</v>
      </c>
      <c r="JR97" s="49">
        <v>0</v>
      </c>
      <c r="JS97" s="8"/>
      <c r="JT97" s="42" t="str">
        <f t="shared" si="506"/>
        <v/>
      </c>
      <c r="JU97" s="43">
        <f t="shared" si="507"/>
        <v>1</v>
      </c>
      <c r="JV97" s="8"/>
      <c r="JW97" s="47">
        <v>3</v>
      </c>
      <c r="JX97" s="48" t="s">
        <v>4</v>
      </c>
      <c r="JY97" s="49">
        <v>1</v>
      </c>
      <c r="JZ97" s="8"/>
      <c r="KA97" s="42" t="str">
        <f t="shared" si="508"/>
        <v/>
      </c>
      <c r="KB97" s="43">
        <f t="shared" si="509"/>
        <v>2</v>
      </c>
      <c r="KC97" s="8"/>
      <c r="KD97" s="47">
        <v>2</v>
      </c>
      <c r="KE97" s="48" t="s">
        <v>4</v>
      </c>
      <c r="KF97" s="49">
        <v>0</v>
      </c>
      <c r="KG97" s="8"/>
      <c r="KH97" s="42" t="str">
        <f t="shared" si="510"/>
        <v/>
      </c>
      <c r="KI97" s="43">
        <f t="shared" si="511"/>
        <v>2</v>
      </c>
      <c r="KJ97" s="8"/>
      <c r="KK97" s="47">
        <v>1</v>
      </c>
      <c r="KL97" s="48" t="s">
        <v>4</v>
      </c>
      <c r="KM97" s="49">
        <v>0</v>
      </c>
      <c r="KN97" s="8"/>
      <c r="KO97" s="42" t="str">
        <f t="shared" si="512"/>
        <v/>
      </c>
      <c r="KP97" s="43">
        <f t="shared" si="513"/>
        <v>1</v>
      </c>
      <c r="KQ97" s="8"/>
      <c r="KR97" s="47">
        <v>1</v>
      </c>
      <c r="KS97" s="48" t="s">
        <v>4</v>
      </c>
      <c r="KT97" s="49">
        <v>0</v>
      </c>
      <c r="KU97" s="8"/>
      <c r="KV97" s="42" t="str">
        <f t="shared" si="514"/>
        <v/>
      </c>
      <c r="KW97" s="43">
        <f t="shared" si="515"/>
        <v>1</v>
      </c>
      <c r="KX97" s="8"/>
      <c r="KY97" s="47">
        <v>1</v>
      </c>
      <c r="KZ97" s="48" t="s">
        <v>4</v>
      </c>
      <c r="LA97" s="49">
        <v>2</v>
      </c>
      <c r="LB97" s="8"/>
      <c r="LC97" s="42" t="str">
        <f t="shared" si="516"/>
        <v/>
      </c>
      <c r="LD97" s="43">
        <f t="shared" si="517"/>
        <v>-1</v>
      </c>
      <c r="LE97" s="8"/>
      <c r="LF97" s="47">
        <v>1</v>
      </c>
      <c r="LG97" s="48" t="s">
        <v>4</v>
      </c>
      <c r="LH97" s="49">
        <v>0</v>
      </c>
      <c r="LI97" s="8"/>
      <c r="LJ97" s="42" t="str">
        <f t="shared" si="518"/>
        <v/>
      </c>
      <c r="LK97" s="43">
        <f t="shared" si="519"/>
        <v>1</v>
      </c>
      <c r="LL97" s="8"/>
      <c r="LM97" s="47">
        <v>3</v>
      </c>
      <c r="LN97" s="48" t="s">
        <v>4</v>
      </c>
      <c r="LO97" s="49">
        <v>4</v>
      </c>
      <c r="LP97" s="8"/>
      <c r="LQ97" s="42" t="str">
        <f t="shared" si="520"/>
        <v/>
      </c>
      <c r="LR97" s="43">
        <f t="shared" si="521"/>
        <v>-1</v>
      </c>
      <c r="LS97" s="8"/>
      <c r="LT97" s="47">
        <v>2</v>
      </c>
      <c r="LU97" s="48" t="s">
        <v>4</v>
      </c>
      <c r="LV97" s="49">
        <v>1</v>
      </c>
      <c r="LW97" s="8"/>
      <c r="LX97" s="42" t="str">
        <f t="shared" si="522"/>
        <v/>
      </c>
      <c r="LY97" s="43">
        <f t="shared" si="523"/>
        <v>1</v>
      </c>
      <c r="LZ97" s="8"/>
      <c r="MA97" s="47">
        <v>1</v>
      </c>
      <c r="MB97" s="48" t="s">
        <v>4</v>
      </c>
      <c r="MC97" s="49">
        <v>0</v>
      </c>
      <c r="MD97" s="8"/>
      <c r="ME97" s="42" t="str">
        <f t="shared" si="524"/>
        <v/>
      </c>
      <c r="MF97" s="43">
        <f t="shared" si="525"/>
        <v>1</v>
      </c>
      <c r="MG97" s="8"/>
      <c r="MH97" s="47">
        <v>4</v>
      </c>
      <c r="MI97" s="48" t="s">
        <v>4</v>
      </c>
      <c r="MJ97" s="49">
        <v>1</v>
      </c>
      <c r="MK97" s="8"/>
      <c r="ML97" s="42" t="str">
        <f t="shared" si="526"/>
        <v/>
      </c>
      <c r="MM97" s="43">
        <f t="shared" si="527"/>
        <v>3</v>
      </c>
      <c r="MN97" s="8"/>
      <c r="MO97" s="47">
        <v>1</v>
      </c>
      <c r="MP97" s="48" t="s">
        <v>4</v>
      </c>
      <c r="MQ97" s="49">
        <v>0</v>
      </c>
      <c r="MR97" s="8"/>
      <c r="MS97" s="42" t="str">
        <f t="shared" si="528"/>
        <v/>
      </c>
      <c r="MT97" s="43">
        <f t="shared" si="529"/>
        <v>1</v>
      </c>
      <c r="MU97" s="8"/>
      <c r="MV97" s="47">
        <v>3</v>
      </c>
      <c r="MW97" s="48" t="s">
        <v>4</v>
      </c>
      <c r="MX97" s="49">
        <v>1</v>
      </c>
      <c r="MY97" s="8"/>
      <c r="MZ97" s="42" t="str">
        <f t="shared" si="530"/>
        <v/>
      </c>
      <c r="NA97" s="43">
        <f t="shared" si="531"/>
        <v>2</v>
      </c>
      <c r="NB97" s="8"/>
      <c r="NC97" s="47">
        <v>0</v>
      </c>
      <c r="ND97" s="48" t="s">
        <v>4</v>
      </c>
      <c r="NE97" s="49">
        <v>1</v>
      </c>
      <c r="NF97" s="8"/>
      <c r="NG97" s="42" t="str">
        <f t="shared" si="532"/>
        <v/>
      </c>
      <c r="NH97" s="43">
        <f t="shared" si="533"/>
        <v>-1</v>
      </c>
      <c r="NI97" s="8"/>
      <c r="NJ97" s="47">
        <v>2</v>
      </c>
      <c r="NK97" s="48" t="s">
        <v>4</v>
      </c>
      <c r="NL97" s="49">
        <v>0</v>
      </c>
      <c r="NM97" s="8"/>
      <c r="NN97" s="42" t="str">
        <f t="shared" si="534"/>
        <v/>
      </c>
      <c r="NO97" s="43">
        <f t="shared" si="535"/>
        <v>2</v>
      </c>
      <c r="NP97" s="8"/>
      <c r="NQ97" s="47">
        <v>2</v>
      </c>
      <c r="NR97" s="48" t="s">
        <v>4</v>
      </c>
      <c r="NS97" s="49">
        <v>1</v>
      </c>
      <c r="NT97" s="8"/>
      <c r="NU97" s="42" t="str">
        <f t="shared" si="536"/>
        <v/>
      </c>
      <c r="NV97" s="43">
        <f t="shared" si="537"/>
        <v>1</v>
      </c>
      <c r="NW97" s="8"/>
      <c r="NX97" s="47">
        <v>2</v>
      </c>
      <c r="NY97" s="48" t="s">
        <v>4</v>
      </c>
      <c r="NZ97" s="49">
        <v>1</v>
      </c>
      <c r="OA97" s="8"/>
      <c r="OB97" s="42" t="str">
        <f t="shared" si="538"/>
        <v/>
      </c>
      <c r="OC97" s="43">
        <f t="shared" si="539"/>
        <v>1</v>
      </c>
      <c r="OD97" s="8"/>
      <c r="OE97" s="47">
        <v>3</v>
      </c>
      <c r="OF97" s="48" t="s">
        <v>4</v>
      </c>
      <c r="OG97" s="49">
        <v>0</v>
      </c>
      <c r="OH97" s="8"/>
      <c r="OI97" s="42" t="str">
        <f t="shared" si="540"/>
        <v/>
      </c>
      <c r="OJ97" s="43">
        <f t="shared" si="541"/>
        <v>3</v>
      </c>
      <c r="OK97" s="8"/>
      <c r="OL97" s="47"/>
      <c r="OM97" s="48" t="s">
        <v>4</v>
      </c>
      <c r="ON97" s="49"/>
      <c r="OO97" s="8"/>
      <c r="OP97" s="42" t="str">
        <f t="shared" si="542"/>
        <v/>
      </c>
      <c r="OQ97" s="43">
        <f t="shared" si="543"/>
        <v>0</v>
      </c>
      <c r="OR97" s="8"/>
      <c r="OS97" s="47">
        <v>2</v>
      </c>
      <c r="OT97" s="48" t="s">
        <v>4</v>
      </c>
      <c r="OU97" s="49">
        <v>0</v>
      </c>
      <c r="OV97" s="8"/>
      <c r="OW97" s="42" t="str">
        <f t="shared" si="544"/>
        <v/>
      </c>
      <c r="OX97" s="43">
        <f t="shared" si="545"/>
        <v>2</v>
      </c>
      <c r="OY97" s="8"/>
      <c r="OZ97" s="47"/>
      <c r="PA97" s="48" t="s">
        <v>4</v>
      </c>
      <c r="PB97" s="49"/>
      <c r="PC97" s="8"/>
      <c r="PD97" s="42" t="str">
        <f t="shared" si="546"/>
        <v/>
      </c>
      <c r="PE97" s="43">
        <f t="shared" si="547"/>
        <v>0</v>
      </c>
      <c r="PF97" s="8"/>
      <c r="PG97" s="47">
        <v>1</v>
      </c>
      <c r="PH97" s="48" t="s">
        <v>4</v>
      </c>
      <c r="PI97" s="49">
        <v>0</v>
      </c>
      <c r="PJ97" s="8"/>
      <c r="PK97" s="42" t="str">
        <f t="shared" si="548"/>
        <v/>
      </c>
      <c r="PL97" s="43">
        <f t="shared" si="549"/>
        <v>1</v>
      </c>
      <c r="PM97" s="8"/>
      <c r="PN97" s="47">
        <v>2</v>
      </c>
      <c r="PO97" s="48" t="s">
        <v>4</v>
      </c>
      <c r="PP97" s="49">
        <v>0</v>
      </c>
      <c r="PQ97" s="8"/>
      <c r="PR97" s="42" t="str">
        <f t="shared" si="550"/>
        <v/>
      </c>
      <c r="PS97" s="43">
        <f t="shared" si="551"/>
        <v>2</v>
      </c>
      <c r="PT97" s="8"/>
      <c r="PU97" s="47">
        <v>3</v>
      </c>
      <c r="PV97" s="48" t="s">
        <v>4</v>
      </c>
      <c r="PW97" s="49">
        <v>0</v>
      </c>
      <c r="PX97" s="8"/>
      <c r="PY97" s="42" t="str">
        <f t="shared" si="552"/>
        <v/>
      </c>
      <c r="PZ97" s="43">
        <f t="shared" si="553"/>
        <v>3</v>
      </c>
      <c r="QA97" s="8"/>
      <c r="QB97" s="47">
        <v>2</v>
      </c>
      <c r="QC97" s="48" t="s">
        <v>4</v>
      </c>
      <c r="QD97" s="49">
        <v>1</v>
      </c>
      <c r="QE97" s="8"/>
      <c r="QF97" s="42" t="str">
        <f t="shared" si="554"/>
        <v/>
      </c>
      <c r="QG97" s="43">
        <f t="shared" si="555"/>
        <v>1</v>
      </c>
      <c r="QH97" s="8"/>
      <c r="QI97" s="47">
        <v>1</v>
      </c>
      <c r="QJ97" s="48" t="s">
        <v>4</v>
      </c>
      <c r="QK97" s="49">
        <v>0</v>
      </c>
      <c r="QL97" s="8"/>
      <c r="QM97" s="42" t="str">
        <f t="shared" si="556"/>
        <v/>
      </c>
      <c r="QN97" s="43">
        <f t="shared" si="557"/>
        <v>1</v>
      </c>
      <c r="QO97" s="8"/>
      <c r="QP97" s="47">
        <v>1</v>
      </c>
      <c r="QQ97" s="48" t="s">
        <v>4</v>
      </c>
      <c r="QR97" s="49">
        <v>2</v>
      </c>
      <c r="QS97" s="8"/>
      <c r="QT97" s="42" t="str">
        <f t="shared" si="558"/>
        <v/>
      </c>
      <c r="QU97" s="43">
        <f t="shared" si="559"/>
        <v>-1</v>
      </c>
      <c r="QV97" s="8"/>
      <c r="QW97" s="47">
        <v>2</v>
      </c>
      <c r="QX97" s="48" t="s">
        <v>4</v>
      </c>
      <c r="QY97" s="49">
        <v>0</v>
      </c>
      <c r="QZ97" s="8"/>
      <c r="RA97" s="42" t="str">
        <f t="shared" si="560"/>
        <v/>
      </c>
      <c r="RB97" s="43">
        <f t="shared" si="561"/>
        <v>2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/>
      <c r="RL97" s="48" t="s">
        <v>4</v>
      </c>
      <c r="RM97" s="49"/>
      <c r="RN97" s="8"/>
      <c r="RO97" s="42" t="str">
        <f t="shared" si="564"/>
        <v/>
      </c>
      <c r="RP97" s="43">
        <f t="shared" si="565"/>
        <v>0</v>
      </c>
      <c r="RQ97" s="8"/>
      <c r="RR97" s="47"/>
      <c r="RS97" s="48" t="s">
        <v>4</v>
      </c>
      <c r="RT97" s="49"/>
      <c r="RU97" s="8"/>
      <c r="RV97" s="42" t="str">
        <f t="shared" si="566"/>
        <v/>
      </c>
      <c r="RW97" s="43">
        <f t="shared" si="567"/>
        <v>0</v>
      </c>
      <c r="RX97" s="8"/>
      <c r="RY97" s="47"/>
      <c r="RZ97" s="48" t="s">
        <v>4</v>
      </c>
      <c r="SA97" s="49"/>
      <c r="SB97" s="8"/>
      <c r="SC97" s="42" t="str">
        <f t="shared" si="568"/>
        <v/>
      </c>
      <c r="SD97" s="43">
        <f t="shared" si="569"/>
        <v>0</v>
      </c>
      <c r="SE97" s="8"/>
      <c r="SF97" s="47"/>
      <c r="SG97" s="48" t="s">
        <v>4</v>
      </c>
      <c r="SH97" s="49"/>
      <c r="SI97" s="8"/>
      <c r="SJ97" s="42" t="str">
        <f t="shared" si="570"/>
        <v/>
      </c>
      <c r="SK97" s="43">
        <f t="shared" si="571"/>
        <v>0</v>
      </c>
      <c r="SL97" s="8"/>
      <c r="SM97" s="47"/>
      <c r="SN97" s="48" t="s">
        <v>4</v>
      </c>
      <c r="SO97" s="49"/>
      <c r="SP97" s="8"/>
      <c r="SQ97" s="42" t="str">
        <f t="shared" si="572"/>
        <v/>
      </c>
      <c r="SR97" s="43">
        <f t="shared" si="573"/>
        <v>0</v>
      </c>
    </row>
    <row r="98" spans="1:512" ht="16" customHeight="1" x14ac:dyDescent="0.15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 x14ac:dyDescent="0.15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 x14ac:dyDescent="0.15">
      <c r="A100" s="51">
        <v>46207</v>
      </c>
      <c r="B100" s="46">
        <v>0.79166666666666663</v>
      </c>
      <c r="C100" s="82"/>
      <c r="D100" s="82"/>
      <c r="E100" s="2"/>
      <c r="F100" s="50" t="s">
        <v>4</v>
      </c>
      <c r="G100" s="1"/>
      <c r="H100" s="16">
        <v>7.2</v>
      </c>
      <c r="I100" s="32">
        <f t="shared" si="429"/>
        <v>0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/>
      <c r="AF100" s="48" t="s">
        <v>4</v>
      </c>
      <c r="AG100" s="49"/>
      <c r="AH100" s="8"/>
      <c r="AI100" s="42" t="str">
        <f t="shared" ref="AI100:AI107" si="578">IF(OR($G100="",AG100=""),"",IF(AND($E100=AE100,$G100=AG100),$H100*1.5,IF(AND($I100&gt;0,AJ100&gt;0),$H100,IF(AND($I100&lt;0,AJ100&lt;0),$H100,IF(AND($I100=0,AJ100=0),$H100,0)))))</f>
        <v/>
      </c>
      <c r="AJ100" s="43">
        <f t="shared" ref="AJ100:AJ105" si="579">AE100-AG100</f>
        <v>0</v>
      </c>
      <c r="AK100" s="8"/>
      <c r="AL100" s="47"/>
      <c r="AM100" s="48" t="s">
        <v>4</v>
      </c>
      <c r="AN100" s="49"/>
      <c r="AO100" s="8"/>
      <c r="AP100" s="42" t="str">
        <f t="shared" ref="AP100:AP107" si="580">IF(OR($G100="",AN100=""),"",IF(AND($E100=AL100,$G100=AN100),$H100*1.5,IF(AND($I100&gt;0,AQ100&gt;0),$H100,IF(AND($I100&lt;0,AQ100&lt;0),$H100,IF(AND($I100=0,AQ100=0),$H100,0)))))</f>
        <v/>
      </c>
      <c r="AQ100" s="43">
        <f t="shared" ref="AQ100:AQ105" si="581">AL100-AN100</f>
        <v>0</v>
      </c>
      <c r="AR100" s="8"/>
      <c r="AS100" s="47"/>
      <c r="AT100" s="48" t="s">
        <v>4</v>
      </c>
      <c r="AU100" s="49"/>
      <c r="AV100" s="8"/>
      <c r="AW100" s="42" t="str">
        <f t="shared" ref="AW100:AW107" si="582">IF(OR($G100="",AU100=""),"",IF(AND($E100=AS100,$G100=AU100),$H100*1.5,IF(AND($I100&gt;0,AX100&gt;0),$H100,IF(AND($I100&lt;0,AX100&lt;0),$H100,IF(AND($I100=0,AX100=0),$H100,0)))))</f>
        <v/>
      </c>
      <c r="AX100" s="43">
        <f t="shared" ref="AX100:AX105" si="583">AS100-AU100</f>
        <v>0</v>
      </c>
      <c r="AY100" s="8"/>
      <c r="AZ100" s="47"/>
      <c r="BA100" s="48" t="s">
        <v>4</v>
      </c>
      <c r="BB100" s="49"/>
      <c r="BC100" s="8"/>
      <c r="BD100" s="42" t="str">
        <f t="shared" ref="BD100:BD107" si="584">IF(OR($G100="",BB100=""),"",IF(AND($E100=AZ100,$G100=BB100),$H100*1.5,IF(AND($I100&gt;0,BE100&gt;0),$H100,IF(AND($I100&lt;0,BE100&lt;0),$H100,IF(AND($I100=0,BE100=0),$H100,0)))))</f>
        <v/>
      </c>
      <c r="BE100" s="43">
        <f t="shared" ref="BE100:BE105" si="585">AZ100-BB100</f>
        <v>0</v>
      </c>
      <c r="BF100" s="8"/>
      <c r="BG100" s="47"/>
      <c r="BH100" s="48" t="s">
        <v>4</v>
      </c>
      <c r="BI100" s="49"/>
      <c r="BJ100" s="8"/>
      <c r="BK100" s="42" t="str">
        <f t="shared" ref="BK100:BK107" si="586">IF(OR($G100="",BI100=""),"",IF(AND($E100=BG100,$G100=BI100),$H100*1.5,IF(AND($I100&gt;0,BL100&gt;0),$H100,IF(AND($I100&lt;0,BL100&lt;0),$H100,IF(AND($I100=0,BL100=0),$H100,0)))))</f>
        <v/>
      </c>
      <c r="BL100" s="43">
        <f t="shared" ref="BL100:BL105" si="587">BG100-BI100</f>
        <v>0</v>
      </c>
      <c r="BM100" s="8"/>
      <c r="BN100" s="47"/>
      <c r="BO100" s="48" t="s">
        <v>4</v>
      </c>
      <c r="BP100" s="49"/>
      <c r="BQ100" s="8"/>
      <c r="BR100" s="42" t="str">
        <f t="shared" ref="BR100:BR107" si="588">IF(OR($G100="",BP100=""),"",IF(AND($E100=BN100,$G100=BP100),$H100*1.5,IF(AND($I100&gt;0,BS100&gt;0),$H100,IF(AND($I100&lt;0,BS100&lt;0),$H100,IF(AND($I100=0,BS100=0),$H100,0)))))</f>
        <v/>
      </c>
      <c r="BS100" s="43">
        <f t="shared" ref="BS100:BS105" si="589">BN100-BP100</f>
        <v>0</v>
      </c>
      <c r="BT100" s="8"/>
      <c r="BU100" s="47"/>
      <c r="BV100" s="48" t="s">
        <v>4</v>
      </c>
      <c r="BW100" s="49"/>
      <c r="BX100" s="8"/>
      <c r="BY100" s="42" t="str">
        <f t="shared" ref="BY100:BY107" si="590">IF(OR($G100="",BW100=""),"",IF(AND($E100=BU100,$G100=BW100),$H100*1.5,IF(AND($I100&gt;0,BZ100&gt;0),$H100,IF(AND($I100&lt;0,BZ100&lt;0),$H100,IF(AND($I100=0,BZ100=0),$H100,0)))))</f>
        <v/>
      </c>
      <c r="BZ100" s="43">
        <f t="shared" ref="BZ100:BZ105" si="591">BU100-BW100</f>
        <v>0</v>
      </c>
      <c r="CA100" s="8"/>
      <c r="CB100" s="47"/>
      <c r="CC100" s="48" t="s">
        <v>4</v>
      </c>
      <c r="CD100" s="49"/>
      <c r="CE100" s="8"/>
      <c r="CF100" s="42" t="str">
        <f t="shared" ref="CF100:CF107" si="592">IF(OR($G100="",CD100=""),"",IF(AND($E100=CB100,$G100=CD100),$H100*1.5,IF(AND($I100&gt;0,CG100&gt;0),$H100,IF(AND($I100&lt;0,CG100&lt;0),$H100,IF(AND($I100=0,CG100=0),$H100,0)))))</f>
        <v/>
      </c>
      <c r="CG100" s="43">
        <f t="shared" ref="CG100:CG105" si="593">CB100-CD100</f>
        <v>0</v>
      </c>
      <c r="CH100" s="8"/>
      <c r="CI100" s="47"/>
      <c r="CJ100" s="48" t="s">
        <v>4</v>
      </c>
      <c r="CK100" s="49"/>
      <c r="CL100" s="8"/>
      <c r="CM100" s="42" t="str">
        <f t="shared" ref="CM100:CM107" si="594">IF(OR($G100="",CK100=""),"",IF(AND($E100=CI100,$G100=CK100),$H100*1.5,IF(AND($I100&gt;0,CN100&gt;0),$H100,IF(AND($I100&lt;0,CN100&lt;0),$H100,IF(AND($I100=0,CN100=0),$H100,0)))))</f>
        <v/>
      </c>
      <c r="CN100" s="43">
        <f t="shared" ref="CN100:CN105" si="595">CI100-CK100</f>
        <v>0</v>
      </c>
      <c r="CO100" s="8"/>
      <c r="CP100" s="47"/>
      <c r="CQ100" s="48" t="s">
        <v>4</v>
      </c>
      <c r="CR100" s="49"/>
      <c r="CS100" s="8"/>
      <c r="CT100" s="42" t="str">
        <f t="shared" ref="CT100:CT107" si="596">IF(OR($G100="",CR100=""),"",IF(AND($E100=CP100,$G100=CR100),$H100*1.5,IF(AND($I100&gt;0,CU100&gt;0),$H100,IF(AND($I100&lt;0,CU100&lt;0),$H100,IF(AND($I100=0,CU100=0),$H100,0)))))</f>
        <v/>
      </c>
      <c r="CU100" s="43">
        <f t="shared" ref="CU100:CU105" si="597">CP100-CR100</f>
        <v>0</v>
      </c>
      <c r="CV100" s="8"/>
      <c r="CW100" s="47"/>
      <c r="CX100" s="48" t="s">
        <v>4</v>
      </c>
      <c r="CY100" s="49"/>
      <c r="CZ100" s="8"/>
      <c r="DA100" s="42" t="str">
        <f t="shared" ref="DA100:DA107" si="598">IF(OR($G100="",CY100=""),"",IF(AND($E100=CW100,$G100=CY100),$H100*1.5,IF(AND($I100&gt;0,DB100&gt;0),$H100,IF(AND($I100&lt;0,DB100&lt;0),$H100,IF(AND($I100=0,DB100=0),$H100,0)))))</f>
        <v/>
      </c>
      <c r="DB100" s="43">
        <f t="shared" ref="DB100:DB105" si="599">CW100-CY100</f>
        <v>0</v>
      </c>
      <c r="DC100" s="8"/>
      <c r="DD100" s="47"/>
      <c r="DE100" s="48" t="s">
        <v>4</v>
      </c>
      <c r="DF100" s="49"/>
      <c r="DG100" s="8"/>
      <c r="DH100" s="42" t="str">
        <f t="shared" ref="DH100:DH107" si="600">IF(OR($G100="",DF100=""),"",IF(AND($E100=DD100,$G100=DF100),$H100*1.5,IF(AND($I100&gt;0,DI100&gt;0),$H100,IF(AND($I100&lt;0,DI100&lt;0),$H100,IF(AND($I100=0,DI100=0),$H100,0)))))</f>
        <v/>
      </c>
      <c r="DI100" s="43">
        <f t="shared" ref="DI100:DI105" si="601">DD100-DF100</f>
        <v>0</v>
      </c>
      <c r="DJ100" s="8"/>
      <c r="DK100" s="47"/>
      <c r="DL100" s="48" t="s">
        <v>4</v>
      </c>
      <c r="DM100" s="49"/>
      <c r="DN100" s="8"/>
      <c r="DO100" s="42" t="str">
        <f t="shared" ref="DO100:DO107" si="602">IF(OR($G100="",DM100=""),"",IF(AND($E100=DK100,$G100=DM100),$H100*1.5,IF(AND($I100&gt;0,DP100&gt;0),$H100,IF(AND($I100&lt;0,DP100&lt;0),$H100,IF(AND($I100=0,DP100=0),$H100,0)))))</f>
        <v/>
      </c>
      <c r="DP100" s="43">
        <f t="shared" ref="DP100:DP105" si="603">DK100-DM100</f>
        <v>0</v>
      </c>
      <c r="DQ100" s="8"/>
      <c r="DR100" s="47"/>
      <c r="DS100" s="48" t="s">
        <v>4</v>
      </c>
      <c r="DT100" s="49"/>
      <c r="DU100" s="8"/>
      <c r="DV100" s="42" t="str">
        <f t="shared" ref="DV100:DV107" si="604">IF(OR($G100="",DT100=""),"",IF(AND($E100=DR100,$G100=DT100),$H100*1.5,IF(AND($I100&gt;0,DW100&gt;0),$H100,IF(AND($I100&lt;0,DW100&lt;0),$H100,IF(AND($I100=0,DW100=0),$H100,0)))))</f>
        <v/>
      </c>
      <c r="DW100" s="43">
        <f t="shared" ref="DW100:DW105" si="605">DR100-DT100</f>
        <v>0</v>
      </c>
      <c r="DX100" s="8"/>
      <c r="DY100" s="47"/>
      <c r="DZ100" s="48" t="s">
        <v>4</v>
      </c>
      <c r="EA100" s="49"/>
      <c r="EB100" s="8"/>
      <c r="EC100" s="42" t="str">
        <f t="shared" ref="EC100:EC107" si="606">IF(OR($G100="",EA100=""),"",IF(AND($E100=DY100,$G100=EA100),$H100*1.5,IF(AND($I100&gt;0,ED100&gt;0),$H100,IF(AND($I100&lt;0,ED100&lt;0),$H100,IF(AND($I100=0,ED100=0),$H100,0)))))</f>
        <v/>
      </c>
      <c r="ED100" s="43">
        <f t="shared" ref="ED100:ED105" si="607">DY100-EA100</f>
        <v>0</v>
      </c>
      <c r="EE100" s="8"/>
      <c r="EF100" s="47"/>
      <c r="EG100" s="48" t="s">
        <v>4</v>
      </c>
      <c r="EH100" s="49"/>
      <c r="EI100" s="8"/>
      <c r="EJ100" s="42" t="str">
        <f t="shared" ref="EJ100:EJ107" si="608">IF(OR($G100="",EH100=""),"",IF(AND($E100=EF100,$G100=EH100),$H100*1.5,IF(AND($I100&gt;0,EK100&gt;0),$H100,IF(AND($I100&lt;0,EK100&lt;0),$H100,IF(AND($I100=0,EK100=0),$H100,0)))))</f>
        <v/>
      </c>
      <c r="EK100" s="43">
        <f t="shared" ref="EK100:EK105" si="609">EF100-EH100</f>
        <v>0</v>
      </c>
      <c r="EL100" s="8"/>
      <c r="EM100" s="47"/>
      <c r="EN100" s="48" t="s">
        <v>4</v>
      </c>
      <c r="EO100" s="49"/>
      <c r="EP100" s="8"/>
      <c r="EQ100" s="42" t="str">
        <f t="shared" ref="EQ100:EQ107" si="610">IF(OR($G100="",EO100=""),"",IF(AND($E100=EM100,$G100=EO100),$H100*1.5,IF(AND($I100&gt;0,ER100&gt;0),$H100,IF(AND($I100&lt;0,ER100&lt;0),$H100,IF(AND($I100=0,ER100=0),$H100,0)))))</f>
        <v/>
      </c>
      <c r="ER100" s="43">
        <f t="shared" ref="ER100:ER105" si="611">EM100-EO100</f>
        <v>0</v>
      </c>
      <c r="ES100" s="8"/>
      <c r="ET100" s="47"/>
      <c r="EU100" s="48" t="s">
        <v>4</v>
      </c>
      <c r="EV100" s="49"/>
      <c r="EW100" s="8"/>
      <c r="EX100" s="42" t="str">
        <f t="shared" ref="EX100:EX107" si="612">IF(OR($G100="",EV100=""),"",IF(AND($E100=ET100,$G100=EV100),$H100*1.5,IF(AND($I100&gt;0,EY100&gt;0),$H100,IF(AND($I100&lt;0,EY100&lt;0),$H100,IF(AND($I100=0,EY100=0),$H100,0)))))</f>
        <v/>
      </c>
      <c r="EY100" s="43">
        <f t="shared" ref="EY100:EY105" si="613">ET100-EV100</f>
        <v>0</v>
      </c>
      <c r="EZ100" s="8"/>
      <c r="FA100" s="47"/>
      <c r="FB100" s="48" t="s">
        <v>4</v>
      </c>
      <c r="FC100" s="49"/>
      <c r="FD100" s="8"/>
      <c r="FE100" s="42" t="str">
        <f t="shared" ref="FE100:FE107" si="614">IF(OR($G100="",FC100=""),"",IF(AND($E100=FA100,$G100=FC100),$H100*1.5,IF(AND($I100&gt;0,FF100&gt;0),$H100,IF(AND($I100&lt;0,FF100&lt;0),$H100,IF(AND($I100=0,FF100=0),$H100,0)))))</f>
        <v/>
      </c>
      <c r="FF100" s="43">
        <f t="shared" ref="FF100:FF105" si="615">FA100-FC100</f>
        <v>0</v>
      </c>
      <c r="FG100" s="8"/>
      <c r="FH100" s="47"/>
      <c r="FI100" s="48" t="s">
        <v>4</v>
      </c>
      <c r="FJ100" s="49"/>
      <c r="FK100" s="8"/>
      <c r="FL100" s="42" t="str">
        <f t="shared" ref="FL100:FL107" si="616">IF(OR($G100="",FJ100=""),"",IF(AND($E100=FH100,$G100=FJ100),$H100*1.5,IF(AND($I100&gt;0,FM100&gt;0),$H100,IF(AND($I100&lt;0,FM100&lt;0),$H100,IF(AND($I100=0,FM100=0),$H100,0)))))</f>
        <v/>
      </c>
      <c r="FM100" s="43">
        <f t="shared" ref="FM100:FM105" si="617">FH100-FJ100</f>
        <v>0</v>
      </c>
      <c r="FN100" s="8"/>
      <c r="FO100" s="47"/>
      <c r="FP100" s="48" t="s">
        <v>4</v>
      </c>
      <c r="FQ100" s="49"/>
      <c r="FR100" s="8"/>
      <c r="FS100" s="42" t="str">
        <f t="shared" ref="FS100:FS107" si="618">IF(OR($G100="",FQ100=""),"",IF(AND($E100=FO100,$G100=FQ100),$H100*1.5,IF(AND($I100&gt;0,FT100&gt;0),$H100,IF(AND($I100&lt;0,FT100&lt;0),$H100,IF(AND($I100=0,FT100=0),$H100,0)))))</f>
        <v/>
      </c>
      <c r="FT100" s="43">
        <f t="shared" ref="FT100:FT105" si="619">FO100-FQ100</f>
        <v>0</v>
      </c>
      <c r="FU100" s="8"/>
      <c r="FV100" s="47"/>
      <c r="FW100" s="48" t="s">
        <v>4</v>
      </c>
      <c r="FX100" s="49"/>
      <c r="FY100" s="8"/>
      <c r="FZ100" s="42" t="str">
        <f t="shared" ref="FZ100:FZ107" si="620">IF(OR($G100="",FX100=""),"",IF(AND($E100=FV100,$G100=FX100),$H100*1.5,IF(AND($I100&gt;0,GA100&gt;0),$H100,IF(AND($I100&lt;0,GA100&lt;0),$H100,IF(AND($I100=0,GA100=0),$H100,0)))))</f>
        <v/>
      </c>
      <c r="GA100" s="43">
        <f t="shared" ref="GA100:GA105" si="621">FV100-FX100</f>
        <v>0</v>
      </c>
      <c r="GB100" s="8"/>
      <c r="GC100" s="47"/>
      <c r="GD100" s="48" t="s">
        <v>4</v>
      </c>
      <c r="GE100" s="49"/>
      <c r="GF100" s="8"/>
      <c r="GG100" s="42" t="str">
        <f t="shared" ref="GG100:GG107" si="622">IF(OR($G100="",GE100=""),"",IF(AND($E100=GC100,$G100=GE100),$H100*1.5,IF(AND($I100&gt;0,GH100&gt;0),$H100,IF(AND($I100&lt;0,GH100&lt;0),$H100,IF(AND($I100=0,GH100=0),$H100,0)))))</f>
        <v/>
      </c>
      <c r="GH100" s="43">
        <f t="shared" ref="GH100:GH105" si="623">GC100-GE100</f>
        <v>0</v>
      </c>
      <c r="GI100" s="8"/>
      <c r="GJ100" s="47"/>
      <c r="GK100" s="48" t="s">
        <v>4</v>
      </c>
      <c r="GL100" s="49"/>
      <c r="GM100" s="8"/>
      <c r="GN100" s="42" t="str">
        <f t="shared" ref="GN100:GN107" si="624">IF(OR($G100="",GL100=""),"",IF(AND($E100=GJ100,$G100=GL100),$H100*1.5,IF(AND($I100&gt;0,GO100&gt;0),$H100,IF(AND($I100&lt;0,GO100&lt;0),$H100,IF(AND($I100=0,GO100=0),$H100,0)))))</f>
        <v/>
      </c>
      <c r="GO100" s="43">
        <f t="shared" ref="GO100:GO105" si="625">GJ100-GL100</f>
        <v>0</v>
      </c>
      <c r="GP100" s="8"/>
      <c r="GQ100" s="47"/>
      <c r="GR100" s="48" t="s">
        <v>4</v>
      </c>
      <c r="GS100" s="49"/>
      <c r="GT100" s="8"/>
      <c r="GU100" s="42" t="str">
        <f t="shared" ref="GU100:GU107" si="626">IF(OR($G100="",GS100=""),"",IF(AND($E100=GQ100,$G100=GS100),$H100*1.5,IF(AND($I100&gt;0,GV100&gt;0),$H100,IF(AND($I100&lt;0,GV100&lt;0),$H100,IF(AND($I100=0,GV100=0),$H100,0)))))</f>
        <v/>
      </c>
      <c r="GV100" s="43">
        <f t="shared" ref="GV100:GV105" si="627">GQ100-GS100</f>
        <v>0</v>
      </c>
      <c r="GW100" s="8"/>
      <c r="GX100" s="47"/>
      <c r="GY100" s="48" t="s">
        <v>4</v>
      </c>
      <c r="GZ100" s="49"/>
      <c r="HA100" s="8"/>
      <c r="HB100" s="42" t="str">
        <f t="shared" ref="HB100:HB107" si="628">IF(OR($G100="",GZ100=""),"",IF(AND($E100=GX100,$G100=GZ100),$H100*1.5,IF(AND($I100&gt;0,HC100&gt;0),$H100,IF(AND($I100&lt;0,HC100&lt;0),$H100,IF(AND($I100=0,HC100=0),$H100,0)))))</f>
        <v/>
      </c>
      <c r="HC100" s="43">
        <f t="shared" ref="HC100:HC105" si="629">GX100-GZ100</f>
        <v>0</v>
      </c>
      <c r="HD100" s="8"/>
      <c r="HE100" s="47"/>
      <c r="HF100" s="48" t="s">
        <v>4</v>
      </c>
      <c r="HG100" s="49"/>
      <c r="HH100" s="8"/>
      <c r="HI100" s="42" t="str">
        <f t="shared" ref="HI100:HI107" si="630">IF(OR($G100="",HG100=""),"",IF(AND($E100=HE100,$G100=HG100),$H100*1.5,IF(AND($I100&gt;0,HJ100&gt;0),$H100,IF(AND($I100&lt;0,HJ100&lt;0),$H100,IF(AND($I100=0,HJ100=0),$H100,0)))))</f>
        <v/>
      </c>
      <c r="HJ100" s="43">
        <f t="shared" ref="HJ100:HJ105" si="631">HE100-HG100</f>
        <v>0</v>
      </c>
      <c r="HK100" s="8"/>
      <c r="HL100" s="47"/>
      <c r="HM100" s="48" t="s">
        <v>4</v>
      </c>
      <c r="HN100" s="49"/>
      <c r="HO100" s="8"/>
      <c r="HP100" s="42" t="str">
        <f t="shared" ref="HP100:HP107" si="632">IF(OR($G100="",HN100=""),"",IF(AND($E100=HL100,$G100=HN100),$H100*1.5,IF(AND($I100&gt;0,HQ100&gt;0),$H100,IF(AND($I100&lt;0,HQ100&lt;0),$H100,IF(AND($I100=0,HQ100=0),$H100,0)))))</f>
        <v/>
      </c>
      <c r="HQ100" s="43">
        <f t="shared" ref="HQ100:HQ105" si="633">HL100-HN100</f>
        <v>0</v>
      </c>
      <c r="HR100" s="8"/>
      <c r="HS100" s="47"/>
      <c r="HT100" s="48" t="s">
        <v>4</v>
      </c>
      <c r="HU100" s="49"/>
      <c r="HV100" s="8"/>
      <c r="HW100" s="42" t="str">
        <f t="shared" ref="HW100:HW107" si="634">IF(OR($G100="",HU100=""),"",IF(AND($E100=HS100,$G100=HU100),$H100*1.5,IF(AND($I100&gt;0,HX100&gt;0),$H100,IF(AND($I100&lt;0,HX100&lt;0),$H100,IF(AND($I100=0,HX100=0),$H100,0)))))</f>
        <v/>
      </c>
      <c r="HX100" s="43">
        <f t="shared" ref="HX100:HX105" si="635">HS100-HU100</f>
        <v>0</v>
      </c>
      <c r="HY100" s="8"/>
      <c r="HZ100" s="47"/>
      <c r="IA100" s="48" t="s">
        <v>4</v>
      </c>
      <c r="IB100" s="49"/>
      <c r="IC100" s="8"/>
      <c r="ID100" s="42" t="str">
        <f t="shared" ref="ID100:ID107" si="636">IF(OR($G100="",IB100=""),"",IF(AND($E100=HZ100,$G100=IB100),$H100*1.5,IF(AND($I100&gt;0,IE100&gt;0),$H100,IF(AND($I100&lt;0,IE100&lt;0),$H100,IF(AND($I100=0,IE100=0),$H100,0)))))</f>
        <v/>
      </c>
      <c r="IE100" s="43">
        <f t="shared" ref="IE100:IE105" si="637">HZ100-IB100</f>
        <v>0</v>
      </c>
      <c r="IF100" s="8"/>
      <c r="IG100" s="47"/>
      <c r="IH100" s="48" t="s">
        <v>4</v>
      </c>
      <c r="II100" s="49"/>
      <c r="IJ100" s="8"/>
      <c r="IK100" s="42" t="str">
        <f t="shared" ref="IK100:IK107" si="638">IF(OR($G100="",II100=""),"",IF(AND($E100=IG100,$G100=II100),$H100*1.5,IF(AND($I100&gt;0,IL100&gt;0),$H100,IF(AND($I100&lt;0,IL100&lt;0),$H100,IF(AND($I100=0,IL100=0),$H100,0)))))</f>
        <v/>
      </c>
      <c r="IL100" s="43">
        <f t="shared" ref="IL100:IL105" si="639">IG100-II100</f>
        <v>0</v>
      </c>
      <c r="IM100" s="8"/>
      <c r="IN100" s="47"/>
      <c r="IO100" s="48" t="s">
        <v>4</v>
      </c>
      <c r="IP100" s="49"/>
      <c r="IQ100" s="8"/>
      <c r="IR100" s="42" t="str">
        <f t="shared" ref="IR100:IR107" si="640">IF(OR($G100="",IP100=""),"",IF(AND($E100=IN100,$G100=IP100),$H100*1.5,IF(AND($I100&gt;0,IS100&gt;0),$H100,IF(AND($I100&lt;0,IS100&lt;0),$H100,IF(AND($I100=0,IS100=0),$H100,0)))))</f>
        <v/>
      </c>
      <c r="IS100" s="43">
        <f t="shared" ref="IS100:IS105" si="641">IN100-IP100</f>
        <v>0</v>
      </c>
      <c r="IT100" s="8"/>
      <c r="IU100" s="47"/>
      <c r="IV100" s="48" t="s">
        <v>4</v>
      </c>
      <c r="IW100" s="49"/>
      <c r="IX100" s="8"/>
      <c r="IY100" s="42" t="str">
        <f t="shared" ref="IY100:IY107" si="642">IF(OR($G100="",IW100=""),"",IF(AND($E100=IU100,$G100=IW100),$H100*1.5,IF(AND($I100&gt;0,IZ100&gt;0),$H100,IF(AND($I100&lt;0,IZ100&lt;0),$H100,IF(AND($I100=0,IZ100=0),$H100,0)))))</f>
        <v/>
      </c>
      <c r="IZ100" s="43">
        <f t="shared" ref="IZ100:IZ105" si="643">IU100-IW100</f>
        <v>0</v>
      </c>
      <c r="JA100" s="8"/>
      <c r="JB100" s="47"/>
      <c r="JC100" s="48" t="s">
        <v>4</v>
      </c>
      <c r="JD100" s="49"/>
      <c r="JE100" s="8"/>
      <c r="JF100" s="42" t="str">
        <f t="shared" ref="JF100:JF107" si="644">IF(OR($G100="",JD100=""),"",IF(AND($E100=JB100,$G100=JD100),$H100*1.5,IF(AND($I100&gt;0,JG100&gt;0),$H100,IF(AND($I100&lt;0,JG100&lt;0),$H100,IF(AND($I100=0,JG100=0),$H100,0)))))</f>
        <v/>
      </c>
      <c r="JG100" s="43">
        <f t="shared" ref="JG100:JG105" si="645">JB100-JD100</f>
        <v>0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/>
      <c r="JQ100" s="48" t="s">
        <v>4</v>
      </c>
      <c r="JR100" s="49"/>
      <c r="JS100" s="8"/>
      <c r="JT100" s="42" t="str">
        <f t="shared" ref="JT100:JT107" si="648">IF(OR($G100="",JR100=""),"",IF(AND($E100=JP100,$G100=JR100),$H100*1.5,IF(AND($I100&gt;0,JU100&gt;0),$H100,IF(AND($I100&lt;0,JU100&lt;0),$H100,IF(AND($I100=0,JU100=0),$H100,0)))))</f>
        <v/>
      </c>
      <c r="JU100" s="43">
        <f t="shared" ref="JU100:JU105" si="649">JP100-JR100</f>
        <v>0</v>
      </c>
      <c r="JV100" s="8"/>
      <c r="JW100" s="47"/>
      <c r="JX100" s="48" t="s">
        <v>4</v>
      </c>
      <c r="JY100" s="49"/>
      <c r="JZ100" s="8"/>
      <c r="KA100" s="42" t="str">
        <f t="shared" ref="KA100:KA107" si="650">IF(OR($G100="",JY100=""),"",IF(AND($E100=JW100,$G100=JY100),$H100*1.5,IF(AND($I100&gt;0,KB100&gt;0),$H100,IF(AND($I100&lt;0,KB100&lt;0),$H100,IF(AND($I100=0,KB100=0),$H100,0)))))</f>
        <v/>
      </c>
      <c r="KB100" s="43">
        <f t="shared" ref="KB100:KB105" si="651">JW100-JY100</f>
        <v>0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/>
      <c r="KL100" s="48" t="s">
        <v>4</v>
      </c>
      <c r="KM100" s="49"/>
      <c r="KN100" s="8"/>
      <c r="KO100" s="42" t="str">
        <f t="shared" ref="KO100:KO107" si="654">IF(OR($G100="",KM100=""),"",IF(AND($E100=KK100,$G100=KM100),$H100*1.5,IF(AND($I100&gt;0,KP100&gt;0),$H100,IF(AND($I100&lt;0,KP100&lt;0),$H100,IF(AND($I100=0,KP100=0),$H100,0)))))</f>
        <v/>
      </c>
      <c r="KP100" s="43">
        <f t="shared" ref="KP100:KP105" si="655">KK100-KM100</f>
        <v>0</v>
      </c>
      <c r="KQ100" s="8"/>
      <c r="KR100" s="47"/>
      <c r="KS100" s="48" t="s">
        <v>4</v>
      </c>
      <c r="KT100" s="49"/>
      <c r="KU100" s="8"/>
      <c r="KV100" s="42" t="str">
        <f t="shared" ref="KV100:KV107" si="656">IF(OR($G100="",KT100=""),"",IF(AND($E100=KR100,$G100=KT100),$H100*1.5,IF(AND($I100&gt;0,KW100&gt;0),$H100,IF(AND($I100&lt;0,KW100&lt;0),$H100,IF(AND($I100=0,KW100=0),$H100,0)))))</f>
        <v/>
      </c>
      <c r="KW100" s="43">
        <f t="shared" ref="KW100:KW105" si="657">KR100-KT100</f>
        <v>0</v>
      </c>
      <c r="KX100" s="8"/>
      <c r="KY100" s="47"/>
      <c r="KZ100" s="48" t="s">
        <v>4</v>
      </c>
      <c r="LA100" s="49"/>
      <c r="LB100" s="8"/>
      <c r="LC100" s="42" t="str">
        <f t="shared" ref="LC100:LC107" si="658">IF(OR($G100="",LA100=""),"",IF(AND($E100=KY100,$G100=LA100),$H100*1.5,IF(AND($I100&gt;0,LD100&gt;0),$H100,IF(AND($I100&lt;0,LD100&lt;0),$H100,IF(AND($I100=0,LD100=0),$H100,0)))))</f>
        <v/>
      </c>
      <c r="LD100" s="43">
        <f t="shared" ref="LD100:LD105" si="659">KY100-LA100</f>
        <v>0</v>
      </c>
      <c r="LE100" s="8"/>
      <c r="LF100" s="47"/>
      <c r="LG100" s="48" t="s">
        <v>4</v>
      </c>
      <c r="LH100" s="49"/>
      <c r="LI100" s="8"/>
      <c r="LJ100" s="42" t="str">
        <f t="shared" ref="LJ100:LJ107" si="660">IF(OR($G100="",LH100=""),"",IF(AND($E100=LF100,$G100=LH100),$H100*1.5,IF(AND($I100&gt;0,LK100&gt;0),$H100,IF(AND($I100&lt;0,LK100&lt;0),$H100,IF(AND($I100=0,LK100=0),$H100,0)))))</f>
        <v/>
      </c>
      <c r="LK100" s="43">
        <f t="shared" ref="LK100:LK105" si="661">LF100-LH100</f>
        <v>0</v>
      </c>
      <c r="LL100" s="8"/>
      <c r="LM100" s="47"/>
      <c r="LN100" s="48" t="s">
        <v>4</v>
      </c>
      <c r="LO100" s="49"/>
      <c r="LP100" s="8"/>
      <c r="LQ100" s="42" t="str">
        <f t="shared" ref="LQ100:LQ107" si="662">IF(OR($G100="",LO100=""),"",IF(AND($E100=LM100,$G100=LO100),$H100*1.5,IF(AND($I100&gt;0,LR100&gt;0),$H100,IF(AND($I100&lt;0,LR100&lt;0),$H100,IF(AND($I100=0,LR100=0),$H100,0)))))</f>
        <v/>
      </c>
      <c r="LR100" s="43">
        <f t="shared" ref="LR100:LR105" si="663">LM100-LO100</f>
        <v>0</v>
      </c>
      <c r="LS100" s="8"/>
      <c r="LT100" s="47"/>
      <c r="LU100" s="48" t="s">
        <v>4</v>
      </c>
      <c r="LV100" s="49"/>
      <c r="LW100" s="8"/>
      <c r="LX100" s="42" t="str">
        <f t="shared" ref="LX100:LX107" si="664">IF(OR($G100="",LV100=""),"",IF(AND($E100=LT100,$G100=LV100),$H100*1.5,IF(AND($I100&gt;0,LY100&gt;0),$H100,IF(AND($I100&lt;0,LY100&lt;0),$H100,IF(AND($I100=0,LY100=0),$H100,0)))))</f>
        <v/>
      </c>
      <c r="LY100" s="43">
        <f t="shared" ref="LY100:LY105" si="665">LT100-LV100</f>
        <v>0</v>
      </c>
      <c r="LZ100" s="8"/>
      <c r="MA100" s="47"/>
      <c r="MB100" s="48" t="s">
        <v>4</v>
      </c>
      <c r="MC100" s="49"/>
      <c r="MD100" s="8"/>
      <c r="ME100" s="42" t="str">
        <f t="shared" ref="ME100:ME107" si="666">IF(OR($G100="",MC100=""),"",IF(AND($E100=MA100,$G100=MC100),$H100*1.5,IF(AND($I100&gt;0,MF100&gt;0),$H100,IF(AND($I100&lt;0,MF100&lt;0),$H100,IF(AND($I100=0,MF100=0),$H100,0)))))</f>
        <v/>
      </c>
      <c r="MF100" s="43">
        <f t="shared" ref="MF100:MF105" si="667">MA100-MC100</f>
        <v>0</v>
      </c>
      <c r="MG100" s="8"/>
      <c r="MH100" s="47"/>
      <c r="MI100" s="48" t="s">
        <v>4</v>
      </c>
      <c r="MJ100" s="49"/>
      <c r="MK100" s="8"/>
      <c r="ML100" s="42" t="str">
        <f t="shared" ref="ML100:ML107" si="668">IF(OR($G100="",MJ100=""),"",IF(AND($E100=MH100,$G100=MJ100),$H100*1.5,IF(AND($I100&gt;0,MM100&gt;0),$H100,IF(AND($I100&lt;0,MM100&lt;0),$H100,IF(AND($I100=0,MM100=0),$H100,0)))))</f>
        <v/>
      </c>
      <c r="MM100" s="43">
        <f t="shared" ref="MM100:MM105" si="669">MH100-MJ100</f>
        <v>0</v>
      </c>
      <c r="MN100" s="8"/>
      <c r="MO100" s="47"/>
      <c r="MP100" s="48" t="s">
        <v>4</v>
      </c>
      <c r="MQ100" s="49"/>
      <c r="MR100" s="8"/>
      <c r="MS100" s="42" t="str">
        <f t="shared" ref="MS100:MS107" si="670">IF(OR($G100="",MQ100=""),"",IF(AND($E100=MO100,$G100=MQ100),$H100*1.5,IF(AND($I100&gt;0,MT100&gt;0),$H100,IF(AND($I100&lt;0,MT100&lt;0),$H100,IF(AND($I100=0,MT100=0),$H100,0)))))</f>
        <v/>
      </c>
      <c r="MT100" s="43">
        <f t="shared" ref="MT100:MT105" si="671">MO100-MQ100</f>
        <v>0</v>
      </c>
      <c r="MU100" s="8"/>
      <c r="MV100" s="47"/>
      <c r="MW100" s="48" t="s">
        <v>4</v>
      </c>
      <c r="MX100" s="49"/>
      <c r="MY100" s="8"/>
      <c r="MZ100" s="42" t="str">
        <f t="shared" ref="MZ100:MZ107" si="672">IF(OR($G100="",MX100=""),"",IF(AND($E100=MV100,$G100=MX100),$H100*1.5,IF(AND($I100&gt;0,NA100&gt;0),$H100,IF(AND($I100&lt;0,NA100&lt;0),$H100,IF(AND($I100=0,NA100=0),$H100,0)))))</f>
        <v/>
      </c>
      <c r="NA100" s="43">
        <f t="shared" ref="NA100:NA105" si="673">MV100-MX100</f>
        <v>0</v>
      </c>
      <c r="NB100" s="8"/>
      <c r="NC100" s="47"/>
      <c r="ND100" s="48" t="s">
        <v>4</v>
      </c>
      <c r="NE100" s="49"/>
      <c r="NF100" s="8"/>
      <c r="NG100" s="42" t="str">
        <f t="shared" ref="NG100:NG107" si="674">IF(OR($G100="",NE100=""),"",IF(AND($E100=NC100,$G100=NE100),$H100*1.5,IF(AND($I100&gt;0,NH100&gt;0),$H100,IF(AND($I100&lt;0,NH100&lt;0),$H100,IF(AND($I100=0,NH100=0),$H100,0)))))</f>
        <v/>
      </c>
      <c r="NH100" s="43">
        <f t="shared" ref="NH100:NH105" si="675">NC100-NE100</f>
        <v>0</v>
      </c>
      <c r="NI100" s="8"/>
      <c r="NJ100" s="47"/>
      <c r="NK100" s="48" t="s">
        <v>4</v>
      </c>
      <c r="NL100" s="49"/>
      <c r="NM100" s="8"/>
      <c r="NN100" s="42" t="str">
        <f t="shared" ref="NN100:NN107" si="676">IF(OR($G100="",NL100=""),"",IF(AND($E100=NJ100,$G100=NL100),$H100*1.5,IF(AND($I100&gt;0,NO100&gt;0),$H100,IF(AND($I100&lt;0,NO100&lt;0),$H100,IF(AND($I100=0,NO100=0),$H100,0)))))</f>
        <v/>
      </c>
      <c r="NO100" s="43">
        <f t="shared" ref="NO100:NO105" si="677">NJ100-NL100</f>
        <v>0</v>
      </c>
      <c r="NP100" s="8"/>
      <c r="NQ100" s="47"/>
      <c r="NR100" s="48" t="s">
        <v>4</v>
      </c>
      <c r="NS100" s="49"/>
      <c r="NT100" s="8"/>
      <c r="NU100" s="42" t="str">
        <f t="shared" ref="NU100:NU107" si="678">IF(OR($G100="",NS100=""),"",IF(AND($E100=NQ100,$G100=NS100),$H100*1.5,IF(AND($I100&gt;0,NV100&gt;0),$H100,IF(AND($I100&lt;0,NV100&lt;0),$H100,IF(AND($I100=0,NV100=0),$H100,0)))))</f>
        <v/>
      </c>
      <c r="NV100" s="43">
        <f t="shared" ref="NV100:NV105" si="679">NQ100-NS100</f>
        <v>0</v>
      </c>
      <c r="NW100" s="8"/>
      <c r="NX100" s="47"/>
      <c r="NY100" s="48" t="s">
        <v>4</v>
      </c>
      <c r="NZ100" s="49"/>
      <c r="OA100" s="8"/>
      <c r="OB100" s="42" t="str">
        <f t="shared" ref="OB100:OB107" si="680">IF(OR($G100="",NZ100=""),"",IF(AND($E100=NX100,$G100=NZ100),$H100*1.5,IF(AND($I100&gt;0,OC100&gt;0),$H100,IF(AND($I100&lt;0,OC100&lt;0),$H100,IF(AND($I100=0,OC100=0),$H100,0)))))</f>
        <v/>
      </c>
      <c r="OC100" s="43">
        <f t="shared" ref="OC100:OC105" si="681">NX100-NZ100</f>
        <v>0</v>
      </c>
      <c r="OD100" s="8"/>
      <c r="OE100" s="47"/>
      <c r="OF100" s="48" t="s">
        <v>4</v>
      </c>
      <c r="OG100" s="49"/>
      <c r="OH100" s="8"/>
      <c r="OI100" s="42" t="str">
        <f t="shared" ref="OI100:OI107" si="682">IF(OR($G100="",OG100=""),"",IF(AND($E100=OE100,$G100=OG100),$H100*1.5,IF(AND($I100&gt;0,OJ100&gt;0),$H100,IF(AND($I100&lt;0,OJ100&lt;0),$H100,IF(AND($I100=0,OJ100=0),$H100,0)))))</f>
        <v/>
      </c>
      <c r="OJ100" s="43">
        <f t="shared" ref="OJ100:OJ105" si="683">OE100-OG100</f>
        <v>0</v>
      </c>
      <c r="OK100" s="8"/>
      <c r="OL100" s="47"/>
      <c r="OM100" s="48" t="s">
        <v>4</v>
      </c>
      <c r="ON100" s="49"/>
      <c r="OO100" s="8"/>
      <c r="OP100" s="42" t="str">
        <f t="shared" ref="OP100:OP107" si="684">IF(OR($G100="",ON100=""),"",IF(AND($E100=OL100,$G100=ON100),$H100*1.5,IF(AND($I100&gt;0,OQ100&gt;0),$H100,IF(AND($I100&lt;0,OQ100&lt;0),$H100,IF(AND($I100=0,OQ100=0),$H100,0)))))</f>
        <v/>
      </c>
      <c r="OQ100" s="43">
        <f t="shared" ref="OQ100:OQ105" si="685">OL100-ON100</f>
        <v>0</v>
      </c>
      <c r="OR100" s="8"/>
      <c r="OS100" s="47"/>
      <c r="OT100" s="48" t="s">
        <v>4</v>
      </c>
      <c r="OU100" s="49"/>
      <c r="OV100" s="8"/>
      <c r="OW100" s="42" t="str">
        <f t="shared" ref="OW100:OW107" si="686">IF(OR($G100="",OU100=""),"",IF(AND($E100=OS100,$G100=OU100),$H100*1.5,IF(AND($I100&gt;0,OX100&gt;0),$H100,IF(AND($I100&lt;0,OX100&lt;0),$H100,IF(AND($I100=0,OX100=0),$H100,0)))))</f>
        <v/>
      </c>
      <c r="OX100" s="43">
        <f t="shared" ref="OX100:OX105" si="687">OS100-OU100</f>
        <v>0</v>
      </c>
      <c r="OY100" s="8"/>
      <c r="OZ100" s="47"/>
      <c r="PA100" s="48" t="s">
        <v>4</v>
      </c>
      <c r="PB100" s="49"/>
      <c r="PC100" s="8"/>
      <c r="PD100" s="42" t="str">
        <f t="shared" ref="PD100:PD107" si="688">IF(OR($G100="",PB100=""),"",IF(AND($E100=OZ100,$G100=PB100),$H100*1.5,IF(AND($I100&gt;0,PE100&gt;0),$H100,IF(AND($I100&lt;0,PE100&lt;0),$H100,IF(AND($I100=0,PE100=0),$H100,0)))))</f>
        <v/>
      </c>
      <c r="PE100" s="43">
        <f t="shared" ref="PE100:PE105" si="689">OZ100-PB100</f>
        <v>0</v>
      </c>
      <c r="PF100" s="8"/>
      <c r="PG100" s="47"/>
      <c r="PH100" s="48" t="s">
        <v>4</v>
      </c>
      <c r="PI100" s="49"/>
      <c r="PJ100" s="8"/>
      <c r="PK100" s="42" t="str">
        <f t="shared" ref="PK100:PK107" si="690">IF(OR($G100="",PI100=""),"",IF(AND($E100=PG100,$G100=PI100),$H100*1.5,IF(AND($I100&gt;0,PL100&gt;0),$H100,IF(AND($I100&lt;0,PL100&lt;0),$H100,IF(AND($I100=0,PL100=0),$H100,0)))))</f>
        <v/>
      </c>
      <c r="PL100" s="43">
        <f t="shared" ref="PL100:PL105" si="691">PG100-PI100</f>
        <v>0</v>
      </c>
      <c r="PM100" s="8"/>
      <c r="PN100" s="47"/>
      <c r="PO100" s="48" t="s">
        <v>4</v>
      </c>
      <c r="PP100" s="49"/>
      <c r="PQ100" s="8"/>
      <c r="PR100" s="42" t="str">
        <f t="shared" ref="PR100:PR107" si="692">IF(OR($G100="",PP100=""),"",IF(AND($E100=PN100,$G100=PP100),$H100*1.5,IF(AND($I100&gt;0,PS100&gt;0),$H100,IF(AND($I100&lt;0,PS100&lt;0),$H100,IF(AND($I100=0,PS100=0),$H100,0)))))</f>
        <v/>
      </c>
      <c r="PS100" s="43">
        <f t="shared" ref="PS100:PS105" si="693">PN100-PP100</f>
        <v>0</v>
      </c>
      <c r="PT100" s="8"/>
      <c r="PU100" s="47"/>
      <c r="PV100" s="48" t="s">
        <v>4</v>
      </c>
      <c r="PW100" s="49"/>
      <c r="PX100" s="8"/>
      <c r="PY100" s="42" t="str">
        <f t="shared" ref="PY100:PY107" si="694">IF(OR($G100="",PW100=""),"",IF(AND($E100=PU100,$G100=PW100),$H100*1.5,IF(AND($I100&gt;0,PZ100&gt;0),$H100,IF(AND($I100&lt;0,PZ100&lt;0),$H100,IF(AND($I100=0,PZ100=0),$H100,0)))))</f>
        <v/>
      </c>
      <c r="PZ100" s="43">
        <f t="shared" ref="PZ100:PZ105" si="695">PU100-PW100</f>
        <v>0</v>
      </c>
      <c r="QA100" s="8"/>
      <c r="QB100" s="47"/>
      <c r="QC100" s="48" t="s">
        <v>4</v>
      </c>
      <c r="QD100" s="49"/>
      <c r="QE100" s="8"/>
      <c r="QF100" s="42" t="str">
        <f t="shared" ref="QF100:QF107" si="696">IF(OR($G100="",QD100=""),"",IF(AND($E100=QB100,$G100=QD100),$H100*1.5,IF(AND($I100&gt;0,QG100&gt;0),$H100,IF(AND($I100&lt;0,QG100&lt;0),$H100,IF(AND($I100=0,QG100=0),$H100,0)))))</f>
        <v/>
      </c>
      <c r="QG100" s="43">
        <f t="shared" ref="QG100:QG105" si="697">QB100-QD100</f>
        <v>0</v>
      </c>
      <c r="QH100" s="8"/>
      <c r="QI100" s="47"/>
      <c r="QJ100" s="48" t="s">
        <v>4</v>
      </c>
      <c r="QK100" s="49"/>
      <c r="QL100" s="8"/>
      <c r="QM100" s="42" t="str">
        <f t="shared" ref="QM100:QM107" si="698">IF(OR($G100="",QK100=""),"",IF(AND($E100=QI100,$G100=QK100),$H100*1.5,IF(AND($I100&gt;0,QN100&gt;0),$H100,IF(AND($I100&lt;0,QN100&lt;0),$H100,IF(AND($I100=0,QN100=0),$H100,0)))))</f>
        <v/>
      </c>
      <c r="QN100" s="43">
        <f t="shared" ref="QN100:QN105" si="699">QI100-QK100</f>
        <v>0</v>
      </c>
      <c r="QO100" s="8"/>
      <c r="QP100" s="47"/>
      <c r="QQ100" s="48" t="s">
        <v>4</v>
      </c>
      <c r="QR100" s="49"/>
      <c r="QS100" s="8"/>
      <c r="QT100" s="42" t="str">
        <f t="shared" ref="QT100:QT107" si="700">IF(OR($G100="",QR100=""),"",IF(AND($E100=QP100,$G100=QR100),$H100*1.5,IF(AND($I100&gt;0,QU100&gt;0),$H100,IF(AND($I100&lt;0,QU100&lt;0),$H100,IF(AND($I100=0,QU100=0),$H100,0)))))</f>
        <v/>
      </c>
      <c r="QU100" s="43">
        <f t="shared" ref="QU100:QU105" si="701">QP100-QR100</f>
        <v>0</v>
      </c>
      <c r="QV100" s="8"/>
      <c r="QW100" s="47"/>
      <c r="QX100" s="48" t="s">
        <v>4</v>
      </c>
      <c r="QY100" s="49"/>
      <c r="QZ100" s="8"/>
      <c r="RA100" s="42" t="str">
        <f t="shared" ref="RA100:RA107" si="702">IF(OR($G100="",QY100=""),"",IF(AND($E100=QW100,$G100=QY100),$H100*1.5,IF(AND($I100&gt;0,RB100&gt;0),$H100,IF(AND($I100&lt;0,RB100&lt;0),$H100,IF(AND($I100=0,RB100=0),$H100,0)))))</f>
        <v/>
      </c>
      <c r="RB100" s="43">
        <f t="shared" ref="RB100:RB105" si="703">QW100-QY100</f>
        <v>0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/>
      <c r="RL100" s="48" t="s">
        <v>4</v>
      </c>
      <c r="RM100" s="49"/>
      <c r="RN100" s="8"/>
      <c r="RO100" s="42" t="str">
        <f t="shared" ref="RO100:RO107" si="706">IF(OR($G100="",RM100=""),"",IF(AND($E100=RK100,$G100=RM100),$H100*1.5,IF(AND($I100&gt;0,RP100&gt;0),$H100,IF(AND($I100&lt;0,RP100&lt;0),$H100,IF(AND($I100=0,RP100=0),$H100,0)))))</f>
        <v/>
      </c>
      <c r="RP100" s="43">
        <f t="shared" ref="RP100:RP105" si="707">RK100-RM100</f>
        <v>0</v>
      </c>
      <c r="RQ100" s="8"/>
      <c r="RR100" s="47"/>
      <c r="RS100" s="48" t="s">
        <v>4</v>
      </c>
      <c r="RT100" s="49"/>
      <c r="RU100" s="8"/>
      <c r="RV100" s="42" t="str">
        <f t="shared" ref="RV100:RV107" si="708">IF(OR($G100="",RT100=""),"",IF(AND($E100=RR100,$G100=RT100),$H100*1.5,IF(AND($I100&gt;0,RW100&gt;0),$H100,IF(AND($I100&lt;0,RW100&lt;0),$H100,IF(AND($I100=0,RW100=0),$H100,0)))))</f>
        <v/>
      </c>
      <c r="RW100" s="43">
        <f t="shared" ref="RW100:RW105" si="709">RR100-RT100</f>
        <v>0</v>
      </c>
      <c r="RX100" s="8"/>
      <c r="RY100" s="47"/>
      <c r="RZ100" s="48" t="s">
        <v>4</v>
      </c>
      <c r="SA100" s="49"/>
      <c r="SB100" s="8"/>
      <c r="SC100" s="42" t="str">
        <f t="shared" ref="SC100:SC107" si="710">IF(OR($G100="",SA100=""),"",IF(AND($E100=RY100,$G100=SA100),$H100*1.5,IF(AND($I100&gt;0,SD100&gt;0),$H100,IF(AND($I100&lt;0,SD100&lt;0),$H100,IF(AND($I100=0,SD100=0),$H100,0)))))</f>
        <v/>
      </c>
      <c r="SD100" s="43">
        <f t="shared" ref="SD100:SD105" si="711">RY100-SA100</f>
        <v>0</v>
      </c>
      <c r="SE100" s="8"/>
      <c r="SF100" s="47"/>
      <c r="SG100" s="48" t="s">
        <v>4</v>
      </c>
      <c r="SH100" s="49"/>
      <c r="SI100" s="8"/>
      <c r="SJ100" s="42" t="str">
        <f t="shared" ref="SJ100:SJ107" si="712">IF(OR($G100="",SH100=""),"",IF(AND($E100=SF100,$G100=SH100),$H100*1.5,IF(AND($I100&gt;0,SK100&gt;0),$H100,IF(AND($I100&lt;0,SK100&lt;0),$H100,IF(AND($I100=0,SK100=0),$H100,0)))))</f>
        <v/>
      </c>
      <c r="SK100" s="43">
        <f t="shared" ref="SK100:SK105" si="713">SF100-SH100</f>
        <v>0</v>
      </c>
      <c r="SL100" s="8"/>
      <c r="SM100" s="47"/>
      <c r="SN100" s="48" t="s">
        <v>4</v>
      </c>
      <c r="SO100" s="49"/>
      <c r="SP100" s="8"/>
      <c r="SQ100" s="42" t="str">
        <f t="shared" ref="SQ100:SQ107" si="714">IF(OR($G100="",SO100=""),"",IF(AND($E100=SM100,$G100=SO100),$H100*1.5,IF(AND($I100&gt;0,SR100&gt;0),$H100,IF(AND($I100&lt;0,SR100&lt;0),$H100,IF(AND($I100=0,SR100=0),$H100,0)))))</f>
        <v/>
      </c>
      <c r="SR100" s="43">
        <f t="shared" ref="SR100:SR105" si="715">SM100-SO100</f>
        <v>0</v>
      </c>
    </row>
    <row r="101" spans="1:512" ht="16" customHeight="1" x14ac:dyDescent="0.15">
      <c r="A101" s="51">
        <v>46207</v>
      </c>
      <c r="B101" s="46">
        <v>0.95833333333333337</v>
      </c>
      <c r="C101" s="82"/>
      <c r="D101" s="83"/>
      <c r="E101" s="2"/>
      <c r="F101" s="50" t="s">
        <v>4</v>
      </c>
      <c r="G101" s="1"/>
      <c r="H101" s="16">
        <v>7.2</v>
      </c>
      <c r="I101" s="32">
        <f t="shared" si="429"/>
        <v>0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/>
      <c r="AF101" s="48" t="s">
        <v>4</v>
      </c>
      <c r="AG101" s="49"/>
      <c r="AH101" s="8"/>
      <c r="AI101" s="42" t="str">
        <f t="shared" si="578"/>
        <v/>
      </c>
      <c r="AJ101" s="43">
        <f t="shared" si="579"/>
        <v>0</v>
      </c>
      <c r="AK101" s="8"/>
      <c r="AL101" s="47"/>
      <c r="AM101" s="48" t="s">
        <v>4</v>
      </c>
      <c r="AN101" s="49"/>
      <c r="AO101" s="8"/>
      <c r="AP101" s="42" t="str">
        <f t="shared" si="580"/>
        <v/>
      </c>
      <c r="AQ101" s="43">
        <f t="shared" si="581"/>
        <v>0</v>
      </c>
      <c r="AR101" s="8"/>
      <c r="AS101" s="47"/>
      <c r="AT101" s="48" t="s">
        <v>4</v>
      </c>
      <c r="AU101" s="49"/>
      <c r="AV101" s="8"/>
      <c r="AW101" s="42" t="str">
        <f t="shared" si="582"/>
        <v/>
      </c>
      <c r="AX101" s="43">
        <f t="shared" si="583"/>
        <v>0</v>
      </c>
      <c r="AY101" s="8"/>
      <c r="AZ101" s="47"/>
      <c r="BA101" s="48" t="s">
        <v>4</v>
      </c>
      <c r="BB101" s="49"/>
      <c r="BC101" s="8"/>
      <c r="BD101" s="42" t="str">
        <f t="shared" si="584"/>
        <v/>
      </c>
      <c r="BE101" s="43">
        <f t="shared" si="585"/>
        <v>0</v>
      </c>
      <c r="BF101" s="8"/>
      <c r="BG101" s="47"/>
      <c r="BH101" s="48" t="s">
        <v>4</v>
      </c>
      <c r="BI101" s="49"/>
      <c r="BJ101" s="8"/>
      <c r="BK101" s="42" t="str">
        <f t="shared" si="586"/>
        <v/>
      </c>
      <c r="BL101" s="43">
        <f t="shared" si="587"/>
        <v>0</v>
      </c>
      <c r="BM101" s="8"/>
      <c r="BN101" s="47"/>
      <c r="BO101" s="48" t="s">
        <v>4</v>
      </c>
      <c r="BP101" s="49"/>
      <c r="BQ101" s="8"/>
      <c r="BR101" s="42" t="str">
        <f t="shared" si="588"/>
        <v/>
      </c>
      <c r="BS101" s="43">
        <f t="shared" si="589"/>
        <v>0</v>
      </c>
      <c r="BT101" s="8"/>
      <c r="BU101" s="47"/>
      <c r="BV101" s="48" t="s">
        <v>4</v>
      </c>
      <c r="BW101" s="49"/>
      <c r="BX101" s="8"/>
      <c r="BY101" s="42" t="str">
        <f t="shared" si="590"/>
        <v/>
      </c>
      <c r="BZ101" s="43">
        <f t="shared" si="591"/>
        <v>0</v>
      </c>
      <c r="CA101" s="8"/>
      <c r="CB101" s="47"/>
      <c r="CC101" s="48" t="s">
        <v>4</v>
      </c>
      <c r="CD101" s="49"/>
      <c r="CE101" s="8"/>
      <c r="CF101" s="42" t="str">
        <f t="shared" si="592"/>
        <v/>
      </c>
      <c r="CG101" s="43">
        <f t="shared" si="593"/>
        <v>0</v>
      </c>
      <c r="CH101" s="8"/>
      <c r="CI101" s="47"/>
      <c r="CJ101" s="48" t="s">
        <v>4</v>
      </c>
      <c r="CK101" s="49"/>
      <c r="CL101" s="8"/>
      <c r="CM101" s="42" t="str">
        <f t="shared" si="594"/>
        <v/>
      </c>
      <c r="CN101" s="43">
        <f t="shared" si="595"/>
        <v>0</v>
      </c>
      <c r="CO101" s="8"/>
      <c r="CP101" s="47"/>
      <c r="CQ101" s="48" t="s">
        <v>4</v>
      </c>
      <c r="CR101" s="49"/>
      <c r="CS101" s="8"/>
      <c r="CT101" s="42" t="str">
        <f t="shared" si="596"/>
        <v/>
      </c>
      <c r="CU101" s="43">
        <f t="shared" si="597"/>
        <v>0</v>
      </c>
      <c r="CV101" s="8"/>
      <c r="CW101" s="47"/>
      <c r="CX101" s="48" t="s">
        <v>4</v>
      </c>
      <c r="CY101" s="49"/>
      <c r="CZ101" s="8"/>
      <c r="DA101" s="42" t="str">
        <f t="shared" si="598"/>
        <v/>
      </c>
      <c r="DB101" s="43">
        <f t="shared" si="599"/>
        <v>0</v>
      </c>
      <c r="DC101" s="8"/>
      <c r="DD101" s="47"/>
      <c r="DE101" s="48" t="s">
        <v>4</v>
      </c>
      <c r="DF101" s="49"/>
      <c r="DG101" s="8"/>
      <c r="DH101" s="42" t="str">
        <f t="shared" si="600"/>
        <v/>
      </c>
      <c r="DI101" s="43">
        <f t="shared" si="601"/>
        <v>0</v>
      </c>
      <c r="DJ101" s="8"/>
      <c r="DK101" s="47"/>
      <c r="DL101" s="48" t="s">
        <v>4</v>
      </c>
      <c r="DM101" s="49"/>
      <c r="DN101" s="8"/>
      <c r="DO101" s="42" t="str">
        <f t="shared" si="602"/>
        <v/>
      </c>
      <c r="DP101" s="43">
        <f t="shared" si="603"/>
        <v>0</v>
      </c>
      <c r="DQ101" s="8"/>
      <c r="DR101" s="47"/>
      <c r="DS101" s="48" t="s">
        <v>4</v>
      </c>
      <c r="DT101" s="49"/>
      <c r="DU101" s="8"/>
      <c r="DV101" s="42" t="str">
        <f t="shared" si="604"/>
        <v/>
      </c>
      <c r="DW101" s="43">
        <f t="shared" si="605"/>
        <v>0</v>
      </c>
      <c r="DX101" s="8"/>
      <c r="DY101" s="47"/>
      <c r="DZ101" s="48" t="s">
        <v>4</v>
      </c>
      <c r="EA101" s="49"/>
      <c r="EB101" s="8"/>
      <c r="EC101" s="42" t="str">
        <f t="shared" si="606"/>
        <v/>
      </c>
      <c r="ED101" s="43">
        <f t="shared" si="607"/>
        <v>0</v>
      </c>
      <c r="EE101" s="8"/>
      <c r="EF101" s="47"/>
      <c r="EG101" s="48" t="s">
        <v>4</v>
      </c>
      <c r="EH101" s="49"/>
      <c r="EI101" s="8"/>
      <c r="EJ101" s="42" t="str">
        <f t="shared" si="608"/>
        <v/>
      </c>
      <c r="EK101" s="43">
        <f t="shared" si="609"/>
        <v>0</v>
      </c>
      <c r="EL101" s="8"/>
      <c r="EM101" s="47"/>
      <c r="EN101" s="48" t="s">
        <v>4</v>
      </c>
      <c r="EO101" s="49"/>
      <c r="EP101" s="8"/>
      <c r="EQ101" s="42" t="str">
        <f t="shared" si="610"/>
        <v/>
      </c>
      <c r="ER101" s="43">
        <f t="shared" si="611"/>
        <v>0</v>
      </c>
      <c r="ES101" s="8"/>
      <c r="ET101" s="47"/>
      <c r="EU101" s="48" t="s">
        <v>4</v>
      </c>
      <c r="EV101" s="49"/>
      <c r="EW101" s="8"/>
      <c r="EX101" s="42" t="str">
        <f t="shared" si="612"/>
        <v/>
      </c>
      <c r="EY101" s="43">
        <f t="shared" si="613"/>
        <v>0</v>
      </c>
      <c r="EZ101" s="8"/>
      <c r="FA101" s="47"/>
      <c r="FB101" s="48" t="s">
        <v>4</v>
      </c>
      <c r="FC101" s="49"/>
      <c r="FD101" s="8"/>
      <c r="FE101" s="42" t="str">
        <f t="shared" si="614"/>
        <v/>
      </c>
      <c r="FF101" s="43">
        <f t="shared" si="615"/>
        <v>0</v>
      </c>
      <c r="FG101" s="8"/>
      <c r="FH101" s="47"/>
      <c r="FI101" s="48" t="s">
        <v>4</v>
      </c>
      <c r="FJ101" s="49"/>
      <c r="FK101" s="8"/>
      <c r="FL101" s="42" t="str">
        <f t="shared" si="616"/>
        <v/>
      </c>
      <c r="FM101" s="43">
        <f t="shared" si="617"/>
        <v>0</v>
      </c>
      <c r="FN101" s="8"/>
      <c r="FO101" s="47"/>
      <c r="FP101" s="48" t="s">
        <v>4</v>
      </c>
      <c r="FQ101" s="49"/>
      <c r="FR101" s="8"/>
      <c r="FS101" s="42" t="str">
        <f t="shared" si="618"/>
        <v/>
      </c>
      <c r="FT101" s="43">
        <f t="shared" si="619"/>
        <v>0</v>
      </c>
      <c r="FU101" s="8"/>
      <c r="FV101" s="47"/>
      <c r="FW101" s="48" t="s">
        <v>4</v>
      </c>
      <c r="FX101" s="49"/>
      <c r="FY101" s="8"/>
      <c r="FZ101" s="42" t="str">
        <f t="shared" si="620"/>
        <v/>
      </c>
      <c r="GA101" s="43">
        <f t="shared" si="621"/>
        <v>0</v>
      </c>
      <c r="GB101" s="8"/>
      <c r="GC101" s="47"/>
      <c r="GD101" s="48" t="s">
        <v>4</v>
      </c>
      <c r="GE101" s="49"/>
      <c r="GF101" s="8"/>
      <c r="GG101" s="42" t="str">
        <f t="shared" si="622"/>
        <v/>
      </c>
      <c r="GH101" s="43">
        <f t="shared" si="623"/>
        <v>0</v>
      </c>
      <c r="GI101" s="8"/>
      <c r="GJ101" s="47"/>
      <c r="GK101" s="48" t="s">
        <v>4</v>
      </c>
      <c r="GL101" s="49"/>
      <c r="GM101" s="8"/>
      <c r="GN101" s="42" t="str">
        <f t="shared" si="624"/>
        <v/>
      </c>
      <c r="GO101" s="43">
        <f t="shared" si="625"/>
        <v>0</v>
      </c>
      <c r="GP101" s="8"/>
      <c r="GQ101" s="47"/>
      <c r="GR101" s="48" t="s">
        <v>4</v>
      </c>
      <c r="GS101" s="49"/>
      <c r="GT101" s="8"/>
      <c r="GU101" s="42" t="str">
        <f t="shared" si="626"/>
        <v/>
      </c>
      <c r="GV101" s="43">
        <f t="shared" si="627"/>
        <v>0</v>
      </c>
      <c r="GW101" s="8"/>
      <c r="GX101" s="47"/>
      <c r="GY101" s="48" t="s">
        <v>4</v>
      </c>
      <c r="GZ101" s="49"/>
      <c r="HA101" s="8"/>
      <c r="HB101" s="42" t="str">
        <f t="shared" si="628"/>
        <v/>
      </c>
      <c r="HC101" s="43">
        <f t="shared" si="629"/>
        <v>0</v>
      </c>
      <c r="HD101" s="8"/>
      <c r="HE101" s="47"/>
      <c r="HF101" s="48" t="s">
        <v>4</v>
      </c>
      <c r="HG101" s="49"/>
      <c r="HH101" s="8"/>
      <c r="HI101" s="42" t="str">
        <f t="shared" si="630"/>
        <v/>
      </c>
      <c r="HJ101" s="43">
        <f t="shared" si="631"/>
        <v>0</v>
      </c>
      <c r="HK101" s="8"/>
      <c r="HL101" s="47"/>
      <c r="HM101" s="48" t="s">
        <v>4</v>
      </c>
      <c r="HN101" s="49"/>
      <c r="HO101" s="8"/>
      <c r="HP101" s="42" t="str">
        <f t="shared" si="632"/>
        <v/>
      </c>
      <c r="HQ101" s="43">
        <f t="shared" si="633"/>
        <v>0</v>
      </c>
      <c r="HR101" s="8"/>
      <c r="HS101" s="47"/>
      <c r="HT101" s="48" t="s">
        <v>4</v>
      </c>
      <c r="HU101" s="49"/>
      <c r="HV101" s="8"/>
      <c r="HW101" s="42" t="str">
        <f t="shared" si="634"/>
        <v/>
      </c>
      <c r="HX101" s="43">
        <f t="shared" si="635"/>
        <v>0</v>
      </c>
      <c r="HY101" s="8"/>
      <c r="HZ101" s="47"/>
      <c r="IA101" s="48" t="s">
        <v>4</v>
      </c>
      <c r="IB101" s="49"/>
      <c r="IC101" s="8"/>
      <c r="ID101" s="42" t="str">
        <f t="shared" si="636"/>
        <v/>
      </c>
      <c r="IE101" s="43">
        <f t="shared" si="637"/>
        <v>0</v>
      </c>
      <c r="IF101" s="8"/>
      <c r="IG101" s="47"/>
      <c r="IH101" s="48" t="s">
        <v>4</v>
      </c>
      <c r="II101" s="49"/>
      <c r="IJ101" s="8"/>
      <c r="IK101" s="42" t="str">
        <f t="shared" si="638"/>
        <v/>
      </c>
      <c r="IL101" s="43">
        <f t="shared" si="639"/>
        <v>0</v>
      </c>
      <c r="IM101" s="8"/>
      <c r="IN101" s="47"/>
      <c r="IO101" s="48" t="s">
        <v>4</v>
      </c>
      <c r="IP101" s="49"/>
      <c r="IQ101" s="8"/>
      <c r="IR101" s="42" t="str">
        <f t="shared" si="640"/>
        <v/>
      </c>
      <c r="IS101" s="43">
        <f t="shared" si="641"/>
        <v>0</v>
      </c>
      <c r="IT101" s="8"/>
      <c r="IU101" s="47"/>
      <c r="IV101" s="48" t="s">
        <v>4</v>
      </c>
      <c r="IW101" s="49"/>
      <c r="IX101" s="8"/>
      <c r="IY101" s="42" t="str">
        <f t="shared" si="642"/>
        <v/>
      </c>
      <c r="IZ101" s="43">
        <f t="shared" si="643"/>
        <v>0</v>
      </c>
      <c r="JA101" s="8"/>
      <c r="JB101" s="47"/>
      <c r="JC101" s="48" t="s">
        <v>4</v>
      </c>
      <c r="JD101" s="49"/>
      <c r="JE101" s="8"/>
      <c r="JF101" s="42" t="str">
        <f t="shared" si="644"/>
        <v/>
      </c>
      <c r="JG101" s="43">
        <f t="shared" si="645"/>
        <v>0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/>
      <c r="JQ101" s="48" t="s">
        <v>4</v>
      </c>
      <c r="JR101" s="49"/>
      <c r="JS101" s="8"/>
      <c r="JT101" s="42" t="str">
        <f t="shared" si="648"/>
        <v/>
      </c>
      <c r="JU101" s="43">
        <f t="shared" si="649"/>
        <v>0</v>
      </c>
      <c r="JV101" s="8"/>
      <c r="JW101" s="47"/>
      <c r="JX101" s="48" t="s">
        <v>4</v>
      </c>
      <c r="JY101" s="49"/>
      <c r="JZ101" s="8"/>
      <c r="KA101" s="42" t="str">
        <f t="shared" si="650"/>
        <v/>
      </c>
      <c r="KB101" s="43">
        <f t="shared" si="651"/>
        <v>0</v>
      </c>
      <c r="KC101" s="8"/>
      <c r="KD101" s="47"/>
      <c r="KE101" s="48" t="s">
        <v>4</v>
      </c>
      <c r="KF101" s="49"/>
      <c r="KG101" s="8"/>
      <c r="KH101" s="42" t="str">
        <f t="shared" si="652"/>
        <v/>
      </c>
      <c r="KI101" s="43">
        <f t="shared" si="653"/>
        <v>0</v>
      </c>
      <c r="KJ101" s="8"/>
      <c r="KK101" s="47"/>
      <c r="KL101" s="48" t="s">
        <v>4</v>
      </c>
      <c r="KM101" s="49"/>
      <c r="KN101" s="8"/>
      <c r="KO101" s="42" t="str">
        <f t="shared" si="654"/>
        <v/>
      </c>
      <c r="KP101" s="43">
        <f t="shared" si="655"/>
        <v>0</v>
      </c>
      <c r="KQ101" s="8"/>
      <c r="KR101" s="47"/>
      <c r="KS101" s="48" t="s">
        <v>4</v>
      </c>
      <c r="KT101" s="49"/>
      <c r="KU101" s="8"/>
      <c r="KV101" s="42" t="str">
        <f t="shared" si="656"/>
        <v/>
      </c>
      <c r="KW101" s="43">
        <f t="shared" si="657"/>
        <v>0</v>
      </c>
      <c r="KX101" s="8"/>
      <c r="KY101" s="47"/>
      <c r="KZ101" s="48" t="s">
        <v>4</v>
      </c>
      <c r="LA101" s="49"/>
      <c r="LB101" s="8"/>
      <c r="LC101" s="42" t="str">
        <f t="shared" si="658"/>
        <v/>
      </c>
      <c r="LD101" s="43">
        <f t="shared" si="659"/>
        <v>0</v>
      </c>
      <c r="LE101" s="8"/>
      <c r="LF101" s="47"/>
      <c r="LG101" s="48" t="s">
        <v>4</v>
      </c>
      <c r="LH101" s="49"/>
      <c r="LI101" s="8"/>
      <c r="LJ101" s="42" t="str">
        <f t="shared" si="660"/>
        <v/>
      </c>
      <c r="LK101" s="43">
        <f t="shared" si="661"/>
        <v>0</v>
      </c>
      <c r="LL101" s="8"/>
      <c r="LM101" s="47"/>
      <c r="LN101" s="48" t="s">
        <v>4</v>
      </c>
      <c r="LO101" s="49"/>
      <c r="LP101" s="8"/>
      <c r="LQ101" s="42" t="str">
        <f t="shared" si="662"/>
        <v/>
      </c>
      <c r="LR101" s="43">
        <f t="shared" si="663"/>
        <v>0</v>
      </c>
      <c r="LS101" s="8"/>
      <c r="LT101" s="47"/>
      <c r="LU101" s="48" t="s">
        <v>4</v>
      </c>
      <c r="LV101" s="49"/>
      <c r="LW101" s="8"/>
      <c r="LX101" s="42" t="str">
        <f t="shared" si="664"/>
        <v/>
      </c>
      <c r="LY101" s="43">
        <f t="shared" si="665"/>
        <v>0</v>
      </c>
      <c r="LZ101" s="8"/>
      <c r="MA101" s="47"/>
      <c r="MB101" s="48" t="s">
        <v>4</v>
      </c>
      <c r="MC101" s="49"/>
      <c r="MD101" s="8"/>
      <c r="ME101" s="42" t="str">
        <f t="shared" si="666"/>
        <v/>
      </c>
      <c r="MF101" s="43">
        <f t="shared" si="667"/>
        <v>0</v>
      </c>
      <c r="MG101" s="8"/>
      <c r="MH101" s="47"/>
      <c r="MI101" s="48" t="s">
        <v>4</v>
      </c>
      <c r="MJ101" s="49"/>
      <c r="MK101" s="8"/>
      <c r="ML101" s="42" t="str">
        <f t="shared" si="668"/>
        <v/>
      </c>
      <c r="MM101" s="43">
        <f t="shared" si="669"/>
        <v>0</v>
      </c>
      <c r="MN101" s="8"/>
      <c r="MO101" s="47"/>
      <c r="MP101" s="48" t="s">
        <v>4</v>
      </c>
      <c r="MQ101" s="49"/>
      <c r="MR101" s="8"/>
      <c r="MS101" s="42" t="str">
        <f t="shared" si="670"/>
        <v/>
      </c>
      <c r="MT101" s="43">
        <f t="shared" si="671"/>
        <v>0</v>
      </c>
      <c r="MU101" s="8"/>
      <c r="MV101" s="47"/>
      <c r="MW101" s="48" t="s">
        <v>4</v>
      </c>
      <c r="MX101" s="49"/>
      <c r="MY101" s="8"/>
      <c r="MZ101" s="42" t="str">
        <f t="shared" si="672"/>
        <v/>
      </c>
      <c r="NA101" s="43">
        <f t="shared" si="673"/>
        <v>0</v>
      </c>
      <c r="NB101" s="8"/>
      <c r="NC101" s="47"/>
      <c r="ND101" s="48" t="s">
        <v>4</v>
      </c>
      <c r="NE101" s="49"/>
      <c r="NF101" s="8"/>
      <c r="NG101" s="42" t="str">
        <f t="shared" si="674"/>
        <v/>
      </c>
      <c r="NH101" s="43">
        <f t="shared" si="675"/>
        <v>0</v>
      </c>
      <c r="NI101" s="8"/>
      <c r="NJ101" s="47"/>
      <c r="NK101" s="48" t="s">
        <v>4</v>
      </c>
      <c r="NL101" s="49"/>
      <c r="NM101" s="8"/>
      <c r="NN101" s="42" t="str">
        <f t="shared" si="676"/>
        <v/>
      </c>
      <c r="NO101" s="43">
        <f t="shared" si="677"/>
        <v>0</v>
      </c>
      <c r="NP101" s="8"/>
      <c r="NQ101" s="47"/>
      <c r="NR101" s="48" t="s">
        <v>4</v>
      </c>
      <c r="NS101" s="49"/>
      <c r="NT101" s="8"/>
      <c r="NU101" s="42" t="str">
        <f t="shared" si="678"/>
        <v/>
      </c>
      <c r="NV101" s="43">
        <f t="shared" si="679"/>
        <v>0</v>
      </c>
      <c r="NW101" s="8"/>
      <c r="NX101" s="47"/>
      <c r="NY101" s="48" t="s">
        <v>4</v>
      </c>
      <c r="NZ101" s="49"/>
      <c r="OA101" s="8"/>
      <c r="OB101" s="42" t="str">
        <f t="shared" si="680"/>
        <v/>
      </c>
      <c r="OC101" s="43">
        <f t="shared" si="681"/>
        <v>0</v>
      </c>
      <c r="OD101" s="8"/>
      <c r="OE101" s="47"/>
      <c r="OF101" s="48" t="s">
        <v>4</v>
      </c>
      <c r="OG101" s="49"/>
      <c r="OH101" s="8"/>
      <c r="OI101" s="42" t="str">
        <f t="shared" si="682"/>
        <v/>
      </c>
      <c r="OJ101" s="43">
        <f t="shared" si="683"/>
        <v>0</v>
      </c>
      <c r="OK101" s="8"/>
      <c r="OL101" s="47"/>
      <c r="OM101" s="48" t="s">
        <v>4</v>
      </c>
      <c r="ON101" s="49"/>
      <c r="OO101" s="8"/>
      <c r="OP101" s="42" t="str">
        <f t="shared" si="684"/>
        <v/>
      </c>
      <c r="OQ101" s="43">
        <f t="shared" si="685"/>
        <v>0</v>
      </c>
      <c r="OR101" s="8"/>
      <c r="OS101" s="47"/>
      <c r="OT101" s="48" t="s">
        <v>4</v>
      </c>
      <c r="OU101" s="49"/>
      <c r="OV101" s="8"/>
      <c r="OW101" s="42" t="str">
        <f t="shared" si="686"/>
        <v/>
      </c>
      <c r="OX101" s="43">
        <f t="shared" si="687"/>
        <v>0</v>
      </c>
      <c r="OY101" s="8"/>
      <c r="OZ101" s="47"/>
      <c r="PA101" s="48" t="s">
        <v>4</v>
      </c>
      <c r="PB101" s="49"/>
      <c r="PC101" s="8"/>
      <c r="PD101" s="42" t="str">
        <f t="shared" si="688"/>
        <v/>
      </c>
      <c r="PE101" s="43">
        <f t="shared" si="689"/>
        <v>0</v>
      </c>
      <c r="PF101" s="8"/>
      <c r="PG101" s="47"/>
      <c r="PH101" s="48" t="s">
        <v>4</v>
      </c>
      <c r="PI101" s="49"/>
      <c r="PJ101" s="8"/>
      <c r="PK101" s="42" t="str">
        <f t="shared" si="690"/>
        <v/>
      </c>
      <c r="PL101" s="43">
        <f t="shared" si="691"/>
        <v>0</v>
      </c>
      <c r="PM101" s="8"/>
      <c r="PN101" s="47"/>
      <c r="PO101" s="48" t="s">
        <v>4</v>
      </c>
      <c r="PP101" s="49"/>
      <c r="PQ101" s="8"/>
      <c r="PR101" s="42" t="str">
        <f t="shared" si="692"/>
        <v/>
      </c>
      <c r="PS101" s="43">
        <f t="shared" si="693"/>
        <v>0</v>
      </c>
      <c r="PT101" s="8"/>
      <c r="PU101" s="47"/>
      <c r="PV101" s="48" t="s">
        <v>4</v>
      </c>
      <c r="PW101" s="49"/>
      <c r="PX101" s="8"/>
      <c r="PY101" s="42" t="str">
        <f t="shared" si="694"/>
        <v/>
      </c>
      <c r="PZ101" s="43">
        <f t="shared" si="695"/>
        <v>0</v>
      </c>
      <c r="QA101" s="8"/>
      <c r="QB101" s="47"/>
      <c r="QC101" s="48" t="s">
        <v>4</v>
      </c>
      <c r="QD101" s="49"/>
      <c r="QE101" s="8"/>
      <c r="QF101" s="42" t="str">
        <f t="shared" si="696"/>
        <v/>
      </c>
      <c r="QG101" s="43">
        <f t="shared" si="697"/>
        <v>0</v>
      </c>
      <c r="QH101" s="8"/>
      <c r="QI101" s="47"/>
      <c r="QJ101" s="48" t="s">
        <v>4</v>
      </c>
      <c r="QK101" s="49"/>
      <c r="QL101" s="8"/>
      <c r="QM101" s="42" t="str">
        <f t="shared" si="698"/>
        <v/>
      </c>
      <c r="QN101" s="43">
        <f t="shared" si="699"/>
        <v>0</v>
      </c>
      <c r="QO101" s="8"/>
      <c r="QP101" s="47"/>
      <c r="QQ101" s="48" t="s">
        <v>4</v>
      </c>
      <c r="QR101" s="49"/>
      <c r="QS101" s="8"/>
      <c r="QT101" s="42" t="str">
        <f t="shared" si="700"/>
        <v/>
      </c>
      <c r="QU101" s="43">
        <f t="shared" si="701"/>
        <v>0</v>
      </c>
      <c r="QV101" s="8"/>
      <c r="QW101" s="47"/>
      <c r="QX101" s="48" t="s">
        <v>4</v>
      </c>
      <c r="QY101" s="49"/>
      <c r="QZ101" s="8"/>
      <c r="RA101" s="42" t="str">
        <f t="shared" si="702"/>
        <v/>
      </c>
      <c r="RB101" s="43">
        <f t="shared" si="703"/>
        <v>0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/>
      <c r="RL101" s="48" t="s">
        <v>4</v>
      </c>
      <c r="RM101" s="49"/>
      <c r="RN101" s="8"/>
      <c r="RO101" s="42" t="str">
        <f t="shared" si="706"/>
        <v/>
      </c>
      <c r="RP101" s="43">
        <f t="shared" si="707"/>
        <v>0</v>
      </c>
      <c r="RQ101" s="8"/>
      <c r="RR101" s="47"/>
      <c r="RS101" s="48" t="s">
        <v>4</v>
      </c>
      <c r="RT101" s="49"/>
      <c r="RU101" s="8"/>
      <c r="RV101" s="42" t="str">
        <f t="shared" si="708"/>
        <v/>
      </c>
      <c r="RW101" s="43">
        <f t="shared" si="709"/>
        <v>0</v>
      </c>
      <c r="RX101" s="8"/>
      <c r="RY101" s="47"/>
      <c r="RZ101" s="48" t="s">
        <v>4</v>
      </c>
      <c r="SA101" s="49"/>
      <c r="SB101" s="8"/>
      <c r="SC101" s="42" t="str">
        <f t="shared" si="710"/>
        <v/>
      </c>
      <c r="SD101" s="43">
        <f t="shared" si="711"/>
        <v>0</v>
      </c>
      <c r="SE101" s="8"/>
      <c r="SF101" s="47"/>
      <c r="SG101" s="48" t="s">
        <v>4</v>
      </c>
      <c r="SH101" s="49"/>
      <c r="SI101" s="8"/>
      <c r="SJ101" s="42" t="str">
        <f t="shared" si="712"/>
        <v/>
      </c>
      <c r="SK101" s="43">
        <f t="shared" si="713"/>
        <v>0</v>
      </c>
      <c r="SL101" s="8"/>
      <c r="SM101" s="47"/>
      <c r="SN101" s="48" t="s">
        <v>4</v>
      </c>
      <c r="SO101" s="49"/>
      <c r="SP101" s="8"/>
      <c r="SQ101" s="42" t="str">
        <f t="shared" si="714"/>
        <v/>
      </c>
      <c r="SR101" s="43">
        <f t="shared" si="715"/>
        <v>0</v>
      </c>
    </row>
    <row r="102" spans="1:512" ht="16" customHeight="1" x14ac:dyDescent="0.15">
      <c r="A102" s="51">
        <v>46208</v>
      </c>
      <c r="B102" s="46">
        <v>0.91666666666666663</v>
      </c>
      <c r="C102" s="82"/>
      <c r="D102" s="82"/>
      <c r="E102" s="2"/>
      <c r="F102" s="50" t="s">
        <v>4</v>
      </c>
      <c r="G102" s="1"/>
      <c r="H102" s="16">
        <v>7.6</v>
      </c>
      <c r="I102" s="32">
        <f t="shared" si="429"/>
        <v>0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/>
      <c r="AF102" s="48" t="s">
        <v>4</v>
      </c>
      <c r="AG102" s="49"/>
      <c r="AH102" s="8"/>
      <c r="AI102" s="42" t="str">
        <f t="shared" si="578"/>
        <v/>
      </c>
      <c r="AJ102" s="43">
        <f t="shared" si="579"/>
        <v>0</v>
      </c>
      <c r="AK102" s="8"/>
      <c r="AL102" s="47"/>
      <c r="AM102" s="48" t="s">
        <v>4</v>
      </c>
      <c r="AN102" s="49"/>
      <c r="AO102" s="8"/>
      <c r="AP102" s="42" t="str">
        <f t="shared" si="580"/>
        <v/>
      </c>
      <c r="AQ102" s="43">
        <f t="shared" si="581"/>
        <v>0</v>
      </c>
      <c r="AR102" s="8"/>
      <c r="AS102" s="47"/>
      <c r="AT102" s="48" t="s">
        <v>4</v>
      </c>
      <c r="AU102" s="49"/>
      <c r="AV102" s="8"/>
      <c r="AW102" s="42" t="str">
        <f t="shared" si="582"/>
        <v/>
      </c>
      <c r="AX102" s="43">
        <f t="shared" si="583"/>
        <v>0</v>
      </c>
      <c r="AY102" s="8"/>
      <c r="AZ102" s="47"/>
      <c r="BA102" s="48" t="s">
        <v>4</v>
      </c>
      <c r="BB102" s="49"/>
      <c r="BC102" s="8"/>
      <c r="BD102" s="42" t="str">
        <f t="shared" si="584"/>
        <v/>
      </c>
      <c r="BE102" s="43">
        <f t="shared" si="585"/>
        <v>0</v>
      </c>
      <c r="BF102" s="8"/>
      <c r="BG102" s="47"/>
      <c r="BH102" s="48" t="s">
        <v>4</v>
      </c>
      <c r="BI102" s="49"/>
      <c r="BJ102" s="8"/>
      <c r="BK102" s="42" t="str">
        <f t="shared" si="586"/>
        <v/>
      </c>
      <c r="BL102" s="43">
        <f t="shared" si="587"/>
        <v>0</v>
      </c>
      <c r="BM102" s="8"/>
      <c r="BN102" s="47"/>
      <c r="BO102" s="48" t="s">
        <v>4</v>
      </c>
      <c r="BP102" s="49"/>
      <c r="BQ102" s="8"/>
      <c r="BR102" s="42" t="str">
        <f t="shared" si="588"/>
        <v/>
      </c>
      <c r="BS102" s="43">
        <f t="shared" si="589"/>
        <v>0</v>
      </c>
      <c r="BT102" s="8"/>
      <c r="BU102" s="47"/>
      <c r="BV102" s="48" t="s">
        <v>4</v>
      </c>
      <c r="BW102" s="49"/>
      <c r="BX102" s="8"/>
      <c r="BY102" s="42" t="str">
        <f t="shared" si="590"/>
        <v/>
      </c>
      <c r="BZ102" s="43">
        <f t="shared" si="591"/>
        <v>0</v>
      </c>
      <c r="CA102" s="8"/>
      <c r="CB102" s="47"/>
      <c r="CC102" s="48" t="s">
        <v>4</v>
      </c>
      <c r="CD102" s="49"/>
      <c r="CE102" s="8"/>
      <c r="CF102" s="42" t="str">
        <f t="shared" si="592"/>
        <v/>
      </c>
      <c r="CG102" s="43">
        <f t="shared" si="593"/>
        <v>0</v>
      </c>
      <c r="CH102" s="8"/>
      <c r="CI102" s="47"/>
      <c r="CJ102" s="48" t="s">
        <v>4</v>
      </c>
      <c r="CK102" s="49"/>
      <c r="CL102" s="8"/>
      <c r="CM102" s="42" t="str">
        <f t="shared" si="594"/>
        <v/>
      </c>
      <c r="CN102" s="43">
        <f t="shared" si="595"/>
        <v>0</v>
      </c>
      <c r="CO102" s="8"/>
      <c r="CP102" s="47"/>
      <c r="CQ102" s="48" t="s">
        <v>4</v>
      </c>
      <c r="CR102" s="49"/>
      <c r="CS102" s="8"/>
      <c r="CT102" s="42" t="str">
        <f t="shared" si="596"/>
        <v/>
      </c>
      <c r="CU102" s="43">
        <f t="shared" si="597"/>
        <v>0</v>
      </c>
      <c r="CV102" s="8"/>
      <c r="CW102" s="47"/>
      <c r="CX102" s="48" t="s">
        <v>4</v>
      </c>
      <c r="CY102" s="49"/>
      <c r="CZ102" s="8"/>
      <c r="DA102" s="42" t="str">
        <f t="shared" si="598"/>
        <v/>
      </c>
      <c r="DB102" s="43">
        <f t="shared" si="599"/>
        <v>0</v>
      </c>
      <c r="DC102" s="8"/>
      <c r="DD102" s="47"/>
      <c r="DE102" s="48" t="s">
        <v>4</v>
      </c>
      <c r="DF102" s="49"/>
      <c r="DG102" s="8"/>
      <c r="DH102" s="42" t="str">
        <f t="shared" si="600"/>
        <v/>
      </c>
      <c r="DI102" s="43">
        <f t="shared" si="601"/>
        <v>0</v>
      </c>
      <c r="DJ102" s="8"/>
      <c r="DK102" s="47"/>
      <c r="DL102" s="48" t="s">
        <v>4</v>
      </c>
      <c r="DM102" s="49"/>
      <c r="DN102" s="8"/>
      <c r="DO102" s="42" t="str">
        <f t="shared" si="602"/>
        <v/>
      </c>
      <c r="DP102" s="43">
        <f t="shared" si="603"/>
        <v>0</v>
      </c>
      <c r="DQ102" s="8"/>
      <c r="DR102" s="47"/>
      <c r="DS102" s="48" t="s">
        <v>4</v>
      </c>
      <c r="DT102" s="49"/>
      <c r="DU102" s="8"/>
      <c r="DV102" s="42" t="str">
        <f t="shared" si="604"/>
        <v/>
      </c>
      <c r="DW102" s="43">
        <f t="shared" si="605"/>
        <v>0</v>
      </c>
      <c r="DX102" s="8"/>
      <c r="DY102" s="47"/>
      <c r="DZ102" s="48" t="s">
        <v>4</v>
      </c>
      <c r="EA102" s="49"/>
      <c r="EB102" s="8"/>
      <c r="EC102" s="42" t="str">
        <f t="shared" si="606"/>
        <v/>
      </c>
      <c r="ED102" s="43">
        <f t="shared" si="607"/>
        <v>0</v>
      </c>
      <c r="EE102" s="8"/>
      <c r="EF102" s="47"/>
      <c r="EG102" s="48" t="s">
        <v>4</v>
      </c>
      <c r="EH102" s="49"/>
      <c r="EI102" s="8"/>
      <c r="EJ102" s="42" t="str">
        <f t="shared" si="608"/>
        <v/>
      </c>
      <c r="EK102" s="43">
        <f t="shared" si="609"/>
        <v>0</v>
      </c>
      <c r="EL102" s="8"/>
      <c r="EM102" s="47"/>
      <c r="EN102" s="48" t="s">
        <v>4</v>
      </c>
      <c r="EO102" s="49"/>
      <c r="EP102" s="8"/>
      <c r="EQ102" s="42" t="str">
        <f t="shared" si="610"/>
        <v/>
      </c>
      <c r="ER102" s="43">
        <f t="shared" si="611"/>
        <v>0</v>
      </c>
      <c r="ES102" s="8"/>
      <c r="ET102" s="47"/>
      <c r="EU102" s="48" t="s">
        <v>4</v>
      </c>
      <c r="EV102" s="49"/>
      <c r="EW102" s="8"/>
      <c r="EX102" s="42" t="str">
        <f t="shared" si="612"/>
        <v/>
      </c>
      <c r="EY102" s="43">
        <f t="shared" si="613"/>
        <v>0</v>
      </c>
      <c r="EZ102" s="8"/>
      <c r="FA102" s="47"/>
      <c r="FB102" s="48" t="s">
        <v>4</v>
      </c>
      <c r="FC102" s="49"/>
      <c r="FD102" s="8"/>
      <c r="FE102" s="42" t="str">
        <f t="shared" si="614"/>
        <v/>
      </c>
      <c r="FF102" s="43">
        <f t="shared" si="615"/>
        <v>0</v>
      </c>
      <c r="FG102" s="8"/>
      <c r="FH102" s="47"/>
      <c r="FI102" s="48" t="s">
        <v>4</v>
      </c>
      <c r="FJ102" s="49"/>
      <c r="FK102" s="8"/>
      <c r="FL102" s="42" t="str">
        <f t="shared" si="616"/>
        <v/>
      </c>
      <c r="FM102" s="43">
        <f t="shared" si="617"/>
        <v>0</v>
      </c>
      <c r="FN102" s="8"/>
      <c r="FO102" s="47"/>
      <c r="FP102" s="48" t="s">
        <v>4</v>
      </c>
      <c r="FQ102" s="49"/>
      <c r="FR102" s="8"/>
      <c r="FS102" s="42" t="str">
        <f t="shared" si="618"/>
        <v/>
      </c>
      <c r="FT102" s="43">
        <f t="shared" si="619"/>
        <v>0</v>
      </c>
      <c r="FU102" s="8"/>
      <c r="FV102" s="47"/>
      <c r="FW102" s="48" t="s">
        <v>4</v>
      </c>
      <c r="FX102" s="49"/>
      <c r="FY102" s="8"/>
      <c r="FZ102" s="42" t="str">
        <f t="shared" si="620"/>
        <v/>
      </c>
      <c r="GA102" s="43">
        <f t="shared" si="621"/>
        <v>0</v>
      </c>
      <c r="GB102" s="8"/>
      <c r="GC102" s="47"/>
      <c r="GD102" s="48" t="s">
        <v>4</v>
      </c>
      <c r="GE102" s="49"/>
      <c r="GF102" s="8"/>
      <c r="GG102" s="42" t="str">
        <f t="shared" si="622"/>
        <v/>
      </c>
      <c r="GH102" s="43">
        <f t="shared" si="623"/>
        <v>0</v>
      </c>
      <c r="GI102" s="8"/>
      <c r="GJ102" s="47"/>
      <c r="GK102" s="48" t="s">
        <v>4</v>
      </c>
      <c r="GL102" s="49"/>
      <c r="GM102" s="8"/>
      <c r="GN102" s="42" t="str">
        <f t="shared" si="624"/>
        <v/>
      </c>
      <c r="GO102" s="43">
        <f t="shared" si="625"/>
        <v>0</v>
      </c>
      <c r="GP102" s="8"/>
      <c r="GQ102" s="47"/>
      <c r="GR102" s="48" t="s">
        <v>4</v>
      </c>
      <c r="GS102" s="49"/>
      <c r="GT102" s="8"/>
      <c r="GU102" s="42" t="str">
        <f t="shared" si="626"/>
        <v/>
      </c>
      <c r="GV102" s="43">
        <f t="shared" si="627"/>
        <v>0</v>
      </c>
      <c r="GW102" s="8"/>
      <c r="GX102" s="47"/>
      <c r="GY102" s="48" t="s">
        <v>4</v>
      </c>
      <c r="GZ102" s="49"/>
      <c r="HA102" s="8"/>
      <c r="HB102" s="42" t="str">
        <f t="shared" si="628"/>
        <v/>
      </c>
      <c r="HC102" s="43">
        <f t="shared" si="629"/>
        <v>0</v>
      </c>
      <c r="HD102" s="8"/>
      <c r="HE102" s="47"/>
      <c r="HF102" s="48" t="s">
        <v>4</v>
      </c>
      <c r="HG102" s="49"/>
      <c r="HH102" s="8"/>
      <c r="HI102" s="42" t="str">
        <f t="shared" si="630"/>
        <v/>
      </c>
      <c r="HJ102" s="43">
        <f t="shared" si="631"/>
        <v>0</v>
      </c>
      <c r="HK102" s="8"/>
      <c r="HL102" s="47"/>
      <c r="HM102" s="48" t="s">
        <v>4</v>
      </c>
      <c r="HN102" s="49"/>
      <c r="HO102" s="8"/>
      <c r="HP102" s="42" t="str">
        <f t="shared" si="632"/>
        <v/>
      </c>
      <c r="HQ102" s="43">
        <f t="shared" si="633"/>
        <v>0</v>
      </c>
      <c r="HR102" s="8"/>
      <c r="HS102" s="47"/>
      <c r="HT102" s="48" t="s">
        <v>4</v>
      </c>
      <c r="HU102" s="49"/>
      <c r="HV102" s="8"/>
      <c r="HW102" s="42" t="str">
        <f t="shared" si="634"/>
        <v/>
      </c>
      <c r="HX102" s="43">
        <f t="shared" si="635"/>
        <v>0</v>
      </c>
      <c r="HY102" s="8"/>
      <c r="HZ102" s="47"/>
      <c r="IA102" s="48" t="s">
        <v>4</v>
      </c>
      <c r="IB102" s="49"/>
      <c r="IC102" s="8"/>
      <c r="ID102" s="42" t="str">
        <f t="shared" si="636"/>
        <v/>
      </c>
      <c r="IE102" s="43">
        <f t="shared" si="637"/>
        <v>0</v>
      </c>
      <c r="IF102" s="8"/>
      <c r="IG102" s="47"/>
      <c r="IH102" s="48" t="s">
        <v>4</v>
      </c>
      <c r="II102" s="49"/>
      <c r="IJ102" s="8"/>
      <c r="IK102" s="42" t="str">
        <f t="shared" si="638"/>
        <v/>
      </c>
      <c r="IL102" s="43">
        <f t="shared" si="639"/>
        <v>0</v>
      </c>
      <c r="IM102" s="8"/>
      <c r="IN102" s="47"/>
      <c r="IO102" s="48" t="s">
        <v>4</v>
      </c>
      <c r="IP102" s="49"/>
      <c r="IQ102" s="8"/>
      <c r="IR102" s="42" t="str">
        <f t="shared" si="640"/>
        <v/>
      </c>
      <c r="IS102" s="43">
        <f t="shared" si="641"/>
        <v>0</v>
      </c>
      <c r="IT102" s="8"/>
      <c r="IU102" s="47"/>
      <c r="IV102" s="48" t="s">
        <v>4</v>
      </c>
      <c r="IW102" s="49"/>
      <c r="IX102" s="8"/>
      <c r="IY102" s="42" t="str">
        <f t="shared" si="642"/>
        <v/>
      </c>
      <c r="IZ102" s="43">
        <f t="shared" si="643"/>
        <v>0</v>
      </c>
      <c r="JA102" s="8"/>
      <c r="JB102" s="47"/>
      <c r="JC102" s="48" t="s">
        <v>4</v>
      </c>
      <c r="JD102" s="49"/>
      <c r="JE102" s="8"/>
      <c r="JF102" s="42" t="str">
        <f t="shared" si="644"/>
        <v/>
      </c>
      <c r="JG102" s="43">
        <f t="shared" si="645"/>
        <v>0</v>
      </c>
      <c r="JH102" s="8"/>
      <c r="JI102" s="47"/>
      <c r="JJ102" s="48" t="s">
        <v>4</v>
      </c>
      <c r="JK102" s="49"/>
      <c r="JL102" s="8"/>
      <c r="JM102" s="42" t="str">
        <f t="shared" si="646"/>
        <v/>
      </c>
      <c r="JN102" s="43">
        <f t="shared" si="647"/>
        <v>0</v>
      </c>
      <c r="JO102" s="8"/>
      <c r="JP102" s="47"/>
      <c r="JQ102" s="48" t="s">
        <v>4</v>
      </c>
      <c r="JR102" s="49"/>
      <c r="JS102" s="8"/>
      <c r="JT102" s="42" t="str">
        <f t="shared" si="648"/>
        <v/>
      </c>
      <c r="JU102" s="43">
        <f t="shared" si="649"/>
        <v>0</v>
      </c>
      <c r="JV102" s="8"/>
      <c r="JW102" s="47"/>
      <c r="JX102" s="48" t="s">
        <v>4</v>
      </c>
      <c r="JY102" s="49"/>
      <c r="JZ102" s="8"/>
      <c r="KA102" s="42" t="str">
        <f t="shared" si="650"/>
        <v/>
      </c>
      <c r="KB102" s="43">
        <f t="shared" si="651"/>
        <v>0</v>
      </c>
      <c r="KC102" s="8"/>
      <c r="KD102" s="47"/>
      <c r="KE102" s="48" t="s">
        <v>4</v>
      </c>
      <c r="KF102" s="49"/>
      <c r="KG102" s="8"/>
      <c r="KH102" s="42" t="str">
        <f t="shared" si="652"/>
        <v/>
      </c>
      <c r="KI102" s="43">
        <f t="shared" si="653"/>
        <v>0</v>
      </c>
      <c r="KJ102" s="8"/>
      <c r="KK102" s="47"/>
      <c r="KL102" s="48" t="s">
        <v>4</v>
      </c>
      <c r="KM102" s="49"/>
      <c r="KN102" s="8"/>
      <c r="KO102" s="42" t="str">
        <f t="shared" si="654"/>
        <v/>
      </c>
      <c r="KP102" s="43">
        <f t="shared" si="655"/>
        <v>0</v>
      </c>
      <c r="KQ102" s="8"/>
      <c r="KR102" s="47"/>
      <c r="KS102" s="48" t="s">
        <v>4</v>
      </c>
      <c r="KT102" s="49"/>
      <c r="KU102" s="8"/>
      <c r="KV102" s="42" t="str">
        <f t="shared" si="656"/>
        <v/>
      </c>
      <c r="KW102" s="43">
        <f t="shared" si="657"/>
        <v>0</v>
      </c>
      <c r="KX102" s="8"/>
      <c r="KY102" s="47"/>
      <c r="KZ102" s="48" t="s">
        <v>4</v>
      </c>
      <c r="LA102" s="49"/>
      <c r="LB102" s="8"/>
      <c r="LC102" s="42" t="str">
        <f t="shared" si="658"/>
        <v/>
      </c>
      <c r="LD102" s="43">
        <f t="shared" si="659"/>
        <v>0</v>
      </c>
      <c r="LE102" s="8"/>
      <c r="LF102" s="47"/>
      <c r="LG102" s="48" t="s">
        <v>4</v>
      </c>
      <c r="LH102" s="49"/>
      <c r="LI102" s="8"/>
      <c r="LJ102" s="42" t="str">
        <f t="shared" si="660"/>
        <v/>
      </c>
      <c r="LK102" s="43">
        <f t="shared" si="661"/>
        <v>0</v>
      </c>
      <c r="LL102" s="8"/>
      <c r="LM102" s="47"/>
      <c r="LN102" s="48" t="s">
        <v>4</v>
      </c>
      <c r="LO102" s="49"/>
      <c r="LP102" s="8"/>
      <c r="LQ102" s="42" t="str">
        <f t="shared" si="662"/>
        <v/>
      </c>
      <c r="LR102" s="43">
        <f t="shared" si="663"/>
        <v>0</v>
      </c>
      <c r="LS102" s="8"/>
      <c r="LT102" s="47"/>
      <c r="LU102" s="48" t="s">
        <v>4</v>
      </c>
      <c r="LV102" s="49"/>
      <c r="LW102" s="8"/>
      <c r="LX102" s="42" t="str">
        <f t="shared" si="664"/>
        <v/>
      </c>
      <c r="LY102" s="43">
        <f t="shared" si="665"/>
        <v>0</v>
      </c>
      <c r="LZ102" s="8"/>
      <c r="MA102" s="47"/>
      <c r="MB102" s="48" t="s">
        <v>4</v>
      </c>
      <c r="MC102" s="49"/>
      <c r="MD102" s="8"/>
      <c r="ME102" s="42" t="str">
        <f t="shared" si="666"/>
        <v/>
      </c>
      <c r="MF102" s="43">
        <f t="shared" si="667"/>
        <v>0</v>
      </c>
      <c r="MG102" s="8"/>
      <c r="MH102" s="47"/>
      <c r="MI102" s="48" t="s">
        <v>4</v>
      </c>
      <c r="MJ102" s="49"/>
      <c r="MK102" s="8"/>
      <c r="ML102" s="42" t="str">
        <f t="shared" si="668"/>
        <v/>
      </c>
      <c r="MM102" s="43">
        <f t="shared" si="669"/>
        <v>0</v>
      </c>
      <c r="MN102" s="8"/>
      <c r="MO102" s="47"/>
      <c r="MP102" s="48" t="s">
        <v>4</v>
      </c>
      <c r="MQ102" s="49"/>
      <c r="MR102" s="8"/>
      <c r="MS102" s="42" t="str">
        <f t="shared" si="670"/>
        <v/>
      </c>
      <c r="MT102" s="43">
        <f t="shared" si="671"/>
        <v>0</v>
      </c>
      <c r="MU102" s="8"/>
      <c r="MV102" s="47"/>
      <c r="MW102" s="48" t="s">
        <v>4</v>
      </c>
      <c r="MX102" s="49"/>
      <c r="MY102" s="8"/>
      <c r="MZ102" s="42" t="str">
        <f t="shared" si="672"/>
        <v/>
      </c>
      <c r="NA102" s="43">
        <f t="shared" si="673"/>
        <v>0</v>
      </c>
      <c r="NB102" s="8"/>
      <c r="NC102" s="47"/>
      <c r="ND102" s="48" t="s">
        <v>4</v>
      </c>
      <c r="NE102" s="49"/>
      <c r="NF102" s="8"/>
      <c r="NG102" s="42" t="str">
        <f t="shared" si="674"/>
        <v/>
      </c>
      <c r="NH102" s="43">
        <f t="shared" si="675"/>
        <v>0</v>
      </c>
      <c r="NI102" s="8"/>
      <c r="NJ102" s="47"/>
      <c r="NK102" s="48" t="s">
        <v>4</v>
      </c>
      <c r="NL102" s="49"/>
      <c r="NM102" s="8"/>
      <c r="NN102" s="42" t="str">
        <f t="shared" si="676"/>
        <v/>
      </c>
      <c r="NO102" s="43">
        <f t="shared" si="677"/>
        <v>0</v>
      </c>
      <c r="NP102" s="8"/>
      <c r="NQ102" s="47"/>
      <c r="NR102" s="48" t="s">
        <v>4</v>
      </c>
      <c r="NS102" s="49"/>
      <c r="NT102" s="8"/>
      <c r="NU102" s="42" t="str">
        <f t="shared" si="678"/>
        <v/>
      </c>
      <c r="NV102" s="43">
        <f t="shared" si="679"/>
        <v>0</v>
      </c>
      <c r="NW102" s="8"/>
      <c r="NX102" s="47"/>
      <c r="NY102" s="48" t="s">
        <v>4</v>
      </c>
      <c r="NZ102" s="49"/>
      <c r="OA102" s="8"/>
      <c r="OB102" s="42" t="str">
        <f t="shared" si="680"/>
        <v/>
      </c>
      <c r="OC102" s="43">
        <f t="shared" si="681"/>
        <v>0</v>
      </c>
      <c r="OD102" s="8"/>
      <c r="OE102" s="47"/>
      <c r="OF102" s="48" t="s">
        <v>4</v>
      </c>
      <c r="OG102" s="49"/>
      <c r="OH102" s="8"/>
      <c r="OI102" s="42" t="str">
        <f t="shared" si="682"/>
        <v/>
      </c>
      <c r="OJ102" s="43">
        <f t="shared" si="683"/>
        <v>0</v>
      </c>
      <c r="OK102" s="8"/>
      <c r="OL102" s="47"/>
      <c r="OM102" s="48" t="s">
        <v>4</v>
      </c>
      <c r="ON102" s="49"/>
      <c r="OO102" s="8"/>
      <c r="OP102" s="42" t="str">
        <f t="shared" si="684"/>
        <v/>
      </c>
      <c r="OQ102" s="43">
        <f t="shared" si="685"/>
        <v>0</v>
      </c>
      <c r="OR102" s="8"/>
      <c r="OS102" s="47"/>
      <c r="OT102" s="48" t="s">
        <v>4</v>
      </c>
      <c r="OU102" s="49"/>
      <c r="OV102" s="8"/>
      <c r="OW102" s="42" t="str">
        <f t="shared" si="686"/>
        <v/>
      </c>
      <c r="OX102" s="43">
        <f t="shared" si="687"/>
        <v>0</v>
      </c>
      <c r="OY102" s="8"/>
      <c r="OZ102" s="47"/>
      <c r="PA102" s="48" t="s">
        <v>4</v>
      </c>
      <c r="PB102" s="49"/>
      <c r="PC102" s="8"/>
      <c r="PD102" s="42" t="str">
        <f t="shared" si="688"/>
        <v/>
      </c>
      <c r="PE102" s="43">
        <f t="shared" si="689"/>
        <v>0</v>
      </c>
      <c r="PF102" s="8"/>
      <c r="PG102" s="47"/>
      <c r="PH102" s="48" t="s">
        <v>4</v>
      </c>
      <c r="PI102" s="49"/>
      <c r="PJ102" s="8"/>
      <c r="PK102" s="42" t="str">
        <f t="shared" si="690"/>
        <v/>
      </c>
      <c r="PL102" s="43">
        <f t="shared" si="691"/>
        <v>0</v>
      </c>
      <c r="PM102" s="8"/>
      <c r="PN102" s="47"/>
      <c r="PO102" s="48" t="s">
        <v>4</v>
      </c>
      <c r="PP102" s="49"/>
      <c r="PQ102" s="8"/>
      <c r="PR102" s="42" t="str">
        <f t="shared" si="692"/>
        <v/>
      </c>
      <c r="PS102" s="43">
        <f t="shared" si="693"/>
        <v>0</v>
      </c>
      <c r="PT102" s="8"/>
      <c r="PU102" s="47"/>
      <c r="PV102" s="48" t="s">
        <v>4</v>
      </c>
      <c r="PW102" s="49"/>
      <c r="PX102" s="8"/>
      <c r="PY102" s="42" t="str">
        <f t="shared" si="694"/>
        <v/>
      </c>
      <c r="PZ102" s="43">
        <f t="shared" si="695"/>
        <v>0</v>
      </c>
      <c r="QA102" s="8"/>
      <c r="QB102" s="47"/>
      <c r="QC102" s="48" t="s">
        <v>4</v>
      </c>
      <c r="QD102" s="49"/>
      <c r="QE102" s="8"/>
      <c r="QF102" s="42" t="str">
        <f t="shared" si="696"/>
        <v/>
      </c>
      <c r="QG102" s="43">
        <f t="shared" si="697"/>
        <v>0</v>
      </c>
      <c r="QH102" s="8"/>
      <c r="QI102" s="47"/>
      <c r="QJ102" s="48" t="s">
        <v>4</v>
      </c>
      <c r="QK102" s="49"/>
      <c r="QL102" s="8"/>
      <c r="QM102" s="42" t="str">
        <f t="shared" si="698"/>
        <v/>
      </c>
      <c r="QN102" s="43">
        <f t="shared" si="699"/>
        <v>0</v>
      </c>
      <c r="QO102" s="8"/>
      <c r="QP102" s="47"/>
      <c r="QQ102" s="48" t="s">
        <v>4</v>
      </c>
      <c r="QR102" s="49"/>
      <c r="QS102" s="8"/>
      <c r="QT102" s="42" t="str">
        <f t="shared" si="700"/>
        <v/>
      </c>
      <c r="QU102" s="43">
        <f t="shared" si="701"/>
        <v>0</v>
      </c>
      <c r="QV102" s="8"/>
      <c r="QW102" s="47"/>
      <c r="QX102" s="48" t="s">
        <v>4</v>
      </c>
      <c r="QY102" s="49"/>
      <c r="QZ102" s="8"/>
      <c r="RA102" s="42" t="str">
        <f t="shared" si="702"/>
        <v/>
      </c>
      <c r="RB102" s="43">
        <f t="shared" si="703"/>
        <v>0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/>
      <c r="RL102" s="48" t="s">
        <v>4</v>
      </c>
      <c r="RM102" s="49"/>
      <c r="RN102" s="8"/>
      <c r="RO102" s="42" t="str">
        <f t="shared" si="706"/>
        <v/>
      </c>
      <c r="RP102" s="43">
        <f t="shared" si="707"/>
        <v>0</v>
      </c>
      <c r="RQ102" s="8"/>
      <c r="RR102" s="47"/>
      <c r="RS102" s="48" t="s">
        <v>4</v>
      </c>
      <c r="RT102" s="49"/>
      <c r="RU102" s="8"/>
      <c r="RV102" s="42" t="str">
        <f t="shared" si="708"/>
        <v/>
      </c>
      <c r="RW102" s="43">
        <f t="shared" si="709"/>
        <v>0</v>
      </c>
      <c r="RX102" s="8"/>
      <c r="RY102" s="47"/>
      <c r="RZ102" s="48" t="s">
        <v>4</v>
      </c>
      <c r="SA102" s="49"/>
      <c r="SB102" s="8"/>
      <c r="SC102" s="42" t="str">
        <f t="shared" si="710"/>
        <v/>
      </c>
      <c r="SD102" s="43">
        <f t="shared" si="711"/>
        <v>0</v>
      </c>
      <c r="SE102" s="8"/>
      <c r="SF102" s="47"/>
      <c r="SG102" s="48" t="s">
        <v>4</v>
      </c>
      <c r="SH102" s="49"/>
      <c r="SI102" s="8"/>
      <c r="SJ102" s="42" t="str">
        <f t="shared" si="712"/>
        <v/>
      </c>
      <c r="SK102" s="43">
        <f t="shared" si="713"/>
        <v>0</v>
      </c>
      <c r="SL102" s="8"/>
      <c r="SM102" s="47"/>
      <c r="SN102" s="48" t="s">
        <v>4</v>
      </c>
      <c r="SO102" s="49"/>
      <c r="SP102" s="8"/>
      <c r="SQ102" s="42" t="str">
        <f t="shared" si="714"/>
        <v/>
      </c>
      <c r="SR102" s="43">
        <f t="shared" si="715"/>
        <v>0</v>
      </c>
    </row>
    <row r="103" spans="1:512" ht="16" customHeight="1" x14ac:dyDescent="0.15">
      <c r="A103" s="51">
        <v>46209</v>
      </c>
      <c r="B103" s="46">
        <v>8.3333333333333329E-2</v>
      </c>
      <c r="C103" s="82"/>
      <c r="D103" s="83"/>
      <c r="E103" s="2"/>
      <c r="F103" s="50" t="s">
        <v>4</v>
      </c>
      <c r="G103" s="1"/>
      <c r="H103" s="16">
        <v>8</v>
      </c>
      <c r="I103" s="32">
        <f t="shared" si="429"/>
        <v>0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/>
      <c r="AF103" s="48" t="s">
        <v>4</v>
      </c>
      <c r="AG103" s="49"/>
      <c r="AH103" s="8"/>
      <c r="AI103" s="42" t="str">
        <f t="shared" si="578"/>
        <v/>
      </c>
      <c r="AJ103" s="43">
        <f t="shared" si="579"/>
        <v>0</v>
      </c>
      <c r="AK103" s="8"/>
      <c r="AL103" s="47"/>
      <c r="AM103" s="48" t="s">
        <v>4</v>
      </c>
      <c r="AN103" s="49"/>
      <c r="AO103" s="8"/>
      <c r="AP103" s="42" t="str">
        <f t="shared" si="580"/>
        <v/>
      </c>
      <c r="AQ103" s="43">
        <f t="shared" si="581"/>
        <v>0</v>
      </c>
      <c r="AR103" s="8"/>
      <c r="AS103" s="47"/>
      <c r="AT103" s="48" t="s">
        <v>4</v>
      </c>
      <c r="AU103" s="49"/>
      <c r="AV103" s="8"/>
      <c r="AW103" s="42" t="str">
        <f t="shared" si="582"/>
        <v/>
      </c>
      <c r="AX103" s="43">
        <f t="shared" si="583"/>
        <v>0</v>
      </c>
      <c r="AY103" s="8"/>
      <c r="AZ103" s="47"/>
      <c r="BA103" s="48" t="s">
        <v>4</v>
      </c>
      <c r="BB103" s="49"/>
      <c r="BC103" s="8"/>
      <c r="BD103" s="42" t="str">
        <f t="shared" si="584"/>
        <v/>
      </c>
      <c r="BE103" s="43">
        <f t="shared" si="585"/>
        <v>0</v>
      </c>
      <c r="BF103" s="8"/>
      <c r="BG103" s="47"/>
      <c r="BH103" s="48" t="s">
        <v>4</v>
      </c>
      <c r="BI103" s="49"/>
      <c r="BJ103" s="8"/>
      <c r="BK103" s="42" t="str">
        <f t="shared" si="586"/>
        <v/>
      </c>
      <c r="BL103" s="43">
        <f t="shared" si="587"/>
        <v>0</v>
      </c>
      <c r="BM103" s="8"/>
      <c r="BN103" s="47"/>
      <c r="BO103" s="48" t="s">
        <v>4</v>
      </c>
      <c r="BP103" s="49"/>
      <c r="BQ103" s="8"/>
      <c r="BR103" s="42" t="str">
        <f t="shared" si="588"/>
        <v/>
      </c>
      <c r="BS103" s="43">
        <f t="shared" si="589"/>
        <v>0</v>
      </c>
      <c r="BT103" s="8"/>
      <c r="BU103" s="47"/>
      <c r="BV103" s="48" t="s">
        <v>4</v>
      </c>
      <c r="BW103" s="49"/>
      <c r="BX103" s="8"/>
      <c r="BY103" s="42" t="str">
        <f t="shared" si="590"/>
        <v/>
      </c>
      <c r="BZ103" s="43">
        <f t="shared" si="591"/>
        <v>0</v>
      </c>
      <c r="CA103" s="8"/>
      <c r="CB103" s="47"/>
      <c r="CC103" s="48" t="s">
        <v>4</v>
      </c>
      <c r="CD103" s="49"/>
      <c r="CE103" s="8"/>
      <c r="CF103" s="42" t="str">
        <f t="shared" si="592"/>
        <v/>
      </c>
      <c r="CG103" s="43">
        <f t="shared" si="593"/>
        <v>0</v>
      </c>
      <c r="CH103" s="8"/>
      <c r="CI103" s="47"/>
      <c r="CJ103" s="48" t="s">
        <v>4</v>
      </c>
      <c r="CK103" s="49"/>
      <c r="CL103" s="8"/>
      <c r="CM103" s="42" t="str">
        <f t="shared" si="594"/>
        <v/>
      </c>
      <c r="CN103" s="43">
        <f t="shared" si="595"/>
        <v>0</v>
      </c>
      <c r="CO103" s="8"/>
      <c r="CP103" s="47"/>
      <c r="CQ103" s="48" t="s">
        <v>4</v>
      </c>
      <c r="CR103" s="49"/>
      <c r="CS103" s="8"/>
      <c r="CT103" s="42" t="str">
        <f t="shared" si="596"/>
        <v/>
      </c>
      <c r="CU103" s="43">
        <f t="shared" si="597"/>
        <v>0</v>
      </c>
      <c r="CV103" s="8"/>
      <c r="CW103" s="47"/>
      <c r="CX103" s="48" t="s">
        <v>4</v>
      </c>
      <c r="CY103" s="49"/>
      <c r="CZ103" s="8"/>
      <c r="DA103" s="42" t="str">
        <f t="shared" si="598"/>
        <v/>
      </c>
      <c r="DB103" s="43">
        <f t="shared" si="599"/>
        <v>0</v>
      </c>
      <c r="DC103" s="8"/>
      <c r="DD103" s="47"/>
      <c r="DE103" s="48" t="s">
        <v>4</v>
      </c>
      <c r="DF103" s="49"/>
      <c r="DG103" s="8"/>
      <c r="DH103" s="42" t="str">
        <f t="shared" si="600"/>
        <v/>
      </c>
      <c r="DI103" s="43">
        <f t="shared" si="601"/>
        <v>0</v>
      </c>
      <c r="DJ103" s="8"/>
      <c r="DK103" s="47"/>
      <c r="DL103" s="48" t="s">
        <v>4</v>
      </c>
      <c r="DM103" s="49"/>
      <c r="DN103" s="8"/>
      <c r="DO103" s="42" t="str">
        <f t="shared" si="602"/>
        <v/>
      </c>
      <c r="DP103" s="43">
        <f t="shared" si="603"/>
        <v>0</v>
      </c>
      <c r="DQ103" s="8"/>
      <c r="DR103" s="47"/>
      <c r="DS103" s="48" t="s">
        <v>4</v>
      </c>
      <c r="DT103" s="49"/>
      <c r="DU103" s="8"/>
      <c r="DV103" s="42" t="str">
        <f t="shared" si="604"/>
        <v/>
      </c>
      <c r="DW103" s="43">
        <f t="shared" si="605"/>
        <v>0</v>
      </c>
      <c r="DX103" s="8"/>
      <c r="DY103" s="47"/>
      <c r="DZ103" s="48" t="s">
        <v>4</v>
      </c>
      <c r="EA103" s="49"/>
      <c r="EB103" s="8"/>
      <c r="EC103" s="42" t="str">
        <f t="shared" si="606"/>
        <v/>
      </c>
      <c r="ED103" s="43">
        <f t="shared" si="607"/>
        <v>0</v>
      </c>
      <c r="EE103" s="8"/>
      <c r="EF103" s="47"/>
      <c r="EG103" s="48" t="s">
        <v>4</v>
      </c>
      <c r="EH103" s="49"/>
      <c r="EI103" s="8"/>
      <c r="EJ103" s="42" t="str">
        <f t="shared" si="608"/>
        <v/>
      </c>
      <c r="EK103" s="43">
        <f t="shared" si="609"/>
        <v>0</v>
      </c>
      <c r="EL103" s="8"/>
      <c r="EM103" s="47"/>
      <c r="EN103" s="48" t="s">
        <v>4</v>
      </c>
      <c r="EO103" s="49"/>
      <c r="EP103" s="8"/>
      <c r="EQ103" s="42" t="str">
        <f t="shared" si="610"/>
        <v/>
      </c>
      <c r="ER103" s="43">
        <f t="shared" si="611"/>
        <v>0</v>
      </c>
      <c r="ES103" s="8"/>
      <c r="ET103" s="47"/>
      <c r="EU103" s="48" t="s">
        <v>4</v>
      </c>
      <c r="EV103" s="49"/>
      <c r="EW103" s="8"/>
      <c r="EX103" s="42" t="str">
        <f t="shared" si="612"/>
        <v/>
      </c>
      <c r="EY103" s="43">
        <f t="shared" si="613"/>
        <v>0</v>
      </c>
      <c r="EZ103" s="8"/>
      <c r="FA103" s="47"/>
      <c r="FB103" s="48" t="s">
        <v>4</v>
      </c>
      <c r="FC103" s="49"/>
      <c r="FD103" s="8"/>
      <c r="FE103" s="42" t="str">
        <f t="shared" si="614"/>
        <v/>
      </c>
      <c r="FF103" s="43">
        <f t="shared" si="615"/>
        <v>0</v>
      </c>
      <c r="FG103" s="8"/>
      <c r="FH103" s="47"/>
      <c r="FI103" s="48" t="s">
        <v>4</v>
      </c>
      <c r="FJ103" s="49"/>
      <c r="FK103" s="8"/>
      <c r="FL103" s="42" t="str">
        <f t="shared" si="616"/>
        <v/>
      </c>
      <c r="FM103" s="43">
        <f t="shared" si="617"/>
        <v>0</v>
      </c>
      <c r="FN103" s="8"/>
      <c r="FO103" s="47"/>
      <c r="FP103" s="48" t="s">
        <v>4</v>
      </c>
      <c r="FQ103" s="49"/>
      <c r="FR103" s="8"/>
      <c r="FS103" s="42" t="str">
        <f t="shared" si="618"/>
        <v/>
      </c>
      <c r="FT103" s="43">
        <f t="shared" si="619"/>
        <v>0</v>
      </c>
      <c r="FU103" s="8"/>
      <c r="FV103" s="47"/>
      <c r="FW103" s="48" t="s">
        <v>4</v>
      </c>
      <c r="FX103" s="49"/>
      <c r="FY103" s="8"/>
      <c r="FZ103" s="42" t="str">
        <f t="shared" si="620"/>
        <v/>
      </c>
      <c r="GA103" s="43">
        <f t="shared" si="621"/>
        <v>0</v>
      </c>
      <c r="GB103" s="8"/>
      <c r="GC103" s="47"/>
      <c r="GD103" s="48" t="s">
        <v>4</v>
      </c>
      <c r="GE103" s="49"/>
      <c r="GF103" s="8"/>
      <c r="GG103" s="42" t="str">
        <f t="shared" si="622"/>
        <v/>
      </c>
      <c r="GH103" s="43">
        <f t="shared" si="623"/>
        <v>0</v>
      </c>
      <c r="GI103" s="8"/>
      <c r="GJ103" s="47"/>
      <c r="GK103" s="48" t="s">
        <v>4</v>
      </c>
      <c r="GL103" s="49"/>
      <c r="GM103" s="8"/>
      <c r="GN103" s="42" t="str">
        <f t="shared" si="624"/>
        <v/>
      </c>
      <c r="GO103" s="43">
        <f t="shared" si="625"/>
        <v>0</v>
      </c>
      <c r="GP103" s="8"/>
      <c r="GQ103" s="47"/>
      <c r="GR103" s="48" t="s">
        <v>4</v>
      </c>
      <c r="GS103" s="49"/>
      <c r="GT103" s="8"/>
      <c r="GU103" s="42" t="str">
        <f t="shared" si="626"/>
        <v/>
      </c>
      <c r="GV103" s="43">
        <f t="shared" si="627"/>
        <v>0</v>
      </c>
      <c r="GW103" s="8"/>
      <c r="GX103" s="47"/>
      <c r="GY103" s="48" t="s">
        <v>4</v>
      </c>
      <c r="GZ103" s="49"/>
      <c r="HA103" s="8"/>
      <c r="HB103" s="42" t="str">
        <f t="shared" si="628"/>
        <v/>
      </c>
      <c r="HC103" s="43">
        <f t="shared" si="629"/>
        <v>0</v>
      </c>
      <c r="HD103" s="8"/>
      <c r="HE103" s="47"/>
      <c r="HF103" s="48" t="s">
        <v>4</v>
      </c>
      <c r="HG103" s="49"/>
      <c r="HH103" s="8"/>
      <c r="HI103" s="42" t="str">
        <f t="shared" si="630"/>
        <v/>
      </c>
      <c r="HJ103" s="43">
        <f t="shared" si="631"/>
        <v>0</v>
      </c>
      <c r="HK103" s="8"/>
      <c r="HL103" s="47"/>
      <c r="HM103" s="48" t="s">
        <v>4</v>
      </c>
      <c r="HN103" s="49"/>
      <c r="HO103" s="8"/>
      <c r="HP103" s="42" t="str">
        <f t="shared" si="632"/>
        <v/>
      </c>
      <c r="HQ103" s="43">
        <f t="shared" si="633"/>
        <v>0</v>
      </c>
      <c r="HR103" s="8"/>
      <c r="HS103" s="47"/>
      <c r="HT103" s="48" t="s">
        <v>4</v>
      </c>
      <c r="HU103" s="49"/>
      <c r="HV103" s="8"/>
      <c r="HW103" s="42" t="str">
        <f t="shared" si="634"/>
        <v/>
      </c>
      <c r="HX103" s="43">
        <f t="shared" si="635"/>
        <v>0</v>
      </c>
      <c r="HY103" s="8"/>
      <c r="HZ103" s="47"/>
      <c r="IA103" s="48" t="s">
        <v>4</v>
      </c>
      <c r="IB103" s="49"/>
      <c r="IC103" s="8"/>
      <c r="ID103" s="42" t="str">
        <f t="shared" si="636"/>
        <v/>
      </c>
      <c r="IE103" s="43">
        <f t="shared" si="637"/>
        <v>0</v>
      </c>
      <c r="IF103" s="8"/>
      <c r="IG103" s="47"/>
      <c r="IH103" s="48" t="s">
        <v>4</v>
      </c>
      <c r="II103" s="49"/>
      <c r="IJ103" s="8"/>
      <c r="IK103" s="42" t="str">
        <f t="shared" si="638"/>
        <v/>
      </c>
      <c r="IL103" s="43">
        <f t="shared" si="639"/>
        <v>0</v>
      </c>
      <c r="IM103" s="8"/>
      <c r="IN103" s="47"/>
      <c r="IO103" s="48" t="s">
        <v>4</v>
      </c>
      <c r="IP103" s="49"/>
      <c r="IQ103" s="8"/>
      <c r="IR103" s="42" t="str">
        <f t="shared" si="640"/>
        <v/>
      </c>
      <c r="IS103" s="43">
        <f t="shared" si="641"/>
        <v>0</v>
      </c>
      <c r="IT103" s="8"/>
      <c r="IU103" s="47"/>
      <c r="IV103" s="48" t="s">
        <v>4</v>
      </c>
      <c r="IW103" s="49"/>
      <c r="IX103" s="8"/>
      <c r="IY103" s="42" t="str">
        <f t="shared" si="642"/>
        <v/>
      </c>
      <c r="IZ103" s="43">
        <f t="shared" si="643"/>
        <v>0</v>
      </c>
      <c r="JA103" s="8"/>
      <c r="JB103" s="47"/>
      <c r="JC103" s="48" t="s">
        <v>4</v>
      </c>
      <c r="JD103" s="49"/>
      <c r="JE103" s="8"/>
      <c r="JF103" s="42" t="str">
        <f t="shared" si="644"/>
        <v/>
      </c>
      <c r="JG103" s="43">
        <f t="shared" si="645"/>
        <v>0</v>
      </c>
      <c r="JH103" s="8"/>
      <c r="JI103" s="47"/>
      <c r="JJ103" s="48" t="s">
        <v>4</v>
      </c>
      <c r="JK103" s="49"/>
      <c r="JL103" s="8"/>
      <c r="JM103" s="42" t="str">
        <f t="shared" si="646"/>
        <v/>
      </c>
      <c r="JN103" s="43">
        <f t="shared" si="647"/>
        <v>0</v>
      </c>
      <c r="JO103" s="8"/>
      <c r="JP103" s="47"/>
      <c r="JQ103" s="48" t="s">
        <v>4</v>
      </c>
      <c r="JR103" s="49"/>
      <c r="JS103" s="8"/>
      <c r="JT103" s="42" t="str">
        <f t="shared" si="648"/>
        <v/>
      </c>
      <c r="JU103" s="43">
        <f t="shared" si="649"/>
        <v>0</v>
      </c>
      <c r="JV103" s="8"/>
      <c r="JW103" s="47"/>
      <c r="JX103" s="48" t="s">
        <v>4</v>
      </c>
      <c r="JY103" s="49"/>
      <c r="JZ103" s="8"/>
      <c r="KA103" s="42" t="str">
        <f t="shared" si="650"/>
        <v/>
      </c>
      <c r="KB103" s="43">
        <f t="shared" si="651"/>
        <v>0</v>
      </c>
      <c r="KC103" s="8"/>
      <c r="KD103" s="47"/>
      <c r="KE103" s="48" t="s">
        <v>4</v>
      </c>
      <c r="KF103" s="49"/>
      <c r="KG103" s="8"/>
      <c r="KH103" s="42" t="str">
        <f t="shared" si="652"/>
        <v/>
      </c>
      <c r="KI103" s="43">
        <f t="shared" si="653"/>
        <v>0</v>
      </c>
      <c r="KJ103" s="8"/>
      <c r="KK103" s="47"/>
      <c r="KL103" s="48" t="s">
        <v>4</v>
      </c>
      <c r="KM103" s="49"/>
      <c r="KN103" s="8"/>
      <c r="KO103" s="42" t="str">
        <f t="shared" si="654"/>
        <v/>
      </c>
      <c r="KP103" s="43">
        <f t="shared" si="655"/>
        <v>0</v>
      </c>
      <c r="KQ103" s="8"/>
      <c r="KR103" s="47"/>
      <c r="KS103" s="48" t="s">
        <v>4</v>
      </c>
      <c r="KT103" s="49"/>
      <c r="KU103" s="8"/>
      <c r="KV103" s="42" t="str">
        <f t="shared" si="656"/>
        <v/>
      </c>
      <c r="KW103" s="43">
        <f t="shared" si="657"/>
        <v>0</v>
      </c>
      <c r="KX103" s="8"/>
      <c r="KY103" s="47"/>
      <c r="KZ103" s="48" t="s">
        <v>4</v>
      </c>
      <c r="LA103" s="49"/>
      <c r="LB103" s="8"/>
      <c r="LC103" s="42" t="str">
        <f t="shared" si="658"/>
        <v/>
      </c>
      <c r="LD103" s="43">
        <f t="shared" si="659"/>
        <v>0</v>
      </c>
      <c r="LE103" s="8"/>
      <c r="LF103" s="47"/>
      <c r="LG103" s="48" t="s">
        <v>4</v>
      </c>
      <c r="LH103" s="49"/>
      <c r="LI103" s="8"/>
      <c r="LJ103" s="42" t="str">
        <f t="shared" si="660"/>
        <v/>
      </c>
      <c r="LK103" s="43">
        <f t="shared" si="661"/>
        <v>0</v>
      </c>
      <c r="LL103" s="8"/>
      <c r="LM103" s="47"/>
      <c r="LN103" s="48" t="s">
        <v>4</v>
      </c>
      <c r="LO103" s="49"/>
      <c r="LP103" s="8"/>
      <c r="LQ103" s="42" t="str">
        <f t="shared" si="662"/>
        <v/>
      </c>
      <c r="LR103" s="43">
        <f t="shared" si="663"/>
        <v>0</v>
      </c>
      <c r="LS103" s="8"/>
      <c r="LT103" s="47"/>
      <c r="LU103" s="48" t="s">
        <v>4</v>
      </c>
      <c r="LV103" s="49"/>
      <c r="LW103" s="8"/>
      <c r="LX103" s="42" t="str">
        <f t="shared" si="664"/>
        <v/>
      </c>
      <c r="LY103" s="43">
        <f t="shared" si="665"/>
        <v>0</v>
      </c>
      <c r="LZ103" s="8"/>
      <c r="MA103" s="47"/>
      <c r="MB103" s="48" t="s">
        <v>4</v>
      </c>
      <c r="MC103" s="49"/>
      <c r="MD103" s="8"/>
      <c r="ME103" s="42" t="str">
        <f t="shared" si="666"/>
        <v/>
      </c>
      <c r="MF103" s="43">
        <f t="shared" si="667"/>
        <v>0</v>
      </c>
      <c r="MG103" s="8"/>
      <c r="MH103" s="47"/>
      <c r="MI103" s="48" t="s">
        <v>4</v>
      </c>
      <c r="MJ103" s="49"/>
      <c r="MK103" s="8"/>
      <c r="ML103" s="42" t="str">
        <f t="shared" si="668"/>
        <v/>
      </c>
      <c r="MM103" s="43">
        <f t="shared" si="669"/>
        <v>0</v>
      </c>
      <c r="MN103" s="8"/>
      <c r="MO103" s="47"/>
      <c r="MP103" s="48" t="s">
        <v>4</v>
      </c>
      <c r="MQ103" s="49"/>
      <c r="MR103" s="8"/>
      <c r="MS103" s="42" t="str">
        <f t="shared" si="670"/>
        <v/>
      </c>
      <c r="MT103" s="43">
        <f t="shared" si="671"/>
        <v>0</v>
      </c>
      <c r="MU103" s="8"/>
      <c r="MV103" s="47"/>
      <c r="MW103" s="48" t="s">
        <v>4</v>
      </c>
      <c r="MX103" s="49"/>
      <c r="MY103" s="8"/>
      <c r="MZ103" s="42" t="str">
        <f t="shared" si="672"/>
        <v/>
      </c>
      <c r="NA103" s="43">
        <f t="shared" si="673"/>
        <v>0</v>
      </c>
      <c r="NB103" s="8"/>
      <c r="NC103" s="47"/>
      <c r="ND103" s="48" t="s">
        <v>4</v>
      </c>
      <c r="NE103" s="49"/>
      <c r="NF103" s="8"/>
      <c r="NG103" s="42" t="str">
        <f t="shared" si="674"/>
        <v/>
      </c>
      <c r="NH103" s="43">
        <f t="shared" si="675"/>
        <v>0</v>
      </c>
      <c r="NI103" s="8"/>
      <c r="NJ103" s="47"/>
      <c r="NK103" s="48" t="s">
        <v>4</v>
      </c>
      <c r="NL103" s="49"/>
      <c r="NM103" s="8"/>
      <c r="NN103" s="42" t="str">
        <f t="shared" si="676"/>
        <v/>
      </c>
      <c r="NO103" s="43">
        <f t="shared" si="677"/>
        <v>0</v>
      </c>
      <c r="NP103" s="8"/>
      <c r="NQ103" s="47"/>
      <c r="NR103" s="48" t="s">
        <v>4</v>
      </c>
      <c r="NS103" s="49"/>
      <c r="NT103" s="8"/>
      <c r="NU103" s="42" t="str">
        <f t="shared" si="678"/>
        <v/>
      </c>
      <c r="NV103" s="43">
        <f t="shared" si="679"/>
        <v>0</v>
      </c>
      <c r="NW103" s="8"/>
      <c r="NX103" s="47"/>
      <c r="NY103" s="48" t="s">
        <v>4</v>
      </c>
      <c r="NZ103" s="49"/>
      <c r="OA103" s="8"/>
      <c r="OB103" s="42" t="str">
        <f t="shared" si="680"/>
        <v/>
      </c>
      <c r="OC103" s="43">
        <f t="shared" si="681"/>
        <v>0</v>
      </c>
      <c r="OD103" s="8"/>
      <c r="OE103" s="47"/>
      <c r="OF103" s="48" t="s">
        <v>4</v>
      </c>
      <c r="OG103" s="49"/>
      <c r="OH103" s="8"/>
      <c r="OI103" s="42" t="str">
        <f t="shared" si="682"/>
        <v/>
      </c>
      <c r="OJ103" s="43">
        <f t="shared" si="683"/>
        <v>0</v>
      </c>
      <c r="OK103" s="8"/>
      <c r="OL103" s="47"/>
      <c r="OM103" s="48" t="s">
        <v>4</v>
      </c>
      <c r="ON103" s="49"/>
      <c r="OO103" s="8"/>
      <c r="OP103" s="42" t="str">
        <f t="shared" si="684"/>
        <v/>
      </c>
      <c r="OQ103" s="43">
        <f t="shared" si="685"/>
        <v>0</v>
      </c>
      <c r="OR103" s="8"/>
      <c r="OS103" s="47"/>
      <c r="OT103" s="48" t="s">
        <v>4</v>
      </c>
      <c r="OU103" s="49"/>
      <c r="OV103" s="8"/>
      <c r="OW103" s="42" t="str">
        <f t="shared" si="686"/>
        <v/>
      </c>
      <c r="OX103" s="43">
        <f t="shared" si="687"/>
        <v>0</v>
      </c>
      <c r="OY103" s="8"/>
      <c r="OZ103" s="47"/>
      <c r="PA103" s="48" t="s">
        <v>4</v>
      </c>
      <c r="PB103" s="49"/>
      <c r="PC103" s="8"/>
      <c r="PD103" s="42" t="str">
        <f t="shared" si="688"/>
        <v/>
      </c>
      <c r="PE103" s="43">
        <f t="shared" si="689"/>
        <v>0</v>
      </c>
      <c r="PF103" s="8"/>
      <c r="PG103" s="47"/>
      <c r="PH103" s="48" t="s">
        <v>4</v>
      </c>
      <c r="PI103" s="49"/>
      <c r="PJ103" s="8"/>
      <c r="PK103" s="42" t="str">
        <f t="shared" si="690"/>
        <v/>
      </c>
      <c r="PL103" s="43">
        <f t="shared" si="691"/>
        <v>0</v>
      </c>
      <c r="PM103" s="8"/>
      <c r="PN103" s="47"/>
      <c r="PO103" s="48" t="s">
        <v>4</v>
      </c>
      <c r="PP103" s="49"/>
      <c r="PQ103" s="8"/>
      <c r="PR103" s="42" t="str">
        <f t="shared" si="692"/>
        <v/>
      </c>
      <c r="PS103" s="43">
        <f t="shared" si="693"/>
        <v>0</v>
      </c>
      <c r="PT103" s="8"/>
      <c r="PU103" s="47"/>
      <c r="PV103" s="48" t="s">
        <v>4</v>
      </c>
      <c r="PW103" s="49"/>
      <c r="PX103" s="8"/>
      <c r="PY103" s="42" t="str">
        <f t="shared" si="694"/>
        <v/>
      </c>
      <c r="PZ103" s="43">
        <f t="shared" si="695"/>
        <v>0</v>
      </c>
      <c r="QA103" s="8"/>
      <c r="QB103" s="47"/>
      <c r="QC103" s="48" t="s">
        <v>4</v>
      </c>
      <c r="QD103" s="49"/>
      <c r="QE103" s="8"/>
      <c r="QF103" s="42" t="str">
        <f t="shared" si="696"/>
        <v/>
      </c>
      <c r="QG103" s="43">
        <f t="shared" si="697"/>
        <v>0</v>
      </c>
      <c r="QH103" s="8"/>
      <c r="QI103" s="47"/>
      <c r="QJ103" s="48" t="s">
        <v>4</v>
      </c>
      <c r="QK103" s="49"/>
      <c r="QL103" s="8"/>
      <c r="QM103" s="42" t="str">
        <f t="shared" si="698"/>
        <v/>
      </c>
      <c r="QN103" s="43">
        <f t="shared" si="699"/>
        <v>0</v>
      </c>
      <c r="QO103" s="8"/>
      <c r="QP103" s="47"/>
      <c r="QQ103" s="48" t="s">
        <v>4</v>
      </c>
      <c r="QR103" s="49"/>
      <c r="QS103" s="8"/>
      <c r="QT103" s="42" t="str">
        <f t="shared" si="700"/>
        <v/>
      </c>
      <c r="QU103" s="43">
        <f t="shared" si="701"/>
        <v>0</v>
      </c>
      <c r="QV103" s="8"/>
      <c r="QW103" s="47"/>
      <c r="QX103" s="48" t="s">
        <v>4</v>
      </c>
      <c r="QY103" s="49"/>
      <c r="QZ103" s="8"/>
      <c r="RA103" s="42" t="str">
        <f t="shared" si="702"/>
        <v/>
      </c>
      <c r="RB103" s="43">
        <f t="shared" si="703"/>
        <v>0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/>
      <c r="RL103" s="48" t="s">
        <v>4</v>
      </c>
      <c r="RM103" s="49"/>
      <c r="RN103" s="8"/>
      <c r="RO103" s="42" t="str">
        <f t="shared" si="706"/>
        <v/>
      </c>
      <c r="RP103" s="43">
        <f t="shared" si="707"/>
        <v>0</v>
      </c>
      <c r="RQ103" s="8"/>
      <c r="RR103" s="47"/>
      <c r="RS103" s="48" t="s">
        <v>4</v>
      </c>
      <c r="RT103" s="49"/>
      <c r="RU103" s="8"/>
      <c r="RV103" s="42" t="str">
        <f t="shared" si="708"/>
        <v/>
      </c>
      <c r="RW103" s="43">
        <f t="shared" si="709"/>
        <v>0</v>
      </c>
      <c r="RX103" s="8"/>
      <c r="RY103" s="47"/>
      <c r="RZ103" s="48" t="s">
        <v>4</v>
      </c>
      <c r="SA103" s="49"/>
      <c r="SB103" s="8"/>
      <c r="SC103" s="42" t="str">
        <f t="shared" si="710"/>
        <v/>
      </c>
      <c r="SD103" s="43">
        <f t="shared" si="711"/>
        <v>0</v>
      </c>
      <c r="SE103" s="8"/>
      <c r="SF103" s="47"/>
      <c r="SG103" s="48" t="s">
        <v>4</v>
      </c>
      <c r="SH103" s="49"/>
      <c r="SI103" s="8"/>
      <c r="SJ103" s="42" t="str">
        <f t="shared" si="712"/>
        <v/>
      </c>
      <c r="SK103" s="43">
        <f t="shared" si="713"/>
        <v>0</v>
      </c>
      <c r="SL103" s="8"/>
      <c r="SM103" s="47"/>
      <c r="SN103" s="48" t="s">
        <v>4</v>
      </c>
      <c r="SO103" s="49"/>
      <c r="SP103" s="8"/>
      <c r="SQ103" s="42" t="str">
        <f t="shared" si="714"/>
        <v/>
      </c>
      <c r="SR103" s="43">
        <f t="shared" si="715"/>
        <v>0</v>
      </c>
    </row>
    <row r="104" spans="1:512" ht="16" customHeight="1" x14ac:dyDescent="0.15">
      <c r="A104" s="51">
        <v>46209</v>
      </c>
      <c r="B104" s="46">
        <v>0.875</v>
      </c>
      <c r="C104" s="82"/>
      <c r="D104" s="82"/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/>
      <c r="AF104" s="48" t="s">
        <v>4</v>
      </c>
      <c r="AG104" s="49"/>
      <c r="AH104" s="8"/>
      <c r="AI104" s="42" t="str">
        <f t="shared" si="578"/>
        <v/>
      </c>
      <c r="AJ104" s="43">
        <f t="shared" si="579"/>
        <v>0</v>
      </c>
      <c r="AK104" s="8"/>
      <c r="AL104" s="47"/>
      <c r="AM104" s="48" t="s">
        <v>4</v>
      </c>
      <c r="AN104" s="49"/>
      <c r="AO104" s="8"/>
      <c r="AP104" s="42" t="str">
        <f t="shared" si="580"/>
        <v/>
      </c>
      <c r="AQ104" s="43">
        <f t="shared" si="581"/>
        <v>0</v>
      </c>
      <c r="AR104" s="8"/>
      <c r="AS104" s="47"/>
      <c r="AT104" s="48" t="s">
        <v>4</v>
      </c>
      <c r="AU104" s="49"/>
      <c r="AV104" s="8"/>
      <c r="AW104" s="42" t="str">
        <f t="shared" si="582"/>
        <v/>
      </c>
      <c r="AX104" s="43">
        <f t="shared" si="583"/>
        <v>0</v>
      </c>
      <c r="AY104" s="8"/>
      <c r="AZ104" s="47"/>
      <c r="BA104" s="48" t="s">
        <v>4</v>
      </c>
      <c r="BB104" s="49"/>
      <c r="BC104" s="8"/>
      <c r="BD104" s="42" t="str">
        <f t="shared" si="584"/>
        <v/>
      </c>
      <c r="BE104" s="43">
        <f t="shared" si="585"/>
        <v>0</v>
      </c>
      <c r="BF104" s="8"/>
      <c r="BG104" s="47"/>
      <c r="BH104" s="48" t="s">
        <v>4</v>
      </c>
      <c r="BI104" s="49"/>
      <c r="BJ104" s="8"/>
      <c r="BK104" s="42" t="str">
        <f t="shared" si="586"/>
        <v/>
      </c>
      <c r="BL104" s="43">
        <f t="shared" si="587"/>
        <v>0</v>
      </c>
      <c r="BM104" s="8"/>
      <c r="BN104" s="47"/>
      <c r="BO104" s="48" t="s">
        <v>4</v>
      </c>
      <c r="BP104" s="49"/>
      <c r="BQ104" s="8"/>
      <c r="BR104" s="42" t="str">
        <f t="shared" si="588"/>
        <v/>
      </c>
      <c r="BS104" s="43">
        <f t="shared" si="589"/>
        <v>0</v>
      </c>
      <c r="BT104" s="8"/>
      <c r="BU104" s="47"/>
      <c r="BV104" s="48" t="s">
        <v>4</v>
      </c>
      <c r="BW104" s="49"/>
      <c r="BX104" s="8"/>
      <c r="BY104" s="42" t="str">
        <f t="shared" si="590"/>
        <v/>
      </c>
      <c r="BZ104" s="43">
        <f t="shared" si="591"/>
        <v>0</v>
      </c>
      <c r="CA104" s="8"/>
      <c r="CB104" s="47"/>
      <c r="CC104" s="48" t="s">
        <v>4</v>
      </c>
      <c r="CD104" s="49"/>
      <c r="CE104" s="8"/>
      <c r="CF104" s="42" t="str">
        <f t="shared" si="592"/>
        <v/>
      </c>
      <c r="CG104" s="43">
        <f t="shared" si="593"/>
        <v>0</v>
      </c>
      <c r="CH104" s="8"/>
      <c r="CI104" s="47"/>
      <c r="CJ104" s="48" t="s">
        <v>4</v>
      </c>
      <c r="CK104" s="49"/>
      <c r="CL104" s="8"/>
      <c r="CM104" s="42" t="str">
        <f t="shared" si="594"/>
        <v/>
      </c>
      <c r="CN104" s="43">
        <f t="shared" si="595"/>
        <v>0</v>
      </c>
      <c r="CO104" s="8"/>
      <c r="CP104" s="47"/>
      <c r="CQ104" s="48" t="s">
        <v>4</v>
      </c>
      <c r="CR104" s="49"/>
      <c r="CS104" s="8"/>
      <c r="CT104" s="42" t="str">
        <f t="shared" si="596"/>
        <v/>
      </c>
      <c r="CU104" s="43">
        <f t="shared" si="597"/>
        <v>0</v>
      </c>
      <c r="CV104" s="8"/>
      <c r="CW104" s="47"/>
      <c r="CX104" s="48" t="s">
        <v>4</v>
      </c>
      <c r="CY104" s="49"/>
      <c r="CZ104" s="8"/>
      <c r="DA104" s="42" t="str">
        <f t="shared" si="598"/>
        <v/>
      </c>
      <c r="DB104" s="43">
        <f t="shared" si="599"/>
        <v>0</v>
      </c>
      <c r="DC104" s="8"/>
      <c r="DD104" s="47"/>
      <c r="DE104" s="48" t="s">
        <v>4</v>
      </c>
      <c r="DF104" s="49"/>
      <c r="DG104" s="8"/>
      <c r="DH104" s="42" t="str">
        <f t="shared" si="600"/>
        <v/>
      </c>
      <c r="DI104" s="43">
        <f t="shared" si="601"/>
        <v>0</v>
      </c>
      <c r="DJ104" s="8"/>
      <c r="DK104" s="47"/>
      <c r="DL104" s="48" t="s">
        <v>4</v>
      </c>
      <c r="DM104" s="49"/>
      <c r="DN104" s="8"/>
      <c r="DO104" s="42" t="str">
        <f t="shared" si="602"/>
        <v/>
      </c>
      <c r="DP104" s="43">
        <f t="shared" si="603"/>
        <v>0</v>
      </c>
      <c r="DQ104" s="8"/>
      <c r="DR104" s="47"/>
      <c r="DS104" s="48" t="s">
        <v>4</v>
      </c>
      <c r="DT104" s="49"/>
      <c r="DU104" s="8"/>
      <c r="DV104" s="42" t="str">
        <f t="shared" si="604"/>
        <v/>
      </c>
      <c r="DW104" s="43">
        <f t="shared" si="605"/>
        <v>0</v>
      </c>
      <c r="DX104" s="8"/>
      <c r="DY104" s="47"/>
      <c r="DZ104" s="48" t="s">
        <v>4</v>
      </c>
      <c r="EA104" s="49"/>
      <c r="EB104" s="8"/>
      <c r="EC104" s="42" t="str">
        <f t="shared" si="606"/>
        <v/>
      </c>
      <c r="ED104" s="43">
        <f t="shared" si="607"/>
        <v>0</v>
      </c>
      <c r="EE104" s="8"/>
      <c r="EF104" s="47"/>
      <c r="EG104" s="48" t="s">
        <v>4</v>
      </c>
      <c r="EH104" s="49"/>
      <c r="EI104" s="8"/>
      <c r="EJ104" s="42" t="str">
        <f t="shared" si="608"/>
        <v/>
      </c>
      <c r="EK104" s="43">
        <f t="shared" si="609"/>
        <v>0</v>
      </c>
      <c r="EL104" s="8"/>
      <c r="EM104" s="47"/>
      <c r="EN104" s="48" t="s">
        <v>4</v>
      </c>
      <c r="EO104" s="49"/>
      <c r="EP104" s="8"/>
      <c r="EQ104" s="42" t="str">
        <f t="shared" si="610"/>
        <v/>
      </c>
      <c r="ER104" s="43">
        <f t="shared" si="611"/>
        <v>0</v>
      </c>
      <c r="ES104" s="8"/>
      <c r="ET104" s="47"/>
      <c r="EU104" s="48" t="s">
        <v>4</v>
      </c>
      <c r="EV104" s="49"/>
      <c r="EW104" s="8"/>
      <c r="EX104" s="42" t="str">
        <f t="shared" si="612"/>
        <v/>
      </c>
      <c r="EY104" s="43">
        <f t="shared" si="613"/>
        <v>0</v>
      </c>
      <c r="EZ104" s="8"/>
      <c r="FA104" s="47"/>
      <c r="FB104" s="48" t="s">
        <v>4</v>
      </c>
      <c r="FC104" s="49"/>
      <c r="FD104" s="8"/>
      <c r="FE104" s="42" t="str">
        <f t="shared" si="614"/>
        <v/>
      </c>
      <c r="FF104" s="43">
        <f t="shared" si="615"/>
        <v>0</v>
      </c>
      <c r="FG104" s="8"/>
      <c r="FH104" s="47"/>
      <c r="FI104" s="48" t="s">
        <v>4</v>
      </c>
      <c r="FJ104" s="49"/>
      <c r="FK104" s="8"/>
      <c r="FL104" s="42" t="str">
        <f t="shared" si="616"/>
        <v/>
      </c>
      <c r="FM104" s="43">
        <f t="shared" si="617"/>
        <v>0</v>
      </c>
      <c r="FN104" s="8"/>
      <c r="FO104" s="47"/>
      <c r="FP104" s="48" t="s">
        <v>4</v>
      </c>
      <c r="FQ104" s="49"/>
      <c r="FR104" s="8"/>
      <c r="FS104" s="42" t="str">
        <f t="shared" si="618"/>
        <v/>
      </c>
      <c r="FT104" s="43">
        <f t="shared" si="619"/>
        <v>0</v>
      </c>
      <c r="FU104" s="8"/>
      <c r="FV104" s="47"/>
      <c r="FW104" s="48" t="s">
        <v>4</v>
      </c>
      <c r="FX104" s="49"/>
      <c r="FY104" s="8"/>
      <c r="FZ104" s="42" t="str">
        <f t="shared" si="620"/>
        <v/>
      </c>
      <c r="GA104" s="43">
        <f t="shared" si="621"/>
        <v>0</v>
      </c>
      <c r="GB104" s="8"/>
      <c r="GC104" s="47"/>
      <c r="GD104" s="48" t="s">
        <v>4</v>
      </c>
      <c r="GE104" s="49"/>
      <c r="GF104" s="8"/>
      <c r="GG104" s="42" t="str">
        <f t="shared" si="622"/>
        <v/>
      </c>
      <c r="GH104" s="43">
        <f t="shared" si="623"/>
        <v>0</v>
      </c>
      <c r="GI104" s="8"/>
      <c r="GJ104" s="47"/>
      <c r="GK104" s="48" t="s">
        <v>4</v>
      </c>
      <c r="GL104" s="49"/>
      <c r="GM104" s="8"/>
      <c r="GN104" s="42" t="str">
        <f t="shared" si="624"/>
        <v/>
      </c>
      <c r="GO104" s="43">
        <f t="shared" si="625"/>
        <v>0</v>
      </c>
      <c r="GP104" s="8"/>
      <c r="GQ104" s="47"/>
      <c r="GR104" s="48" t="s">
        <v>4</v>
      </c>
      <c r="GS104" s="49"/>
      <c r="GT104" s="8"/>
      <c r="GU104" s="42" t="str">
        <f t="shared" si="626"/>
        <v/>
      </c>
      <c r="GV104" s="43">
        <f t="shared" si="627"/>
        <v>0</v>
      </c>
      <c r="GW104" s="8"/>
      <c r="GX104" s="47"/>
      <c r="GY104" s="48" t="s">
        <v>4</v>
      </c>
      <c r="GZ104" s="49"/>
      <c r="HA104" s="8"/>
      <c r="HB104" s="42" t="str">
        <f t="shared" si="628"/>
        <v/>
      </c>
      <c r="HC104" s="43">
        <f t="shared" si="629"/>
        <v>0</v>
      </c>
      <c r="HD104" s="8"/>
      <c r="HE104" s="47"/>
      <c r="HF104" s="48" t="s">
        <v>4</v>
      </c>
      <c r="HG104" s="49"/>
      <c r="HH104" s="8"/>
      <c r="HI104" s="42" t="str">
        <f t="shared" si="630"/>
        <v/>
      </c>
      <c r="HJ104" s="43">
        <f t="shared" si="631"/>
        <v>0</v>
      </c>
      <c r="HK104" s="8"/>
      <c r="HL104" s="47"/>
      <c r="HM104" s="48" t="s">
        <v>4</v>
      </c>
      <c r="HN104" s="49"/>
      <c r="HO104" s="8"/>
      <c r="HP104" s="42" t="str">
        <f t="shared" si="632"/>
        <v/>
      </c>
      <c r="HQ104" s="43">
        <f t="shared" si="633"/>
        <v>0</v>
      </c>
      <c r="HR104" s="8"/>
      <c r="HS104" s="47"/>
      <c r="HT104" s="48" t="s">
        <v>4</v>
      </c>
      <c r="HU104" s="49"/>
      <c r="HV104" s="8"/>
      <c r="HW104" s="42" t="str">
        <f t="shared" si="634"/>
        <v/>
      </c>
      <c r="HX104" s="43">
        <f t="shared" si="635"/>
        <v>0</v>
      </c>
      <c r="HY104" s="8"/>
      <c r="HZ104" s="47"/>
      <c r="IA104" s="48" t="s">
        <v>4</v>
      </c>
      <c r="IB104" s="49"/>
      <c r="IC104" s="8"/>
      <c r="ID104" s="42" t="str">
        <f t="shared" si="636"/>
        <v/>
      </c>
      <c r="IE104" s="43">
        <f t="shared" si="637"/>
        <v>0</v>
      </c>
      <c r="IF104" s="8"/>
      <c r="IG104" s="47"/>
      <c r="IH104" s="48" t="s">
        <v>4</v>
      </c>
      <c r="II104" s="49"/>
      <c r="IJ104" s="8"/>
      <c r="IK104" s="42" t="str">
        <f t="shared" si="638"/>
        <v/>
      </c>
      <c r="IL104" s="43">
        <f t="shared" si="639"/>
        <v>0</v>
      </c>
      <c r="IM104" s="8"/>
      <c r="IN104" s="47"/>
      <c r="IO104" s="48" t="s">
        <v>4</v>
      </c>
      <c r="IP104" s="49"/>
      <c r="IQ104" s="8"/>
      <c r="IR104" s="42" t="str">
        <f t="shared" si="640"/>
        <v/>
      </c>
      <c r="IS104" s="43">
        <f t="shared" si="641"/>
        <v>0</v>
      </c>
      <c r="IT104" s="8"/>
      <c r="IU104" s="47"/>
      <c r="IV104" s="48" t="s">
        <v>4</v>
      </c>
      <c r="IW104" s="49"/>
      <c r="IX104" s="8"/>
      <c r="IY104" s="42" t="str">
        <f t="shared" si="642"/>
        <v/>
      </c>
      <c r="IZ104" s="43">
        <f t="shared" si="643"/>
        <v>0</v>
      </c>
      <c r="JA104" s="8"/>
      <c r="JB104" s="47"/>
      <c r="JC104" s="48" t="s">
        <v>4</v>
      </c>
      <c r="JD104" s="49"/>
      <c r="JE104" s="8"/>
      <c r="JF104" s="42" t="str">
        <f t="shared" si="644"/>
        <v/>
      </c>
      <c r="JG104" s="43">
        <f t="shared" si="645"/>
        <v>0</v>
      </c>
      <c r="JH104" s="8"/>
      <c r="JI104" s="47"/>
      <c r="JJ104" s="48" t="s">
        <v>4</v>
      </c>
      <c r="JK104" s="49"/>
      <c r="JL104" s="8"/>
      <c r="JM104" s="42" t="str">
        <f t="shared" si="646"/>
        <v/>
      </c>
      <c r="JN104" s="43">
        <f t="shared" si="647"/>
        <v>0</v>
      </c>
      <c r="JO104" s="8"/>
      <c r="JP104" s="47"/>
      <c r="JQ104" s="48" t="s">
        <v>4</v>
      </c>
      <c r="JR104" s="49"/>
      <c r="JS104" s="8"/>
      <c r="JT104" s="42" t="str">
        <f t="shared" si="648"/>
        <v/>
      </c>
      <c r="JU104" s="43">
        <f t="shared" si="649"/>
        <v>0</v>
      </c>
      <c r="JV104" s="8"/>
      <c r="JW104" s="47"/>
      <c r="JX104" s="48" t="s">
        <v>4</v>
      </c>
      <c r="JY104" s="49"/>
      <c r="JZ104" s="8"/>
      <c r="KA104" s="42" t="str">
        <f t="shared" si="650"/>
        <v/>
      </c>
      <c r="KB104" s="43">
        <f t="shared" si="651"/>
        <v>0</v>
      </c>
      <c r="KC104" s="8"/>
      <c r="KD104" s="47"/>
      <c r="KE104" s="48" t="s">
        <v>4</v>
      </c>
      <c r="KF104" s="49"/>
      <c r="KG104" s="8"/>
      <c r="KH104" s="42" t="str">
        <f t="shared" si="652"/>
        <v/>
      </c>
      <c r="KI104" s="43">
        <f t="shared" si="653"/>
        <v>0</v>
      </c>
      <c r="KJ104" s="8"/>
      <c r="KK104" s="47"/>
      <c r="KL104" s="48" t="s">
        <v>4</v>
      </c>
      <c r="KM104" s="49"/>
      <c r="KN104" s="8"/>
      <c r="KO104" s="42" t="str">
        <f t="shared" si="654"/>
        <v/>
      </c>
      <c r="KP104" s="43">
        <f t="shared" si="655"/>
        <v>0</v>
      </c>
      <c r="KQ104" s="8"/>
      <c r="KR104" s="47"/>
      <c r="KS104" s="48" t="s">
        <v>4</v>
      </c>
      <c r="KT104" s="49"/>
      <c r="KU104" s="8"/>
      <c r="KV104" s="42" t="str">
        <f t="shared" si="656"/>
        <v/>
      </c>
      <c r="KW104" s="43">
        <f t="shared" si="657"/>
        <v>0</v>
      </c>
      <c r="KX104" s="8"/>
      <c r="KY104" s="47"/>
      <c r="KZ104" s="48" t="s">
        <v>4</v>
      </c>
      <c r="LA104" s="49"/>
      <c r="LB104" s="8"/>
      <c r="LC104" s="42" t="str">
        <f t="shared" si="658"/>
        <v/>
      </c>
      <c r="LD104" s="43">
        <f t="shared" si="659"/>
        <v>0</v>
      </c>
      <c r="LE104" s="8"/>
      <c r="LF104" s="47"/>
      <c r="LG104" s="48" t="s">
        <v>4</v>
      </c>
      <c r="LH104" s="49"/>
      <c r="LI104" s="8"/>
      <c r="LJ104" s="42" t="str">
        <f t="shared" si="660"/>
        <v/>
      </c>
      <c r="LK104" s="43">
        <f t="shared" si="661"/>
        <v>0</v>
      </c>
      <c r="LL104" s="8"/>
      <c r="LM104" s="47"/>
      <c r="LN104" s="48" t="s">
        <v>4</v>
      </c>
      <c r="LO104" s="49"/>
      <c r="LP104" s="8"/>
      <c r="LQ104" s="42" t="str">
        <f t="shared" si="662"/>
        <v/>
      </c>
      <c r="LR104" s="43">
        <f t="shared" si="663"/>
        <v>0</v>
      </c>
      <c r="LS104" s="8"/>
      <c r="LT104" s="47"/>
      <c r="LU104" s="48" t="s">
        <v>4</v>
      </c>
      <c r="LV104" s="49"/>
      <c r="LW104" s="8"/>
      <c r="LX104" s="42" t="str">
        <f t="shared" si="664"/>
        <v/>
      </c>
      <c r="LY104" s="43">
        <f t="shared" si="665"/>
        <v>0</v>
      </c>
      <c r="LZ104" s="8"/>
      <c r="MA104" s="47"/>
      <c r="MB104" s="48" t="s">
        <v>4</v>
      </c>
      <c r="MC104" s="49"/>
      <c r="MD104" s="8"/>
      <c r="ME104" s="42" t="str">
        <f t="shared" si="666"/>
        <v/>
      </c>
      <c r="MF104" s="43">
        <f t="shared" si="667"/>
        <v>0</v>
      </c>
      <c r="MG104" s="8"/>
      <c r="MH104" s="47"/>
      <c r="MI104" s="48" t="s">
        <v>4</v>
      </c>
      <c r="MJ104" s="49"/>
      <c r="MK104" s="8"/>
      <c r="ML104" s="42" t="str">
        <f t="shared" si="668"/>
        <v/>
      </c>
      <c r="MM104" s="43">
        <f t="shared" si="669"/>
        <v>0</v>
      </c>
      <c r="MN104" s="8"/>
      <c r="MO104" s="47"/>
      <c r="MP104" s="48" t="s">
        <v>4</v>
      </c>
      <c r="MQ104" s="49"/>
      <c r="MR104" s="8"/>
      <c r="MS104" s="42" t="str">
        <f t="shared" si="670"/>
        <v/>
      </c>
      <c r="MT104" s="43">
        <f t="shared" si="671"/>
        <v>0</v>
      </c>
      <c r="MU104" s="8"/>
      <c r="MV104" s="47"/>
      <c r="MW104" s="48" t="s">
        <v>4</v>
      </c>
      <c r="MX104" s="49"/>
      <c r="MY104" s="8"/>
      <c r="MZ104" s="42" t="str">
        <f t="shared" si="672"/>
        <v/>
      </c>
      <c r="NA104" s="43">
        <f t="shared" si="673"/>
        <v>0</v>
      </c>
      <c r="NB104" s="8"/>
      <c r="NC104" s="47"/>
      <c r="ND104" s="48" t="s">
        <v>4</v>
      </c>
      <c r="NE104" s="49"/>
      <c r="NF104" s="8"/>
      <c r="NG104" s="42" t="str">
        <f t="shared" si="674"/>
        <v/>
      </c>
      <c r="NH104" s="43">
        <f t="shared" si="675"/>
        <v>0</v>
      </c>
      <c r="NI104" s="8"/>
      <c r="NJ104" s="47"/>
      <c r="NK104" s="48" t="s">
        <v>4</v>
      </c>
      <c r="NL104" s="49"/>
      <c r="NM104" s="8"/>
      <c r="NN104" s="42" t="str">
        <f t="shared" si="676"/>
        <v/>
      </c>
      <c r="NO104" s="43">
        <f t="shared" si="677"/>
        <v>0</v>
      </c>
      <c r="NP104" s="8"/>
      <c r="NQ104" s="47"/>
      <c r="NR104" s="48" t="s">
        <v>4</v>
      </c>
      <c r="NS104" s="49"/>
      <c r="NT104" s="8"/>
      <c r="NU104" s="42" t="str">
        <f t="shared" si="678"/>
        <v/>
      </c>
      <c r="NV104" s="43">
        <f t="shared" si="679"/>
        <v>0</v>
      </c>
      <c r="NW104" s="8"/>
      <c r="NX104" s="47"/>
      <c r="NY104" s="48" t="s">
        <v>4</v>
      </c>
      <c r="NZ104" s="49"/>
      <c r="OA104" s="8"/>
      <c r="OB104" s="42" t="str">
        <f t="shared" si="680"/>
        <v/>
      </c>
      <c r="OC104" s="43">
        <f t="shared" si="681"/>
        <v>0</v>
      </c>
      <c r="OD104" s="8"/>
      <c r="OE104" s="47"/>
      <c r="OF104" s="48" t="s">
        <v>4</v>
      </c>
      <c r="OG104" s="49"/>
      <c r="OH104" s="8"/>
      <c r="OI104" s="42" t="str">
        <f t="shared" si="682"/>
        <v/>
      </c>
      <c r="OJ104" s="43">
        <f t="shared" si="683"/>
        <v>0</v>
      </c>
      <c r="OK104" s="8"/>
      <c r="OL104" s="47"/>
      <c r="OM104" s="48" t="s">
        <v>4</v>
      </c>
      <c r="ON104" s="49"/>
      <c r="OO104" s="8"/>
      <c r="OP104" s="42" t="str">
        <f t="shared" si="684"/>
        <v/>
      </c>
      <c r="OQ104" s="43">
        <f t="shared" si="685"/>
        <v>0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/>
      <c r="PA104" s="48" t="s">
        <v>4</v>
      </c>
      <c r="PB104" s="49"/>
      <c r="PC104" s="8"/>
      <c r="PD104" s="42" t="str">
        <f t="shared" si="688"/>
        <v/>
      </c>
      <c r="PE104" s="43">
        <f t="shared" si="689"/>
        <v>0</v>
      </c>
      <c r="PF104" s="8"/>
      <c r="PG104" s="47"/>
      <c r="PH104" s="48" t="s">
        <v>4</v>
      </c>
      <c r="PI104" s="49"/>
      <c r="PJ104" s="8"/>
      <c r="PK104" s="42" t="str">
        <f t="shared" si="690"/>
        <v/>
      </c>
      <c r="PL104" s="43">
        <f t="shared" si="691"/>
        <v>0</v>
      </c>
      <c r="PM104" s="8"/>
      <c r="PN104" s="47"/>
      <c r="PO104" s="48" t="s">
        <v>4</v>
      </c>
      <c r="PP104" s="49"/>
      <c r="PQ104" s="8"/>
      <c r="PR104" s="42" t="str">
        <f t="shared" si="692"/>
        <v/>
      </c>
      <c r="PS104" s="43">
        <f t="shared" si="693"/>
        <v>0</v>
      </c>
      <c r="PT104" s="8"/>
      <c r="PU104" s="47"/>
      <c r="PV104" s="48" t="s">
        <v>4</v>
      </c>
      <c r="PW104" s="49"/>
      <c r="PX104" s="8"/>
      <c r="PY104" s="42" t="str">
        <f t="shared" si="694"/>
        <v/>
      </c>
      <c r="PZ104" s="43">
        <f t="shared" si="695"/>
        <v>0</v>
      </c>
      <c r="QA104" s="8"/>
      <c r="QB104" s="47"/>
      <c r="QC104" s="48" t="s">
        <v>4</v>
      </c>
      <c r="QD104" s="49"/>
      <c r="QE104" s="8"/>
      <c r="QF104" s="42" t="str">
        <f t="shared" si="696"/>
        <v/>
      </c>
      <c r="QG104" s="43">
        <f t="shared" si="697"/>
        <v>0</v>
      </c>
      <c r="QH104" s="8"/>
      <c r="QI104" s="47"/>
      <c r="QJ104" s="48" t="s">
        <v>4</v>
      </c>
      <c r="QK104" s="49"/>
      <c r="QL104" s="8"/>
      <c r="QM104" s="42" t="str">
        <f t="shared" si="698"/>
        <v/>
      </c>
      <c r="QN104" s="43">
        <f t="shared" si="699"/>
        <v>0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/>
      <c r="RL104" s="48" t="s">
        <v>4</v>
      </c>
      <c r="RM104" s="49"/>
      <c r="RN104" s="8"/>
      <c r="RO104" s="42" t="str">
        <f t="shared" si="706"/>
        <v/>
      </c>
      <c r="RP104" s="43">
        <f t="shared" si="707"/>
        <v>0</v>
      </c>
      <c r="RQ104" s="8"/>
      <c r="RR104" s="47"/>
      <c r="RS104" s="48" t="s">
        <v>4</v>
      </c>
      <c r="RT104" s="49"/>
      <c r="RU104" s="8"/>
      <c r="RV104" s="42" t="str">
        <f t="shared" si="708"/>
        <v/>
      </c>
      <c r="RW104" s="43">
        <f t="shared" si="709"/>
        <v>0</v>
      </c>
      <c r="RX104" s="8"/>
      <c r="RY104" s="47"/>
      <c r="RZ104" s="48" t="s">
        <v>4</v>
      </c>
      <c r="SA104" s="49"/>
      <c r="SB104" s="8"/>
      <c r="SC104" s="42" t="str">
        <f t="shared" si="710"/>
        <v/>
      </c>
      <c r="SD104" s="43">
        <f t="shared" si="711"/>
        <v>0</v>
      </c>
      <c r="SE104" s="8"/>
      <c r="SF104" s="47"/>
      <c r="SG104" s="48" t="s">
        <v>4</v>
      </c>
      <c r="SH104" s="49"/>
      <c r="SI104" s="8"/>
      <c r="SJ104" s="42" t="str">
        <f t="shared" si="712"/>
        <v/>
      </c>
      <c r="SK104" s="43">
        <f t="shared" si="713"/>
        <v>0</v>
      </c>
      <c r="SL104" s="8"/>
      <c r="SM104" s="47"/>
      <c r="SN104" s="48" t="s">
        <v>4</v>
      </c>
      <c r="SO104" s="49"/>
      <c r="SP104" s="8"/>
      <c r="SQ104" s="42" t="str">
        <f t="shared" si="714"/>
        <v/>
      </c>
      <c r="SR104" s="43">
        <f t="shared" si="715"/>
        <v>0</v>
      </c>
    </row>
    <row r="105" spans="1:512" ht="16" customHeight="1" x14ac:dyDescent="0.15">
      <c r="A105" s="51">
        <v>46210</v>
      </c>
      <c r="B105" s="46">
        <v>8.3333333333333329E-2</v>
      </c>
      <c r="C105" s="82"/>
      <c r="D105" s="83"/>
      <c r="E105" s="2"/>
      <c r="F105" s="50" t="s">
        <v>4</v>
      </c>
      <c r="G105" s="1"/>
      <c r="H105" s="16">
        <v>8.4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/>
      <c r="AF105" s="48" t="s">
        <v>4</v>
      </c>
      <c r="AG105" s="49"/>
      <c r="AH105" s="8"/>
      <c r="AI105" s="42" t="str">
        <f t="shared" si="578"/>
        <v/>
      </c>
      <c r="AJ105" s="43">
        <f t="shared" si="579"/>
        <v>0</v>
      </c>
      <c r="AK105" s="8"/>
      <c r="AL105" s="47"/>
      <c r="AM105" s="48" t="s">
        <v>4</v>
      </c>
      <c r="AN105" s="49"/>
      <c r="AO105" s="8"/>
      <c r="AP105" s="42" t="str">
        <f t="shared" si="580"/>
        <v/>
      </c>
      <c r="AQ105" s="43">
        <f t="shared" si="581"/>
        <v>0</v>
      </c>
      <c r="AR105" s="8"/>
      <c r="AS105" s="47"/>
      <c r="AT105" s="48" t="s">
        <v>4</v>
      </c>
      <c r="AU105" s="49"/>
      <c r="AV105" s="8"/>
      <c r="AW105" s="42" t="str">
        <f t="shared" si="582"/>
        <v/>
      </c>
      <c r="AX105" s="43">
        <f t="shared" si="583"/>
        <v>0</v>
      </c>
      <c r="AY105" s="8"/>
      <c r="AZ105" s="47"/>
      <c r="BA105" s="48" t="s">
        <v>4</v>
      </c>
      <c r="BB105" s="49"/>
      <c r="BC105" s="8"/>
      <c r="BD105" s="42" t="str">
        <f t="shared" si="584"/>
        <v/>
      </c>
      <c r="BE105" s="43">
        <f t="shared" si="585"/>
        <v>0</v>
      </c>
      <c r="BF105" s="8"/>
      <c r="BG105" s="47"/>
      <c r="BH105" s="48" t="s">
        <v>4</v>
      </c>
      <c r="BI105" s="49"/>
      <c r="BJ105" s="8"/>
      <c r="BK105" s="42" t="str">
        <f t="shared" si="586"/>
        <v/>
      </c>
      <c r="BL105" s="43">
        <f t="shared" si="587"/>
        <v>0</v>
      </c>
      <c r="BM105" s="8"/>
      <c r="BN105" s="47"/>
      <c r="BO105" s="48" t="s">
        <v>4</v>
      </c>
      <c r="BP105" s="49"/>
      <c r="BQ105" s="8"/>
      <c r="BR105" s="42" t="str">
        <f t="shared" si="588"/>
        <v/>
      </c>
      <c r="BS105" s="43">
        <f t="shared" si="589"/>
        <v>0</v>
      </c>
      <c r="BT105" s="8"/>
      <c r="BU105" s="47"/>
      <c r="BV105" s="48" t="s">
        <v>4</v>
      </c>
      <c r="BW105" s="49"/>
      <c r="BX105" s="8"/>
      <c r="BY105" s="42" t="str">
        <f t="shared" si="590"/>
        <v/>
      </c>
      <c r="BZ105" s="43">
        <f t="shared" si="591"/>
        <v>0</v>
      </c>
      <c r="CA105" s="8"/>
      <c r="CB105" s="47"/>
      <c r="CC105" s="48" t="s">
        <v>4</v>
      </c>
      <c r="CD105" s="49"/>
      <c r="CE105" s="8"/>
      <c r="CF105" s="42" t="str">
        <f t="shared" si="592"/>
        <v/>
      </c>
      <c r="CG105" s="43">
        <f t="shared" si="593"/>
        <v>0</v>
      </c>
      <c r="CH105" s="8"/>
      <c r="CI105" s="47"/>
      <c r="CJ105" s="48" t="s">
        <v>4</v>
      </c>
      <c r="CK105" s="49"/>
      <c r="CL105" s="8"/>
      <c r="CM105" s="42" t="str">
        <f t="shared" si="594"/>
        <v/>
      </c>
      <c r="CN105" s="43">
        <f t="shared" si="595"/>
        <v>0</v>
      </c>
      <c r="CO105" s="8"/>
      <c r="CP105" s="47"/>
      <c r="CQ105" s="48" t="s">
        <v>4</v>
      </c>
      <c r="CR105" s="49"/>
      <c r="CS105" s="8"/>
      <c r="CT105" s="42" t="str">
        <f t="shared" si="596"/>
        <v/>
      </c>
      <c r="CU105" s="43">
        <f t="shared" si="597"/>
        <v>0</v>
      </c>
      <c r="CV105" s="8"/>
      <c r="CW105" s="47"/>
      <c r="CX105" s="48" t="s">
        <v>4</v>
      </c>
      <c r="CY105" s="49"/>
      <c r="CZ105" s="8"/>
      <c r="DA105" s="42" t="str">
        <f t="shared" si="598"/>
        <v/>
      </c>
      <c r="DB105" s="43">
        <f t="shared" si="599"/>
        <v>0</v>
      </c>
      <c r="DC105" s="8"/>
      <c r="DD105" s="47"/>
      <c r="DE105" s="48" t="s">
        <v>4</v>
      </c>
      <c r="DF105" s="49"/>
      <c r="DG105" s="8"/>
      <c r="DH105" s="42" t="str">
        <f t="shared" si="600"/>
        <v/>
      </c>
      <c r="DI105" s="43">
        <f t="shared" si="601"/>
        <v>0</v>
      </c>
      <c r="DJ105" s="8"/>
      <c r="DK105" s="47"/>
      <c r="DL105" s="48" t="s">
        <v>4</v>
      </c>
      <c r="DM105" s="49"/>
      <c r="DN105" s="8"/>
      <c r="DO105" s="42" t="str">
        <f t="shared" si="602"/>
        <v/>
      </c>
      <c r="DP105" s="43">
        <f t="shared" si="603"/>
        <v>0</v>
      </c>
      <c r="DQ105" s="8"/>
      <c r="DR105" s="47"/>
      <c r="DS105" s="48" t="s">
        <v>4</v>
      </c>
      <c r="DT105" s="49"/>
      <c r="DU105" s="8"/>
      <c r="DV105" s="42" t="str">
        <f t="shared" si="604"/>
        <v/>
      </c>
      <c r="DW105" s="43">
        <f t="shared" si="605"/>
        <v>0</v>
      </c>
      <c r="DX105" s="8"/>
      <c r="DY105" s="47"/>
      <c r="DZ105" s="48" t="s">
        <v>4</v>
      </c>
      <c r="EA105" s="49"/>
      <c r="EB105" s="8"/>
      <c r="EC105" s="42" t="str">
        <f t="shared" si="606"/>
        <v/>
      </c>
      <c r="ED105" s="43">
        <f t="shared" si="607"/>
        <v>0</v>
      </c>
      <c r="EE105" s="8"/>
      <c r="EF105" s="47"/>
      <c r="EG105" s="48" t="s">
        <v>4</v>
      </c>
      <c r="EH105" s="49"/>
      <c r="EI105" s="8"/>
      <c r="EJ105" s="42" t="str">
        <f t="shared" si="608"/>
        <v/>
      </c>
      <c r="EK105" s="43">
        <f t="shared" si="609"/>
        <v>0</v>
      </c>
      <c r="EL105" s="8"/>
      <c r="EM105" s="47"/>
      <c r="EN105" s="48" t="s">
        <v>4</v>
      </c>
      <c r="EO105" s="49"/>
      <c r="EP105" s="8"/>
      <c r="EQ105" s="42" t="str">
        <f t="shared" si="610"/>
        <v/>
      </c>
      <c r="ER105" s="43">
        <f t="shared" si="611"/>
        <v>0</v>
      </c>
      <c r="ES105" s="8"/>
      <c r="ET105" s="47"/>
      <c r="EU105" s="48" t="s">
        <v>4</v>
      </c>
      <c r="EV105" s="49"/>
      <c r="EW105" s="8"/>
      <c r="EX105" s="42" t="str">
        <f t="shared" si="612"/>
        <v/>
      </c>
      <c r="EY105" s="43">
        <f t="shared" si="613"/>
        <v>0</v>
      </c>
      <c r="EZ105" s="8"/>
      <c r="FA105" s="47"/>
      <c r="FB105" s="48" t="s">
        <v>4</v>
      </c>
      <c r="FC105" s="49"/>
      <c r="FD105" s="8"/>
      <c r="FE105" s="42" t="str">
        <f t="shared" si="614"/>
        <v/>
      </c>
      <c r="FF105" s="43">
        <f t="shared" si="615"/>
        <v>0</v>
      </c>
      <c r="FG105" s="8"/>
      <c r="FH105" s="47"/>
      <c r="FI105" s="48" t="s">
        <v>4</v>
      </c>
      <c r="FJ105" s="49"/>
      <c r="FK105" s="8"/>
      <c r="FL105" s="42" t="str">
        <f t="shared" si="616"/>
        <v/>
      </c>
      <c r="FM105" s="43">
        <f t="shared" si="617"/>
        <v>0</v>
      </c>
      <c r="FN105" s="8"/>
      <c r="FO105" s="47"/>
      <c r="FP105" s="48" t="s">
        <v>4</v>
      </c>
      <c r="FQ105" s="49"/>
      <c r="FR105" s="8"/>
      <c r="FS105" s="42" t="str">
        <f t="shared" si="618"/>
        <v/>
      </c>
      <c r="FT105" s="43">
        <f t="shared" si="619"/>
        <v>0</v>
      </c>
      <c r="FU105" s="8"/>
      <c r="FV105" s="47"/>
      <c r="FW105" s="48" t="s">
        <v>4</v>
      </c>
      <c r="FX105" s="49"/>
      <c r="FY105" s="8"/>
      <c r="FZ105" s="42" t="str">
        <f t="shared" si="620"/>
        <v/>
      </c>
      <c r="GA105" s="43">
        <f t="shared" si="621"/>
        <v>0</v>
      </c>
      <c r="GB105" s="8"/>
      <c r="GC105" s="47"/>
      <c r="GD105" s="48" t="s">
        <v>4</v>
      </c>
      <c r="GE105" s="49"/>
      <c r="GF105" s="8"/>
      <c r="GG105" s="42" t="str">
        <f t="shared" si="622"/>
        <v/>
      </c>
      <c r="GH105" s="43">
        <f t="shared" si="623"/>
        <v>0</v>
      </c>
      <c r="GI105" s="8"/>
      <c r="GJ105" s="47"/>
      <c r="GK105" s="48" t="s">
        <v>4</v>
      </c>
      <c r="GL105" s="49"/>
      <c r="GM105" s="8"/>
      <c r="GN105" s="42" t="str">
        <f t="shared" si="624"/>
        <v/>
      </c>
      <c r="GO105" s="43">
        <f t="shared" si="625"/>
        <v>0</v>
      </c>
      <c r="GP105" s="8"/>
      <c r="GQ105" s="47"/>
      <c r="GR105" s="48" t="s">
        <v>4</v>
      </c>
      <c r="GS105" s="49"/>
      <c r="GT105" s="8"/>
      <c r="GU105" s="42" t="str">
        <f t="shared" si="626"/>
        <v/>
      </c>
      <c r="GV105" s="43">
        <f t="shared" si="627"/>
        <v>0</v>
      </c>
      <c r="GW105" s="8"/>
      <c r="GX105" s="47"/>
      <c r="GY105" s="48" t="s">
        <v>4</v>
      </c>
      <c r="GZ105" s="49"/>
      <c r="HA105" s="8"/>
      <c r="HB105" s="42" t="str">
        <f t="shared" si="628"/>
        <v/>
      </c>
      <c r="HC105" s="43">
        <f t="shared" si="629"/>
        <v>0</v>
      </c>
      <c r="HD105" s="8"/>
      <c r="HE105" s="47"/>
      <c r="HF105" s="48" t="s">
        <v>4</v>
      </c>
      <c r="HG105" s="49"/>
      <c r="HH105" s="8"/>
      <c r="HI105" s="42" t="str">
        <f t="shared" si="630"/>
        <v/>
      </c>
      <c r="HJ105" s="43">
        <f t="shared" si="631"/>
        <v>0</v>
      </c>
      <c r="HK105" s="8"/>
      <c r="HL105" s="47"/>
      <c r="HM105" s="48" t="s">
        <v>4</v>
      </c>
      <c r="HN105" s="49"/>
      <c r="HO105" s="8"/>
      <c r="HP105" s="42" t="str">
        <f t="shared" si="632"/>
        <v/>
      </c>
      <c r="HQ105" s="43">
        <f t="shared" si="633"/>
        <v>0</v>
      </c>
      <c r="HR105" s="8"/>
      <c r="HS105" s="47"/>
      <c r="HT105" s="48" t="s">
        <v>4</v>
      </c>
      <c r="HU105" s="49"/>
      <c r="HV105" s="8"/>
      <c r="HW105" s="42" t="str">
        <f t="shared" si="634"/>
        <v/>
      </c>
      <c r="HX105" s="43">
        <f t="shared" si="635"/>
        <v>0</v>
      </c>
      <c r="HY105" s="8"/>
      <c r="HZ105" s="47"/>
      <c r="IA105" s="48" t="s">
        <v>4</v>
      </c>
      <c r="IB105" s="49"/>
      <c r="IC105" s="8"/>
      <c r="ID105" s="42" t="str">
        <f t="shared" si="636"/>
        <v/>
      </c>
      <c r="IE105" s="43">
        <f t="shared" si="637"/>
        <v>0</v>
      </c>
      <c r="IF105" s="8"/>
      <c r="IG105" s="47"/>
      <c r="IH105" s="48" t="s">
        <v>4</v>
      </c>
      <c r="II105" s="49"/>
      <c r="IJ105" s="8"/>
      <c r="IK105" s="42" t="str">
        <f t="shared" si="638"/>
        <v/>
      </c>
      <c r="IL105" s="43">
        <f t="shared" si="639"/>
        <v>0</v>
      </c>
      <c r="IM105" s="8"/>
      <c r="IN105" s="47"/>
      <c r="IO105" s="48" t="s">
        <v>4</v>
      </c>
      <c r="IP105" s="49"/>
      <c r="IQ105" s="8"/>
      <c r="IR105" s="42" t="str">
        <f t="shared" si="640"/>
        <v/>
      </c>
      <c r="IS105" s="43">
        <f t="shared" si="641"/>
        <v>0</v>
      </c>
      <c r="IT105" s="8"/>
      <c r="IU105" s="47"/>
      <c r="IV105" s="48" t="s">
        <v>4</v>
      </c>
      <c r="IW105" s="49"/>
      <c r="IX105" s="8"/>
      <c r="IY105" s="42" t="str">
        <f t="shared" si="642"/>
        <v/>
      </c>
      <c r="IZ105" s="43">
        <f t="shared" si="643"/>
        <v>0</v>
      </c>
      <c r="JA105" s="8"/>
      <c r="JB105" s="47"/>
      <c r="JC105" s="48" t="s">
        <v>4</v>
      </c>
      <c r="JD105" s="49"/>
      <c r="JE105" s="8"/>
      <c r="JF105" s="42" t="str">
        <f t="shared" si="644"/>
        <v/>
      </c>
      <c r="JG105" s="43">
        <f t="shared" si="645"/>
        <v>0</v>
      </c>
      <c r="JH105" s="8"/>
      <c r="JI105" s="47"/>
      <c r="JJ105" s="48" t="s">
        <v>4</v>
      </c>
      <c r="JK105" s="49"/>
      <c r="JL105" s="8"/>
      <c r="JM105" s="42" t="str">
        <f t="shared" si="646"/>
        <v/>
      </c>
      <c r="JN105" s="43">
        <f t="shared" si="647"/>
        <v>0</v>
      </c>
      <c r="JO105" s="8"/>
      <c r="JP105" s="47"/>
      <c r="JQ105" s="48" t="s">
        <v>4</v>
      </c>
      <c r="JR105" s="49"/>
      <c r="JS105" s="8"/>
      <c r="JT105" s="42" t="str">
        <f t="shared" si="648"/>
        <v/>
      </c>
      <c r="JU105" s="43">
        <f t="shared" si="649"/>
        <v>0</v>
      </c>
      <c r="JV105" s="8"/>
      <c r="JW105" s="47"/>
      <c r="JX105" s="48" t="s">
        <v>4</v>
      </c>
      <c r="JY105" s="49"/>
      <c r="JZ105" s="8"/>
      <c r="KA105" s="42" t="str">
        <f t="shared" si="650"/>
        <v/>
      </c>
      <c r="KB105" s="43">
        <f t="shared" si="651"/>
        <v>0</v>
      </c>
      <c r="KC105" s="8"/>
      <c r="KD105" s="47"/>
      <c r="KE105" s="48" t="s">
        <v>4</v>
      </c>
      <c r="KF105" s="49"/>
      <c r="KG105" s="8"/>
      <c r="KH105" s="42" t="str">
        <f t="shared" si="652"/>
        <v/>
      </c>
      <c r="KI105" s="43">
        <f t="shared" si="653"/>
        <v>0</v>
      </c>
      <c r="KJ105" s="8"/>
      <c r="KK105" s="47"/>
      <c r="KL105" s="48" t="s">
        <v>4</v>
      </c>
      <c r="KM105" s="49"/>
      <c r="KN105" s="8"/>
      <c r="KO105" s="42" t="str">
        <f t="shared" si="654"/>
        <v/>
      </c>
      <c r="KP105" s="43">
        <f t="shared" si="655"/>
        <v>0</v>
      </c>
      <c r="KQ105" s="8"/>
      <c r="KR105" s="47"/>
      <c r="KS105" s="48" t="s">
        <v>4</v>
      </c>
      <c r="KT105" s="49"/>
      <c r="KU105" s="8"/>
      <c r="KV105" s="42" t="str">
        <f t="shared" si="656"/>
        <v/>
      </c>
      <c r="KW105" s="43">
        <f t="shared" si="657"/>
        <v>0</v>
      </c>
      <c r="KX105" s="8"/>
      <c r="KY105" s="47"/>
      <c r="KZ105" s="48" t="s">
        <v>4</v>
      </c>
      <c r="LA105" s="49"/>
      <c r="LB105" s="8"/>
      <c r="LC105" s="42" t="str">
        <f t="shared" si="658"/>
        <v/>
      </c>
      <c r="LD105" s="43">
        <f t="shared" si="659"/>
        <v>0</v>
      </c>
      <c r="LE105" s="8"/>
      <c r="LF105" s="47"/>
      <c r="LG105" s="48" t="s">
        <v>4</v>
      </c>
      <c r="LH105" s="49"/>
      <c r="LI105" s="8"/>
      <c r="LJ105" s="42" t="str">
        <f t="shared" si="660"/>
        <v/>
      </c>
      <c r="LK105" s="43">
        <f t="shared" si="661"/>
        <v>0</v>
      </c>
      <c r="LL105" s="8"/>
      <c r="LM105" s="47"/>
      <c r="LN105" s="48" t="s">
        <v>4</v>
      </c>
      <c r="LO105" s="49"/>
      <c r="LP105" s="8"/>
      <c r="LQ105" s="42" t="str">
        <f t="shared" si="662"/>
        <v/>
      </c>
      <c r="LR105" s="43">
        <f t="shared" si="663"/>
        <v>0</v>
      </c>
      <c r="LS105" s="8"/>
      <c r="LT105" s="47"/>
      <c r="LU105" s="48" t="s">
        <v>4</v>
      </c>
      <c r="LV105" s="49"/>
      <c r="LW105" s="8"/>
      <c r="LX105" s="42" t="str">
        <f t="shared" si="664"/>
        <v/>
      </c>
      <c r="LY105" s="43">
        <f t="shared" si="665"/>
        <v>0</v>
      </c>
      <c r="LZ105" s="8"/>
      <c r="MA105" s="47"/>
      <c r="MB105" s="48" t="s">
        <v>4</v>
      </c>
      <c r="MC105" s="49"/>
      <c r="MD105" s="8"/>
      <c r="ME105" s="42" t="str">
        <f t="shared" si="666"/>
        <v/>
      </c>
      <c r="MF105" s="43">
        <f t="shared" si="667"/>
        <v>0</v>
      </c>
      <c r="MG105" s="8"/>
      <c r="MH105" s="47"/>
      <c r="MI105" s="48" t="s">
        <v>4</v>
      </c>
      <c r="MJ105" s="49"/>
      <c r="MK105" s="8"/>
      <c r="ML105" s="42" t="str">
        <f t="shared" si="668"/>
        <v/>
      </c>
      <c r="MM105" s="43">
        <f t="shared" si="669"/>
        <v>0</v>
      </c>
      <c r="MN105" s="8"/>
      <c r="MO105" s="47"/>
      <c r="MP105" s="48" t="s">
        <v>4</v>
      </c>
      <c r="MQ105" s="49"/>
      <c r="MR105" s="8"/>
      <c r="MS105" s="42" t="str">
        <f t="shared" si="670"/>
        <v/>
      </c>
      <c r="MT105" s="43">
        <f t="shared" si="671"/>
        <v>0</v>
      </c>
      <c r="MU105" s="8"/>
      <c r="MV105" s="47"/>
      <c r="MW105" s="48" t="s">
        <v>4</v>
      </c>
      <c r="MX105" s="49"/>
      <c r="MY105" s="8"/>
      <c r="MZ105" s="42" t="str">
        <f t="shared" si="672"/>
        <v/>
      </c>
      <c r="NA105" s="43">
        <f t="shared" si="673"/>
        <v>0</v>
      </c>
      <c r="NB105" s="8"/>
      <c r="NC105" s="47"/>
      <c r="ND105" s="48" t="s">
        <v>4</v>
      </c>
      <c r="NE105" s="49"/>
      <c r="NF105" s="8"/>
      <c r="NG105" s="42" t="str">
        <f t="shared" si="674"/>
        <v/>
      </c>
      <c r="NH105" s="43">
        <f t="shared" si="675"/>
        <v>0</v>
      </c>
      <c r="NI105" s="8"/>
      <c r="NJ105" s="47"/>
      <c r="NK105" s="48" t="s">
        <v>4</v>
      </c>
      <c r="NL105" s="49"/>
      <c r="NM105" s="8"/>
      <c r="NN105" s="42" t="str">
        <f t="shared" si="676"/>
        <v/>
      </c>
      <c r="NO105" s="43">
        <f t="shared" si="677"/>
        <v>0</v>
      </c>
      <c r="NP105" s="8"/>
      <c r="NQ105" s="47"/>
      <c r="NR105" s="48" t="s">
        <v>4</v>
      </c>
      <c r="NS105" s="49"/>
      <c r="NT105" s="8"/>
      <c r="NU105" s="42" t="str">
        <f t="shared" si="678"/>
        <v/>
      </c>
      <c r="NV105" s="43">
        <f t="shared" si="679"/>
        <v>0</v>
      </c>
      <c r="NW105" s="8"/>
      <c r="NX105" s="47"/>
      <c r="NY105" s="48" t="s">
        <v>4</v>
      </c>
      <c r="NZ105" s="49"/>
      <c r="OA105" s="8"/>
      <c r="OB105" s="42" t="str">
        <f t="shared" si="680"/>
        <v/>
      </c>
      <c r="OC105" s="43">
        <f t="shared" si="681"/>
        <v>0</v>
      </c>
      <c r="OD105" s="8"/>
      <c r="OE105" s="47"/>
      <c r="OF105" s="48" t="s">
        <v>4</v>
      </c>
      <c r="OG105" s="49"/>
      <c r="OH105" s="8"/>
      <c r="OI105" s="42" t="str">
        <f t="shared" si="682"/>
        <v/>
      </c>
      <c r="OJ105" s="43">
        <f t="shared" si="683"/>
        <v>0</v>
      </c>
      <c r="OK105" s="8"/>
      <c r="OL105" s="47"/>
      <c r="OM105" s="48" t="s">
        <v>4</v>
      </c>
      <c r="ON105" s="49"/>
      <c r="OO105" s="8"/>
      <c r="OP105" s="42" t="str">
        <f t="shared" si="684"/>
        <v/>
      </c>
      <c r="OQ105" s="43">
        <f t="shared" si="685"/>
        <v>0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/>
      <c r="PA105" s="48" t="s">
        <v>4</v>
      </c>
      <c r="PB105" s="49"/>
      <c r="PC105" s="8"/>
      <c r="PD105" s="42" t="str">
        <f t="shared" si="688"/>
        <v/>
      </c>
      <c r="PE105" s="43">
        <f t="shared" si="689"/>
        <v>0</v>
      </c>
      <c r="PF105" s="8"/>
      <c r="PG105" s="47"/>
      <c r="PH105" s="48" t="s">
        <v>4</v>
      </c>
      <c r="PI105" s="49"/>
      <c r="PJ105" s="8"/>
      <c r="PK105" s="42" t="str">
        <f t="shared" si="690"/>
        <v/>
      </c>
      <c r="PL105" s="43">
        <f t="shared" si="691"/>
        <v>0</v>
      </c>
      <c r="PM105" s="8"/>
      <c r="PN105" s="47"/>
      <c r="PO105" s="48" t="s">
        <v>4</v>
      </c>
      <c r="PP105" s="49"/>
      <c r="PQ105" s="8"/>
      <c r="PR105" s="42" t="str">
        <f t="shared" si="692"/>
        <v/>
      </c>
      <c r="PS105" s="43">
        <f t="shared" si="693"/>
        <v>0</v>
      </c>
      <c r="PT105" s="8"/>
      <c r="PU105" s="47"/>
      <c r="PV105" s="48" t="s">
        <v>4</v>
      </c>
      <c r="PW105" s="49"/>
      <c r="PX105" s="8"/>
      <c r="PY105" s="42" t="str">
        <f t="shared" si="694"/>
        <v/>
      </c>
      <c r="PZ105" s="43">
        <f t="shared" si="695"/>
        <v>0</v>
      </c>
      <c r="QA105" s="8"/>
      <c r="QB105" s="47"/>
      <c r="QC105" s="48" t="s">
        <v>4</v>
      </c>
      <c r="QD105" s="49"/>
      <c r="QE105" s="8"/>
      <c r="QF105" s="42" t="str">
        <f t="shared" si="696"/>
        <v/>
      </c>
      <c r="QG105" s="43">
        <f t="shared" si="697"/>
        <v>0</v>
      </c>
      <c r="QH105" s="8"/>
      <c r="QI105" s="47"/>
      <c r="QJ105" s="48" t="s">
        <v>4</v>
      </c>
      <c r="QK105" s="49"/>
      <c r="QL105" s="8"/>
      <c r="QM105" s="42" t="str">
        <f t="shared" si="698"/>
        <v/>
      </c>
      <c r="QN105" s="43">
        <f t="shared" si="699"/>
        <v>0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/>
      <c r="RL105" s="48" t="s">
        <v>4</v>
      </c>
      <c r="RM105" s="49"/>
      <c r="RN105" s="8"/>
      <c r="RO105" s="42" t="str">
        <f t="shared" si="706"/>
        <v/>
      </c>
      <c r="RP105" s="43">
        <f t="shared" si="707"/>
        <v>0</v>
      </c>
      <c r="RQ105" s="8"/>
      <c r="RR105" s="47"/>
      <c r="RS105" s="48" t="s">
        <v>4</v>
      </c>
      <c r="RT105" s="49"/>
      <c r="RU105" s="8"/>
      <c r="RV105" s="42" t="str">
        <f t="shared" si="708"/>
        <v/>
      </c>
      <c r="RW105" s="43">
        <f t="shared" si="709"/>
        <v>0</v>
      </c>
      <c r="RX105" s="8"/>
      <c r="RY105" s="47"/>
      <c r="RZ105" s="48" t="s">
        <v>4</v>
      </c>
      <c r="SA105" s="49"/>
      <c r="SB105" s="8"/>
      <c r="SC105" s="42" t="str">
        <f t="shared" si="710"/>
        <v/>
      </c>
      <c r="SD105" s="43">
        <f t="shared" si="711"/>
        <v>0</v>
      </c>
      <c r="SE105" s="8"/>
      <c r="SF105" s="47"/>
      <c r="SG105" s="48" t="s">
        <v>4</v>
      </c>
      <c r="SH105" s="49"/>
      <c r="SI105" s="8"/>
      <c r="SJ105" s="42" t="str">
        <f t="shared" si="712"/>
        <v/>
      </c>
      <c r="SK105" s="43">
        <f t="shared" si="713"/>
        <v>0</v>
      </c>
      <c r="SL105" s="8"/>
      <c r="SM105" s="47"/>
      <c r="SN105" s="48" t="s">
        <v>4</v>
      </c>
      <c r="SO105" s="49"/>
      <c r="SP105" s="8"/>
      <c r="SQ105" s="42" t="str">
        <f t="shared" si="714"/>
        <v/>
      </c>
      <c r="SR105" s="43">
        <f t="shared" si="715"/>
        <v>0</v>
      </c>
    </row>
    <row r="106" spans="1:512" ht="16" customHeight="1" x14ac:dyDescent="0.15">
      <c r="A106" s="51">
        <v>46210</v>
      </c>
      <c r="B106" s="46">
        <v>0.75</v>
      </c>
      <c r="C106" s="82"/>
      <c r="D106" s="82"/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/>
      <c r="AF106" s="48" t="s">
        <v>4</v>
      </c>
      <c r="AG106" s="49"/>
      <c r="AH106" s="8"/>
      <c r="AI106" s="42" t="str">
        <f t="shared" si="578"/>
        <v/>
      </c>
      <c r="AJ106" s="43">
        <f>AE106-AG106</f>
        <v>0</v>
      </c>
      <c r="AK106" s="8"/>
      <c r="AL106" s="47"/>
      <c r="AM106" s="48" t="s">
        <v>4</v>
      </c>
      <c r="AN106" s="49"/>
      <c r="AO106" s="8"/>
      <c r="AP106" s="42" t="str">
        <f t="shared" si="580"/>
        <v/>
      </c>
      <c r="AQ106" s="43">
        <f>AL106-AN106</f>
        <v>0</v>
      </c>
      <c r="AR106" s="8"/>
      <c r="AS106" s="47"/>
      <c r="AT106" s="48" t="s">
        <v>4</v>
      </c>
      <c r="AU106" s="49"/>
      <c r="AV106" s="8"/>
      <c r="AW106" s="42" t="str">
        <f t="shared" si="582"/>
        <v/>
      </c>
      <c r="AX106" s="43">
        <f>AS106-AU106</f>
        <v>0</v>
      </c>
      <c r="AY106" s="8"/>
      <c r="AZ106" s="47"/>
      <c r="BA106" s="48" t="s">
        <v>4</v>
      </c>
      <c r="BB106" s="49"/>
      <c r="BC106" s="8"/>
      <c r="BD106" s="42" t="str">
        <f t="shared" si="584"/>
        <v/>
      </c>
      <c r="BE106" s="43">
        <f>AZ106-BB106</f>
        <v>0</v>
      </c>
      <c r="BF106" s="8"/>
      <c r="BG106" s="47"/>
      <c r="BH106" s="48" t="s">
        <v>4</v>
      </c>
      <c r="BI106" s="49"/>
      <c r="BJ106" s="8"/>
      <c r="BK106" s="42" t="str">
        <f t="shared" si="586"/>
        <v/>
      </c>
      <c r="BL106" s="43">
        <f>BG106-BI106</f>
        <v>0</v>
      </c>
      <c r="BM106" s="8"/>
      <c r="BN106" s="47"/>
      <c r="BO106" s="48" t="s">
        <v>4</v>
      </c>
      <c r="BP106" s="49"/>
      <c r="BQ106" s="8"/>
      <c r="BR106" s="42" t="str">
        <f t="shared" si="588"/>
        <v/>
      </c>
      <c r="BS106" s="43">
        <f>BN106-BP106</f>
        <v>0</v>
      </c>
      <c r="BT106" s="8"/>
      <c r="BU106" s="47"/>
      <c r="BV106" s="48" t="s">
        <v>4</v>
      </c>
      <c r="BW106" s="49"/>
      <c r="BX106" s="8"/>
      <c r="BY106" s="42" t="str">
        <f t="shared" si="590"/>
        <v/>
      </c>
      <c r="BZ106" s="43">
        <f>BU106-BW106</f>
        <v>0</v>
      </c>
      <c r="CA106" s="8"/>
      <c r="CB106" s="47"/>
      <c r="CC106" s="48" t="s">
        <v>4</v>
      </c>
      <c r="CD106" s="49"/>
      <c r="CE106" s="8"/>
      <c r="CF106" s="42" t="str">
        <f t="shared" si="592"/>
        <v/>
      </c>
      <c r="CG106" s="43">
        <f>CB106-CD106</f>
        <v>0</v>
      </c>
      <c r="CH106" s="8"/>
      <c r="CI106" s="47"/>
      <c r="CJ106" s="48" t="s">
        <v>4</v>
      </c>
      <c r="CK106" s="49"/>
      <c r="CL106" s="8"/>
      <c r="CM106" s="42" t="str">
        <f t="shared" si="594"/>
        <v/>
      </c>
      <c r="CN106" s="43">
        <f>CI106-CK106</f>
        <v>0</v>
      </c>
      <c r="CO106" s="8"/>
      <c r="CP106" s="47"/>
      <c r="CQ106" s="48" t="s">
        <v>4</v>
      </c>
      <c r="CR106" s="49"/>
      <c r="CS106" s="8"/>
      <c r="CT106" s="42" t="str">
        <f t="shared" si="596"/>
        <v/>
      </c>
      <c r="CU106" s="43">
        <f>CP106-CR106</f>
        <v>0</v>
      </c>
      <c r="CV106" s="8"/>
      <c r="CW106" s="47"/>
      <c r="CX106" s="48" t="s">
        <v>4</v>
      </c>
      <c r="CY106" s="49"/>
      <c r="CZ106" s="8"/>
      <c r="DA106" s="42" t="str">
        <f t="shared" si="598"/>
        <v/>
      </c>
      <c r="DB106" s="43">
        <f>CW106-CY106</f>
        <v>0</v>
      </c>
      <c r="DC106" s="8"/>
      <c r="DD106" s="47"/>
      <c r="DE106" s="48" t="s">
        <v>4</v>
      </c>
      <c r="DF106" s="49"/>
      <c r="DG106" s="8"/>
      <c r="DH106" s="42" t="str">
        <f t="shared" si="600"/>
        <v/>
      </c>
      <c r="DI106" s="43">
        <f>DD106-DF106</f>
        <v>0</v>
      </c>
      <c r="DJ106" s="8"/>
      <c r="DK106" s="47"/>
      <c r="DL106" s="48" t="s">
        <v>4</v>
      </c>
      <c r="DM106" s="49"/>
      <c r="DN106" s="8"/>
      <c r="DO106" s="42" t="str">
        <f t="shared" si="602"/>
        <v/>
      </c>
      <c r="DP106" s="43">
        <f>DK106-DM106</f>
        <v>0</v>
      </c>
      <c r="DQ106" s="8"/>
      <c r="DR106" s="47"/>
      <c r="DS106" s="48" t="s">
        <v>4</v>
      </c>
      <c r="DT106" s="49"/>
      <c r="DU106" s="8"/>
      <c r="DV106" s="42" t="str">
        <f t="shared" si="604"/>
        <v/>
      </c>
      <c r="DW106" s="43">
        <f>DR106-DT106</f>
        <v>0</v>
      </c>
      <c r="DX106" s="8"/>
      <c r="DY106" s="47"/>
      <c r="DZ106" s="48" t="s">
        <v>4</v>
      </c>
      <c r="EA106" s="49"/>
      <c r="EB106" s="8"/>
      <c r="EC106" s="42" t="str">
        <f t="shared" si="606"/>
        <v/>
      </c>
      <c r="ED106" s="43">
        <f>DY106-EA106</f>
        <v>0</v>
      </c>
      <c r="EE106" s="8"/>
      <c r="EF106" s="47"/>
      <c r="EG106" s="48" t="s">
        <v>4</v>
      </c>
      <c r="EH106" s="49"/>
      <c r="EI106" s="8"/>
      <c r="EJ106" s="42" t="str">
        <f t="shared" si="608"/>
        <v/>
      </c>
      <c r="EK106" s="43">
        <f>EF106-EH106</f>
        <v>0</v>
      </c>
      <c r="EL106" s="8"/>
      <c r="EM106" s="47"/>
      <c r="EN106" s="48" t="s">
        <v>4</v>
      </c>
      <c r="EO106" s="49"/>
      <c r="EP106" s="8"/>
      <c r="EQ106" s="42" t="str">
        <f t="shared" si="610"/>
        <v/>
      </c>
      <c r="ER106" s="43">
        <f>EM106-EO106</f>
        <v>0</v>
      </c>
      <c r="ES106" s="8"/>
      <c r="ET106" s="47"/>
      <c r="EU106" s="48" t="s">
        <v>4</v>
      </c>
      <c r="EV106" s="49"/>
      <c r="EW106" s="8"/>
      <c r="EX106" s="42" t="str">
        <f t="shared" si="612"/>
        <v/>
      </c>
      <c r="EY106" s="43">
        <f>ET106-EV106</f>
        <v>0</v>
      </c>
      <c r="EZ106" s="8"/>
      <c r="FA106" s="47"/>
      <c r="FB106" s="48" t="s">
        <v>4</v>
      </c>
      <c r="FC106" s="49"/>
      <c r="FD106" s="8"/>
      <c r="FE106" s="42" t="str">
        <f t="shared" si="614"/>
        <v/>
      </c>
      <c r="FF106" s="43">
        <f>FA106-FC106</f>
        <v>0</v>
      </c>
      <c r="FG106" s="8"/>
      <c r="FH106" s="47"/>
      <c r="FI106" s="48" t="s">
        <v>4</v>
      </c>
      <c r="FJ106" s="49"/>
      <c r="FK106" s="8"/>
      <c r="FL106" s="42" t="str">
        <f t="shared" si="616"/>
        <v/>
      </c>
      <c r="FM106" s="43">
        <f>FH106-FJ106</f>
        <v>0</v>
      </c>
      <c r="FN106" s="8"/>
      <c r="FO106" s="47"/>
      <c r="FP106" s="48" t="s">
        <v>4</v>
      </c>
      <c r="FQ106" s="49"/>
      <c r="FR106" s="8"/>
      <c r="FS106" s="42" t="str">
        <f t="shared" si="618"/>
        <v/>
      </c>
      <c r="FT106" s="43">
        <f>FO106-FQ106</f>
        <v>0</v>
      </c>
      <c r="FU106" s="8"/>
      <c r="FV106" s="47"/>
      <c r="FW106" s="48" t="s">
        <v>4</v>
      </c>
      <c r="FX106" s="49"/>
      <c r="FY106" s="8"/>
      <c r="FZ106" s="42" t="str">
        <f t="shared" si="620"/>
        <v/>
      </c>
      <c r="GA106" s="43">
        <f>FV106-FX106</f>
        <v>0</v>
      </c>
      <c r="GB106" s="8"/>
      <c r="GC106" s="47"/>
      <c r="GD106" s="48" t="s">
        <v>4</v>
      </c>
      <c r="GE106" s="49"/>
      <c r="GF106" s="8"/>
      <c r="GG106" s="42" t="str">
        <f t="shared" si="622"/>
        <v/>
      </c>
      <c r="GH106" s="43">
        <f>GC106-GE106</f>
        <v>0</v>
      </c>
      <c r="GI106" s="8"/>
      <c r="GJ106" s="47"/>
      <c r="GK106" s="48" t="s">
        <v>4</v>
      </c>
      <c r="GL106" s="49"/>
      <c r="GM106" s="8"/>
      <c r="GN106" s="42" t="str">
        <f t="shared" si="624"/>
        <v/>
      </c>
      <c r="GO106" s="43">
        <f>GJ106-GL106</f>
        <v>0</v>
      </c>
      <c r="GP106" s="8"/>
      <c r="GQ106" s="47"/>
      <c r="GR106" s="48" t="s">
        <v>4</v>
      </c>
      <c r="GS106" s="49"/>
      <c r="GT106" s="8"/>
      <c r="GU106" s="42" t="str">
        <f t="shared" si="626"/>
        <v/>
      </c>
      <c r="GV106" s="43">
        <f>GQ106-GS106</f>
        <v>0</v>
      </c>
      <c r="GW106" s="8"/>
      <c r="GX106" s="47"/>
      <c r="GY106" s="48" t="s">
        <v>4</v>
      </c>
      <c r="GZ106" s="49"/>
      <c r="HA106" s="8"/>
      <c r="HB106" s="42" t="str">
        <f t="shared" si="628"/>
        <v/>
      </c>
      <c r="HC106" s="43">
        <f>GX106-GZ106</f>
        <v>0</v>
      </c>
      <c r="HD106" s="8"/>
      <c r="HE106" s="47"/>
      <c r="HF106" s="48" t="s">
        <v>4</v>
      </c>
      <c r="HG106" s="49"/>
      <c r="HH106" s="8"/>
      <c r="HI106" s="42" t="str">
        <f t="shared" si="630"/>
        <v/>
      </c>
      <c r="HJ106" s="43">
        <f>HE106-HG106</f>
        <v>0</v>
      </c>
      <c r="HK106" s="8"/>
      <c r="HL106" s="47"/>
      <c r="HM106" s="48" t="s">
        <v>4</v>
      </c>
      <c r="HN106" s="49"/>
      <c r="HO106" s="8"/>
      <c r="HP106" s="42" t="str">
        <f t="shared" si="632"/>
        <v/>
      </c>
      <c r="HQ106" s="43">
        <f>HL106-HN106</f>
        <v>0</v>
      </c>
      <c r="HR106" s="8"/>
      <c r="HS106" s="47"/>
      <c r="HT106" s="48" t="s">
        <v>4</v>
      </c>
      <c r="HU106" s="49"/>
      <c r="HV106" s="8"/>
      <c r="HW106" s="42" t="str">
        <f t="shared" si="634"/>
        <v/>
      </c>
      <c r="HX106" s="43">
        <f>HS106-HU106</f>
        <v>0</v>
      </c>
      <c r="HY106" s="8"/>
      <c r="HZ106" s="47"/>
      <c r="IA106" s="48" t="s">
        <v>4</v>
      </c>
      <c r="IB106" s="49"/>
      <c r="IC106" s="8"/>
      <c r="ID106" s="42" t="str">
        <f t="shared" si="636"/>
        <v/>
      </c>
      <c r="IE106" s="43">
        <f>HZ106-IB106</f>
        <v>0</v>
      </c>
      <c r="IF106" s="8"/>
      <c r="IG106" s="47"/>
      <c r="IH106" s="48" t="s">
        <v>4</v>
      </c>
      <c r="II106" s="49"/>
      <c r="IJ106" s="8"/>
      <c r="IK106" s="42" t="str">
        <f t="shared" si="638"/>
        <v/>
      </c>
      <c r="IL106" s="43">
        <f>IG106-II106</f>
        <v>0</v>
      </c>
      <c r="IM106" s="8"/>
      <c r="IN106" s="47"/>
      <c r="IO106" s="48" t="s">
        <v>4</v>
      </c>
      <c r="IP106" s="49"/>
      <c r="IQ106" s="8"/>
      <c r="IR106" s="42" t="str">
        <f t="shared" si="640"/>
        <v/>
      </c>
      <c r="IS106" s="43">
        <f>IN106-IP106</f>
        <v>0</v>
      </c>
      <c r="IT106" s="8"/>
      <c r="IU106" s="47"/>
      <c r="IV106" s="48" t="s">
        <v>4</v>
      </c>
      <c r="IW106" s="49"/>
      <c r="IX106" s="8"/>
      <c r="IY106" s="42" t="str">
        <f t="shared" si="642"/>
        <v/>
      </c>
      <c r="IZ106" s="43">
        <f>IU106-IW106</f>
        <v>0</v>
      </c>
      <c r="JA106" s="8"/>
      <c r="JB106" s="47"/>
      <c r="JC106" s="48" t="s">
        <v>4</v>
      </c>
      <c r="JD106" s="49"/>
      <c r="JE106" s="8"/>
      <c r="JF106" s="42" t="str">
        <f t="shared" si="644"/>
        <v/>
      </c>
      <c r="JG106" s="43">
        <f>JB106-JD106</f>
        <v>0</v>
      </c>
      <c r="JH106" s="8"/>
      <c r="JI106" s="47"/>
      <c r="JJ106" s="48" t="s">
        <v>4</v>
      </c>
      <c r="JK106" s="49"/>
      <c r="JL106" s="8"/>
      <c r="JM106" s="42" t="str">
        <f t="shared" si="646"/>
        <v/>
      </c>
      <c r="JN106" s="43">
        <f>JI106-JK106</f>
        <v>0</v>
      </c>
      <c r="JO106" s="8"/>
      <c r="JP106" s="47"/>
      <c r="JQ106" s="48" t="s">
        <v>4</v>
      </c>
      <c r="JR106" s="49"/>
      <c r="JS106" s="8"/>
      <c r="JT106" s="42" t="str">
        <f t="shared" si="648"/>
        <v/>
      </c>
      <c r="JU106" s="43">
        <f>JP106-JR106</f>
        <v>0</v>
      </c>
      <c r="JV106" s="8"/>
      <c r="JW106" s="47"/>
      <c r="JX106" s="48" t="s">
        <v>4</v>
      </c>
      <c r="JY106" s="49"/>
      <c r="JZ106" s="8"/>
      <c r="KA106" s="42" t="str">
        <f t="shared" si="650"/>
        <v/>
      </c>
      <c r="KB106" s="43">
        <f>JW106-JY106</f>
        <v>0</v>
      </c>
      <c r="KC106" s="8"/>
      <c r="KD106" s="47"/>
      <c r="KE106" s="48" t="s">
        <v>4</v>
      </c>
      <c r="KF106" s="49"/>
      <c r="KG106" s="8"/>
      <c r="KH106" s="42" t="str">
        <f t="shared" si="652"/>
        <v/>
      </c>
      <c r="KI106" s="43">
        <f>KD106-KF106</f>
        <v>0</v>
      </c>
      <c r="KJ106" s="8"/>
      <c r="KK106" s="47"/>
      <c r="KL106" s="48" t="s">
        <v>4</v>
      </c>
      <c r="KM106" s="49"/>
      <c r="KN106" s="8"/>
      <c r="KO106" s="42" t="str">
        <f t="shared" si="654"/>
        <v/>
      </c>
      <c r="KP106" s="43">
        <f>KK106-KM106</f>
        <v>0</v>
      </c>
      <c r="KQ106" s="8"/>
      <c r="KR106" s="47"/>
      <c r="KS106" s="48" t="s">
        <v>4</v>
      </c>
      <c r="KT106" s="49"/>
      <c r="KU106" s="8"/>
      <c r="KV106" s="42" t="str">
        <f t="shared" si="656"/>
        <v/>
      </c>
      <c r="KW106" s="43">
        <f>KR106-KT106</f>
        <v>0</v>
      </c>
      <c r="KX106" s="8"/>
      <c r="KY106" s="47"/>
      <c r="KZ106" s="48" t="s">
        <v>4</v>
      </c>
      <c r="LA106" s="49"/>
      <c r="LB106" s="8"/>
      <c r="LC106" s="42" t="str">
        <f t="shared" si="658"/>
        <v/>
      </c>
      <c r="LD106" s="43">
        <f>KY106-LA106</f>
        <v>0</v>
      </c>
      <c r="LE106" s="8"/>
      <c r="LF106" s="47"/>
      <c r="LG106" s="48" t="s">
        <v>4</v>
      </c>
      <c r="LH106" s="49"/>
      <c r="LI106" s="8"/>
      <c r="LJ106" s="42" t="str">
        <f t="shared" si="660"/>
        <v/>
      </c>
      <c r="LK106" s="43">
        <f>LF106-LH106</f>
        <v>0</v>
      </c>
      <c r="LL106" s="8"/>
      <c r="LM106" s="47"/>
      <c r="LN106" s="48" t="s">
        <v>4</v>
      </c>
      <c r="LO106" s="49"/>
      <c r="LP106" s="8"/>
      <c r="LQ106" s="42" t="str">
        <f t="shared" si="662"/>
        <v/>
      </c>
      <c r="LR106" s="43">
        <f>LM106-LO106</f>
        <v>0</v>
      </c>
      <c r="LS106" s="8"/>
      <c r="LT106" s="47"/>
      <c r="LU106" s="48" t="s">
        <v>4</v>
      </c>
      <c r="LV106" s="49"/>
      <c r="LW106" s="8"/>
      <c r="LX106" s="42" t="str">
        <f t="shared" si="664"/>
        <v/>
      </c>
      <c r="LY106" s="43">
        <f>LT106-LV106</f>
        <v>0</v>
      </c>
      <c r="LZ106" s="8"/>
      <c r="MA106" s="47"/>
      <c r="MB106" s="48" t="s">
        <v>4</v>
      </c>
      <c r="MC106" s="49"/>
      <c r="MD106" s="8"/>
      <c r="ME106" s="42" t="str">
        <f t="shared" si="666"/>
        <v/>
      </c>
      <c r="MF106" s="43">
        <f>MA106-MC106</f>
        <v>0</v>
      </c>
      <c r="MG106" s="8"/>
      <c r="MH106" s="47"/>
      <c r="MI106" s="48" t="s">
        <v>4</v>
      </c>
      <c r="MJ106" s="49"/>
      <c r="MK106" s="8"/>
      <c r="ML106" s="42" t="str">
        <f t="shared" si="668"/>
        <v/>
      </c>
      <c r="MM106" s="43">
        <f>MH106-MJ106</f>
        <v>0</v>
      </c>
      <c r="MN106" s="8"/>
      <c r="MO106" s="47"/>
      <c r="MP106" s="48" t="s">
        <v>4</v>
      </c>
      <c r="MQ106" s="49"/>
      <c r="MR106" s="8"/>
      <c r="MS106" s="42" t="str">
        <f t="shared" si="670"/>
        <v/>
      </c>
      <c r="MT106" s="43">
        <f>MO106-MQ106</f>
        <v>0</v>
      </c>
      <c r="MU106" s="8"/>
      <c r="MV106" s="47"/>
      <c r="MW106" s="48" t="s">
        <v>4</v>
      </c>
      <c r="MX106" s="49"/>
      <c r="MY106" s="8"/>
      <c r="MZ106" s="42" t="str">
        <f t="shared" si="672"/>
        <v/>
      </c>
      <c r="NA106" s="43">
        <f>MV106-MX106</f>
        <v>0</v>
      </c>
      <c r="NB106" s="8"/>
      <c r="NC106" s="47"/>
      <c r="ND106" s="48" t="s">
        <v>4</v>
      </c>
      <c r="NE106" s="49"/>
      <c r="NF106" s="8"/>
      <c r="NG106" s="42" t="str">
        <f t="shared" si="674"/>
        <v/>
      </c>
      <c r="NH106" s="43">
        <f>NC106-NE106</f>
        <v>0</v>
      </c>
      <c r="NI106" s="8"/>
      <c r="NJ106" s="47"/>
      <c r="NK106" s="48" t="s">
        <v>4</v>
      </c>
      <c r="NL106" s="49"/>
      <c r="NM106" s="8"/>
      <c r="NN106" s="42" t="str">
        <f t="shared" si="676"/>
        <v/>
      </c>
      <c r="NO106" s="43">
        <f>NJ106-NL106</f>
        <v>0</v>
      </c>
      <c r="NP106" s="8"/>
      <c r="NQ106" s="47"/>
      <c r="NR106" s="48" t="s">
        <v>4</v>
      </c>
      <c r="NS106" s="49"/>
      <c r="NT106" s="8"/>
      <c r="NU106" s="42" t="str">
        <f t="shared" si="678"/>
        <v/>
      </c>
      <c r="NV106" s="43">
        <f>NQ106-NS106</f>
        <v>0</v>
      </c>
      <c r="NW106" s="8"/>
      <c r="NX106" s="47"/>
      <c r="NY106" s="48" t="s">
        <v>4</v>
      </c>
      <c r="NZ106" s="49"/>
      <c r="OA106" s="8"/>
      <c r="OB106" s="42" t="str">
        <f t="shared" si="680"/>
        <v/>
      </c>
      <c r="OC106" s="43">
        <f>NX106-NZ106</f>
        <v>0</v>
      </c>
      <c r="OD106" s="8"/>
      <c r="OE106" s="47"/>
      <c r="OF106" s="48" t="s">
        <v>4</v>
      </c>
      <c r="OG106" s="49"/>
      <c r="OH106" s="8"/>
      <c r="OI106" s="42" t="str">
        <f t="shared" si="682"/>
        <v/>
      </c>
      <c r="OJ106" s="43">
        <f>OE106-OG106</f>
        <v>0</v>
      </c>
      <c r="OK106" s="8"/>
      <c r="OL106" s="47"/>
      <c r="OM106" s="48" t="s">
        <v>4</v>
      </c>
      <c r="ON106" s="49"/>
      <c r="OO106" s="8"/>
      <c r="OP106" s="42" t="str">
        <f t="shared" si="684"/>
        <v/>
      </c>
      <c r="OQ106" s="43">
        <f>OL106-ON106</f>
        <v>0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/>
      <c r="PA106" s="48" t="s">
        <v>4</v>
      </c>
      <c r="PB106" s="49"/>
      <c r="PC106" s="8"/>
      <c r="PD106" s="42" t="str">
        <f t="shared" si="688"/>
        <v/>
      </c>
      <c r="PE106" s="43">
        <f>OZ106-PB106</f>
        <v>0</v>
      </c>
      <c r="PF106" s="8"/>
      <c r="PG106" s="47"/>
      <c r="PH106" s="48" t="s">
        <v>4</v>
      </c>
      <c r="PI106" s="49"/>
      <c r="PJ106" s="8"/>
      <c r="PK106" s="42" t="str">
        <f t="shared" si="690"/>
        <v/>
      </c>
      <c r="PL106" s="43">
        <f>PG106-PI106</f>
        <v>0</v>
      </c>
      <c r="PM106" s="8"/>
      <c r="PN106" s="47"/>
      <c r="PO106" s="48" t="s">
        <v>4</v>
      </c>
      <c r="PP106" s="49"/>
      <c r="PQ106" s="8"/>
      <c r="PR106" s="42" t="str">
        <f t="shared" si="692"/>
        <v/>
      </c>
      <c r="PS106" s="43">
        <f>PN106-PP106</f>
        <v>0</v>
      </c>
      <c r="PT106" s="8"/>
      <c r="PU106" s="47"/>
      <c r="PV106" s="48" t="s">
        <v>4</v>
      </c>
      <c r="PW106" s="49"/>
      <c r="PX106" s="8"/>
      <c r="PY106" s="42" t="str">
        <f t="shared" si="694"/>
        <v/>
      </c>
      <c r="PZ106" s="43">
        <f>PU106-PW106</f>
        <v>0</v>
      </c>
      <c r="QA106" s="8"/>
      <c r="QB106" s="47"/>
      <c r="QC106" s="48" t="s">
        <v>4</v>
      </c>
      <c r="QD106" s="49"/>
      <c r="QE106" s="8"/>
      <c r="QF106" s="42" t="str">
        <f t="shared" si="696"/>
        <v/>
      </c>
      <c r="QG106" s="43">
        <f>QB106-QD106</f>
        <v>0</v>
      </c>
      <c r="QH106" s="8"/>
      <c r="QI106" s="47"/>
      <c r="QJ106" s="48" t="s">
        <v>4</v>
      </c>
      <c r="QK106" s="49"/>
      <c r="QL106" s="8"/>
      <c r="QM106" s="42" t="str">
        <f t="shared" si="698"/>
        <v/>
      </c>
      <c r="QN106" s="43">
        <f>QI106-QK106</f>
        <v>0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/>
      <c r="RL106" s="48" t="s">
        <v>4</v>
      </c>
      <c r="RM106" s="49"/>
      <c r="RN106" s="8"/>
      <c r="RO106" s="42" t="str">
        <f t="shared" si="706"/>
        <v/>
      </c>
      <c r="RP106" s="43">
        <f>RK106-RM106</f>
        <v>0</v>
      </c>
      <c r="RQ106" s="8"/>
      <c r="RR106" s="47"/>
      <c r="RS106" s="48" t="s">
        <v>4</v>
      </c>
      <c r="RT106" s="49"/>
      <c r="RU106" s="8"/>
      <c r="RV106" s="42" t="str">
        <f t="shared" si="708"/>
        <v/>
      </c>
      <c r="RW106" s="43">
        <f>RR106-RT106</f>
        <v>0</v>
      </c>
      <c r="RX106" s="8"/>
      <c r="RY106" s="47"/>
      <c r="RZ106" s="48" t="s">
        <v>4</v>
      </c>
      <c r="SA106" s="49"/>
      <c r="SB106" s="8"/>
      <c r="SC106" s="42" t="str">
        <f t="shared" si="710"/>
        <v/>
      </c>
      <c r="SD106" s="43">
        <f>RY106-SA106</f>
        <v>0</v>
      </c>
      <c r="SE106" s="8"/>
      <c r="SF106" s="47"/>
      <c r="SG106" s="48" t="s">
        <v>4</v>
      </c>
      <c r="SH106" s="49"/>
      <c r="SI106" s="8"/>
      <c r="SJ106" s="42" t="str">
        <f t="shared" si="712"/>
        <v/>
      </c>
      <c r="SK106" s="43">
        <f>SF106-SH106</f>
        <v>0</v>
      </c>
      <c r="SL106" s="8"/>
      <c r="SM106" s="47"/>
      <c r="SN106" s="48" t="s">
        <v>4</v>
      </c>
      <c r="SO106" s="49"/>
      <c r="SP106" s="8"/>
      <c r="SQ106" s="42" t="str">
        <f t="shared" si="714"/>
        <v/>
      </c>
      <c r="SR106" s="43">
        <f>SM106-SO106</f>
        <v>0</v>
      </c>
    </row>
    <row r="107" spans="1:512" ht="16" customHeight="1" x14ac:dyDescent="0.15">
      <c r="A107" s="51">
        <v>46210</v>
      </c>
      <c r="B107" s="46">
        <v>0.91666666666666663</v>
      </c>
      <c r="C107" s="82"/>
      <c r="D107" s="83"/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/>
      <c r="AF107" s="48" t="s">
        <v>4</v>
      </c>
      <c r="AG107" s="49"/>
      <c r="AH107" s="8"/>
      <c r="AI107" s="42" t="str">
        <f t="shared" si="578"/>
        <v/>
      </c>
      <c r="AJ107" s="43">
        <f>AE107-AG107</f>
        <v>0</v>
      </c>
      <c r="AK107" s="8"/>
      <c r="AL107" s="47"/>
      <c r="AM107" s="48" t="s">
        <v>4</v>
      </c>
      <c r="AN107" s="49"/>
      <c r="AO107" s="8"/>
      <c r="AP107" s="42" t="str">
        <f t="shared" si="580"/>
        <v/>
      </c>
      <c r="AQ107" s="43">
        <f>AL107-AN107</f>
        <v>0</v>
      </c>
      <c r="AR107" s="8"/>
      <c r="AS107" s="47"/>
      <c r="AT107" s="48" t="s">
        <v>4</v>
      </c>
      <c r="AU107" s="49"/>
      <c r="AV107" s="8"/>
      <c r="AW107" s="42" t="str">
        <f t="shared" si="582"/>
        <v/>
      </c>
      <c r="AX107" s="43">
        <f>AS107-AU107</f>
        <v>0</v>
      </c>
      <c r="AY107" s="8"/>
      <c r="AZ107" s="47"/>
      <c r="BA107" s="48" t="s">
        <v>4</v>
      </c>
      <c r="BB107" s="49"/>
      <c r="BC107" s="8"/>
      <c r="BD107" s="42" t="str">
        <f t="shared" si="584"/>
        <v/>
      </c>
      <c r="BE107" s="43">
        <f>AZ107-BB107</f>
        <v>0</v>
      </c>
      <c r="BF107" s="8"/>
      <c r="BG107" s="47"/>
      <c r="BH107" s="48" t="s">
        <v>4</v>
      </c>
      <c r="BI107" s="49"/>
      <c r="BJ107" s="8"/>
      <c r="BK107" s="42" t="str">
        <f t="shared" si="586"/>
        <v/>
      </c>
      <c r="BL107" s="43">
        <f>BG107-BI107</f>
        <v>0</v>
      </c>
      <c r="BM107" s="8"/>
      <c r="BN107" s="47"/>
      <c r="BO107" s="48" t="s">
        <v>4</v>
      </c>
      <c r="BP107" s="49"/>
      <c r="BQ107" s="8"/>
      <c r="BR107" s="42" t="str">
        <f t="shared" si="588"/>
        <v/>
      </c>
      <c r="BS107" s="43">
        <f>BN107-BP107</f>
        <v>0</v>
      </c>
      <c r="BT107" s="8"/>
      <c r="BU107" s="47"/>
      <c r="BV107" s="48" t="s">
        <v>4</v>
      </c>
      <c r="BW107" s="49"/>
      <c r="BX107" s="8"/>
      <c r="BY107" s="42" t="str">
        <f t="shared" si="590"/>
        <v/>
      </c>
      <c r="BZ107" s="43">
        <f>BU107-BW107</f>
        <v>0</v>
      </c>
      <c r="CA107" s="8"/>
      <c r="CB107" s="47"/>
      <c r="CC107" s="48" t="s">
        <v>4</v>
      </c>
      <c r="CD107" s="49"/>
      <c r="CE107" s="8"/>
      <c r="CF107" s="42" t="str">
        <f t="shared" si="592"/>
        <v/>
      </c>
      <c r="CG107" s="43">
        <f>CB107-CD107</f>
        <v>0</v>
      </c>
      <c r="CH107" s="8"/>
      <c r="CI107" s="47"/>
      <c r="CJ107" s="48" t="s">
        <v>4</v>
      </c>
      <c r="CK107" s="49"/>
      <c r="CL107" s="8"/>
      <c r="CM107" s="42" t="str">
        <f t="shared" si="594"/>
        <v/>
      </c>
      <c r="CN107" s="43">
        <f>CI107-CK107</f>
        <v>0</v>
      </c>
      <c r="CO107" s="8"/>
      <c r="CP107" s="47"/>
      <c r="CQ107" s="48" t="s">
        <v>4</v>
      </c>
      <c r="CR107" s="49"/>
      <c r="CS107" s="8"/>
      <c r="CT107" s="42" t="str">
        <f t="shared" si="596"/>
        <v/>
      </c>
      <c r="CU107" s="43">
        <f>CP107-CR107</f>
        <v>0</v>
      </c>
      <c r="CV107" s="8"/>
      <c r="CW107" s="47"/>
      <c r="CX107" s="48" t="s">
        <v>4</v>
      </c>
      <c r="CY107" s="49"/>
      <c r="CZ107" s="8"/>
      <c r="DA107" s="42" t="str">
        <f t="shared" si="598"/>
        <v/>
      </c>
      <c r="DB107" s="43">
        <f>CW107-CY107</f>
        <v>0</v>
      </c>
      <c r="DC107" s="8"/>
      <c r="DD107" s="47"/>
      <c r="DE107" s="48" t="s">
        <v>4</v>
      </c>
      <c r="DF107" s="49"/>
      <c r="DG107" s="8"/>
      <c r="DH107" s="42" t="str">
        <f t="shared" si="600"/>
        <v/>
      </c>
      <c r="DI107" s="43">
        <f>DD107-DF107</f>
        <v>0</v>
      </c>
      <c r="DJ107" s="8"/>
      <c r="DK107" s="47"/>
      <c r="DL107" s="48" t="s">
        <v>4</v>
      </c>
      <c r="DM107" s="49"/>
      <c r="DN107" s="8"/>
      <c r="DO107" s="42" t="str">
        <f t="shared" si="602"/>
        <v/>
      </c>
      <c r="DP107" s="43">
        <f>DK107-DM107</f>
        <v>0</v>
      </c>
      <c r="DQ107" s="8"/>
      <c r="DR107" s="47"/>
      <c r="DS107" s="48" t="s">
        <v>4</v>
      </c>
      <c r="DT107" s="49"/>
      <c r="DU107" s="8"/>
      <c r="DV107" s="42" t="str">
        <f t="shared" si="604"/>
        <v/>
      </c>
      <c r="DW107" s="43">
        <f>DR107-DT107</f>
        <v>0</v>
      </c>
      <c r="DX107" s="8"/>
      <c r="DY107" s="47"/>
      <c r="DZ107" s="48" t="s">
        <v>4</v>
      </c>
      <c r="EA107" s="49"/>
      <c r="EB107" s="8"/>
      <c r="EC107" s="42" t="str">
        <f t="shared" si="606"/>
        <v/>
      </c>
      <c r="ED107" s="43">
        <f>DY107-EA107</f>
        <v>0</v>
      </c>
      <c r="EE107" s="8"/>
      <c r="EF107" s="47"/>
      <c r="EG107" s="48" t="s">
        <v>4</v>
      </c>
      <c r="EH107" s="49"/>
      <c r="EI107" s="8"/>
      <c r="EJ107" s="42" t="str">
        <f t="shared" si="608"/>
        <v/>
      </c>
      <c r="EK107" s="43">
        <f>EF107-EH107</f>
        <v>0</v>
      </c>
      <c r="EL107" s="8"/>
      <c r="EM107" s="47"/>
      <c r="EN107" s="48" t="s">
        <v>4</v>
      </c>
      <c r="EO107" s="49"/>
      <c r="EP107" s="8"/>
      <c r="EQ107" s="42" t="str">
        <f t="shared" si="610"/>
        <v/>
      </c>
      <c r="ER107" s="43">
        <f>EM107-EO107</f>
        <v>0</v>
      </c>
      <c r="ES107" s="8"/>
      <c r="ET107" s="47"/>
      <c r="EU107" s="48" t="s">
        <v>4</v>
      </c>
      <c r="EV107" s="49"/>
      <c r="EW107" s="8"/>
      <c r="EX107" s="42" t="str">
        <f t="shared" si="612"/>
        <v/>
      </c>
      <c r="EY107" s="43">
        <f>ET107-EV107</f>
        <v>0</v>
      </c>
      <c r="EZ107" s="8"/>
      <c r="FA107" s="47"/>
      <c r="FB107" s="48" t="s">
        <v>4</v>
      </c>
      <c r="FC107" s="49"/>
      <c r="FD107" s="8"/>
      <c r="FE107" s="42" t="str">
        <f t="shared" si="614"/>
        <v/>
      </c>
      <c r="FF107" s="43">
        <f>FA107-FC107</f>
        <v>0</v>
      </c>
      <c r="FG107" s="8"/>
      <c r="FH107" s="47"/>
      <c r="FI107" s="48" t="s">
        <v>4</v>
      </c>
      <c r="FJ107" s="49"/>
      <c r="FK107" s="8"/>
      <c r="FL107" s="42" t="str">
        <f t="shared" si="616"/>
        <v/>
      </c>
      <c r="FM107" s="43">
        <f>FH107-FJ107</f>
        <v>0</v>
      </c>
      <c r="FN107" s="8"/>
      <c r="FO107" s="47"/>
      <c r="FP107" s="48" t="s">
        <v>4</v>
      </c>
      <c r="FQ107" s="49"/>
      <c r="FR107" s="8"/>
      <c r="FS107" s="42" t="str">
        <f t="shared" si="618"/>
        <v/>
      </c>
      <c r="FT107" s="43">
        <f>FO107-FQ107</f>
        <v>0</v>
      </c>
      <c r="FU107" s="8"/>
      <c r="FV107" s="47"/>
      <c r="FW107" s="48" t="s">
        <v>4</v>
      </c>
      <c r="FX107" s="49"/>
      <c r="FY107" s="8"/>
      <c r="FZ107" s="42" t="str">
        <f t="shared" si="620"/>
        <v/>
      </c>
      <c r="GA107" s="43">
        <f>FV107-FX107</f>
        <v>0</v>
      </c>
      <c r="GB107" s="8"/>
      <c r="GC107" s="47"/>
      <c r="GD107" s="48" t="s">
        <v>4</v>
      </c>
      <c r="GE107" s="49"/>
      <c r="GF107" s="8"/>
      <c r="GG107" s="42" t="str">
        <f t="shared" si="622"/>
        <v/>
      </c>
      <c r="GH107" s="43">
        <f>GC107-GE107</f>
        <v>0</v>
      </c>
      <c r="GI107" s="8"/>
      <c r="GJ107" s="47"/>
      <c r="GK107" s="48" t="s">
        <v>4</v>
      </c>
      <c r="GL107" s="49"/>
      <c r="GM107" s="8"/>
      <c r="GN107" s="42" t="str">
        <f t="shared" si="624"/>
        <v/>
      </c>
      <c r="GO107" s="43">
        <f>GJ107-GL107</f>
        <v>0</v>
      </c>
      <c r="GP107" s="8"/>
      <c r="GQ107" s="47"/>
      <c r="GR107" s="48" t="s">
        <v>4</v>
      </c>
      <c r="GS107" s="49"/>
      <c r="GT107" s="8"/>
      <c r="GU107" s="42" t="str">
        <f t="shared" si="626"/>
        <v/>
      </c>
      <c r="GV107" s="43">
        <f>GQ107-GS107</f>
        <v>0</v>
      </c>
      <c r="GW107" s="8"/>
      <c r="GX107" s="47"/>
      <c r="GY107" s="48" t="s">
        <v>4</v>
      </c>
      <c r="GZ107" s="49"/>
      <c r="HA107" s="8"/>
      <c r="HB107" s="42" t="str">
        <f t="shared" si="628"/>
        <v/>
      </c>
      <c r="HC107" s="43">
        <f>GX107-GZ107</f>
        <v>0</v>
      </c>
      <c r="HD107" s="8"/>
      <c r="HE107" s="47"/>
      <c r="HF107" s="48" t="s">
        <v>4</v>
      </c>
      <c r="HG107" s="49"/>
      <c r="HH107" s="8"/>
      <c r="HI107" s="42" t="str">
        <f t="shared" si="630"/>
        <v/>
      </c>
      <c r="HJ107" s="43">
        <f>HE107-HG107</f>
        <v>0</v>
      </c>
      <c r="HK107" s="8"/>
      <c r="HL107" s="47"/>
      <c r="HM107" s="48" t="s">
        <v>4</v>
      </c>
      <c r="HN107" s="49"/>
      <c r="HO107" s="8"/>
      <c r="HP107" s="42" t="str">
        <f t="shared" si="632"/>
        <v/>
      </c>
      <c r="HQ107" s="43">
        <f>HL107-HN107</f>
        <v>0</v>
      </c>
      <c r="HR107" s="8"/>
      <c r="HS107" s="47"/>
      <c r="HT107" s="48" t="s">
        <v>4</v>
      </c>
      <c r="HU107" s="49"/>
      <c r="HV107" s="8"/>
      <c r="HW107" s="42" t="str">
        <f t="shared" si="634"/>
        <v/>
      </c>
      <c r="HX107" s="43">
        <f>HS107-HU107</f>
        <v>0</v>
      </c>
      <c r="HY107" s="8"/>
      <c r="HZ107" s="47"/>
      <c r="IA107" s="48" t="s">
        <v>4</v>
      </c>
      <c r="IB107" s="49"/>
      <c r="IC107" s="8"/>
      <c r="ID107" s="42" t="str">
        <f t="shared" si="636"/>
        <v/>
      </c>
      <c r="IE107" s="43">
        <f>HZ107-IB107</f>
        <v>0</v>
      </c>
      <c r="IF107" s="8"/>
      <c r="IG107" s="47"/>
      <c r="IH107" s="48" t="s">
        <v>4</v>
      </c>
      <c r="II107" s="49"/>
      <c r="IJ107" s="8"/>
      <c r="IK107" s="42" t="str">
        <f t="shared" si="638"/>
        <v/>
      </c>
      <c r="IL107" s="43">
        <f>IG107-II107</f>
        <v>0</v>
      </c>
      <c r="IM107" s="8"/>
      <c r="IN107" s="47"/>
      <c r="IO107" s="48" t="s">
        <v>4</v>
      </c>
      <c r="IP107" s="49"/>
      <c r="IQ107" s="8"/>
      <c r="IR107" s="42" t="str">
        <f t="shared" si="640"/>
        <v/>
      </c>
      <c r="IS107" s="43">
        <f>IN107-IP107</f>
        <v>0</v>
      </c>
      <c r="IT107" s="8"/>
      <c r="IU107" s="47"/>
      <c r="IV107" s="48" t="s">
        <v>4</v>
      </c>
      <c r="IW107" s="49"/>
      <c r="IX107" s="8"/>
      <c r="IY107" s="42" t="str">
        <f t="shared" si="642"/>
        <v/>
      </c>
      <c r="IZ107" s="43">
        <f>IU107-IW107</f>
        <v>0</v>
      </c>
      <c r="JA107" s="8"/>
      <c r="JB107" s="47"/>
      <c r="JC107" s="48" t="s">
        <v>4</v>
      </c>
      <c r="JD107" s="49"/>
      <c r="JE107" s="8"/>
      <c r="JF107" s="42" t="str">
        <f t="shared" si="644"/>
        <v/>
      </c>
      <c r="JG107" s="43">
        <f>JB107-JD107</f>
        <v>0</v>
      </c>
      <c r="JH107" s="8"/>
      <c r="JI107" s="47"/>
      <c r="JJ107" s="48" t="s">
        <v>4</v>
      </c>
      <c r="JK107" s="49"/>
      <c r="JL107" s="8"/>
      <c r="JM107" s="42" t="str">
        <f t="shared" si="646"/>
        <v/>
      </c>
      <c r="JN107" s="43">
        <f>JI107-JK107</f>
        <v>0</v>
      </c>
      <c r="JO107" s="8"/>
      <c r="JP107" s="47"/>
      <c r="JQ107" s="48" t="s">
        <v>4</v>
      </c>
      <c r="JR107" s="49"/>
      <c r="JS107" s="8"/>
      <c r="JT107" s="42" t="str">
        <f t="shared" si="648"/>
        <v/>
      </c>
      <c r="JU107" s="43">
        <f>JP107-JR107</f>
        <v>0</v>
      </c>
      <c r="JV107" s="8"/>
      <c r="JW107" s="47"/>
      <c r="JX107" s="48" t="s">
        <v>4</v>
      </c>
      <c r="JY107" s="49"/>
      <c r="JZ107" s="8"/>
      <c r="KA107" s="42" t="str">
        <f t="shared" si="650"/>
        <v/>
      </c>
      <c r="KB107" s="43">
        <f>JW107-JY107</f>
        <v>0</v>
      </c>
      <c r="KC107" s="8"/>
      <c r="KD107" s="47"/>
      <c r="KE107" s="48" t="s">
        <v>4</v>
      </c>
      <c r="KF107" s="49"/>
      <c r="KG107" s="8"/>
      <c r="KH107" s="42" t="str">
        <f t="shared" si="652"/>
        <v/>
      </c>
      <c r="KI107" s="43">
        <f>KD107-KF107</f>
        <v>0</v>
      </c>
      <c r="KJ107" s="8"/>
      <c r="KK107" s="47"/>
      <c r="KL107" s="48" t="s">
        <v>4</v>
      </c>
      <c r="KM107" s="49"/>
      <c r="KN107" s="8"/>
      <c r="KO107" s="42" t="str">
        <f t="shared" si="654"/>
        <v/>
      </c>
      <c r="KP107" s="43">
        <f>KK107-KM107</f>
        <v>0</v>
      </c>
      <c r="KQ107" s="8"/>
      <c r="KR107" s="47"/>
      <c r="KS107" s="48" t="s">
        <v>4</v>
      </c>
      <c r="KT107" s="49"/>
      <c r="KU107" s="8"/>
      <c r="KV107" s="42" t="str">
        <f t="shared" si="656"/>
        <v/>
      </c>
      <c r="KW107" s="43">
        <f>KR107-KT107</f>
        <v>0</v>
      </c>
      <c r="KX107" s="8"/>
      <c r="KY107" s="47"/>
      <c r="KZ107" s="48" t="s">
        <v>4</v>
      </c>
      <c r="LA107" s="49"/>
      <c r="LB107" s="8"/>
      <c r="LC107" s="42" t="str">
        <f t="shared" si="658"/>
        <v/>
      </c>
      <c r="LD107" s="43">
        <f>KY107-LA107</f>
        <v>0</v>
      </c>
      <c r="LE107" s="8"/>
      <c r="LF107" s="47"/>
      <c r="LG107" s="48" t="s">
        <v>4</v>
      </c>
      <c r="LH107" s="49"/>
      <c r="LI107" s="8"/>
      <c r="LJ107" s="42" t="str">
        <f t="shared" si="660"/>
        <v/>
      </c>
      <c r="LK107" s="43">
        <f>LF107-LH107</f>
        <v>0</v>
      </c>
      <c r="LL107" s="8"/>
      <c r="LM107" s="47"/>
      <c r="LN107" s="48" t="s">
        <v>4</v>
      </c>
      <c r="LO107" s="49"/>
      <c r="LP107" s="8"/>
      <c r="LQ107" s="42" t="str">
        <f t="shared" si="662"/>
        <v/>
      </c>
      <c r="LR107" s="43">
        <f>LM107-LO107</f>
        <v>0</v>
      </c>
      <c r="LS107" s="8"/>
      <c r="LT107" s="47"/>
      <c r="LU107" s="48" t="s">
        <v>4</v>
      </c>
      <c r="LV107" s="49"/>
      <c r="LW107" s="8"/>
      <c r="LX107" s="42" t="str">
        <f t="shared" si="664"/>
        <v/>
      </c>
      <c r="LY107" s="43">
        <f>LT107-LV107</f>
        <v>0</v>
      </c>
      <c r="LZ107" s="8"/>
      <c r="MA107" s="47"/>
      <c r="MB107" s="48" t="s">
        <v>4</v>
      </c>
      <c r="MC107" s="49"/>
      <c r="MD107" s="8"/>
      <c r="ME107" s="42" t="str">
        <f t="shared" si="666"/>
        <v/>
      </c>
      <c r="MF107" s="43">
        <f>MA107-MC107</f>
        <v>0</v>
      </c>
      <c r="MG107" s="8"/>
      <c r="MH107" s="47"/>
      <c r="MI107" s="48" t="s">
        <v>4</v>
      </c>
      <c r="MJ107" s="49"/>
      <c r="MK107" s="8"/>
      <c r="ML107" s="42" t="str">
        <f t="shared" si="668"/>
        <v/>
      </c>
      <c r="MM107" s="43">
        <f>MH107-MJ107</f>
        <v>0</v>
      </c>
      <c r="MN107" s="8"/>
      <c r="MO107" s="47"/>
      <c r="MP107" s="48" t="s">
        <v>4</v>
      </c>
      <c r="MQ107" s="49"/>
      <c r="MR107" s="8"/>
      <c r="MS107" s="42" t="str">
        <f t="shared" si="670"/>
        <v/>
      </c>
      <c r="MT107" s="43">
        <f>MO107-MQ107</f>
        <v>0</v>
      </c>
      <c r="MU107" s="8"/>
      <c r="MV107" s="47"/>
      <c r="MW107" s="48" t="s">
        <v>4</v>
      </c>
      <c r="MX107" s="49"/>
      <c r="MY107" s="8"/>
      <c r="MZ107" s="42" t="str">
        <f t="shared" si="672"/>
        <v/>
      </c>
      <c r="NA107" s="43">
        <f>MV107-MX107</f>
        <v>0</v>
      </c>
      <c r="NB107" s="8"/>
      <c r="NC107" s="47"/>
      <c r="ND107" s="48" t="s">
        <v>4</v>
      </c>
      <c r="NE107" s="49"/>
      <c r="NF107" s="8"/>
      <c r="NG107" s="42" t="str">
        <f t="shared" si="674"/>
        <v/>
      </c>
      <c r="NH107" s="43">
        <f>NC107-NE107</f>
        <v>0</v>
      </c>
      <c r="NI107" s="8"/>
      <c r="NJ107" s="47"/>
      <c r="NK107" s="48" t="s">
        <v>4</v>
      </c>
      <c r="NL107" s="49"/>
      <c r="NM107" s="8"/>
      <c r="NN107" s="42" t="str">
        <f t="shared" si="676"/>
        <v/>
      </c>
      <c r="NO107" s="43">
        <f>NJ107-NL107</f>
        <v>0</v>
      </c>
      <c r="NP107" s="8"/>
      <c r="NQ107" s="47"/>
      <c r="NR107" s="48" t="s">
        <v>4</v>
      </c>
      <c r="NS107" s="49"/>
      <c r="NT107" s="8"/>
      <c r="NU107" s="42" t="str">
        <f t="shared" si="678"/>
        <v/>
      </c>
      <c r="NV107" s="43">
        <f>NQ107-NS107</f>
        <v>0</v>
      </c>
      <c r="NW107" s="8"/>
      <c r="NX107" s="47"/>
      <c r="NY107" s="48" t="s">
        <v>4</v>
      </c>
      <c r="NZ107" s="49"/>
      <c r="OA107" s="8"/>
      <c r="OB107" s="42" t="str">
        <f t="shared" si="680"/>
        <v/>
      </c>
      <c r="OC107" s="43">
        <f>NX107-NZ107</f>
        <v>0</v>
      </c>
      <c r="OD107" s="8"/>
      <c r="OE107" s="47"/>
      <c r="OF107" s="48" t="s">
        <v>4</v>
      </c>
      <c r="OG107" s="49"/>
      <c r="OH107" s="8"/>
      <c r="OI107" s="42" t="str">
        <f t="shared" si="682"/>
        <v/>
      </c>
      <c r="OJ107" s="43">
        <f>OE107-OG107</f>
        <v>0</v>
      </c>
      <c r="OK107" s="8"/>
      <c r="OL107" s="47"/>
      <c r="OM107" s="48" t="s">
        <v>4</v>
      </c>
      <c r="ON107" s="49"/>
      <c r="OO107" s="8"/>
      <c r="OP107" s="42" t="str">
        <f t="shared" si="684"/>
        <v/>
      </c>
      <c r="OQ107" s="43">
        <f>OL107-ON107</f>
        <v>0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/>
      <c r="PA107" s="48" t="s">
        <v>4</v>
      </c>
      <c r="PB107" s="49"/>
      <c r="PC107" s="8"/>
      <c r="PD107" s="42" t="str">
        <f t="shared" si="688"/>
        <v/>
      </c>
      <c r="PE107" s="43">
        <f>OZ107-PB107</f>
        <v>0</v>
      </c>
      <c r="PF107" s="8"/>
      <c r="PG107" s="47"/>
      <c r="PH107" s="48" t="s">
        <v>4</v>
      </c>
      <c r="PI107" s="49"/>
      <c r="PJ107" s="8"/>
      <c r="PK107" s="42" t="str">
        <f t="shared" si="690"/>
        <v/>
      </c>
      <c r="PL107" s="43">
        <f>PG107-PI107</f>
        <v>0</v>
      </c>
      <c r="PM107" s="8"/>
      <c r="PN107" s="47"/>
      <c r="PO107" s="48" t="s">
        <v>4</v>
      </c>
      <c r="PP107" s="49"/>
      <c r="PQ107" s="8"/>
      <c r="PR107" s="42" t="str">
        <f t="shared" si="692"/>
        <v/>
      </c>
      <c r="PS107" s="43">
        <f>PN107-PP107</f>
        <v>0</v>
      </c>
      <c r="PT107" s="8"/>
      <c r="PU107" s="47"/>
      <c r="PV107" s="48" t="s">
        <v>4</v>
      </c>
      <c r="PW107" s="49"/>
      <c r="PX107" s="8"/>
      <c r="PY107" s="42" t="str">
        <f t="shared" si="694"/>
        <v/>
      </c>
      <c r="PZ107" s="43">
        <f>PU107-PW107</f>
        <v>0</v>
      </c>
      <c r="QA107" s="8"/>
      <c r="QB107" s="47"/>
      <c r="QC107" s="48" t="s">
        <v>4</v>
      </c>
      <c r="QD107" s="49"/>
      <c r="QE107" s="8"/>
      <c r="QF107" s="42" t="str">
        <f t="shared" si="696"/>
        <v/>
      </c>
      <c r="QG107" s="43">
        <f>QB107-QD107</f>
        <v>0</v>
      </c>
      <c r="QH107" s="8"/>
      <c r="QI107" s="47"/>
      <c r="QJ107" s="48" t="s">
        <v>4</v>
      </c>
      <c r="QK107" s="49"/>
      <c r="QL107" s="8"/>
      <c r="QM107" s="42" t="str">
        <f t="shared" si="698"/>
        <v/>
      </c>
      <c r="QN107" s="43">
        <f>QI107-QK107</f>
        <v>0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/>
      <c r="RL107" s="48" t="s">
        <v>4</v>
      </c>
      <c r="RM107" s="49"/>
      <c r="RN107" s="8"/>
      <c r="RO107" s="42" t="str">
        <f t="shared" si="706"/>
        <v/>
      </c>
      <c r="RP107" s="43">
        <f>RK107-RM107</f>
        <v>0</v>
      </c>
      <c r="RQ107" s="8"/>
      <c r="RR107" s="47"/>
      <c r="RS107" s="48" t="s">
        <v>4</v>
      </c>
      <c r="RT107" s="49"/>
      <c r="RU107" s="8"/>
      <c r="RV107" s="42" t="str">
        <f t="shared" si="708"/>
        <v/>
      </c>
      <c r="RW107" s="43">
        <f>RR107-RT107</f>
        <v>0</v>
      </c>
      <c r="RX107" s="8"/>
      <c r="RY107" s="47"/>
      <c r="RZ107" s="48" t="s">
        <v>4</v>
      </c>
      <c r="SA107" s="49"/>
      <c r="SB107" s="8"/>
      <c r="SC107" s="42" t="str">
        <f t="shared" si="710"/>
        <v/>
      </c>
      <c r="SD107" s="43">
        <f>RY107-SA107</f>
        <v>0</v>
      </c>
      <c r="SE107" s="8"/>
      <c r="SF107" s="47"/>
      <c r="SG107" s="48" t="s">
        <v>4</v>
      </c>
      <c r="SH107" s="49"/>
      <c r="SI107" s="8"/>
      <c r="SJ107" s="42" t="str">
        <f t="shared" si="712"/>
        <v/>
      </c>
      <c r="SK107" s="43">
        <f>SF107-SH107</f>
        <v>0</v>
      </c>
      <c r="SL107" s="8"/>
      <c r="SM107" s="47"/>
      <c r="SN107" s="48" t="s">
        <v>4</v>
      </c>
      <c r="SO107" s="49"/>
      <c r="SP107" s="8"/>
      <c r="SQ107" s="42" t="str">
        <f t="shared" si="714"/>
        <v/>
      </c>
      <c r="SR107" s="43">
        <f>SM107-SO107</f>
        <v>0</v>
      </c>
    </row>
    <row r="108" spans="1:512" ht="16" customHeight="1" x14ac:dyDescent="0.15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 x14ac:dyDescent="0.15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 x14ac:dyDescent="0.15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 x14ac:dyDescent="0.15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 x14ac:dyDescent="0.15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 x14ac:dyDescent="0.15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 x14ac:dyDescent="0.15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 x14ac:dyDescent="0.15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 x14ac:dyDescent="0.15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 x14ac:dyDescent="0.15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 x14ac:dyDescent="0.15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 x14ac:dyDescent="0.15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 x14ac:dyDescent="0.15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 x14ac:dyDescent="0.15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 x14ac:dyDescent="0.15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 x14ac:dyDescent="0.15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 x14ac:dyDescent="0.15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 x14ac:dyDescent="0.15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 x14ac:dyDescent="0.15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 x14ac:dyDescent="0.2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 x14ac:dyDescent="0.2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 x14ac:dyDescent="0.2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 x14ac:dyDescent="0.2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9</v>
      </c>
      <c r="O130" s="55"/>
      <c r="Q130" s="124" t="s">
        <v>314</v>
      </c>
      <c r="R130" s="125"/>
      <c r="S130" s="125"/>
      <c r="T130" s="126"/>
      <c r="U130" s="57">
        <f>C130*H138</f>
        <v>9</v>
      </c>
      <c r="V130" s="55"/>
      <c r="W130" s="54"/>
      <c r="X130" s="124" t="s">
        <v>317</v>
      </c>
      <c r="Y130" s="125"/>
      <c r="Z130" s="125"/>
      <c r="AA130" s="126"/>
      <c r="AB130" s="57">
        <f>3*H141</f>
        <v>12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9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12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9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6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12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3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9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9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9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12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12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12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12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12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9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9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9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12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9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12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12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9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9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12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12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9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9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12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12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12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6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9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12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9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12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12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9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12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12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12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9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12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9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9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12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9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9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9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9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12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12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6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12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9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12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3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12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9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9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12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12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12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12</v>
      </c>
      <c r="SR130" s="55"/>
    </row>
    <row r="131" spans="1:512" ht="16" customHeight="1" thickBot="1" x14ac:dyDescent="0.2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 x14ac:dyDescent="0.2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 x14ac:dyDescent="0.15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 x14ac:dyDescent="0.2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 x14ac:dyDescent="0.2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 x14ac:dyDescent="0.2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 x14ac:dyDescent="0.15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 x14ac:dyDescent="0.15">
      <c r="A138" s="89">
        <v>1</v>
      </c>
      <c r="B138" s="90">
        <v>1</v>
      </c>
      <c r="C138" s="91" t="str">
        <f t="shared" ref="C138:C201" ca="1" si="1555">VLOOKUP(B138,$P$138:$R$214,2,0)</f>
        <v>ChatGPT-Charly</v>
      </c>
      <c r="D138" s="108">
        <f ca="1">VLOOKUP(B138,$P$138:$R$209,3,0)</f>
        <v>173.8</v>
      </c>
      <c r="E138" s="25"/>
      <c r="G138" s="88" t="s">
        <v>18</v>
      </c>
      <c r="H138" s="119">
        <v>3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43</v>
      </c>
      <c r="Q138" s="32" t="str">
        <f t="shared" ref="Q138:Q169" ca="1" si="1557">INDIRECT(N138)</f>
        <v>Börn</v>
      </c>
      <c r="R138" s="113">
        <f t="shared" ref="R138:R169" ca="1" si="1558">INDIRECT(M139)</f>
        <v>138.6</v>
      </c>
      <c r="S138" s="73">
        <v>1</v>
      </c>
      <c r="T138" s="32">
        <f ca="1">R138+S138/100000</f>
        <v>138.60001</v>
      </c>
      <c r="U138" s="32"/>
      <c r="V138" s="32"/>
      <c r="W138" s="32"/>
      <c r="X138" s="116">
        <f t="shared" ref="X138:X151" si="1559">RANK(AB138,$AB$138:$AB$152)</f>
        <v>5</v>
      </c>
      <c r="Y138" s="62" t="s">
        <v>567</v>
      </c>
      <c r="Z138" s="117">
        <f>(AJ3+BE3+CN3+ER3+IS3)/5</f>
        <v>140.07999999999998</v>
      </c>
      <c r="AA138" s="32">
        <v>1</v>
      </c>
      <c r="AB138" s="32">
        <f>Z138+AA138/100000</f>
        <v>140.08000999999999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 x14ac:dyDescent="0.15">
      <c r="A139" s="93">
        <f ca="1">IF(D139=D138,A138,B139)</f>
        <v>2</v>
      </c>
      <c r="B139" s="94">
        <v>2</v>
      </c>
      <c r="C139" s="95" t="str">
        <f t="shared" ca="1" si="1555"/>
        <v>Jochen</v>
      </c>
      <c r="D139" s="109">
        <f ca="1">VLOOKUP(B139,$P$138:$R$209,3,0)</f>
        <v>171.8</v>
      </c>
      <c r="E139" s="25"/>
      <c r="G139" s="88" t="s">
        <v>321</v>
      </c>
      <c r="H139" s="119">
        <v>2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37</v>
      </c>
      <c r="Q139" s="32" t="str">
        <f t="shared" ca="1" si="1557"/>
        <v>Julian</v>
      </c>
      <c r="R139" s="113">
        <f t="shared" ca="1" si="1558"/>
        <v>141.69999999999999</v>
      </c>
      <c r="S139" s="73">
        <v>2</v>
      </c>
      <c r="T139" s="32">
        <f ca="1">R139+S139/100000</f>
        <v>141.70001999999999</v>
      </c>
      <c r="U139" s="32"/>
      <c r="V139" s="61"/>
      <c r="W139" s="62"/>
      <c r="X139" s="32">
        <f t="shared" si="1559"/>
        <v>6</v>
      </c>
      <c r="Y139" s="63" t="s">
        <v>568</v>
      </c>
      <c r="Z139" s="118">
        <f>(DB3+DI3+JU3+NH3)/4</f>
        <v>138.27500000000001</v>
      </c>
      <c r="AA139" s="32">
        <v>2</v>
      </c>
      <c r="AB139" s="32">
        <f t="shared" ref="AB139:AB147" si="1560">Z139+AA139/100000</f>
        <v>138.27502000000001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 x14ac:dyDescent="0.15">
      <c r="A140" s="97">
        <f ca="1">IF(D140=D139,A139,B140)</f>
        <v>3</v>
      </c>
      <c r="B140" s="98">
        <v>3</v>
      </c>
      <c r="C140" s="99" t="str">
        <f t="shared" ca="1" si="1555"/>
        <v>Ben L</v>
      </c>
      <c r="D140" s="110">
        <f ca="1">VLOOKUP(B140,$P$138:$R$209,3,0)</f>
        <v>169.8</v>
      </c>
      <c r="E140" s="25"/>
      <c r="G140" s="88" t="s">
        <v>329</v>
      </c>
      <c r="H140" s="119">
        <v>1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46</v>
      </c>
      <c r="Q140" s="32" t="str">
        <f t="shared" ca="1" si="1557"/>
        <v>Kohls</v>
      </c>
      <c r="R140" s="113">
        <f t="shared" ca="1" si="1558"/>
        <v>138</v>
      </c>
      <c r="S140" s="73">
        <v>3</v>
      </c>
      <c r="T140" s="32">
        <f t="shared" ref="T140:T182" ca="1" si="1561">R140+S140/100000</f>
        <v>138.00003000000001</v>
      </c>
      <c r="U140" s="32"/>
      <c r="V140" s="61"/>
      <c r="W140" s="62"/>
      <c r="X140" s="32">
        <f t="shared" si="1559"/>
        <v>3</v>
      </c>
      <c r="Y140" s="63" t="s">
        <v>569</v>
      </c>
      <c r="Z140" s="118">
        <f>(CU3+EK3+GA3+IE3+HX3+LY3)/6</f>
        <v>147.71666666666667</v>
      </c>
      <c r="AA140" s="32">
        <v>3</v>
      </c>
      <c r="AB140" s="32">
        <f t="shared" si="1560"/>
        <v>147.71669666666668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 x14ac:dyDescent="0.15">
      <c r="A141" s="101">
        <f ca="1">IF(D141=D140,A140,B141)</f>
        <v>4</v>
      </c>
      <c r="B141" s="111">
        <v>4</v>
      </c>
      <c r="C141" s="71" t="str">
        <f t="shared" ca="1" si="1555"/>
        <v>Lukas</v>
      </c>
      <c r="D141" s="112">
        <f ca="1">VLOOKUP(B141,$P$138:$R$209,3,0)</f>
        <v>166.20000000000002</v>
      </c>
      <c r="E141" s="25"/>
      <c r="G141" s="88" t="s">
        <v>19</v>
      </c>
      <c r="H141" s="119">
        <v>4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63</v>
      </c>
      <c r="Q141" s="32" t="str">
        <f t="shared" ca="1" si="1557"/>
        <v>Tina</v>
      </c>
      <c r="R141" s="113">
        <f t="shared" ca="1" si="1558"/>
        <v>120.2</v>
      </c>
      <c r="S141" s="73">
        <v>4</v>
      </c>
      <c r="T141" s="32">
        <f ca="1">R141+S141/100000</f>
        <v>120.20004</v>
      </c>
      <c r="U141" s="32"/>
      <c r="V141" s="61"/>
      <c r="W141" s="62"/>
      <c r="X141" s="32">
        <f t="shared" si="1559"/>
        <v>2</v>
      </c>
      <c r="Y141" s="63" t="s">
        <v>570</v>
      </c>
      <c r="Z141" s="118">
        <f>(ED3+HC3+HJ3+HQ3)/4</f>
        <v>153.77500000000003</v>
      </c>
      <c r="AA141" s="32">
        <v>4</v>
      </c>
      <c r="AB141" s="32">
        <f t="shared" si="1560"/>
        <v>153.77504000000005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 x14ac:dyDescent="0.15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Evelyn</v>
      </c>
      <c r="D142" s="112">
        <f t="shared" ref="D142:D203" ca="1" si="1563">VLOOKUP(B142,$P$138:$R$209,3,0)</f>
        <v>165.7</v>
      </c>
      <c r="E142" s="25"/>
      <c r="G142" s="88" t="s">
        <v>341</v>
      </c>
      <c r="H142" s="119">
        <v>4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1</v>
      </c>
      <c r="Q142" s="32" t="str">
        <f t="shared" ca="1" si="1557"/>
        <v>ChatGPT-Charly</v>
      </c>
      <c r="R142" s="113">
        <f t="shared" ca="1" si="1558"/>
        <v>173.8</v>
      </c>
      <c r="S142" s="73">
        <v>5</v>
      </c>
      <c r="T142" s="32">
        <f t="shared" ca="1" si="1561"/>
        <v>173.80005</v>
      </c>
      <c r="U142" s="32"/>
      <c r="V142" s="61"/>
      <c r="W142" s="62"/>
      <c r="X142" s="32">
        <f t="shared" si="1559"/>
        <v>1</v>
      </c>
      <c r="Y142" s="63" t="s">
        <v>575</v>
      </c>
      <c r="Z142" s="118">
        <f>(DP3+DW3+GO3)/3</f>
        <v>160.73333333333335</v>
      </c>
      <c r="AA142" s="32">
        <v>5</v>
      </c>
      <c r="AB142" s="32">
        <f t="shared" si="1560"/>
        <v>160.73338333333334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 x14ac:dyDescent="0.15">
      <c r="A143" s="101">
        <f t="shared" ca="1" si="1562"/>
        <v>6</v>
      </c>
      <c r="B143" s="111">
        <v>6</v>
      </c>
      <c r="C143" s="71" t="str">
        <f t="shared" ca="1" si="1555"/>
        <v>Ingrid</v>
      </c>
      <c r="D143" s="112">
        <f t="shared" ca="1" si="1563"/>
        <v>164.4</v>
      </c>
      <c r="E143" s="25"/>
      <c r="G143" s="88" t="s">
        <v>343</v>
      </c>
      <c r="H143" s="119">
        <v>4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14</v>
      </c>
      <c r="Q143" s="32" t="str">
        <f t="shared" ca="1" si="1557"/>
        <v>Johanna</v>
      </c>
      <c r="R143" s="113">
        <f t="shared" ca="1" si="1558"/>
        <v>156.1</v>
      </c>
      <c r="S143" s="73">
        <v>6</v>
      </c>
      <c r="T143" s="32">
        <f t="shared" ca="1" si="1561"/>
        <v>156.10005999999998</v>
      </c>
      <c r="U143" s="32"/>
      <c r="V143" s="61"/>
      <c r="W143" s="62"/>
      <c r="X143" s="32">
        <f t="shared" si="1559"/>
        <v>9</v>
      </c>
      <c r="Y143" s="63" t="s">
        <v>572</v>
      </c>
      <c r="Z143" s="118">
        <f>(KB3+KI3+KP3+KW3)/4</f>
        <v>134.89999999999998</v>
      </c>
      <c r="AA143" s="32">
        <v>6</v>
      </c>
      <c r="AB143" s="32">
        <f t="shared" si="1560"/>
        <v>134.90005999999997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 x14ac:dyDescent="0.15">
      <c r="A144" s="101">
        <f t="shared" ca="1" si="1562"/>
        <v>7</v>
      </c>
      <c r="B144" s="111">
        <v>7</v>
      </c>
      <c r="C144" s="71" t="str">
        <f t="shared" ca="1" si="1555"/>
        <v>Severin</v>
      </c>
      <c r="D144" s="112">
        <f t="shared" ca="1" si="1563"/>
        <v>164.00000000000003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48</v>
      </c>
      <c r="Q144" s="32" t="str">
        <f t="shared" ca="1" si="1557"/>
        <v>Basti</v>
      </c>
      <c r="R144" s="113">
        <f t="shared" ca="1" si="1558"/>
        <v>137.19999999999996</v>
      </c>
      <c r="S144" s="73">
        <v>7</v>
      </c>
      <c r="T144" s="32">
        <f t="shared" ca="1" si="1561"/>
        <v>137.20006999999995</v>
      </c>
      <c r="U144" s="32"/>
      <c r="V144" s="61"/>
      <c r="W144" s="62"/>
      <c r="X144" s="32">
        <f t="shared" si="1559"/>
        <v>10</v>
      </c>
      <c r="Y144" s="63" t="s">
        <v>573</v>
      </c>
      <c r="Z144" s="118">
        <f>(JG3+IL3+IZ3+LD3)/4</f>
        <v>131.72499999999999</v>
      </c>
      <c r="AA144" s="32">
        <v>7</v>
      </c>
      <c r="AB144" s="32">
        <f t="shared" si="1560"/>
        <v>131.72506999999999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 x14ac:dyDescent="0.15">
      <c r="A145" s="101">
        <f t="shared" ca="1" si="1562"/>
        <v>8</v>
      </c>
      <c r="B145" s="111">
        <v>8</v>
      </c>
      <c r="C145" s="71" t="str">
        <f t="shared" ca="1" si="1555"/>
        <v>Tanja</v>
      </c>
      <c r="D145" s="112">
        <f t="shared" ca="1" si="1563"/>
        <v>157.79999999999998</v>
      </c>
      <c r="E145" s="25"/>
      <c r="G145" s="88" t="s">
        <v>556</v>
      </c>
      <c r="H145" s="119">
        <v>2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27</v>
      </c>
      <c r="Q145" s="32" t="str">
        <f t="shared" ca="1" si="1557"/>
        <v>Andrea</v>
      </c>
      <c r="R145" s="113">
        <f t="shared" ca="1" si="1558"/>
        <v>148.4</v>
      </c>
      <c r="S145" s="73">
        <v>8</v>
      </c>
      <c r="T145" s="32">
        <f t="shared" ca="1" si="1561"/>
        <v>148.40008</v>
      </c>
      <c r="U145" s="32"/>
      <c r="V145" s="61"/>
      <c r="W145" s="62"/>
      <c r="X145" s="32">
        <f t="shared" si="1559"/>
        <v>11</v>
      </c>
      <c r="Y145" s="63" t="s">
        <v>574</v>
      </c>
      <c r="Z145" s="118">
        <f>(AJ3+BL3+CG3)/3</f>
        <v>130.4</v>
      </c>
      <c r="AA145" s="32">
        <v>8</v>
      </c>
      <c r="AB145" s="32">
        <f t="shared" si="1560"/>
        <v>130.40008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 x14ac:dyDescent="0.15">
      <c r="A146" s="101">
        <f t="shared" ca="1" si="1562"/>
        <v>8</v>
      </c>
      <c r="B146" s="111">
        <v>9</v>
      </c>
      <c r="C146" s="71" t="str">
        <f t="shared" ca="1" si="1555"/>
        <v>Pepe</v>
      </c>
      <c r="D146" s="112">
        <f t="shared" ca="1" si="1563"/>
        <v>157.79999999999998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42</v>
      </c>
      <c r="Q146" s="32" t="str">
        <f t="shared" ca="1" si="1557"/>
        <v>Folker</v>
      </c>
      <c r="R146" s="113">
        <f t="shared" ca="1" si="1558"/>
        <v>138.60000000000002</v>
      </c>
      <c r="S146" s="73">
        <v>9</v>
      </c>
      <c r="T146" s="32">
        <f t="shared" ca="1" si="1561"/>
        <v>138.60009000000002</v>
      </c>
      <c r="U146" s="32"/>
      <c r="V146" s="61"/>
      <c r="W146" s="62"/>
      <c r="X146" s="32">
        <f t="shared" si="1559"/>
        <v>7</v>
      </c>
      <c r="Y146" s="63" t="s">
        <v>571</v>
      </c>
      <c r="Z146" s="118">
        <f>(MF3+MM3+MT3)/3</f>
        <v>136.6</v>
      </c>
      <c r="AA146" s="32">
        <v>9</v>
      </c>
      <c r="AB146" s="32">
        <f t="shared" si="1560"/>
        <v>136.60008999999999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 x14ac:dyDescent="0.15">
      <c r="A147" s="101">
        <f t="shared" ca="1" si="1562"/>
        <v>10</v>
      </c>
      <c r="B147" s="111">
        <v>10</v>
      </c>
      <c r="C147" s="71" t="str">
        <f t="shared" ca="1" si="1555"/>
        <v>Valentina</v>
      </c>
      <c r="D147" s="112">
        <f t="shared" ca="1" si="1563"/>
        <v>156.5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36</v>
      </c>
      <c r="Q147" s="32" t="str">
        <f t="shared" ca="1" si="1557"/>
        <v>Franzi</v>
      </c>
      <c r="R147" s="113">
        <f t="shared" ca="1" si="1558"/>
        <v>142.20000000000002</v>
      </c>
      <c r="S147" s="73">
        <v>10</v>
      </c>
      <c r="T147" s="32">
        <f t="shared" ca="1" si="1561"/>
        <v>142.20010000000002</v>
      </c>
      <c r="U147" s="32"/>
      <c r="V147" s="61"/>
      <c r="W147" s="62"/>
      <c r="X147" s="32">
        <f t="shared" si="1559"/>
        <v>14</v>
      </c>
      <c r="Y147" s="63" t="s">
        <v>592</v>
      </c>
      <c r="Z147" s="118">
        <f>(NO3+NV3+OC3+RI3)/4</f>
        <v>98.974999999999994</v>
      </c>
      <c r="AA147" s="32">
        <v>10</v>
      </c>
      <c r="AB147" s="32">
        <f t="shared" si="1560"/>
        <v>98.975099999999998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 x14ac:dyDescent="0.15">
      <c r="A148" s="101">
        <f t="shared" ca="1" si="1562"/>
        <v>10</v>
      </c>
      <c r="B148" s="111">
        <v>11</v>
      </c>
      <c r="C148" s="71" t="str">
        <f t="shared" ca="1" si="1555"/>
        <v>Anton</v>
      </c>
      <c r="D148" s="112">
        <f t="shared" ca="1" si="1563"/>
        <v>156.5</v>
      </c>
      <c r="E148" s="25"/>
      <c r="F148" s="69"/>
      <c r="G148" s="88" t="s">
        <v>605</v>
      </c>
      <c r="H148" s="119">
        <v>1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61</v>
      </c>
      <c r="Q148" s="32" t="str">
        <f t="shared" ca="1" si="1557"/>
        <v>Albert</v>
      </c>
      <c r="R148" s="113">
        <f t="shared" ca="1" si="1558"/>
        <v>122.60000000000001</v>
      </c>
      <c r="S148" s="73">
        <v>11</v>
      </c>
      <c r="T148" s="32">
        <f t="shared" ca="1" si="1561"/>
        <v>122.60011000000002</v>
      </c>
      <c r="U148" s="32"/>
      <c r="V148" s="61"/>
      <c r="W148" s="62"/>
      <c r="X148" s="32">
        <f t="shared" si="1559"/>
        <v>8</v>
      </c>
      <c r="Y148" s="63" t="s">
        <v>609</v>
      </c>
      <c r="Z148" s="73">
        <f>(QN3+QG3+AX3+PZ3)/4</f>
        <v>135.35</v>
      </c>
      <c r="AA148" s="32">
        <v>11</v>
      </c>
      <c r="AB148" s="32">
        <f t="shared" ref="AB148" si="1564">Z148+AA148/100000</f>
        <v>135.35011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 x14ac:dyDescent="0.15">
      <c r="A149" s="101">
        <f t="shared" ca="1" si="1562"/>
        <v>12</v>
      </c>
      <c r="B149" s="111">
        <v>12</v>
      </c>
      <c r="C149" s="71" t="str">
        <f t="shared" ca="1" si="1555"/>
        <v>Alfons</v>
      </c>
      <c r="D149" s="112">
        <f t="shared" ca="1" si="1563"/>
        <v>156.20000000000002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40</v>
      </c>
      <c r="Q149" s="32" t="str">
        <f t="shared" ca="1" si="1557"/>
        <v>Helene</v>
      </c>
      <c r="R149" s="113">
        <f t="shared" ca="1" si="1558"/>
        <v>138.89999999999998</v>
      </c>
      <c r="S149" s="73">
        <v>12</v>
      </c>
      <c r="T149" s="32">
        <f t="shared" ca="1" si="1561"/>
        <v>138.90011999999999</v>
      </c>
      <c r="U149" s="32"/>
      <c r="V149" s="61"/>
      <c r="W149" s="62"/>
      <c r="X149" s="32">
        <f t="shared" si="1559"/>
        <v>4</v>
      </c>
      <c r="Y149" s="63" t="s">
        <v>610</v>
      </c>
      <c r="Z149" s="73">
        <f>(PE3+OJ3+LR3)/3</f>
        <v>144.06666666666669</v>
      </c>
      <c r="AA149" s="32">
        <v>12</v>
      </c>
      <c r="AB149" s="32">
        <f t="shared" ref="AB149:AB151" si="1565">Z149+AA149/100000</f>
        <v>144.0667866666667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 x14ac:dyDescent="0.15">
      <c r="A150" s="101">
        <f t="shared" ca="1" si="1562"/>
        <v>12</v>
      </c>
      <c r="B150" s="111">
        <v>13</v>
      </c>
      <c r="C150" s="71" t="str">
        <f t="shared" ca="1" si="1555"/>
        <v>Carl</v>
      </c>
      <c r="D150" s="112">
        <f t="shared" ca="1" si="1563"/>
        <v>156.19999999999999</v>
      </c>
      <c r="E150" s="25"/>
      <c r="F150" s="69"/>
      <c r="G150" s="88" t="s">
        <v>617</v>
      </c>
      <c r="H150" s="119">
        <v>0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13</v>
      </c>
      <c r="Q150" s="32" t="str">
        <f t="shared" ca="1" si="1557"/>
        <v>Carl</v>
      </c>
      <c r="R150" s="113">
        <f t="shared" ca="1" si="1558"/>
        <v>156.19999999999999</v>
      </c>
      <c r="S150" s="73">
        <v>13</v>
      </c>
      <c r="T150" s="32">
        <f t="shared" ca="1" si="1561"/>
        <v>156.20013</v>
      </c>
      <c r="U150" s="32"/>
      <c r="V150" s="61"/>
      <c r="W150" s="62"/>
      <c r="X150" s="32">
        <f t="shared" si="1559"/>
        <v>13</v>
      </c>
      <c r="Y150" s="63" t="s">
        <v>616</v>
      </c>
      <c r="Z150" s="73">
        <f>(RB3+QU3+OX3+OQ3)/4</f>
        <v>120.75</v>
      </c>
      <c r="AA150" s="32">
        <v>13</v>
      </c>
      <c r="AB150" s="32">
        <f t="shared" si="1565"/>
        <v>120.75013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 x14ac:dyDescent="0.15">
      <c r="A151" s="101">
        <f t="shared" ca="1" si="1562"/>
        <v>14</v>
      </c>
      <c r="B151" s="111">
        <v>14</v>
      </c>
      <c r="C151" s="71" t="str">
        <f t="shared" ca="1" si="1555"/>
        <v>Johanna</v>
      </c>
      <c r="D151" s="112">
        <f t="shared" ca="1" si="1563"/>
        <v>156.1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12</v>
      </c>
      <c r="Q151" s="32" t="str">
        <f t="shared" ca="1" si="1557"/>
        <v>Alfons</v>
      </c>
      <c r="R151" s="113">
        <f t="shared" ca="1" si="1558"/>
        <v>156.20000000000002</v>
      </c>
      <c r="S151" s="73">
        <v>14</v>
      </c>
      <c r="T151" s="32">
        <f t="shared" ca="1" si="1561"/>
        <v>156.20014</v>
      </c>
      <c r="U151" s="32"/>
      <c r="V151" s="61"/>
      <c r="W151" s="62"/>
      <c r="X151" s="32">
        <f t="shared" si="1559"/>
        <v>12</v>
      </c>
      <c r="Y151" s="63" t="s">
        <v>625</v>
      </c>
      <c r="Z151" s="73">
        <f>(SR3+SK3+SD3+RP3+RW3)/5</f>
        <v>123.12</v>
      </c>
      <c r="AA151" s="32">
        <v>14</v>
      </c>
      <c r="AB151" s="32">
        <f t="shared" si="1565"/>
        <v>123.12014000000001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 x14ac:dyDescent="0.15">
      <c r="A152" s="101">
        <f t="shared" ca="1" si="1562"/>
        <v>15</v>
      </c>
      <c r="B152" s="111">
        <v>15</v>
      </c>
      <c r="C152" s="71" t="str">
        <f t="shared" ca="1" si="1555"/>
        <v>Marius</v>
      </c>
      <c r="D152" s="112">
        <f t="shared" ca="1" si="1563"/>
        <v>155.29999999999998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33</v>
      </c>
      <c r="Q152" s="32" t="str">
        <f t="shared" ca="1" si="1557"/>
        <v>Claudia B</v>
      </c>
      <c r="R152" s="113">
        <f t="shared" ca="1" si="1558"/>
        <v>142.80000000000001</v>
      </c>
      <c r="S152" s="73">
        <v>15</v>
      </c>
      <c r="T152" s="32">
        <f t="shared" ca="1" si="1561"/>
        <v>142.80015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 x14ac:dyDescent="0.15">
      <c r="A153" s="101">
        <f t="shared" ca="1" si="1562"/>
        <v>16</v>
      </c>
      <c r="B153" s="111">
        <v>16</v>
      </c>
      <c r="C153" s="71" t="str">
        <f t="shared" ca="1" si="1555"/>
        <v>Arnd</v>
      </c>
      <c r="D153" s="112">
        <f t="shared" ca="1" si="1563"/>
        <v>154.60000000000002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21</v>
      </c>
      <c r="Q153" s="32" t="str">
        <f t="shared" ca="1" si="1557"/>
        <v>Tobi</v>
      </c>
      <c r="R153" s="113">
        <f t="shared" ca="1" si="1558"/>
        <v>151.6</v>
      </c>
      <c r="S153" s="73">
        <v>16</v>
      </c>
      <c r="T153" s="32">
        <f t="shared" ca="1" si="1561"/>
        <v>151.60015999999999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 x14ac:dyDescent="0.15">
      <c r="A154" s="101">
        <f t="shared" ca="1" si="1562"/>
        <v>17</v>
      </c>
      <c r="B154" s="111">
        <v>17</v>
      </c>
      <c r="C154" s="71" t="str">
        <f t="shared" ca="1" si="1555"/>
        <v>Ferdi</v>
      </c>
      <c r="D154" s="112">
        <f t="shared" ca="1" si="1563"/>
        <v>153.19999999999999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4</v>
      </c>
      <c r="Q154" s="32" t="str">
        <f t="shared" ca="1" si="1557"/>
        <v>Lukas</v>
      </c>
      <c r="R154" s="113">
        <f t="shared" ca="1" si="1558"/>
        <v>166.20000000000002</v>
      </c>
      <c r="S154" s="73">
        <v>17</v>
      </c>
      <c r="T154" s="32">
        <f t="shared" ca="1" si="1561"/>
        <v>166.20017000000001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 x14ac:dyDescent="0.15">
      <c r="A155" s="101">
        <f t="shared" ca="1" si="1562"/>
        <v>18</v>
      </c>
      <c r="B155" s="111">
        <v>18</v>
      </c>
      <c r="C155" s="71" t="str">
        <f t="shared" ca="1" si="1555"/>
        <v>Tabea</v>
      </c>
      <c r="D155" s="112">
        <f t="shared" ca="1" si="1563"/>
        <v>153.00000000000003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32</v>
      </c>
      <c r="Q155" s="32" t="str">
        <f t="shared" ca="1" si="1557"/>
        <v>Cathrin</v>
      </c>
      <c r="R155" s="113">
        <f t="shared" ca="1" si="1558"/>
        <v>144.20000000000005</v>
      </c>
      <c r="S155" s="73">
        <v>18</v>
      </c>
      <c r="T155" s="32">
        <f t="shared" ca="1" si="1561"/>
        <v>144.20018000000005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 x14ac:dyDescent="0.15">
      <c r="A156" s="101">
        <f t="shared" ca="1" si="1562"/>
        <v>19</v>
      </c>
      <c r="B156" s="111">
        <v>19</v>
      </c>
      <c r="C156" s="71" t="str">
        <f t="shared" ca="1" si="1555"/>
        <v>Xaver</v>
      </c>
      <c r="D156" s="112">
        <f t="shared" ca="1" si="1563"/>
        <v>152.30000000000001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50</v>
      </c>
      <c r="Q156" s="32" t="str">
        <f t="shared" ca="1" si="1557"/>
        <v>Vroni</v>
      </c>
      <c r="R156" s="113">
        <f t="shared" ca="1" si="1558"/>
        <v>137</v>
      </c>
      <c r="S156" s="73">
        <v>19</v>
      </c>
      <c r="T156" s="32">
        <f t="shared" ca="1" si="1561"/>
        <v>137.00019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 x14ac:dyDescent="0.15">
      <c r="A157" s="101">
        <f t="shared" ca="1" si="1562"/>
        <v>20</v>
      </c>
      <c r="B157" s="111">
        <v>20</v>
      </c>
      <c r="C157" s="71" t="str">
        <f t="shared" ca="1" si="1555"/>
        <v>Frank</v>
      </c>
      <c r="D157" s="112">
        <f t="shared" ca="1" si="1563"/>
        <v>151.6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17</v>
      </c>
      <c r="Q157" s="32" t="str">
        <f t="shared" ca="1" si="1557"/>
        <v>Ferdi</v>
      </c>
      <c r="R157" s="113">
        <f t="shared" ca="1" si="1558"/>
        <v>153.19999999999999</v>
      </c>
      <c r="S157" s="73">
        <v>20</v>
      </c>
      <c r="T157" s="32">
        <f t="shared" ca="1" si="1561"/>
        <v>153.2002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 x14ac:dyDescent="0.15">
      <c r="A158" s="101">
        <f t="shared" ca="1" si="1562"/>
        <v>20</v>
      </c>
      <c r="B158" s="111">
        <v>21</v>
      </c>
      <c r="C158" s="71" t="str">
        <f t="shared" ca="1" si="1555"/>
        <v>Tobi</v>
      </c>
      <c r="D158" s="112">
        <f t="shared" ca="1" si="1563"/>
        <v>151.6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47</v>
      </c>
      <c r="Q158" s="32" t="str">
        <f t="shared" ca="1" si="1557"/>
        <v>Emma E</v>
      </c>
      <c r="R158" s="113">
        <f t="shared" ca="1" si="1558"/>
        <v>137.5</v>
      </c>
      <c r="S158" s="73">
        <v>21</v>
      </c>
      <c r="T158" s="32">
        <f t="shared" ca="1" si="1561"/>
        <v>137.50021000000001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 x14ac:dyDescent="0.15">
      <c r="A159" s="101">
        <f t="shared" ca="1" si="1562"/>
        <v>22</v>
      </c>
      <c r="B159" s="111">
        <v>22</v>
      </c>
      <c r="C159" s="71" t="str">
        <f t="shared" ca="1" si="1555"/>
        <v>Paul</v>
      </c>
      <c r="D159" s="112">
        <f t="shared" ca="1" si="1563"/>
        <v>151.19999999999999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9</v>
      </c>
      <c r="Q159" s="32" t="str">
        <f t="shared" ca="1" si="1557"/>
        <v>Pepe</v>
      </c>
      <c r="R159" s="113">
        <f t="shared" ca="1" si="1558"/>
        <v>157.79999999999998</v>
      </c>
      <c r="S159" s="73">
        <v>22</v>
      </c>
      <c r="T159" s="32">
        <f t="shared" ca="1" si="1561"/>
        <v>157.80022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 x14ac:dyDescent="0.15">
      <c r="A160" s="101">
        <f t="shared" ca="1" si="1562"/>
        <v>23</v>
      </c>
      <c r="B160" s="111">
        <v>23</v>
      </c>
      <c r="C160" s="71" t="str">
        <f t="shared" ca="1" si="1555"/>
        <v>Valentin</v>
      </c>
      <c r="D160" s="112">
        <f t="shared" ca="1" si="1563"/>
        <v>150.9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3</v>
      </c>
      <c r="Q160" s="32" t="str">
        <f t="shared" ca="1" si="1557"/>
        <v>Ben L</v>
      </c>
      <c r="R160" s="113">
        <f t="shared" ca="1" si="1558"/>
        <v>169.8</v>
      </c>
      <c r="S160" s="73">
        <v>23</v>
      </c>
      <c r="T160" s="32">
        <f t="shared" ca="1" si="1561"/>
        <v>169.80023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 x14ac:dyDescent="0.15">
      <c r="A161" s="101">
        <f t="shared" ca="1" si="1562"/>
        <v>24</v>
      </c>
      <c r="B161" s="111">
        <v>24</v>
      </c>
      <c r="C161" s="71" t="str">
        <f t="shared" ca="1" si="1555"/>
        <v>Ben W</v>
      </c>
      <c r="D161" s="112">
        <f t="shared" ca="1" si="1563"/>
        <v>150.69999999999996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38</v>
      </c>
      <c r="Q161" s="32" t="str">
        <f t="shared" ca="1" si="1557"/>
        <v>Conrad</v>
      </c>
      <c r="R161" s="113">
        <f t="shared" ca="1" si="1558"/>
        <v>140.10000000000002</v>
      </c>
      <c r="S161" s="73">
        <v>24</v>
      </c>
      <c r="T161" s="32">
        <f t="shared" ca="1" si="1561"/>
        <v>140.10024000000001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 x14ac:dyDescent="0.15">
      <c r="A162" s="101">
        <f t="shared" ca="1" si="1562"/>
        <v>25</v>
      </c>
      <c r="B162" s="111">
        <v>25</v>
      </c>
      <c r="C162" s="71" t="str">
        <f t="shared" ca="1" si="1555"/>
        <v>Peter</v>
      </c>
      <c r="D162" s="112">
        <f t="shared" ca="1" si="1563"/>
        <v>150.19999999999999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55</v>
      </c>
      <c r="Q162" s="32" t="str">
        <f t="shared" ca="1" si="1557"/>
        <v>Christian</v>
      </c>
      <c r="R162" s="113">
        <f t="shared" ca="1" si="1558"/>
        <v>132.39999999999998</v>
      </c>
      <c r="S162" s="73">
        <v>25</v>
      </c>
      <c r="T162" s="32">
        <f t="shared" ca="1" si="1561"/>
        <v>132.40024999999997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 x14ac:dyDescent="0.15">
      <c r="A163" s="101">
        <f t="shared" ca="1" si="1562"/>
        <v>26</v>
      </c>
      <c r="B163" s="111">
        <v>26</v>
      </c>
      <c r="C163" s="71" t="str">
        <f t="shared" ca="1" si="1555"/>
        <v>Alexander</v>
      </c>
      <c r="D163" s="112">
        <f t="shared" ca="1" si="1563"/>
        <v>148.89999999999998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45</v>
      </c>
      <c r="Q163" s="32" t="str">
        <f t="shared" ca="1" si="1557"/>
        <v>Kay</v>
      </c>
      <c r="R163" s="113">
        <f t="shared" ca="1" si="1558"/>
        <v>138.10000000000002</v>
      </c>
      <c r="S163" s="73">
        <v>26</v>
      </c>
      <c r="T163" s="32">
        <f t="shared" ca="1" si="1561"/>
        <v>138.10026000000002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 x14ac:dyDescent="0.15">
      <c r="A164" s="101">
        <f t="shared" ca="1" si="1562"/>
        <v>27</v>
      </c>
      <c r="B164" s="111">
        <v>27</v>
      </c>
      <c r="C164" s="71" t="str">
        <f t="shared" ca="1" si="1555"/>
        <v>Andrea</v>
      </c>
      <c r="D164" s="112">
        <f t="shared" ca="1" si="1563"/>
        <v>148.4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6</v>
      </c>
      <c r="Q164" s="32" t="str">
        <f t="shared" ca="1" si="1557"/>
        <v>Ingrid</v>
      </c>
      <c r="R164" s="113">
        <f t="shared" ca="1" si="1558"/>
        <v>164.4</v>
      </c>
      <c r="S164" s="73">
        <v>27</v>
      </c>
      <c r="T164" s="32">
        <f t="shared" ca="1" si="1561"/>
        <v>164.40027000000001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 x14ac:dyDescent="0.15">
      <c r="A165" s="101">
        <f t="shared" ca="1" si="1562"/>
        <v>28</v>
      </c>
      <c r="B165" s="111">
        <v>28</v>
      </c>
      <c r="C165" s="71" t="str">
        <f t="shared" ca="1" si="1555"/>
        <v>Nuria</v>
      </c>
      <c r="D165" s="112">
        <f t="shared" ca="1" si="1563"/>
        <v>147.1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26</v>
      </c>
      <c r="Q165" s="32" t="str">
        <f t="shared" ca="1" si="1557"/>
        <v>Alexander</v>
      </c>
      <c r="R165" s="113">
        <f t="shared" ca="1" si="1558"/>
        <v>148.89999999999998</v>
      </c>
      <c r="S165" s="73">
        <v>28</v>
      </c>
      <c r="T165" s="32">
        <f t="shared" ca="1" si="1561"/>
        <v>148.90027999999998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 x14ac:dyDescent="0.15">
      <c r="A166" s="101">
        <f t="shared" ca="1" si="1562"/>
        <v>29</v>
      </c>
      <c r="B166" s="111">
        <v>29</v>
      </c>
      <c r="C166" s="71" t="str">
        <f t="shared" ca="1" si="1555"/>
        <v>Nico</v>
      </c>
      <c r="D166" s="112">
        <f t="shared" ca="1" si="1563"/>
        <v>146.9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7</v>
      </c>
      <c r="Q166" s="32" t="str">
        <f t="shared" ca="1" si="1557"/>
        <v>Severin</v>
      </c>
      <c r="R166" s="113">
        <f t="shared" ca="1" si="1558"/>
        <v>164.00000000000003</v>
      </c>
      <c r="S166" s="73">
        <v>29</v>
      </c>
      <c r="T166" s="32">
        <f t="shared" ca="1" si="1561"/>
        <v>164.00029000000004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 x14ac:dyDescent="0.15">
      <c r="A167" s="101">
        <f t="shared" ca="1" si="1562"/>
        <v>30</v>
      </c>
      <c r="B167" s="111">
        <v>30</v>
      </c>
      <c r="C167" s="71" t="str">
        <f t="shared" ca="1" si="1555"/>
        <v>Marietta</v>
      </c>
      <c r="D167" s="112">
        <f t="shared" ca="1" si="1563"/>
        <v>145.19999999999999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19</v>
      </c>
      <c r="Q167" s="32" t="str">
        <f t="shared" ca="1" si="1557"/>
        <v>Xaver</v>
      </c>
      <c r="R167" s="113">
        <f t="shared" ca="1" si="1558"/>
        <v>152.30000000000001</v>
      </c>
      <c r="S167" s="73">
        <v>30</v>
      </c>
      <c r="T167" s="32">
        <f t="shared" ca="1" si="1561"/>
        <v>152.30030000000002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 x14ac:dyDescent="0.15">
      <c r="A168" s="101">
        <f t="shared" ca="1" si="1562"/>
        <v>31</v>
      </c>
      <c r="B168" s="111">
        <v>31</v>
      </c>
      <c r="C168" s="71" t="str">
        <f t="shared" ca="1" si="1555"/>
        <v>Carsten</v>
      </c>
      <c r="D168" s="112">
        <f t="shared" ca="1" si="1563"/>
        <v>144.30000000000001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16</v>
      </c>
      <c r="Q168" s="32" t="str">
        <f t="shared" ca="1" si="1557"/>
        <v>Arnd</v>
      </c>
      <c r="R168" s="113">
        <f t="shared" ca="1" si="1558"/>
        <v>154.60000000000002</v>
      </c>
      <c r="S168" s="73">
        <v>31</v>
      </c>
      <c r="T168" s="32">
        <f t="shared" ca="1" si="1561"/>
        <v>154.60031000000004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 x14ac:dyDescent="0.15">
      <c r="A169" s="101">
        <f t="shared" ca="1" si="1562"/>
        <v>32</v>
      </c>
      <c r="B169" s="111">
        <v>32</v>
      </c>
      <c r="C169" s="71" t="str">
        <f t="shared" ca="1" si="1555"/>
        <v>Cathrin</v>
      </c>
      <c r="D169" s="112">
        <f t="shared" ca="1" si="1563"/>
        <v>144.20000000000005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18</v>
      </c>
      <c r="Q169" s="32" t="str">
        <f t="shared" ca="1" si="1557"/>
        <v>Tabea</v>
      </c>
      <c r="R169" s="113">
        <f t="shared" ca="1" si="1558"/>
        <v>153.00000000000003</v>
      </c>
      <c r="S169" s="73">
        <v>32</v>
      </c>
      <c r="T169" s="32">
        <f t="shared" ca="1" si="1561"/>
        <v>153.00032000000002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 x14ac:dyDescent="0.15">
      <c r="A170" s="101">
        <f t="shared" ca="1" si="1562"/>
        <v>33</v>
      </c>
      <c r="B170" s="111">
        <v>33</v>
      </c>
      <c r="C170" s="71" t="str">
        <f t="shared" ca="1" si="1555"/>
        <v>Claudia B</v>
      </c>
      <c r="D170" s="112">
        <f t="shared" ca="1" si="1563"/>
        <v>142.80000000000001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22</v>
      </c>
      <c r="Q170" s="32" t="str">
        <f t="shared" ref="Q170:Q201" ca="1" si="1567">INDIRECT(N170)</f>
        <v>Paul</v>
      </c>
      <c r="R170" s="113">
        <f t="shared" ref="R170:R201" ca="1" si="1568">INDIRECT(M171)</f>
        <v>151.19999999999999</v>
      </c>
      <c r="S170" s="73">
        <v>33</v>
      </c>
      <c r="T170" s="32">
        <f t="shared" ca="1" si="1561"/>
        <v>151.20032999999998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 x14ac:dyDescent="0.15">
      <c r="A171" s="101">
        <f t="shared" ca="1" si="1562"/>
        <v>34</v>
      </c>
      <c r="B171" s="111">
        <v>34</v>
      </c>
      <c r="C171" s="71" t="str">
        <f t="shared" ca="1" si="1555"/>
        <v>Emma H</v>
      </c>
      <c r="D171" s="112">
        <f t="shared" ca="1" si="1563"/>
        <v>142.6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70</v>
      </c>
      <c r="Q171" s="32" t="str">
        <f t="shared" ca="1" si="1567"/>
        <v>Lou</v>
      </c>
      <c r="R171" s="113">
        <f t="shared" ca="1" si="1568"/>
        <v>83</v>
      </c>
      <c r="S171" s="73">
        <v>34</v>
      </c>
      <c r="T171" s="32">
        <f t="shared" ca="1" si="1561"/>
        <v>83.000339999999994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 x14ac:dyDescent="0.15">
      <c r="A172" s="101">
        <f t="shared" ca="1" si="1562"/>
        <v>35</v>
      </c>
      <c r="B172" s="111">
        <v>35</v>
      </c>
      <c r="C172" s="71" t="str">
        <f t="shared" ca="1" si="1555"/>
        <v>Claudia F</v>
      </c>
      <c r="D172" s="112">
        <f t="shared" ca="1" si="1563"/>
        <v>142.20000000000002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23</v>
      </c>
      <c r="Q172" s="32" t="str">
        <f t="shared" ca="1" si="1567"/>
        <v>Valentin</v>
      </c>
      <c r="R172" s="113">
        <f t="shared" ca="1" si="1568"/>
        <v>150.9</v>
      </c>
      <c r="S172" s="73">
        <v>35</v>
      </c>
      <c r="T172" s="32">
        <f t="shared" ca="1" si="1561"/>
        <v>150.90035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 x14ac:dyDescent="0.15">
      <c r="A173" s="101">
        <f t="shared" ca="1" si="1562"/>
        <v>35</v>
      </c>
      <c r="B173" s="111">
        <v>36</v>
      </c>
      <c r="C173" s="71" t="str">
        <f t="shared" ca="1" si="1555"/>
        <v>Franzi</v>
      </c>
      <c r="D173" s="112">
        <f t="shared" ca="1" si="1563"/>
        <v>142.20000000000002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5</v>
      </c>
      <c r="Q173" s="32" t="str">
        <f t="shared" ca="1" si="1567"/>
        <v>Evelyn</v>
      </c>
      <c r="R173" s="113">
        <f t="shared" ca="1" si="1568"/>
        <v>165.7</v>
      </c>
      <c r="S173" s="73">
        <v>36</v>
      </c>
      <c r="T173" s="32">
        <f t="shared" ca="1" si="1561"/>
        <v>165.70035999999999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 x14ac:dyDescent="0.15">
      <c r="A174" s="101">
        <f t="shared" ca="1" si="1562"/>
        <v>37</v>
      </c>
      <c r="B174" s="111">
        <v>37</v>
      </c>
      <c r="C174" s="71" t="str">
        <f t="shared" ca="1" si="1555"/>
        <v>Julian</v>
      </c>
      <c r="D174" s="112">
        <f t="shared" ca="1" si="1563"/>
        <v>141.69999999999999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31</v>
      </c>
      <c r="Q174" s="32" t="str">
        <f t="shared" ca="1" si="1567"/>
        <v>Carsten</v>
      </c>
      <c r="R174" s="113">
        <f t="shared" ca="1" si="1568"/>
        <v>144.30000000000001</v>
      </c>
      <c r="S174" s="73">
        <v>37</v>
      </c>
      <c r="T174" s="32">
        <f t="shared" ca="1" si="1561"/>
        <v>144.30037000000002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 x14ac:dyDescent="0.15">
      <c r="A175" s="101">
        <f t="shared" ca="1" si="1562"/>
        <v>38</v>
      </c>
      <c r="B175" s="111">
        <v>38</v>
      </c>
      <c r="C175" s="71" t="str">
        <f t="shared" ca="1" si="1555"/>
        <v>Conrad</v>
      </c>
      <c r="D175" s="112">
        <f t="shared" ca="1" si="1563"/>
        <v>140.10000000000002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28</v>
      </c>
      <c r="Q175" s="32" t="str">
        <f t="shared" ca="1" si="1567"/>
        <v>Nuria</v>
      </c>
      <c r="R175" s="113">
        <f t="shared" ca="1" si="1568"/>
        <v>147.1</v>
      </c>
      <c r="S175" s="73">
        <v>38</v>
      </c>
      <c r="T175" s="32">
        <f t="shared" ca="1" si="1561"/>
        <v>147.10038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 x14ac:dyDescent="0.15">
      <c r="A176" s="101">
        <f t="shared" ca="1" si="1562"/>
        <v>39</v>
      </c>
      <c r="B176" s="111">
        <v>39</v>
      </c>
      <c r="C176" s="71" t="str">
        <f t="shared" ca="1" si="1555"/>
        <v>Marlene</v>
      </c>
      <c r="D176" s="112">
        <f t="shared" ca="1" si="1563"/>
        <v>139.6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41</v>
      </c>
      <c r="Q176" s="32" t="str">
        <f t="shared" ca="1" si="1567"/>
        <v>Joseph</v>
      </c>
      <c r="R176" s="113">
        <f t="shared" ca="1" si="1568"/>
        <v>138.69999999999999</v>
      </c>
      <c r="S176" s="73">
        <v>39</v>
      </c>
      <c r="T176" s="32">
        <f t="shared" ca="1" si="1561"/>
        <v>138.70039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 x14ac:dyDescent="0.15">
      <c r="A177" s="101">
        <f t="shared" ca="1" si="1562"/>
        <v>40</v>
      </c>
      <c r="B177" s="111">
        <v>40</v>
      </c>
      <c r="C177" s="71" t="str">
        <f t="shared" ca="1" si="1555"/>
        <v>Helene</v>
      </c>
      <c r="D177" s="112">
        <f t="shared" ca="1" si="1563"/>
        <v>138.89999999999998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64</v>
      </c>
      <c r="Q177" s="32" t="str">
        <f t="shared" ca="1" si="1567"/>
        <v>Sören</v>
      </c>
      <c r="R177" s="113">
        <f t="shared" ca="1" si="1568"/>
        <v>118.00000000000001</v>
      </c>
      <c r="S177" s="73">
        <v>40</v>
      </c>
      <c r="T177" s="32">
        <f t="shared" ca="1" si="1561"/>
        <v>118.00040000000001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 x14ac:dyDescent="0.15">
      <c r="A178" s="101">
        <f t="shared" ca="1" si="1562"/>
        <v>41</v>
      </c>
      <c r="B178" s="111">
        <v>41</v>
      </c>
      <c r="C178" s="71" t="str">
        <f t="shared" ca="1" si="1555"/>
        <v>Joseph</v>
      </c>
      <c r="D178" s="112">
        <f t="shared" ca="1" si="1563"/>
        <v>138.69999999999999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30</v>
      </c>
      <c r="Q178" s="32" t="str">
        <f t="shared" ca="1" si="1567"/>
        <v>Marietta</v>
      </c>
      <c r="R178" s="113">
        <f t="shared" ca="1" si="1568"/>
        <v>145.19999999999999</v>
      </c>
      <c r="S178" s="73">
        <v>41</v>
      </c>
      <c r="T178" s="32">
        <f t="shared" ca="1" si="1561"/>
        <v>145.20040999999998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 x14ac:dyDescent="0.15">
      <c r="A179" s="101">
        <f t="shared" ca="1" si="1562"/>
        <v>42</v>
      </c>
      <c r="B179" s="111">
        <v>42</v>
      </c>
      <c r="C179" s="71" t="str">
        <f t="shared" ca="1" si="1555"/>
        <v>Folker</v>
      </c>
      <c r="D179" s="112">
        <f t="shared" ca="1" si="1563"/>
        <v>138.60000000000002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39</v>
      </c>
      <c r="Q179" s="32" t="str">
        <f t="shared" ca="1" si="1567"/>
        <v>Marlene</v>
      </c>
      <c r="R179" s="113">
        <f t="shared" ca="1" si="1568"/>
        <v>139.6</v>
      </c>
      <c r="S179" s="73">
        <v>42</v>
      </c>
      <c r="T179" s="32">
        <f t="shared" ca="1" si="1561"/>
        <v>139.60041999999999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 x14ac:dyDescent="0.15">
      <c r="A180" s="101">
        <f t="shared" ca="1" si="1562"/>
        <v>42</v>
      </c>
      <c r="B180" s="111">
        <v>43</v>
      </c>
      <c r="C180" s="71" t="str">
        <f t="shared" ca="1" si="1555"/>
        <v>Börn</v>
      </c>
      <c r="D180" s="112">
        <f t="shared" ca="1" si="1563"/>
        <v>138.6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51</v>
      </c>
      <c r="Q180" s="32" t="str">
        <f t="shared" ca="1" si="1567"/>
        <v>Uwe</v>
      </c>
      <c r="R180" s="113">
        <f t="shared" ca="1" si="1568"/>
        <v>136.80000000000001</v>
      </c>
      <c r="S180" s="73">
        <v>43</v>
      </c>
      <c r="T180" s="32">
        <f t="shared" ca="1" si="1561"/>
        <v>136.80043000000001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 x14ac:dyDescent="0.15">
      <c r="A181" s="101">
        <f t="shared" ca="1" si="1562"/>
        <v>44</v>
      </c>
      <c r="B181" s="111">
        <v>44</v>
      </c>
      <c r="C181" s="71" t="str">
        <f t="shared" ca="1" si="1555"/>
        <v>Jens</v>
      </c>
      <c r="D181" s="112">
        <f t="shared" ca="1" si="1563"/>
        <v>138.39999999999998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54</v>
      </c>
      <c r="Q181" s="32" t="str">
        <f t="shared" ca="1" si="1567"/>
        <v>Jonathan</v>
      </c>
      <c r="R181" s="113">
        <f t="shared" ca="1" si="1568"/>
        <v>133.9</v>
      </c>
      <c r="S181" s="73">
        <v>44</v>
      </c>
      <c r="T181" s="32">
        <f t="shared" ca="1" si="1561"/>
        <v>133.90044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 x14ac:dyDescent="0.15">
      <c r="A182" s="101">
        <f t="shared" ca="1" si="1562"/>
        <v>45</v>
      </c>
      <c r="B182" s="111">
        <v>45</v>
      </c>
      <c r="C182" s="71" t="str">
        <f t="shared" ca="1" si="1555"/>
        <v>Kay</v>
      </c>
      <c r="D182" s="112">
        <f t="shared" ca="1" si="1563"/>
        <v>138.10000000000002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15</v>
      </c>
      <c r="Q182" s="32" t="str">
        <f t="shared" ca="1" si="1567"/>
        <v>Marius</v>
      </c>
      <c r="R182" s="113">
        <f t="shared" ca="1" si="1568"/>
        <v>155.29999999999998</v>
      </c>
      <c r="S182" s="73">
        <v>45</v>
      </c>
      <c r="T182" s="32">
        <f t="shared" ca="1" si="1561"/>
        <v>155.30044999999998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 x14ac:dyDescent="0.15">
      <c r="A183" s="101">
        <f t="shared" ca="1" si="1562"/>
        <v>46</v>
      </c>
      <c r="B183" s="111">
        <v>46</v>
      </c>
      <c r="C183" s="71" t="str">
        <f t="shared" ca="1" si="1555"/>
        <v>Kohls</v>
      </c>
      <c r="D183" s="112">
        <f t="shared" ca="1" si="1563"/>
        <v>138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35</v>
      </c>
      <c r="Q183" s="32" t="str">
        <f t="shared" ca="1" si="1567"/>
        <v>Claudia F</v>
      </c>
      <c r="R183" s="113">
        <f t="shared" ca="1" si="1568"/>
        <v>142.20000000000002</v>
      </c>
      <c r="S183" s="73">
        <v>46</v>
      </c>
      <c r="T183" s="32">
        <f t="shared" ref="T183:T185" ca="1" si="1569">R183+S183/100000</f>
        <v>142.20046000000002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 x14ac:dyDescent="0.15">
      <c r="A184" s="101">
        <f t="shared" ca="1" si="1562"/>
        <v>47</v>
      </c>
      <c r="B184" s="111">
        <v>47</v>
      </c>
      <c r="C184" s="71" t="str">
        <f t="shared" ca="1" si="1555"/>
        <v>Emma E</v>
      </c>
      <c r="D184" s="112">
        <f t="shared" ca="1" si="1563"/>
        <v>137.5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11</v>
      </c>
      <c r="Q184" s="32" t="str">
        <f t="shared" ca="1" si="1567"/>
        <v>Anton</v>
      </c>
      <c r="R184" s="113">
        <f t="shared" ca="1" si="1568"/>
        <v>156.5</v>
      </c>
      <c r="S184" s="73">
        <v>47</v>
      </c>
      <c r="T184" s="32">
        <f t="shared" ca="1" si="1569"/>
        <v>156.50047000000001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 x14ac:dyDescent="0.15">
      <c r="A185" s="101">
        <f t="shared" ca="1" si="1562"/>
        <v>48</v>
      </c>
      <c r="B185" s="111">
        <v>48</v>
      </c>
      <c r="C185" s="71" t="str">
        <f t="shared" ca="1" si="1555"/>
        <v>Basti</v>
      </c>
      <c r="D185" s="112">
        <f t="shared" ca="1" si="1563"/>
        <v>137.19999999999996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58</v>
      </c>
      <c r="Q185" s="32" t="str">
        <f t="shared" ca="1" si="1567"/>
        <v>Jörg</v>
      </c>
      <c r="R185" s="113">
        <f t="shared" ca="1" si="1568"/>
        <v>128.5</v>
      </c>
      <c r="S185" s="73">
        <v>48</v>
      </c>
      <c r="T185" s="32">
        <f t="shared" ca="1" si="1569"/>
        <v>128.50048000000001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 x14ac:dyDescent="0.15">
      <c r="A186" s="101">
        <f t="shared" ca="1" si="1562"/>
        <v>49</v>
      </c>
      <c r="B186" s="111">
        <v>49</v>
      </c>
      <c r="C186" s="71" t="str">
        <f t="shared" ca="1" si="1555"/>
        <v>Mimi</v>
      </c>
      <c r="D186" s="112">
        <f t="shared" ca="1" si="1563"/>
        <v>137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29</v>
      </c>
      <c r="Q186" s="32" t="str">
        <f t="shared" ca="1" si="1567"/>
        <v>Nico</v>
      </c>
      <c r="R186" s="113">
        <f t="shared" ca="1" si="1568"/>
        <v>146.9</v>
      </c>
      <c r="S186" s="73">
        <v>49</v>
      </c>
      <c r="T186" s="32">
        <f t="shared" ref="T186:T188" ca="1" si="1570">R186+S186/100000</f>
        <v>146.90049000000002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 x14ac:dyDescent="0.15">
      <c r="A187" s="101">
        <f t="shared" ca="1" si="1562"/>
        <v>49</v>
      </c>
      <c r="B187" s="111">
        <v>50</v>
      </c>
      <c r="C187" s="71" t="str">
        <f t="shared" ca="1" si="1555"/>
        <v>Vroni</v>
      </c>
      <c r="D187" s="112">
        <f t="shared" ca="1" si="1563"/>
        <v>137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53</v>
      </c>
      <c r="Q187" s="32" t="str">
        <f t="shared" ca="1" si="1567"/>
        <v>Evi</v>
      </c>
      <c r="R187" s="113">
        <f t="shared" ca="1" si="1568"/>
        <v>134.4</v>
      </c>
      <c r="S187" s="73">
        <v>50</v>
      </c>
      <c r="T187" s="32">
        <f t="shared" ca="1" si="1570"/>
        <v>134.40049999999999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 x14ac:dyDescent="0.15">
      <c r="A188" s="101">
        <f t="shared" ca="1" si="1562"/>
        <v>51</v>
      </c>
      <c r="B188" s="111">
        <v>51</v>
      </c>
      <c r="C188" s="71" t="str">
        <f t="shared" ca="1" si="1555"/>
        <v>Uwe</v>
      </c>
      <c r="D188" s="112">
        <f t="shared" ca="1" si="1563"/>
        <v>136.80000000000001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10</v>
      </c>
      <c r="Q188" s="32" t="str">
        <f t="shared" ca="1" si="1567"/>
        <v>Valentina</v>
      </c>
      <c r="R188" s="113">
        <f t="shared" ca="1" si="1568"/>
        <v>156.5</v>
      </c>
      <c r="S188" s="73">
        <v>51</v>
      </c>
      <c r="T188" s="32">
        <f t="shared" ca="1" si="1570"/>
        <v>156.50050999999999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 x14ac:dyDescent="0.15">
      <c r="A189" s="101">
        <f t="shared" ca="1" si="1562"/>
        <v>52</v>
      </c>
      <c r="B189" s="111">
        <v>52</v>
      </c>
      <c r="C189" s="71" t="str">
        <f t="shared" ca="1" si="1555"/>
        <v>Pascal</v>
      </c>
      <c r="D189" s="112">
        <f t="shared" ca="1" si="1563"/>
        <v>135.20000000000002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65</v>
      </c>
      <c r="Q189" s="32" t="str">
        <f t="shared" ca="1" si="1567"/>
        <v>Rebecca</v>
      </c>
      <c r="R189" s="113">
        <f t="shared" ca="1" si="1568"/>
        <v>115.4</v>
      </c>
      <c r="S189" s="73">
        <v>52</v>
      </c>
      <c r="T189" s="32">
        <f t="shared" ref="T189:T191" ca="1" si="1571">R189+S189/100000</f>
        <v>115.40052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 x14ac:dyDescent="0.15">
      <c r="A190" s="101">
        <f t="shared" ca="1" si="1562"/>
        <v>53</v>
      </c>
      <c r="B190" s="111">
        <v>53</v>
      </c>
      <c r="C190" s="71" t="str">
        <f t="shared" ca="1" si="1555"/>
        <v>Evi</v>
      </c>
      <c r="D190" s="112">
        <f t="shared" ca="1" si="1563"/>
        <v>134.4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71</v>
      </c>
      <c r="Q190" s="32" t="str">
        <f t="shared" ca="1" si="1567"/>
        <v>Lucian</v>
      </c>
      <c r="R190" s="113">
        <f t="shared" ca="1" si="1568"/>
        <v>71.399999999999991</v>
      </c>
      <c r="S190" s="73">
        <v>53</v>
      </c>
      <c r="T190" s="32">
        <f t="shared" ca="1" si="1571"/>
        <v>71.400529999999989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 x14ac:dyDescent="0.15">
      <c r="A191" s="101">
        <f t="shared" ca="1" si="1562"/>
        <v>54</v>
      </c>
      <c r="B191" s="111">
        <v>54</v>
      </c>
      <c r="C191" s="71" t="str">
        <f t="shared" ca="1" si="1555"/>
        <v>Jonathan</v>
      </c>
      <c r="D191" s="112">
        <f t="shared" ca="1" si="1563"/>
        <v>133.9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59</v>
      </c>
      <c r="Q191" s="32" t="str">
        <f t="shared" ca="1" si="1567"/>
        <v>Sandra</v>
      </c>
      <c r="R191" s="113">
        <f t="shared" ca="1" si="1568"/>
        <v>126.19999999999999</v>
      </c>
      <c r="S191" s="73">
        <v>54</v>
      </c>
      <c r="T191" s="32">
        <f t="shared" ca="1" si="1571"/>
        <v>126.20053999999999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 x14ac:dyDescent="0.15">
      <c r="A192" s="101">
        <f t="shared" ca="1" si="1562"/>
        <v>55</v>
      </c>
      <c r="B192" s="111">
        <v>55</v>
      </c>
      <c r="C192" s="71" t="str">
        <f t="shared" ca="1" si="1555"/>
        <v>Christian</v>
      </c>
      <c r="D192" s="112">
        <f t="shared" ca="1" si="1563"/>
        <v>132.39999999999998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2</v>
      </c>
      <c r="Q192" s="32" t="str">
        <f t="shared" ca="1" si="1567"/>
        <v>Jochen</v>
      </c>
      <c r="R192" s="113">
        <f t="shared" ca="1" si="1568"/>
        <v>171.8</v>
      </c>
      <c r="S192" s="73">
        <v>55</v>
      </c>
      <c r="T192" s="32">
        <f t="shared" ref="T192:T204" ca="1" si="1572">R192+S192/100000</f>
        <v>171.80055000000002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 x14ac:dyDescent="0.15">
      <c r="A193" s="101">
        <f t="shared" ca="1" si="1562"/>
        <v>56</v>
      </c>
      <c r="B193" s="111">
        <v>56</v>
      </c>
      <c r="C193" s="71" t="str">
        <f t="shared" ca="1" si="1555"/>
        <v>Avinash</v>
      </c>
      <c r="D193" s="112">
        <f t="shared" ca="1" si="1563"/>
        <v>131.1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44</v>
      </c>
      <c r="Q193" s="32" t="str">
        <f t="shared" ca="1" si="1567"/>
        <v>Jens</v>
      </c>
      <c r="R193" s="113">
        <f t="shared" ca="1" si="1568"/>
        <v>138.39999999999998</v>
      </c>
      <c r="S193" s="73">
        <v>56</v>
      </c>
      <c r="T193" s="32">
        <f t="shared" ca="1" si="1572"/>
        <v>138.40055999999998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 x14ac:dyDescent="0.15">
      <c r="A194" s="101">
        <f t="shared" ca="1" si="1562"/>
        <v>57</v>
      </c>
      <c r="B194" s="111">
        <v>57</v>
      </c>
      <c r="C194" s="71" t="str">
        <f t="shared" ca="1" si="1555"/>
        <v>Kere</v>
      </c>
      <c r="D194" s="112">
        <f t="shared" ca="1" si="1563"/>
        <v>130.80000000000001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34</v>
      </c>
      <c r="Q194" s="32" t="str">
        <f t="shared" ca="1" si="1567"/>
        <v>Emma H</v>
      </c>
      <c r="R194" s="113">
        <f t="shared" ca="1" si="1568"/>
        <v>142.6</v>
      </c>
      <c r="S194" s="73">
        <v>57</v>
      </c>
      <c r="T194" s="32">
        <f t="shared" ca="1" si="1572"/>
        <v>142.60057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 x14ac:dyDescent="0.15">
      <c r="A195" s="101">
        <f t="shared" ca="1" si="1562"/>
        <v>58</v>
      </c>
      <c r="B195" s="111">
        <v>58</v>
      </c>
      <c r="C195" s="71" t="str">
        <f t="shared" ca="1" si="1555"/>
        <v>Jörg</v>
      </c>
      <c r="D195" s="112">
        <f t="shared" ca="1" si="1563"/>
        <v>128.5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66</v>
      </c>
      <c r="Q195" s="32" t="str">
        <f t="shared" ca="1" si="1567"/>
        <v>Luise</v>
      </c>
      <c r="R195" s="113">
        <f t="shared" ca="1" si="1568"/>
        <v>109.50000000000001</v>
      </c>
      <c r="S195" s="73">
        <v>58</v>
      </c>
      <c r="T195" s="32">
        <f t="shared" ca="1" si="1572"/>
        <v>109.50058000000001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 x14ac:dyDescent="0.15">
      <c r="A196" s="101">
        <f t="shared" ca="1" si="1562"/>
        <v>59</v>
      </c>
      <c r="B196" s="111">
        <v>59</v>
      </c>
      <c r="C196" s="71" t="str">
        <f t="shared" ca="1" si="1555"/>
        <v>Sandra</v>
      </c>
      <c r="D196" s="112">
        <f t="shared" ca="1" si="1563"/>
        <v>126.19999999999999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20</v>
      </c>
      <c r="Q196" s="32" t="str">
        <f t="shared" ca="1" si="1567"/>
        <v>Frank</v>
      </c>
      <c r="R196" s="113">
        <f t="shared" ca="1" si="1568"/>
        <v>151.6</v>
      </c>
      <c r="S196" s="73">
        <v>59</v>
      </c>
      <c r="T196" s="32">
        <f t="shared" ca="1" si="1572"/>
        <v>151.60058999999998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 x14ac:dyDescent="0.15">
      <c r="A197" s="101">
        <f t="shared" ca="1" si="1562"/>
        <v>60</v>
      </c>
      <c r="B197" s="111">
        <v>60</v>
      </c>
      <c r="C197" s="71" t="str">
        <f t="shared" ca="1" si="1555"/>
        <v>Rosa</v>
      </c>
      <c r="D197" s="112">
        <f t="shared" ca="1" si="1563"/>
        <v>123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25</v>
      </c>
      <c r="Q197" s="32" t="str">
        <f t="shared" ca="1" si="1567"/>
        <v>Peter</v>
      </c>
      <c r="R197" s="113">
        <f t="shared" ca="1" si="1568"/>
        <v>150.19999999999999</v>
      </c>
      <c r="S197" s="73">
        <v>60</v>
      </c>
      <c r="T197" s="32">
        <f t="shared" ca="1" si="1572"/>
        <v>150.20059999999998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 x14ac:dyDescent="0.15">
      <c r="A198" s="101">
        <f t="shared" ca="1" si="1562"/>
        <v>61</v>
      </c>
      <c r="B198" s="111">
        <v>61</v>
      </c>
      <c r="C198" s="71" t="str">
        <f t="shared" ca="1" si="1555"/>
        <v>Albert</v>
      </c>
      <c r="D198" s="112">
        <f t="shared" ca="1" si="1563"/>
        <v>122.60000000000001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8</v>
      </c>
      <c r="Q198" s="32" t="str">
        <f t="shared" ca="1" si="1567"/>
        <v>Tanja</v>
      </c>
      <c r="R198" s="113">
        <f t="shared" ca="1" si="1568"/>
        <v>157.79999999999998</v>
      </c>
      <c r="S198" s="73">
        <v>61</v>
      </c>
      <c r="T198" s="32">
        <f t="shared" ca="1" si="1572"/>
        <v>157.80060999999998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 x14ac:dyDescent="0.15">
      <c r="A199" s="101">
        <f t="shared" ca="1" si="1562"/>
        <v>62</v>
      </c>
      <c r="B199" s="111">
        <v>62</v>
      </c>
      <c r="C199" s="71" t="str">
        <f t="shared" ca="1" si="1555"/>
        <v>Daphne</v>
      </c>
      <c r="D199" s="112">
        <f t="shared" ca="1" si="1563"/>
        <v>122.4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69</v>
      </c>
      <c r="Q199" s="32" t="str">
        <f t="shared" ca="1" si="1567"/>
        <v>Martina</v>
      </c>
      <c r="R199" s="113">
        <f t="shared" ca="1" si="1568"/>
        <v>97.6</v>
      </c>
      <c r="S199" s="73">
        <v>62</v>
      </c>
      <c r="T199" s="32">
        <f t="shared" ca="1" si="1572"/>
        <v>97.600619999999992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 x14ac:dyDescent="0.15">
      <c r="A200" s="101">
        <f t="shared" ca="1" si="1562"/>
        <v>63</v>
      </c>
      <c r="B200" s="111">
        <v>63</v>
      </c>
      <c r="C200" s="71" t="str">
        <f t="shared" ca="1" si="1555"/>
        <v>Tina</v>
      </c>
      <c r="D200" s="112">
        <f t="shared" ca="1" si="1563"/>
        <v>120.2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49</v>
      </c>
      <c r="Q200" s="32" t="str">
        <f t="shared" ca="1" si="1567"/>
        <v>Mimi</v>
      </c>
      <c r="R200" s="113">
        <f t="shared" ca="1" si="1568"/>
        <v>137</v>
      </c>
      <c r="S200" s="73">
        <v>63</v>
      </c>
      <c r="T200" s="32">
        <f t="shared" ca="1" si="1572"/>
        <v>137.00063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 x14ac:dyDescent="0.15">
      <c r="A201" s="101">
        <f t="shared" ca="1" si="1562"/>
        <v>64</v>
      </c>
      <c r="B201" s="111">
        <v>64</v>
      </c>
      <c r="C201" s="71" t="str">
        <f t="shared" ca="1" si="1555"/>
        <v>Sören</v>
      </c>
      <c r="D201" s="112">
        <f t="shared" ca="1" si="1563"/>
        <v>118.00000000000001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24</v>
      </c>
      <c r="Q201" s="32" t="str">
        <f t="shared" ca="1" si="1567"/>
        <v>Ben W</v>
      </c>
      <c r="R201" s="113">
        <f t="shared" ca="1" si="1568"/>
        <v>150.69999999999996</v>
      </c>
      <c r="S201" s="73">
        <v>64</v>
      </c>
      <c r="T201" s="32">
        <f t="shared" ca="1" si="1572"/>
        <v>150.70063999999996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 x14ac:dyDescent="0.15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Rebecca</v>
      </c>
      <c r="D202" s="112">
        <f t="shared" ca="1" si="1563"/>
        <v>115.4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57</v>
      </c>
      <c r="Q202" s="32" t="str">
        <f t="shared" ref="Q202:Q204" ca="1" si="1574">INDIRECT(N202)</f>
        <v>Kere</v>
      </c>
      <c r="R202" s="113">
        <f t="shared" ref="R202:R204" ca="1" si="1575">INDIRECT(M203)</f>
        <v>130.80000000000001</v>
      </c>
      <c r="S202" s="73">
        <v>65</v>
      </c>
      <c r="T202" s="32">
        <f t="shared" ca="1" si="1572"/>
        <v>130.80065000000002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 x14ac:dyDescent="0.15">
      <c r="A203" s="101">
        <f t="shared" ca="1" si="1562"/>
        <v>66</v>
      </c>
      <c r="B203" s="111">
        <v>66</v>
      </c>
      <c r="C203" s="71" t="str">
        <f t="shared" ca="1" si="1573"/>
        <v>Luise</v>
      </c>
      <c r="D203" s="112">
        <f t="shared" ca="1" si="1563"/>
        <v>109.50000000000001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68</v>
      </c>
      <c r="Q203" s="32" t="str">
        <f t="shared" ca="1" si="1574"/>
        <v>Frieda</v>
      </c>
      <c r="R203" s="113">
        <f t="shared" ca="1" si="1575"/>
        <v>100.1</v>
      </c>
      <c r="S203" s="73">
        <v>66</v>
      </c>
      <c r="T203" s="32">
        <f t="shared" ca="1" si="1572"/>
        <v>100.10065999999999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 x14ac:dyDescent="0.15">
      <c r="A204" s="101">
        <f ca="1">IF(D204=D203,A203,B204)</f>
        <v>67</v>
      </c>
      <c r="B204" s="111">
        <v>67</v>
      </c>
      <c r="C204" s="71" t="str">
        <f t="shared" ca="1" si="1573"/>
        <v>Alma</v>
      </c>
      <c r="D204" s="112">
        <f ca="1">VLOOKUP(B204,$P$138:$R$209,3,0)</f>
        <v>103.90000000000002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72</v>
      </c>
      <c r="Q204" s="32" t="str">
        <f t="shared" ca="1" si="1574"/>
        <v>Konrad</v>
      </c>
      <c r="R204" s="113">
        <f t="shared" ca="1" si="1575"/>
        <v>26.499999999999996</v>
      </c>
      <c r="S204" s="73">
        <v>67</v>
      </c>
      <c r="T204" s="32">
        <f t="shared" ca="1" si="1572"/>
        <v>26.500669999999996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 x14ac:dyDescent="0.15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Frieda</v>
      </c>
      <c r="D205" s="112">
        <f t="shared" ref="D205:D208" ca="1" si="1577">VLOOKUP(B205,$P$138:$R$209,3,0)</f>
        <v>100.1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62</v>
      </c>
      <c r="Q205" s="32" t="str">
        <f t="shared" ref="Q205:Q209" ca="1" si="1579">INDIRECT(N205)</f>
        <v>Daphne</v>
      </c>
      <c r="R205" s="113">
        <f t="shared" ref="R205:R209" ca="1" si="1580">INDIRECT(M206)</f>
        <v>122.4</v>
      </c>
      <c r="S205" s="73">
        <v>68</v>
      </c>
      <c r="T205" s="32">
        <f t="shared" ref="T205:T209" ca="1" si="1581">R205+S205/100000</f>
        <v>122.40068000000001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 x14ac:dyDescent="0.15">
      <c r="A206" s="101">
        <f t="shared" ca="1" si="1576"/>
        <v>69</v>
      </c>
      <c r="B206" s="111">
        <v>69</v>
      </c>
      <c r="C206" s="71" t="str">
        <f t="shared" ca="1" si="1573"/>
        <v>Martina</v>
      </c>
      <c r="D206" s="112">
        <f t="shared" ca="1" si="1577"/>
        <v>97.6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52</v>
      </c>
      <c r="Q206" s="32" t="str">
        <f t="shared" ca="1" si="1579"/>
        <v>Pascal</v>
      </c>
      <c r="R206" s="113">
        <f t="shared" ca="1" si="1580"/>
        <v>135.20000000000002</v>
      </c>
      <c r="S206" s="73">
        <v>69</v>
      </c>
      <c r="T206" s="32">
        <f t="shared" ca="1" si="1581"/>
        <v>135.20069000000001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 x14ac:dyDescent="0.15">
      <c r="A207" s="101">
        <f t="shared" ca="1" si="1576"/>
        <v>70</v>
      </c>
      <c r="B207" s="111">
        <v>70</v>
      </c>
      <c r="C207" s="71" t="str">
        <f t="shared" ca="1" si="1573"/>
        <v>Lou</v>
      </c>
      <c r="D207" s="112">
        <f t="shared" ca="1" si="1577"/>
        <v>83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60</v>
      </c>
      <c r="Q207" s="32" t="str">
        <f t="shared" ca="1" si="1579"/>
        <v>Rosa</v>
      </c>
      <c r="R207" s="113">
        <f t="shared" ca="1" si="1580"/>
        <v>123</v>
      </c>
      <c r="S207" s="73">
        <v>70</v>
      </c>
      <c r="T207" s="32">
        <f t="shared" ca="1" si="1581"/>
        <v>123.00069999999999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 x14ac:dyDescent="0.15">
      <c r="A208" s="101">
        <f t="shared" ca="1" si="1576"/>
        <v>71</v>
      </c>
      <c r="B208" s="111">
        <v>71</v>
      </c>
      <c r="C208" s="71" t="str">
        <f t="shared" ca="1" si="1573"/>
        <v>Lucian</v>
      </c>
      <c r="D208" s="112">
        <f t="shared" ca="1" si="1577"/>
        <v>71.399999999999991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67</v>
      </c>
      <c r="Q208" s="32" t="str">
        <f t="shared" ca="1" si="1579"/>
        <v>Alma</v>
      </c>
      <c r="R208" s="113">
        <f t="shared" ca="1" si="1580"/>
        <v>103.90000000000002</v>
      </c>
      <c r="S208" s="73">
        <v>71</v>
      </c>
      <c r="T208" s="32">
        <f t="shared" ca="1" si="1581"/>
        <v>103.90071000000002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 x14ac:dyDescent="0.15">
      <c r="A209" s="120">
        <f t="shared" ca="1" si="1576"/>
        <v>72</v>
      </c>
      <c r="B209" s="121">
        <v>72</v>
      </c>
      <c r="C209" s="122" t="str">
        <f t="shared" ca="1" si="1573"/>
        <v>Konrad</v>
      </c>
      <c r="D209" s="123">
        <f ca="1">VLOOKUP(B209,$P$138:$R$209,3,0)</f>
        <v>26.499999999999996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56</v>
      </c>
      <c r="Q209" s="32" t="str">
        <f t="shared" ca="1" si="1579"/>
        <v>Avinash</v>
      </c>
      <c r="R209" s="113">
        <f t="shared" ca="1" si="1580"/>
        <v>131.1</v>
      </c>
      <c r="S209" s="73">
        <v>72</v>
      </c>
      <c r="T209" s="32">
        <f t="shared" ca="1" si="1581"/>
        <v>131.10072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 x14ac:dyDescent="0.2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 x14ac:dyDescent="0.15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 x14ac:dyDescent="0.15">
      <c r="A212" s="89">
        <v>1</v>
      </c>
      <c r="B212" s="90">
        <v>1</v>
      </c>
      <c r="C212" s="91" t="str">
        <f t="shared" ref="C212:C224" si="1582">VLOOKUP(B212,$X$138:$Z$152,2,0)</f>
        <v>Fam. Klesbiehl</v>
      </c>
      <c r="D212" s="92">
        <f>VLOOKUP(B212,$X$138:$Z$152,3,0)</f>
        <v>160.73333333333335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 x14ac:dyDescent="0.15">
      <c r="A213" s="93">
        <f t="shared" ref="A213:A219" si="1583">IF(D213=D212,A212,B213)</f>
        <v>2</v>
      </c>
      <c r="B213" s="94">
        <v>2</v>
      </c>
      <c r="C213" s="95" t="str">
        <f t="shared" si="1582"/>
        <v>Fam. Caspary</v>
      </c>
      <c r="D213" s="96">
        <f t="shared" ref="D213:D224" si="1584">VLOOKUP(B213,$X$138:$Z$152,3,0)</f>
        <v>153.77500000000003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 x14ac:dyDescent="0.15">
      <c r="A214" s="97">
        <f>IF(D214=D213,A213,B214)</f>
        <v>3</v>
      </c>
      <c r="B214" s="98">
        <v>3</v>
      </c>
      <c r="C214" s="99" t="str">
        <f t="shared" si="1582"/>
        <v>Fam. Dobmeier</v>
      </c>
      <c r="D214" s="100">
        <f t="shared" si="1584"/>
        <v>147.71666666666667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 x14ac:dyDescent="0.15">
      <c r="A215" s="101">
        <f t="shared" si="1583"/>
        <v>4</v>
      </c>
      <c r="B215" s="74">
        <v>4</v>
      </c>
      <c r="C215" s="71" t="str">
        <f t="shared" si="1582"/>
        <v>Manzambi Beimer</v>
      </c>
      <c r="D215" s="102">
        <f t="shared" si="1584"/>
        <v>144.06666666666669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 x14ac:dyDescent="0.15">
      <c r="A216" s="101">
        <f t="shared" si="1583"/>
        <v>5</v>
      </c>
      <c r="B216" s="74">
        <v>5</v>
      </c>
      <c r="C216" s="71" t="str">
        <f t="shared" si="1582"/>
        <v>Fam. Baum</v>
      </c>
      <c r="D216" s="102">
        <f t="shared" si="1584"/>
        <v>140.07999999999998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 x14ac:dyDescent="0.15">
      <c r="A217" s="101">
        <f t="shared" si="1583"/>
        <v>6</v>
      </c>
      <c r="B217" s="74">
        <v>6</v>
      </c>
      <c r="C217" s="71" t="str">
        <f t="shared" si="1582"/>
        <v>Fam. Bieling</v>
      </c>
      <c r="D217" s="102">
        <f t="shared" si="1584"/>
        <v>138.27500000000001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 x14ac:dyDescent="0.15">
      <c r="A218" s="101">
        <f t="shared" si="1583"/>
        <v>7</v>
      </c>
      <c r="B218" s="74">
        <v>7</v>
      </c>
      <c r="C218" s="71" t="str">
        <f t="shared" si="1582"/>
        <v>Fam. Hübner</v>
      </c>
      <c r="D218" s="102">
        <f t="shared" si="1584"/>
        <v>136.6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 x14ac:dyDescent="0.15">
      <c r="A219" s="103">
        <f t="shared" si="1583"/>
        <v>8</v>
      </c>
      <c r="B219" s="74">
        <v>8</v>
      </c>
      <c r="C219" s="71" t="str">
        <f t="shared" si="1582"/>
        <v>Fam. Weiher</v>
      </c>
      <c r="D219" s="102">
        <f t="shared" si="1584"/>
        <v>135.35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 x14ac:dyDescent="0.15">
      <c r="A220" s="103">
        <f>IF(D220=D219,A219,B220)</f>
        <v>9</v>
      </c>
      <c r="B220" s="74">
        <v>9</v>
      </c>
      <c r="C220" s="71" t="str">
        <f t="shared" si="1582"/>
        <v>Fam. Brockamp</v>
      </c>
      <c r="D220" s="102">
        <f t="shared" si="1584"/>
        <v>134.89999999999998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 x14ac:dyDescent="0.15">
      <c r="A221" s="103">
        <f>IF(D221=D220,A220,B221)</f>
        <v>10</v>
      </c>
      <c r="B221" s="74">
        <v>10</v>
      </c>
      <c r="C221" s="71" t="str">
        <f t="shared" si="1582"/>
        <v>Fam. Schulz</v>
      </c>
      <c r="D221" s="102">
        <f t="shared" si="1584"/>
        <v>131.72499999999999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 x14ac:dyDescent="0.15">
      <c r="A222" s="103">
        <f>IF(D222=D221,A221,B222)</f>
        <v>11</v>
      </c>
      <c r="B222" s="74">
        <v>11</v>
      </c>
      <c r="C222" s="71" t="str">
        <f t="shared" si="1582"/>
        <v>Fam. Hitzfeld</v>
      </c>
      <c r="D222" s="102">
        <f t="shared" si="1584"/>
        <v>130.4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 x14ac:dyDescent="0.15">
      <c r="A223" s="103">
        <f>IF(D223=D222,A222,B223)</f>
        <v>12</v>
      </c>
      <c r="B223" s="74">
        <v>12</v>
      </c>
      <c r="C223" s="71" t="str">
        <f t="shared" si="1582"/>
        <v>Fam. Keilmann</v>
      </c>
      <c r="D223" s="102">
        <f t="shared" si="1584"/>
        <v>123.12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 x14ac:dyDescent="0.15">
      <c r="A224" s="103">
        <f t="shared" ref="A224" si="1585">IF(D224=D223,A223,B224)</f>
        <v>13</v>
      </c>
      <c r="B224" s="74">
        <v>13</v>
      </c>
      <c r="C224" s="71" t="str">
        <f t="shared" si="1582"/>
        <v>Fam. Hofmann</v>
      </c>
      <c r="D224" s="102">
        <f t="shared" si="1584"/>
        <v>120.75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 x14ac:dyDescent="0.2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Ulrich</v>
      </c>
      <c r="D225" s="107">
        <f t="shared" ref="D225" si="1588">VLOOKUP(B225,$X$138:$Z$152,3,0)</f>
        <v>98.974999999999994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 x14ac:dyDescent="0.15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 x14ac:dyDescent="0.15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 x14ac:dyDescent="0.15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 x14ac:dyDescent="0.15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 x14ac:dyDescent="0.15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 x14ac:dyDescent="0.15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 x14ac:dyDescent="0.15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 x14ac:dyDescent="0.15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 x14ac:dyDescent="0.15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 x14ac:dyDescent="0.15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 x14ac:dyDescent="0.15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 x14ac:dyDescent="0.15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 x14ac:dyDescent="0.15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 x14ac:dyDescent="0.15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 x14ac:dyDescent="0.15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 x14ac:dyDescent="0.15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 x14ac:dyDescent="0.15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 x14ac:dyDescent="0.15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 x14ac:dyDescent="0.15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 x14ac:dyDescent="0.15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 x14ac:dyDescent="0.15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 x14ac:dyDescent="0.15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 x14ac:dyDescent="0.15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 x14ac:dyDescent="0.15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 x14ac:dyDescent="0.15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 x14ac:dyDescent="0.15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 x14ac:dyDescent="0.15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 x14ac:dyDescent="0.15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 x14ac:dyDescent="0.15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 x14ac:dyDescent="0.15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 x14ac:dyDescent="0.15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 x14ac:dyDescent="0.15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 x14ac:dyDescent="0.15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 x14ac:dyDescent="0.15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 x14ac:dyDescent="0.15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 x14ac:dyDescent="0.15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 x14ac:dyDescent="0.15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 x14ac:dyDescent="0.15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 x14ac:dyDescent="0.15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 x14ac:dyDescent="0.15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 x14ac:dyDescent="0.15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 x14ac:dyDescent="0.15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 x14ac:dyDescent="0.15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 x14ac:dyDescent="0.15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 x14ac:dyDescent="0.15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 x14ac:dyDescent="0.15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 x14ac:dyDescent="0.15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 x14ac:dyDescent="0.15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 x14ac:dyDescent="0.15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 x14ac:dyDescent="0.15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 x14ac:dyDescent="0.15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 x14ac:dyDescent="0.15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 x14ac:dyDescent="0.15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 x14ac:dyDescent="0.15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 x14ac:dyDescent="0.15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 x14ac:dyDescent="0.15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 x14ac:dyDescent="0.15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 x14ac:dyDescent="0.15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 x14ac:dyDescent="0.15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 x14ac:dyDescent="0.15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 x14ac:dyDescent="0.15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 x14ac:dyDescent="0.15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 x14ac:dyDescent="0.15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 x14ac:dyDescent="0.15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nFRHhpOMvOMxOuiInaG1A0hrAeZSt8n0dgcvYIGel+NtBadi/2+YwV5EkcoDvYk/DB/75MT6txXCTmfSQBLMBw==" saltValue="arhpTnD+HVRdU5BK8Ro8lg==" spinCount="100000" sheet="1" selectLockedCells="1"/>
  <mergeCells count="296"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2026-06-28T21:06:07Z</dcterms:modified>
</cp:coreProperties>
</file>